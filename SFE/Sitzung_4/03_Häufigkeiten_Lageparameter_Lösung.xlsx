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uniaugsburg-my.sharepoint.com/personal/philipp1_hofer_uni-a_de/Documents/Uni/SoSe26/SFE/Sitzung_4/"/>
    </mc:Choice>
  </mc:AlternateContent>
  <xr:revisionPtr revIDLastSave="18" documentId="13_ncr:1_{284FC8BA-9AC6-4775-B7A9-B1A771D8A8B9}" xr6:coauthVersionLast="47" xr6:coauthVersionMax="47" xr10:uidLastSave="{691D7EF4-A8D8-4416-BA37-944A9BD92C92}"/>
  <bookViews>
    <workbookView xWindow="-57720" yWindow="3390" windowWidth="29040" windowHeight="17520" activeTab="5" xr2:uid="{00000000-000D-0000-FFFF-FFFF00000000}"/>
  </bookViews>
  <sheets>
    <sheet name="Überblick" sheetId="14" r:id="rId1"/>
    <sheet name="Summewenn &amp; Zählenwenn" sheetId="5" r:id="rId2"/>
    <sheet name="Div. Funktionen" sheetId="7" r:id="rId3"/>
    <sheet name="Aufgabe1" sheetId="8" r:id="rId4"/>
    <sheet name="Aufgabe2" sheetId="9" r:id="rId5"/>
    <sheet name="Aufgabe3" sheetId="10" r:id="rId6"/>
    <sheet name="Aufgabe 4" sheetId="12" r:id="rId7"/>
  </sheets>
  <definedNames>
    <definedName name="knie">'Summewenn &amp; Zählenwenn'!$D$47:$D$53</definedName>
    <definedName name="schmerz?">'Summewenn &amp; Zählenwenn'!$E$47:$E$53</definedName>
    <definedName name="tag">'Summewenn &amp; Zählenwenn'!$B$47:$B$53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8" i="10" l="1"/>
  <c r="E27" i="9"/>
  <c r="E25" i="9"/>
  <c r="G24" i="12" l="1"/>
  <c r="Z287" i="12"/>
  <c r="X287" i="12"/>
  <c r="Y287" i="12" s="1"/>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Z83" i="12"/>
  <c r="Z84" i="12"/>
  <c r="Z85" i="12"/>
  <c r="Z86" i="12"/>
  <c r="Z87" i="12"/>
  <c r="Z88" i="12"/>
  <c r="Z89" i="12"/>
  <c r="Z90" i="12"/>
  <c r="Z91" i="12"/>
  <c r="Z92" i="12"/>
  <c r="Z93" i="12"/>
  <c r="Z94" i="12"/>
  <c r="Z95" i="12"/>
  <c r="Z96" i="12"/>
  <c r="Z97" i="12"/>
  <c r="Z98" i="12"/>
  <c r="Z99" i="12"/>
  <c r="Z100" i="12"/>
  <c r="Z101" i="12"/>
  <c r="Z102" i="12"/>
  <c r="Z103" i="12"/>
  <c r="Z104" i="12"/>
  <c r="Z105" i="12"/>
  <c r="Z106" i="12"/>
  <c r="Z107" i="12"/>
  <c r="Z108" i="12"/>
  <c r="Z109" i="12"/>
  <c r="Z110" i="12"/>
  <c r="Z111" i="12"/>
  <c r="Z112" i="12"/>
  <c r="Z113" i="12"/>
  <c r="Z114" i="12"/>
  <c r="Z115" i="12"/>
  <c r="Z116" i="12"/>
  <c r="Z117" i="12"/>
  <c r="Z118" i="12"/>
  <c r="Z119" i="12"/>
  <c r="Z120" i="12"/>
  <c r="Z121" i="12"/>
  <c r="Z122" i="12"/>
  <c r="Z123" i="12"/>
  <c r="Z124" i="12"/>
  <c r="Z125" i="12"/>
  <c r="Z126" i="12"/>
  <c r="Z127" i="12"/>
  <c r="Z128" i="12"/>
  <c r="Z129" i="12"/>
  <c r="Z130" i="12"/>
  <c r="Z131" i="12"/>
  <c r="Z132" i="12"/>
  <c r="Z133" i="12"/>
  <c r="Z134" i="12"/>
  <c r="Z135" i="12"/>
  <c r="Z136" i="12"/>
  <c r="Z137" i="12"/>
  <c r="Z138" i="12"/>
  <c r="Z139" i="12"/>
  <c r="Z140" i="12"/>
  <c r="Z141" i="12"/>
  <c r="Z142" i="12"/>
  <c r="Z143" i="12"/>
  <c r="Z144" i="12"/>
  <c r="Z145" i="12"/>
  <c r="Z146" i="12"/>
  <c r="Z147" i="12"/>
  <c r="Z148" i="12"/>
  <c r="Z149" i="12"/>
  <c r="Z150" i="12"/>
  <c r="Z151" i="12"/>
  <c r="Z152" i="12"/>
  <c r="Z153" i="12"/>
  <c r="Z154" i="12"/>
  <c r="Z155" i="12"/>
  <c r="Z156" i="12"/>
  <c r="Z157" i="12"/>
  <c r="Z158" i="12"/>
  <c r="Z159" i="12"/>
  <c r="Z160" i="12"/>
  <c r="Z161" i="12"/>
  <c r="Z162" i="12"/>
  <c r="Z163" i="12"/>
  <c r="Z164" i="12"/>
  <c r="Z165" i="12"/>
  <c r="Z166" i="12"/>
  <c r="Z167" i="12"/>
  <c r="Z168" i="12"/>
  <c r="Z169" i="12"/>
  <c r="Z170" i="12"/>
  <c r="Z171" i="12"/>
  <c r="Z172" i="12"/>
  <c r="Z173" i="12"/>
  <c r="Z174" i="12"/>
  <c r="Z175" i="12"/>
  <c r="Z176" i="12"/>
  <c r="Z177" i="12"/>
  <c r="Z178" i="12"/>
  <c r="Z179" i="12"/>
  <c r="Z180" i="12"/>
  <c r="Z181" i="12"/>
  <c r="Z182" i="12"/>
  <c r="Z183" i="12"/>
  <c r="Z184" i="12"/>
  <c r="Z185" i="12"/>
  <c r="Z186" i="12"/>
  <c r="Z187" i="12"/>
  <c r="Z188" i="12"/>
  <c r="Z189" i="12"/>
  <c r="Z190" i="12"/>
  <c r="Z191" i="12"/>
  <c r="Z192" i="12"/>
  <c r="Z193" i="12"/>
  <c r="Z194" i="12"/>
  <c r="Z195" i="12"/>
  <c r="Z196" i="12"/>
  <c r="Z197" i="12"/>
  <c r="Z198" i="12"/>
  <c r="Z199" i="12"/>
  <c r="Z200" i="12"/>
  <c r="Z201" i="12"/>
  <c r="Z202" i="12"/>
  <c r="Z203" i="12"/>
  <c r="Z204" i="12"/>
  <c r="Z205" i="12"/>
  <c r="Z206" i="12"/>
  <c r="Z207" i="12"/>
  <c r="Z208" i="12"/>
  <c r="Z209" i="12"/>
  <c r="Z210" i="12"/>
  <c r="Z211" i="12"/>
  <c r="Z212" i="12"/>
  <c r="Z213" i="12"/>
  <c r="Z214" i="12"/>
  <c r="Z215" i="12"/>
  <c r="Z216" i="12"/>
  <c r="Z217" i="12"/>
  <c r="Z218" i="12"/>
  <c r="Z219" i="12"/>
  <c r="Z220" i="12"/>
  <c r="Z221" i="12"/>
  <c r="Z222" i="12"/>
  <c r="Z223" i="12"/>
  <c r="Z224" i="12"/>
  <c r="Z225" i="12"/>
  <c r="Z226" i="12"/>
  <c r="Z227" i="12"/>
  <c r="Z228" i="12"/>
  <c r="Z229" i="12"/>
  <c r="Z230" i="12"/>
  <c r="Z231" i="12"/>
  <c r="Z232" i="12"/>
  <c r="Z233" i="12"/>
  <c r="Z234" i="12"/>
  <c r="Z235" i="12"/>
  <c r="Z236" i="12"/>
  <c r="Z237" i="12"/>
  <c r="Z238" i="12"/>
  <c r="Z239" i="12"/>
  <c r="Z240" i="12"/>
  <c r="Z241" i="12"/>
  <c r="Z242" i="12"/>
  <c r="Z243" i="12"/>
  <c r="Z244" i="12"/>
  <c r="Z245" i="12"/>
  <c r="Z246" i="12"/>
  <c r="Z247" i="12"/>
  <c r="Z248" i="12"/>
  <c r="Z249" i="12"/>
  <c r="Z250" i="12"/>
  <c r="Z251" i="12"/>
  <c r="Z252" i="12"/>
  <c r="Z253" i="12"/>
  <c r="Z254" i="12"/>
  <c r="Z255" i="12"/>
  <c r="Z256" i="12"/>
  <c r="Z257" i="12"/>
  <c r="Z258" i="12"/>
  <c r="Z259" i="12"/>
  <c r="Z260" i="12"/>
  <c r="Z261" i="12"/>
  <c r="Z262" i="12"/>
  <c r="Z263" i="12"/>
  <c r="Z264" i="12"/>
  <c r="Z265" i="12"/>
  <c r="Z266" i="12"/>
  <c r="Z267" i="12"/>
  <c r="Z268" i="12"/>
  <c r="Z269" i="12"/>
  <c r="Z270" i="12"/>
  <c r="Z271" i="12"/>
  <c r="Z272" i="12"/>
  <c r="Z273" i="12"/>
  <c r="Z274" i="12"/>
  <c r="Z275" i="12"/>
  <c r="Z276" i="12"/>
  <c r="Z277" i="12"/>
  <c r="Z278" i="12"/>
  <c r="Z279" i="12"/>
  <c r="Z280" i="12"/>
  <c r="Z281" i="12"/>
  <c r="Z282" i="12"/>
  <c r="Z283" i="12"/>
  <c r="Z284" i="12"/>
  <c r="Z285" i="12"/>
  <c r="Z286" i="12"/>
  <c r="Z55"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T92" i="12" s="1"/>
  <c r="S94" i="12"/>
  <c r="S95" i="12"/>
  <c r="S96" i="12"/>
  <c r="T95" i="12" s="1"/>
  <c r="S97" i="12"/>
  <c r="S98" i="12"/>
  <c r="U97" i="12" s="1"/>
  <c r="S99" i="12"/>
  <c r="S100" i="12"/>
  <c r="U99" i="12" s="1"/>
  <c r="S101" i="12"/>
  <c r="U100" i="12" s="1"/>
  <c r="S102" i="12"/>
  <c r="T101" i="12" s="1"/>
  <c r="S103" i="12"/>
  <c r="T102" i="12" s="1"/>
  <c r="S104" i="12"/>
  <c r="T103" i="12" s="1"/>
  <c r="S105" i="12"/>
  <c r="S106" i="12"/>
  <c r="S107" i="12"/>
  <c r="T106" i="12" s="1"/>
  <c r="S108" i="12"/>
  <c r="S109" i="12"/>
  <c r="S110" i="12"/>
  <c r="T109" i="12" s="1"/>
  <c r="S111" i="12"/>
  <c r="S112" i="12"/>
  <c r="U111" i="12" s="1"/>
  <c r="S113" i="12"/>
  <c r="S114" i="12"/>
  <c r="U113" i="12" s="1"/>
  <c r="S115" i="12"/>
  <c r="U114" i="12" s="1"/>
  <c r="S116" i="12"/>
  <c r="T115" i="12" s="1"/>
  <c r="S117" i="12"/>
  <c r="T116" i="12" s="1"/>
  <c r="S118" i="12"/>
  <c r="T117" i="12" s="1"/>
  <c r="S119" i="12"/>
  <c r="S120" i="12"/>
  <c r="S121" i="12"/>
  <c r="T120" i="12" s="1"/>
  <c r="S122" i="12"/>
  <c r="S123" i="12"/>
  <c r="S124" i="12"/>
  <c r="T123" i="12" s="1"/>
  <c r="S125" i="12"/>
  <c r="S126" i="12"/>
  <c r="U125" i="12" s="1"/>
  <c r="S127" i="12"/>
  <c r="S128" i="12"/>
  <c r="U127" i="12" s="1"/>
  <c r="S129" i="12"/>
  <c r="U128" i="12" s="1"/>
  <c r="S130" i="12"/>
  <c r="T129" i="12" s="1"/>
  <c r="S131" i="12"/>
  <c r="T130" i="12" s="1"/>
  <c r="S132" i="12"/>
  <c r="T131" i="12" s="1"/>
  <c r="S133" i="12"/>
  <c r="S134" i="12"/>
  <c r="S135" i="12"/>
  <c r="T134" i="12" s="1"/>
  <c r="S136" i="12"/>
  <c r="S137" i="12"/>
  <c r="S138" i="12"/>
  <c r="T137" i="12" s="1"/>
  <c r="S139" i="12"/>
  <c r="S140" i="12"/>
  <c r="U139" i="12" s="1"/>
  <c r="S141" i="12"/>
  <c r="S142" i="12"/>
  <c r="U141" i="12" s="1"/>
  <c r="S143" i="12"/>
  <c r="U142" i="12" s="1"/>
  <c r="S144" i="12"/>
  <c r="T143" i="12" s="1"/>
  <c r="S145" i="12"/>
  <c r="T144" i="12" s="1"/>
  <c r="S146" i="12"/>
  <c r="T145" i="12" s="1"/>
  <c r="S147" i="12"/>
  <c r="S148" i="12"/>
  <c r="S149" i="12"/>
  <c r="T148" i="12" s="1"/>
  <c r="S150" i="12"/>
  <c r="S151" i="12"/>
  <c r="S152" i="12"/>
  <c r="T151" i="12" s="1"/>
  <c r="S153" i="12"/>
  <c r="S154" i="12"/>
  <c r="U153" i="12" s="1"/>
  <c r="S155" i="12"/>
  <c r="S156" i="12"/>
  <c r="U155" i="12" s="1"/>
  <c r="S157" i="12"/>
  <c r="U156" i="12" s="1"/>
  <c r="S158" i="12"/>
  <c r="T157" i="12" s="1"/>
  <c r="S159" i="12"/>
  <c r="T158" i="12" s="1"/>
  <c r="S160" i="12"/>
  <c r="T159" i="12" s="1"/>
  <c r="S161" i="12"/>
  <c r="S162" i="12"/>
  <c r="S163" i="12"/>
  <c r="T162" i="12" s="1"/>
  <c r="S164" i="12"/>
  <c r="S165" i="12"/>
  <c r="S166" i="12"/>
  <c r="T165" i="12" s="1"/>
  <c r="S167" i="12"/>
  <c r="S168" i="12"/>
  <c r="S169" i="12"/>
  <c r="S170" i="12"/>
  <c r="U169" i="12" s="1"/>
  <c r="S171" i="12"/>
  <c r="U170" i="12" s="1"/>
  <c r="S172" i="12"/>
  <c r="T171" i="12" s="1"/>
  <c r="S173" i="12"/>
  <c r="T172" i="12" s="1"/>
  <c r="S174" i="12"/>
  <c r="T173" i="12" s="1"/>
  <c r="S175" i="12"/>
  <c r="S176" i="12"/>
  <c r="S177" i="12"/>
  <c r="T176" i="12" s="1"/>
  <c r="S178" i="12"/>
  <c r="S179" i="12"/>
  <c r="S180" i="12"/>
  <c r="T179" i="12" s="1"/>
  <c r="S181" i="12"/>
  <c r="S182" i="12"/>
  <c r="S183" i="12"/>
  <c r="S184" i="12"/>
  <c r="U183" i="12" s="1"/>
  <c r="S185" i="12"/>
  <c r="U184" i="12" s="1"/>
  <c r="S186" i="12"/>
  <c r="T185" i="12" s="1"/>
  <c r="S187" i="12"/>
  <c r="S188" i="12"/>
  <c r="T187" i="12" s="1"/>
  <c r="S189" i="12"/>
  <c r="S190" i="12"/>
  <c r="S191" i="12"/>
  <c r="T190" i="12" s="1"/>
  <c r="S192" i="12"/>
  <c r="S193" i="12"/>
  <c r="S194" i="12"/>
  <c r="T193" i="12" s="1"/>
  <c r="S195" i="12"/>
  <c r="S196" i="12"/>
  <c r="S197" i="12"/>
  <c r="S198" i="12"/>
  <c r="S199" i="12"/>
  <c r="S200" i="12"/>
  <c r="T199" i="12" s="1"/>
  <c r="S201" i="12"/>
  <c r="S202" i="12"/>
  <c r="T201" i="12" s="1"/>
  <c r="S203" i="12"/>
  <c r="S204" i="12"/>
  <c r="S205" i="12"/>
  <c r="T204" i="12" s="1"/>
  <c r="S206" i="12"/>
  <c r="S207" i="12"/>
  <c r="S208" i="12"/>
  <c r="T207" i="12" s="1"/>
  <c r="S209" i="12"/>
  <c r="S210" i="12"/>
  <c r="S211" i="12"/>
  <c r="S212" i="12"/>
  <c r="U211" i="12" s="1"/>
  <c r="S213" i="12"/>
  <c r="U212" i="12" s="1"/>
  <c r="S214" i="12"/>
  <c r="T213" i="12" s="1"/>
  <c r="S215" i="12"/>
  <c r="S216" i="12"/>
  <c r="T215" i="12" s="1"/>
  <c r="S217" i="12"/>
  <c r="S218" i="12"/>
  <c r="S219" i="12"/>
  <c r="T218" i="12" s="1"/>
  <c r="S220" i="12"/>
  <c r="S221" i="12"/>
  <c r="S222" i="12"/>
  <c r="T221" i="12" s="1"/>
  <c r="S223" i="12"/>
  <c r="S224" i="12"/>
  <c r="S225" i="12"/>
  <c r="S226" i="12"/>
  <c r="U225" i="12" s="1"/>
  <c r="S227" i="12"/>
  <c r="U226" i="12" s="1"/>
  <c r="S228" i="12"/>
  <c r="T227" i="12" s="1"/>
  <c r="S229" i="12"/>
  <c r="S230" i="12"/>
  <c r="T229" i="12" s="1"/>
  <c r="S231" i="12"/>
  <c r="S232" i="12"/>
  <c r="S233" i="12"/>
  <c r="T232" i="12" s="1"/>
  <c r="S234" i="12"/>
  <c r="S235" i="12"/>
  <c r="S236" i="12"/>
  <c r="T235" i="12" s="1"/>
  <c r="S237" i="12"/>
  <c r="S238" i="12"/>
  <c r="S239" i="12"/>
  <c r="S240" i="12"/>
  <c r="U239" i="12" s="1"/>
  <c r="S241" i="12"/>
  <c r="U240" i="12" s="1"/>
  <c r="S242" i="12"/>
  <c r="T241" i="12" s="1"/>
  <c r="S243" i="12"/>
  <c r="S244" i="12"/>
  <c r="T243" i="12" s="1"/>
  <c r="S245" i="12"/>
  <c r="S246" i="12"/>
  <c r="S247" i="12"/>
  <c r="T246" i="12" s="1"/>
  <c r="S248" i="12"/>
  <c r="S249" i="12"/>
  <c r="S250" i="12"/>
  <c r="T249" i="12" s="1"/>
  <c r="S251" i="12"/>
  <c r="S252" i="12"/>
  <c r="S253" i="12"/>
  <c r="S254" i="12"/>
  <c r="U253" i="12" s="1"/>
  <c r="S255" i="12"/>
  <c r="S256" i="12"/>
  <c r="T255" i="12" s="1"/>
  <c r="S257" i="12"/>
  <c r="S258" i="12"/>
  <c r="T257" i="12" s="1"/>
  <c r="S259" i="12"/>
  <c r="S260" i="12"/>
  <c r="S261" i="12"/>
  <c r="T260" i="12" s="1"/>
  <c r="S262" i="12"/>
  <c r="S263" i="12"/>
  <c r="S264" i="12"/>
  <c r="T263" i="12" s="1"/>
  <c r="S265" i="12"/>
  <c r="S266" i="12"/>
  <c r="S267" i="12"/>
  <c r="S268" i="12"/>
  <c r="U267" i="12" s="1"/>
  <c r="S269" i="12"/>
  <c r="U268" i="12" s="1"/>
  <c r="S270" i="12"/>
  <c r="T269" i="12" s="1"/>
  <c r="S271" i="12"/>
  <c r="S272" i="12"/>
  <c r="T271" i="12" s="1"/>
  <c r="S273" i="12"/>
  <c r="S274" i="12"/>
  <c r="S275" i="12"/>
  <c r="T274" i="12" s="1"/>
  <c r="S276" i="12"/>
  <c r="S277" i="12"/>
  <c r="S278" i="12"/>
  <c r="T277" i="12" s="1"/>
  <c r="S279" i="12"/>
  <c r="S280" i="12"/>
  <c r="S281" i="12"/>
  <c r="S282" i="12"/>
  <c r="U281" i="12" s="1"/>
  <c r="S283" i="12"/>
  <c r="U282" i="12" s="1"/>
  <c r="S284" i="12"/>
  <c r="T283" i="12" s="1"/>
  <c r="S285" i="12"/>
  <c r="S286" i="12"/>
  <c r="T285" i="12" s="1"/>
  <c r="S287" i="12"/>
  <c r="S288" i="12"/>
  <c r="S289" i="12"/>
  <c r="T288" i="12" s="1"/>
  <c r="S290" i="12"/>
  <c r="S291" i="12"/>
  <c r="S292" i="12"/>
  <c r="T291" i="12" s="1"/>
  <c r="S293" i="12"/>
  <c r="S294" i="12"/>
  <c r="S295" i="12"/>
  <c r="S296" i="12"/>
  <c r="S297" i="12"/>
  <c r="S298" i="12"/>
  <c r="T297" i="12" s="1"/>
  <c r="S299" i="12"/>
  <c r="S300" i="12"/>
  <c r="T299" i="12" s="1"/>
  <c r="S301" i="12"/>
  <c r="S302" i="12"/>
  <c r="S303" i="12"/>
  <c r="T302" i="12" s="1"/>
  <c r="S304" i="12"/>
  <c r="S305" i="12"/>
  <c r="S306" i="12"/>
  <c r="T305" i="12" s="1"/>
  <c r="S307" i="12"/>
  <c r="S308" i="12"/>
  <c r="S309" i="12"/>
  <c r="S310" i="12"/>
  <c r="U309" i="12" s="1"/>
  <c r="S311" i="12"/>
  <c r="U310" i="12" s="1"/>
  <c r="S312" i="12"/>
  <c r="T311" i="12" s="1"/>
  <c r="S313" i="12"/>
  <c r="S314" i="12"/>
  <c r="T313" i="12" s="1"/>
  <c r="S315" i="12"/>
  <c r="S316" i="12"/>
  <c r="S317" i="12"/>
  <c r="T316" i="12" s="1"/>
  <c r="S318" i="12"/>
  <c r="S319" i="12"/>
  <c r="S320" i="12"/>
  <c r="T319" i="12" s="1"/>
  <c r="S321" i="12"/>
  <c r="S322" i="12"/>
  <c r="S323" i="12"/>
  <c r="S324" i="12"/>
  <c r="U323" i="12" s="1"/>
  <c r="S325" i="12"/>
  <c r="U324" i="12" s="1"/>
  <c r="S326" i="12"/>
  <c r="T325" i="12" s="1"/>
  <c r="S327" i="12"/>
  <c r="S328" i="12"/>
  <c r="T327" i="12" s="1"/>
  <c r="S329" i="12"/>
  <c r="S330" i="12"/>
  <c r="S331" i="12"/>
  <c r="T330" i="12" s="1"/>
  <c r="S332" i="12"/>
  <c r="S333" i="12"/>
  <c r="S334" i="12"/>
  <c r="T333" i="12" s="1"/>
  <c r="S335" i="12"/>
  <c r="S336" i="12"/>
  <c r="S337" i="12"/>
  <c r="S338" i="12"/>
  <c r="U337" i="12" s="1"/>
  <c r="S339" i="12"/>
  <c r="U338" i="12" s="1"/>
  <c r="S340" i="12"/>
  <c r="T339" i="12" s="1"/>
  <c r="S341" i="12"/>
  <c r="S342" i="12"/>
  <c r="T341" i="12" s="1"/>
  <c r="S343" i="12"/>
  <c r="S344" i="12"/>
  <c r="S345" i="12"/>
  <c r="T344" i="12" s="1"/>
  <c r="S346" i="12"/>
  <c r="S347" i="12"/>
  <c r="S348" i="12"/>
  <c r="T347" i="12" s="1"/>
  <c r="S349" i="12"/>
  <c r="S350" i="12"/>
  <c r="S351" i="12"/>
  <c r="S352" i="12"/>
  <c r="U351" i="12" s="1"/>
  <c r="S353" i="12"/>
  <c r="S354" i="12"/>
  <c r="T353" i="12" s="1"/>
  <c r="S355" i="12"/>
  <c r="S356" i="12"/>
  <c r="T355" i="12" s="1"/>
  <c r="S357" i="12"/>
  <c r="S358" i="12"/>
  <c r="S359" i="12"/>
  <c r="T358" i="12" s="1"/>
  <c r="S360" i="12"/>
  <c r="S361" i="12"/>
  <c r="S362" i="12"/>
  <c r="T361" i="12" s="1"/>
  <c r="S363" i="12"/>
  <c r="S364" i="12"/>
  <c r="S365" i="12"/>
  <c r="S366" i="12"/>
  <c r="U365" i="12" s="1"/>
  <c r="S367" i="12"/>
  <c r="U366" i="12" s="1"/>
  <c r="S368" i="12"/>
  <c r="T367" i="12" s="1"/>
  <c r="S369" i="12"/>
  <c r="S370" i="12"/>
  <c r="T369" i="12" s="1"/>
  <c r="S371" i="12"/>
  <c r="S372" i="12"/>
  <c r="S373" i="12"/>
  <c r="T372" i="12" s="1"/>
  <c r="S374" i="12"/>
  <c r="S375" i="12"/>
  <c r="S376" i="12"/>
  <c r="S377" i="12"/>
  <c r="S378" i="12"/>
  <c r="S379" i="12"/>
  <c r="S380" i="12"/>
  <c r="U379" i="12" s="1"/>
  <c r="S381" i="12"/>
  <c r="U380" i="12" s="1"/>
  <c r="S382" i="12"/>
  <c r="T381" i="12" s="1"/>
  <c r="S383" i="12"/>
  <c r="S384" i="12"/>
  <c r="T383" i="12" s="1"/>
  <c r="S385" i="12"/>
  <c r="S386" i="12"/>
  <c r="S387" i="12"/>
  <c r="T386" i="12" s="1"/>
  <c r="S388" i="12"/>
  <c r="S389" i="12"/>
  <c r="S390" i="12"/>
  <c r="S391" i="12"/>
  <c r="S392" i="12"/>
  <c r="S393" i="12"/>
  <c r="S394" i="12"/>
  <c r="S395" i="12"/>
  <c r="S396" i="12"/>
  <c r="T395" i="12" s="1"/>
  <c r="S397" i="12"/>
  <c r="S398" i="12"/>
  <c r="T397" i="12" s="1"/>
  <c r="S399" i="12"/>
  <c r="S400" i="12"/>
  <c r="S401" i="12"/>
  <c r="T400" i="12" s="1"/>
  <c r="S402" i="12"/>
  <c r="S403" i="12"/>
  <c r="S404" i="12"/>
  <c r="S405" i="12"/>
  <c r="S406" i="12"/>
  <c r="S407" i="12"/>
  <c r="S408" i="12"/>
  <c r="U407" i="12" s="1"/>
  <c r="S409" i="12"/>
  <c r="U408" i="12" s="1"/>
  <c r="S410" i="12"/>
  <c r="T409" i="12" s="1"/>
  <c r="S411" i="12"/>
  <c r="S412" i="12"/>
  <c r="T411" i="12" s="1"/>
  <c r="S413" i="12"/>
  <c r="S414" i="12"/>
  <c r="S415" i="12"/>
  <c r="T414" i="12" s="1"/>
  <c r="S416" i="12"/>
  <c r="S417" i="12"/>
  <c r="S418" i="12"/>
  <c r="S419" i="12"/>
  <c r="S420" i="12"/>
  <c r="S421" i="12"/>
  <c r="S422" i="12"/>
  <c r="U421" i="12" s="1"/>
  <c r="S423" i="12"/>
  <c r="U422" i="12" s="1"/>
  <c r="S424" i="12"/>
  <c r="T423" i="12" s="1"/>
  <c r="S425" i="12"/>
  <c r="S426" i="12"/>
  <c r="T425" i="12" s="1"/>
  <c r="S427" i="12"/>
  <c r="S428" i="12"/>
  <c r="S429" i="12"/>
  <c r="T428" i="12" s="1"/>
  <c r="S430" i="12"/>
  <c r="S431" i="12"/>
  <c r="S432" i="12"/>
  <c r="S433" i="12"/>
  <c r="S434" i="12"/>
  <c r="S435" i="12"/>
  <c r="S436" i="12"/>
  <c r="U435" i="12" s="1"/>
  <c r="S437" i="12"/>
  <c r="U436" i="12" s="1"/>
  <c r="S438" i="12"/>
  <c r="T437" i="12" s="1"/>
  <c r="S439" i="12"/>
  <c r="S440" i="12"/>
  <c r="T439" i="12" s="1"/>
  <c r="S441" i="12"/>
  <c r="S442" i="12"/>
  <c r="S443" i="12"/>
  <c r="T442" i="12" s="1"/>
  <c r="S444" i="12"/>
  <c r="S445" i="12"/>
  <c r="S446" i="12"/>
  <c r="S447" i="12"/>
  <c r="S448" i="12"/>
  <c r="S449" i="12"/>
  <c r="S450" i="12"/>
  <c r="U449" i="12" s="1"/>
  <c r="S451" i="12"/>
  <c r="S452" i="12"/>
  <c r="T451" i="12" s="1"/>
  <c r="S453" i="12"/>
  <c r="S454" i="12"/>
  <c r="T453" i="12" s="1"/>
  <c r="S455" i="12"/>
  <c r="S456" i="12"/>
  <c r="S457" i="12"/>
  <c r="T456" i="12" s="1"/>
  <c r="S458" i="12"/>
  <c r="S459" i="12"/>
  <c r="S460" i="12"/>
  <c r="S461" i="12"/>
  <c r="S462" i="12"/>
  <c r="S463" i="12"/>
  <c r="S464" i="12"/>
  <c r="U463" i="12" s="1"/>
  <c r="S465" i="12"/>
  <c r="U464" i="12" s="1"/>
  <c r="S466" i="12"/>
  <c r="T465" i="12" s="1"/>
  <c r="S467" i="12"/>
  <c r="S468" i="12"/>
  <c r="T467" i="12" s="1"/>
  <c r="S469" i="12"/>
  <c r="S470" i="12"/>
  <c r="S471" i="12"/>
  <c r="T470" i="12" s="1"/>
  <c r="S472" i="12"/>
  <c r="S473" i="12"/>
  <c r="S474" i="12"/>
  <c r="S475" i="12"/>
  <c r="S476" i="12"/>
  <c r="S477" i="12"/>
  <c r="S478" i="12"/>
  <c r="U477" i="12" s="1"/>
  <c r="S479" i="12"/>
  <c r="U478" i="12" s="1"/>
  <c r="S480" i="12"/>
  <c r="T479" i="12" s="1"/>
  <c r="S481" i="12"/>
  <c r="S482" i="12"/>
  <c r="T481" i="12" s="1"/>
  <c r="S483" i="12"/>
  <c r="S484" i="12"/>
  <c r="S485" i="12"/>
  <c r="T484" i="12" s="1"/>
  <c r="S486" i="12"/>
  <c r="S487" i="12"/>
  <c r="S488" i="12"/>
  <c r="S489" i="12"/>
  <c r="S490" i="12"/>
  <c r="S491" i="12"/>
  <c r="S492" i="12"/>
  <c r="S493" i="12"/>
  <c r="S494" i="12"/>
  <c r="T493" i="12" s="1"/>
  <c r="S495" i="12"/>
  <c r="S496" i="12"/>
  <c r="S497" i="12"/>
  <c r="S498" i="12"/>
  <c r="S499" i="12"/>
  <c r="T498" i="12" s="1"/>
  <c r="S500" i="12"/>
  <c r="S501" i="12"/>
  <c r="S502" i="12"/>
  <c r="S503" i="12"/>
  <c r="S504" i="12"/>
  <c r="S505" i="12"/>
  <c r="S506" i="12"/>
  <c r="S507" i="12"/>
  <c r="U506" i="12" s="1"/>
  <c r="S508" i="12"/>
  <c r="S509" i="12"/>
  <c r="S510" i="12"/>
  <c r="S511" i="12"/>
  <c r="S512" i="12"/>
  <c r="S513" i="12"/>
  <c r="T512" i="12" s="1"/>
  <c r="S514" i="12"/>
  <c r="S515" i="12"/>
  <c r="S516" i="12"/>
  <c r="S517" i="12"/>
  <c r="S518" i="12"/>
  <c r="S519" i="12"/>
  <c r="S520" i="12"/>
  <c r="S521" i="12"/>
  <c r="U520" i="12" s="1"/>
  <c r="S522" i="12"/>
  <c r="S523" i="12"/>
  <c r="S524" i="12"/>
  <c r="S525" i="12"/>
  <c r="S526" i="12"/>
  <c r="S527" i="12"/>
  <c r="T526" i="12" s="1"/>
  <c r="S528" i="12"/>
  <c r="S529" i="12"/>
  <c r="S530" i="12"/>
  <c r="S531" i="12"/>
  <c r="S532" i="12"/>
  <c r="S533" i="12"/>
  <c r="S534" i="12"/>
  <c r="S535" i="12"/>
  <c r="U534" i="12" s="1"/>
  <c r="S536" i="12"/>
  <c r="S537" i="12"/>
  <c r="S538" i="12"/>
  <c r="S539" i="12"/>
  <c r="S540" i="12"/>
  <c r="S541" i="12"/>
  <c r="T540" i="12" s="1"/>
  <c r="S542" i="12"/>
  <c r="S543" i="12"/>
  <c r="S544" i="12"/>
  <c r="S545" i="12"/>
  <c r="S546" i="12"/>
  <c r="S547" i="12"/>
  <c r="S548" i="12"/>
  <c r="S549" i="12"/>
  <c r="T548" i="12" s="1"/>
  <c r="S550" i="12"/>
  <c r="S551" i="12"/>
  <c r="S552" i="12"/>
  <c r="S553" i="12"/>
  <c r="S554" i="12"/>
  <c r="S555" i="12"/>
  <c r="T554" i="12" s="1"/>
  <c r="S556" i="12"/>
  <c r="S557" i="12"/>
  <c r="S558" i="12"/>
  <c r="S559" i="12"/>
  <c r="S560" i="12"/>
  <c r="S561" i="12"/>
  <c r="S562" i="12"/>
  <c r="S563" i="12"/>
  <c r="S564" i="12"/>
  <c r="S565" i="12"/>
  <c r="S566" i="12"/>
  <c r="S567" i="12"/>
  <c r="S568" i="12"/>
  <c r="S569" i="12"/>
  <c r="T568" i="12" s="1"/>
  <c r="S570" i="12"/>
  <c r="S571" i="12"/>
  <c r="S572" i="12"/>
  <c r="S573" i="12"/>
  <c r="S574" i="12"/>
  <c r="S575" i="12"/>
  <c r="S576" i="12"/>
  <c r="S577" i="12"/>
  <c r="S578" i="12"/>
  <c r="S579" i="12"/>
  <c r="S580" i="12"/>
  <c r="S581" i="12"/>
  <c r="S582" i="12"/>
  <c r="S583" i="12"/>
  <c r="T582" i="12" s="1"/>
  <c r="S584" i="12"/>
  <c r="S585" i="12"/>
  <c r="S586" i="12"/>
  <c r="S587" i="12"/>
  <c r="S588" i="12"/>
  <c r="S589" i="12"/>
  <c r="S590" i="12"/>
  <c r="S591" i="12"/>
  <c r="S592" i="12"/>
  <c r="S593" i="12"/>
  <c r="S594" i="12"/>
  <c r="S595" i="12"/>
  <c r="S596" i="12"/>
  <c r="S597" i="12"/>
  <c r="T596" i="12" s="1"/>
  <c r="S598" i="12"/>
  <c r="S599" i="12"/>
  <c r="S600" i="12"/>
  <c r="S601" i="12"/>
  <c r="S602" i="12"/>
  <c r="S603" i="12"/>
  <c r="S604" i="12"/>
  <c r="S605" i="12"/>
  <c r="S606" i="12"/>
  <c r="S607" i="12"/>
  <c r="S608" i="12"/>
  <c r="S609" i="12"/>
  <c r="S610" i="12"/>
  <c r="S611" i="12"/>
  <c r="T610" i="12" s="1"/>
  <c r="S612" i="12"/>
  <c r="S613" i="12"/>
  <c r="S614" i="12"/>
  <c r="S615" i="12"/>
  <c r="S616" i="12"/>
  <c r="S617" i="12"/>
  <c r="S618" i="12"/>
  <c r="S619" i="12"/>
  <c r="S620" i="12"/>
  <c r="S621" i="12"/>
  <c r="S622" i="12"/>
  <c r="S623" i="12"/>
  <c r="S624" i="12"/>
  <c r="S625" i="12"/>
  <c r="T624" i="12" s="1"/>
  <c r="S626" i="12"/>
  <c r="S627" i="12"/>
  <c r="S628" i="12"/>
  <c r="S629" i="12"/>
  <c r="S630" i="12"/>
  <c r="S631" i="12"/>
  <c r="S632" i="12"/>
  <c r="S633" i="12"/>
  <c r="S634" i="12"/>
  <c r="S635" i="12"/>
  <c r="S636" i="12"/>
  <c r="S637" i="12"/>
  <c r="S638" i="12"/>
  <c r="S639" i="12"/>
  <c r="T638" i="12" s="1"/>
  <c r="S640" i="12"/>
  <c r="S641" i="12"/>
  <c r="S642" i="12"/>
  <c r="S643" i="12"/>
  <c r="S644" i="12"/>
  <c r="S645" i="12"/>
  <c r="S646" i="12"/>
  <c r="S647" i="12"/>
  <c r="S648" i="12"/>
  <c r="S649" i="12"/>
  <c r="S650" i="12"/>
  <c r="S651" i="12"/>
  <c r="S652" i="12"/>
  <c r="S653" i="12"/>
  <c r="T652" i="12" s="1"/>
  <c r="S654" i="12"/>
  <c r="S655" i="12"/>
  <c r="S656" i="12"/>
  <c r="S657" i="12"/>
  <c r="S658" i="12"/>
  <c r="S659" i="12"/>
  <c r="S660" i="12"/>
  <c r="S661" i="12"/>
  <c r="S662" i="12"/>
  <c r="S663" i="12"/>
  <c r="S664" i="12"/>
  <c r="S665" i="12"/>
  <c r="S666" i="12"/>
  <c r="S667" i="12"/>
  <c r="T666" i="12" s="1"/>
  <c r="S668" i="12"/>
  <c r="S669" i="12"/>
  <c r="S670" i="12"/>
  <c r="S671" i="12"/>
  <c r="S672" i="12"/>
  <c r="S673" i="12"/>
  <c r="S674" i="12"/>
  <c r="S675" i="12"/>
  <c r="S676" i="12"/>
  <c r="S677" i="12"/>
  <c r="S678" i="12"/>
  <c r="S679" i="12"/>
  <c r="S680" i="12"/>
  <c r="S681" i="12"/>
  <c r="T680" i="12" s="1"/>
  <c r="S682" i="12"/>
  <c r="S683" i="12"/>
  <c r="S684" i="12"/>
  <c r="S685" i="12"/>
  <c r="S686" i="12"/>
  <c r="S687" i="12"/>
  <c r="S688" i="12"/>
  <c r="S689" i="12"/>
  <c r="S690" i="12"/>
  <c r="S691" i="12"/>
  <c r="S692" i="12"/>
  <c r="S693" i="12"/>
  <c r="S694" i="12"/>
  <c r="S695" i="12"/>
  <c r="T694" i="12" s="1"/>
  <c r="S696" i="12"/>
  <c r="S697" i="12"/>
  <c r="S698" i="12"/>
  <c r="S699" i="12"/>
  <c r="S700" i="12"/>
  <c r="S701" i="12"/>
  <c r="S702" i="12"/>
  <c r="S703" i="12"/>
  <c r="S704" i="12"/>
  <c r="S705" i="12"/>
  <c r="S706" i="12"/>
  <c r="S707" i="12"/>
  <c r="S708" i="12"/>
  <c r="S709" i="12"/>
  <c r="T708" i="12" s="1"/>
  <c r="S710" i="12"/>
  <c r="S711" i="12"/>
  <c r="S712" i="12"/>
  <c r="S713" i="12"/>
  <c r="S714" i="12"/>
  <c r="S715" i="12"/>
  <c r="S716" i="12"/>
  <c r="S717" i="12"/>
  <c r="S718" i="12"/>
  <c r="S719" i="12"/>
  <c r="S720" i="12"/>
  <c r="S721" i="12"/>
  <c r="S722" i="12"/>
  <c r="S723" i="12"/>
  <c r="T722" i="12" s="1"/>
  <c r="S724" i="12"/>
  <c r="S725" i="12"/>
  <c r="S726" i="12"/>
  <c r="S727" i="12"/>
  <c r="S728" i="12"/>
  <c r="S729" i="12"/>
  <c r="S730" i="12"/>
  <c r="S731" i="12"/>
  <c r="S732" i="12"/>
  <c r="S733" i="12"/>
  <c r="S734" i="12"/>
  <c r="S735" i="12"/>
  <c r="S736" i="12"/>
  <c r="S737" i="12"/>
  <c r="T736" i="12" s="1"/>
  <c r="S738" i="12"/>
  <c r="S739" i="12"/>
  <c r="S740" i="12"/>
  <c r="S741" i="12"/>
  <c r="S742" i="12"/>
  <c r="S743" i="12"/>
  <c r="S744" i="12"/>
  <c r="S745" i="12"/>
  <c r="S746" i="12"/>
  <c r="S747" i="12"/>
  <c r="S748" i="12"/>
  <c r="S749" i="12"/>
  <c r="S750" i="12"/>
  <c r="S751" i="12"/>
  <c r="T750" i="12" s="1"/>
  <c r="S752" i="12"/>
  <c r="S753" i="12"/>
  <c r="S754" i="12"/>
  <c r="S755" i="12"/>
  <c r="S756" i="12"/>
  <c r="S757" i="12"/>
  <c r="S758" i="12"/>
  <c r="S759" i="12"/>
  <c r="S760" i="12"/>
  <c r="S761" i="12"/>
  <c r="S762" i="12"/>
  <c r="S763" i="12"/>
  <c r="S764" i="12"/>
  <c r="S765" i="12"/>
  <c r="S766" i="12"/>
  <c r="S767" i="12"/>
  <c r="S768" i="12"/>
  <c r="S769" i="12"/>
  <c r="S770" i="12"/>
  <c r="S771" i="12"/>
  <c r="S772" i="12"/>
  <c r="S773" i="12"/>
  <c r="S774" i="12"/>
  <c r="S775" i="12"/>
  <c r="S776" i="12"/>
  <c r="S777" i="12"/>
  <c r="S778" i="12"/>
  <c r="S779" i="12"/>
  <c r="S780" i="12"/>
  <c r="S781" i="12"/>
  <c r="S782" i="12"/>
  <c r="S783" i="12"/>
  <c r="S784" i="12"/>
  <c r="S785" i="12"/>
  <c r="S786" i="12"/>
  <c r="S787" i="12"/>
  <c r="S788" i="12"/>
  <c r="S789" i="12"/>
  <c r="S790" i="12"/>
  <c r="S791" i="12"/>
  <c r="S792" i="12"/>
  <c r="S793" i="12"/>
  <c r="S794" i="12"/>
  <c r="S795" i="12"/>
  <c r="S796" i="12"/>
  <c r="S797" i="12"/>
  <c r="S798" i="12"/>
  <c r="S799" i="12"/>
  <c r="S800" i="12"/>
  <c r="S801" i="12"/>
  <c r="S802" i="12"/>
  <c r="S803" i="12"/>
  <c r="S804" i="12"/>
  <c r="S805" i="12"/>
  <c r="S806" i="12"/>
  <c r="S807" i="12"/>
  <c r="S808" i="12"/>
  <c r="S809" i="12"/>
  <c r="S810" i="12"/>
  <c r="S811" i="12"/>
  <c r="S812" i="12"/>
  <c r="S813" i="12"/>
  <c r="S814" i="12"/>
  <c r="S815" i="12"/>
  <c r="S816" i="12"/>
  <c r="S817" i="12"/>
  <c r="S818" i="12"/>
  <c r="S819" i="12"/>
  <c r="S820" i="12"/>
  <c r="S821" i="12"/>
  <c r="S822" i="12"/>
  <c r="S823" i="12"/>
  <c r="S824" i="12"/>
  <c r="S825" i="12"/>
  <c r="S826" i="12"/>
  <c r="S827" i="12"/>
  <c r="S828" i="12"/>
  <c r="S829" i="12"/>
  <c r="S830" i="12"/>
  <c r="S831" i="12"/>
  <c r="S832" i="12"/>
  <c r="S833" i="12"/>
  <c r="S834" i="12"/>
  <c r="S835" i="12"/>
  <c r="S836" i="12"/>
  <c r="S837" i="12"/>
  <c r="S838" i="12"/>
  <c r="S839" i="12"/>
  <c r="S840" i="12"/>
  <c r="S841" i="12"/>
  <c r="S842" i="12"/>
  <c r="S843" i="12"/>
  <c r="S844" i="12"/>
  <c r="S845" i="12"/>
  <c r="S846" i="12"/>
  <c r="S847" i="12"/>
  <c r="S848" i="12"/>
  <c r="S849" i="12"/>
  <c r="S850" i="12"/>
  <c r="S851" i="12"/>
  <c r="S852" i="12"/>
  <c r="S853" i="12"/>
  <c r="S854" i="12"/>
  <c r="S855" i="12"/>
  <c r="S856" i="12"/>
  <c r="S857" i="12"/>
  <c r="S858" i="12"/>
  <c r="S859" i="12"/>
  <c r="S860" i="12"/>
  <c r="S861" i="12"/>
  <c r="S862" i="12"/>
  <c r="S863" i="12"/>
  <c r="S864" i="12"/>
  <c r="S865" i="12"/>
  <c r="S866" i="12"/>
  <c r="S867" i="12"/>
  <c r="S868" i="12"/>
  <c r="S869" i="12"/>
  <c r="S870" i="12"/>
  <c r="S871" i="12"/>
  <c r="S872" i="12"/>
  <c r="S873" i="12"/>
  <c r="S874" i="12"/>
  <c r="S875" i="12"/>
  <c r="S876" i="12"/>
  <c r="S877" i="12"/>
  <c r="S878" i="12"/>
  <c r="S879" i="12"/>
  <c r="S880" i="12"/>
  <c r="S881" i="12"/>
  <c r="S882" i="12"/>
  <c r="S883" i="12"/>
  <c r="S884" i="12"/>
  <c r="S885" i="12"/>
  <c r="S886" i="12"/>
  <c r="S887" i="12"/>
  <c r="S888" i="12"/>
  <c r="S889" i="12"/>
  <c r="S890" i="12"/>
  <c r="S891" i="12"/>
  <c r="S892" i="12"/>
  <c r="S893" i="12"/>
  <c r="S894" i="12"/>
  <c r="S895" i="12"/>
  <c r="S896" i="12"/>
  <c r="S897" i="12"/>
  <c r="S898" i="12"/>
  <c r="S899" i="12"/>
  <c r="S900" i="12"/>
  <c r="S901" i="12"/>
  <c r="S902" i="12"/>
  <c r="S903" i="12"/>
  <c r="S904" i="12"/>
  <c r="S905" i="12"/>
  <c r="S906" i="12"/>
  <c r="S907" i="12"/>
  <c r="S908" i="12"/>
  <c r="S909" i="12"/>
  <c r="S910" i="12"/>
  <c r="S911" i="12"/>
  <c r="S912" i="12"/>
  <c r="S913" i="12"/>
  <c r="S914" i="12"/>
  <c r="S915" i="12"/>
  <c r="S916" i="12"/>
  <c r="S917" i="12"/>
  <c r="S918" i="12"/>
  <c r="S919" i="12"/>
  <c r="S920" i="12"/>
  <c r="S921" i="12"/>
  <c r="S922" i="12"/>
  <c r="S923" i="12"/>
  <c r="S924" i="12"/>
  <c r="S925" i="12"/>
  <c r="S926" i="12"/>
  <c r="S927" i="12"/>
  <c r="S928" i="12"/>
  <c r="S929" i="12"/>
  <c r="S930" i="12"/>
  <c r="S931" i="12"/>
  <c r="S932" i="12"/>
  <c r="S933" i="12"/>
  <c r="S934" i="12"/>
  <c r="S935" i="12"/>
  <c r="S936" i="12"/>
  <c r="S937" i="12"/>
  <c r="S938" i="12"/>
  <c r="S939" i="12"/>
  <c r="S940" i="12"/>
  <c r="S941" i="12"/>
  <c r="S942" i="12"/>
  <c r="S943" i="12"/>
  <c r="S944" i="12"/>
  <c r="S945" i="12"/>
  <c r="S946" i="12"/>
  <c r="S947" i="12"/>
  <c r="S948" i="12"/>
  <c r="S949" i="12"/>
  <c r="S950" i="12"/>
  <c r="S951" i="12"/>
  <c r="S952" i="12"/>
  <c r="S953" i="12"/>
  <c r="S954" i="12"/>
  <c r="S955" i="12"/>
  <c r="S956" i="12"/>
  <c r="S957" i="12"/>
  <c r="S958" i="12"/>
  <c r="S959" i="12"/>
  <c r="S960" i="12"/>
  <c r="S961" i="12"/>
  <c r="S962" i="12"/>
  <c r="S963" i="12"/>
  <c r="S964" i="12"/>
  <c r="S965" i="12"/>
  <c r="S966" i="12"/>
  <c r="S967" i="12"/>
  <c r="S968" i="12"/>
  <c r="S969" i="12"/>
  <c r="S970" i="12"/>
  <c r="S971" i="12"/>
  <c r="S972" i="12"/>
  <c r="S973" i="12"/>
  <c r="S974" i="12"/>
  <c r="S975" i="12"/>
  <c r="S976" i="12"/>
  <c r="S977" i="12"/>
  <c r="S978" i="12"/>
  <c r="S979" i="12"/>
  <c r="S980" i="12"/>
  <c r="S981" i="12"/>
  <c r="S982" i="12"/>
  <c r="S983" i="12"/>
  <c r="S984" i="12"/>
  <c r="S985" i="12"/>
  <c r="S986" i="12"/>
  <c r="S987" i="12"/>
  <c r="S988" i="12"/>
  <c r="S989" i="12"/>
  <c r="S990" i="12"/>
  <c r="S991" i="12"/>
  <c r="S992" i="12"/>
  <c r="S993" i="12"/>
  <c r="S994" i="12"/>
  <c r="S995" i="12"/>
  <c r="S996" i="12"/>
  <c r="S997" i="12"/>
  <c r="S998" i="12"/>
  <c r="S999" i="12"/>
  <c r="S1000" i="12"/>
  <c r="S1001" i="12"/>
  <c r="S1002" i="12"/>
  <c r="S1003" i="12"/>
  <c r="S1004" i="12"/>
  <c r="S1005" i="12"/>
  <c r="S1006" i="12"/>
  <c r="S1007" i="12"/>
  <c r="S1008" i="12"/>
  <c r="S1009" i="12"/>
  <c r="S1010" i="12"/>
  <c r="S1011" i="12"/>
  <c r="S1012" i="12"/>
  <c r="S1013" i="12"/>
  <c r="S1014" i="12"/>
  <c r="S1015" i="12"/>
  <c r="S1016" i="12"/>
  <c r="S1017" i="12"/>
  <c r="S1018" i="12"/>
  <c r="S1019" i="12"/>
  <c r="S1020" i="12"/>
  <c r="S1021" i="12"/>
  <c r="S1022" i="12"/>
  <c r="S1023" i="12"/>
  <c r="S1024" i="12"/>
  <c r="S1025" i="12"/>
  <c r="S1026" i="12"/>
  <c r="S1027" i="12"/>
  <c r="S1028" i="12"/>
  <c r="S1029" i="12"/>
  <c r="S1030" i="12"/>
  <c r="S1031" i="12"/>
  <c r="S1032" i="12"/>
  <c r="S1033" i="12"/>
  <c r="S1034" i="12"/>
  <c r="S1035" i="12"/>
  <c r="S1036" i="12"/>
  <c r="S1037" i="12"/>
  <c r="S1038" i="12"/>
  <c r="S1039" i="12"/>
  <c r="S1040" i="12"/>
  <c r="S1041" i="12"/>
  <c r="S1042" i="12"/>
  <c r="S1043" i="12"/>
  <c r="S1044" i="12"/>
  <c r="S1045" i="12"/>
  <c r="S1046" i="12"/>
  <c r="S1047" i="12"/>
  <c r="S1048" i="12"/>
  <c r="S1049" i="12"/>
  <c r="S1050" i="12"/>
  <c r="S1051" i="12"/>
  <c r="S1052" i="12"/>
  <c r="S1053" i="12"/>
  <c r="S1054" i="12"/>
  <c r="S1055" i="12"/>
  <c r="S1056" i="12"/>
  <c r="S1057" i="12"/>
  <c r="S1058" i="12"/>
  <c r="S1059" i="12"/>
  <c r="S1060" i="12"/>
  <c r="S1061" i="12"/>
  <c r="S1062" i="12"/>
  <c r="S1063" i="12"/>
  <c r="S1064" i="12"/>
  <c r="S1065" i="12"/>
  <c r="S1066" i="12"/>
  <c r="S1067" i="12"/>
  <c r="S1068" i="12"/>
  <c r="S1069" i="12"/>
  <c r="S1070" i="12"/>
  <c r="S1071" i="12"/>
  <c r="S1072" i="12"/>
  <c r="S1073" i="12"/>
  <c r="S1074" i="12"/>
  <c r="S1075" i="12"/>
  <c r="S1076" i="12"/>
  <c r="S1077" i="12"/>
  <c r="S1078" i="12"/>
  <c r="S1079" i="12"/>
  <c r="S1080" i="12"/>
  <c r="S1081" i="12"/>
  <c r="S1082" i="12"/>
  <c r="S1083" i="12"/>
  <c r="S1084" i="12"/>
  <c r="S1085" i="12"/>
  <c r="S1086" i="12"/>
  <c r="S1087" i="12"/>
  <c r="S1088" i="12"/>
  <c r="S1089" i="12"/>
  <c r="S1090" i="12"/>
  <c r="S1091" i="12"/>
  <c r="S1092" i="12"/>
  <c r="S1093" i="12"/>
  <c r="S1094" i="12"/>
  <c r="S1095" i="12"/>
  <c r="S1096" i="12"/>
  <c r="S1097" i="12"/>
  <c r="S1098" i="12"/>
  <c r="S1099" i="12"/>
  <c r="S1100" i="12"/>
  <c r="S1101" i="12"/>
  <c r="S1102" i="12"/>
  <c r="S1103" i="12"/>
  <c r="S1104" i="12"/>
  <c r="S1105" i="12"/>
  <c r="S1106" i="12"/>
  <c r="S1107" i="12"/>
  <c r="S1108" i="12"/>
  <c r="S1109" i="12"/>
  <c r="S1110" i="12"/>
  <c r="S1111" i="12"/>
  <c r="S1112" i="12"/>
  <c r="S1113" i="12"/>
  <c r="S1114" i="12"/>
  <c r="S1115" i="12"/>
  <c r="S1116" i="12"/>
  <c r="S1117" i="12"/>
  <c r="S1118" i="12"/>
  <c r="S1119" i="12"/>
  <c r="S1120" i="12"/>
  <c r="S1121" i="12"/>
  <c r="S1122" i="12"/>
  <c r="S1123" i="12"/>
  <c r="S1124" i="12"/>
  <c r="S1125" i="12"/>
  <c r="S1126" i="12"/>
  <c r="S1127" i="12"/>
  <c r="S1128" i="12"/>
  <c r="S1129" i="12"/>
  <c r="S1130" i="12"/>
  <c r="S1131" i="12"/>
  <c r="S1132" i="12"/>
  <c r="S1133" i="12"/>
  <c r="S1134" i="12"/>
  <c r="S1135" i="12"/>
  <c r="S1136" i="12"/>
  <c r="S1137" i="12"/>
  <c r="S1138" i="12"/>
  <c r="S1139" i="12"/>
  <c r="S1140" i="12"/>
  <c r="S1141" i="12"/>
  <c r="S1142" i="12"/>
  <c r="S1143" i="12"/>
  <c r="S1144" i="12"/>
  <c r="S1145" i="12"/>
  <c r="S1146" i="12"/>
  <c r="S1147" i="12"/>
  <c r="S1148" i="12"/>
  <c r="S1149" i="12"/>
  <c r="S1150" i="12"/>
  <c r="S1151" i="12"/>
  <c r="S1152" i="12"/>
  <c r="S1153" i="12"/>
  <c r="S1154" i="12"/>
  <c r="S1155" i="12"/>
  <c r="S1156" i="12"/>
  <c r="S1157" i="12"/>
  <c r="S1158" i="12"/>
  <c r="S1159" i="12"/>
  <c r="S1160" i="12"/>
  <c r="S1161" i="12"/>
  <c r="S1162" i="12"/>
  <c r="S1163" i="12"/>
  <c r="S1164" i="12"/>
  <c r="S1165" i="12"/>
  <c r="S1166" i="12"/>
  <c r="S1167" i="12"/>
  <c r="S1168" i="12"/>
  <c r="S1169" i="12"/>
  <c r="S1170" i="12"/>
  <c r="S1171" i="12"/>
  <c r="S1172" i="12"/>
  <c r="S1173" i="12"/>
  <c r="S1174" i="12"/>
  <c r="S1175" i="12"/>
  <c r="S1176" i="12"/>
  <c r="S1177" i="12"/>
  <c r="S1178" i="12"/>
  <c r="S1179" i="12"/>
  <c r="S1180" i="12"/>
  <c r="S1181" i="12"/>
  <c r="S1182" i="12"/>
  <c r="S1183" i="12"/>
  <c r="S1184" i="12"/>
  <c r="S1185" i="12"/>
  <c r="S1186" i="12"/>
  <c r="S1187" i="12"/>
  <c r="S1188" i="12"/>
  <c r="S1189" i="12"/>
  <c r="S1190" i="12"/>
  <c r="S1191" i="12"/>
  <c r="S1192" i="12"/>
  <c r="S1193" i="12"/>
  <c r="S1194" i="12"/>
  <c r="S1195" i="12"/>
  <c r="S1196" i="12"/>
  <c r="S1197" i="12"/>
  <c r="S1198" i="12"/>
  <c r="S1199" i="12"/>
  <c r="S1200" i="12"/>
  <c r="S1201" i="12"/>
  <c r="S1202" i="12"/>
  <c r="S1203" i="12"/>
  <c r="S1204" i="12"/>
  <c r="S1205" i="12"/>
  <c r="S1206" i="12"/>
  <c r="S1207" i="12"/>
  <c r="S1208" i="12"/>
  <c r="S1209" i="12"/>
  <c r="S1210" i="12"/>
  <c r="S1211" i="12"/>
  <c r="S1212" i="12"/>
  <c r="S1213" i="12"/>
  <c r="S1214" i="12"/>
  <c r="S1215" i="12"/>
  <c r="S1216" i="12"/>
  <c r="S1217" i="12"/>
  <c r="S1218" i="12"/>
  <c r="S1219" i="12"/>
  <c r="S1220" i="12"/>
  <c r="S1221" i="12"/>
  <c r="S1222" i="12"/>
  <c r="S1223" i="12"/>
  <c r="S1224" i="12"/>
  <c r="S1225" i="12"/>
  <c r="S1226" i="12"/>
  <c r="S1227" i="12"/>
  <c r="S1228" i="12"/>
  <c r="S1229" i="12"/>
  <c r="S1230" i="12"/>
  <c r="S1231" i="12"/>
  <c r="S1232" i="12"/>
  <c r="S1233" i="12"/>
  <c r="S1234" i="12"/>
  <c r="S1235" i="12"/>
  <c r="S1236" i="12"/>
  <c r="S1237" i="12"/>
  <c r="S1238" i="12"/>
  <c r="S1239" i="12"/>
  <c r="S1240" i="12"/>
  <c r="S1241" i="12"/>
  <c r="S1242" i="12"/>
  <c r="S1243" i="12"/>
  <c r="S1244" i="12"/>
  <c r="S1245" i="12"/>
  <c r="S1246" i="12"/>
  <c r="S1247" i="12"/>
  <c r="S1248" i="12"/>
  <c r="S1249" i="12"/>
  <c r="S1250" i="12"/>
  <c r="S1251" i="12"/>
  <c r="S1252" i="12"/>
  <c r="S1253" i="12"/>
  <c r="S1254" i="12"/>
  <c r="S1255" i="12"/>
  <c r="S1256" i="12"/>
  <c r="S1257" i="12"/>
  <c r="S1258" i="12"/>
  <c r="S1259" i="12"/>
  <c r="S1260" i="12"/>
  <c r="S1261" i="12"/>
  <c r="S1262" i="12"/>
  <c r="S1263" i="12"/>
  <c r="S1264" i="12"/>
  <c r="S1265" i="12"/>
  <c r="S1266" i="12"/>
  <c r="S1267" i="12"/>
  <c r="S1268" i="12"/>
  <c r="S1269" i="12"/>
  <c r="S1270" i="12"/>
  <c r="S1271" i="12"/>
  <c r="S1272" i="12"/>
  <c r="S1273" i="12"/>
  <c r="S1274" i="12"/>
  <c r="S1275" i="12"/>
  <c r="S1276" i="12"/>
  <c r="S1277" i="12"/>
  <c r="S1278" i="12"/>
  <c r="S1279" i="12"/>
  <c r="S1280" i="12"/>
  <c r="S1281" i="12"/>
  <c r="S1282" i="12"/>
  <c r="S1283" i="12"/>
  <c r="S1284" i="12"/>
  <c r="S1285" i="12"/>
  <c r="S1286" i="12"/>
  <c r="S1287" i="12"/>
  <c r="S1288" i="12"/>
  <c r="S1289" i="12"/>
  <c r="S1290" i="12"/>
  <c r="S1291" i="12"/>
  <c r="S1292" i="12"/>
  <c r="S1293" i="12"/>
  <c r="S1294" i="12"/>
  <c r="S1295" i="12"/>
  <c r="S1296" i="12"/>
  <c r="S1297" i="12"/>
  <c r="S1298" i="12"/>
  <c r="S1299" i="12"/>
  <c r="S1300" i="12"/>
  <c r="S1301" i="12"/>
  <c r="S1302" i="12"/>
  <c r="S1303" i="12"/>
  <c r="S1304" i="12"/>
  <c r="S1305" i="12"/>
  <c r="S1306" i="12"/>
  <c r="S1307" i="12"/>
  <c r="S1308" i="12"/>
  <c r="S1309" i="12"/>
  <c r="S1310" i="12"/>
  <c r="S1311" i="12"/>
  <c r="S1312" i="12"/>
  <c r="S1313" i="12"/>
  <c r="S1314" i="12"/>
  <c r="S1315" i="12"/>
  <c r="S1316" i="12"/>
  <c r="S1317" i="12"/>
  <c r="S1318" i="12"/>
  <c r="S1319" i="12"/>
  <c r="S1320" i="12"/>
  <c r="S1321" i="12"/>
  <c r="S1322" i="12"/>
  <c r="S1323" i="12"/>
  <c r="S1324" i="12"/>
  <c r="S1325" i="12"/>
  <c r="S1326" i="12"/>
  <c r="S1327" i="12"/>
  <c r="S1328" i="12"/>
  <c r="S1329" i="12"/>
  <c r="S1330" i="12"/>
  <c r="S1331" i="12"/>
  <c r="S1332" i="12"/>
  <c r="S1333" i="12"/>
  <c r="S1334" i="12"/>
  <c r="S1335" i="12"/>
  <c r="S1336" i="12"/>
  <c r="S1337" i="12"/>
  <c r="S1338" i="12"/>
  <c r="S1339" i="12"/>
  <c r="S1340" i="12"/>
  <c r="S1341" i="12"/>
  <c r="S1342" i="12"/>
  <c r="S1343" i="12"/>
  <c r="S1344" i="12"/>
  <c r="S1345" i="12"/>
  <c r="S1346" i="12"/>
  <c r="S1347" i="12"/>
  <c r="S1348" i="12"/>
  <c r="S1349" i="12"/>
  <c r="S1350" i="12"/>
  <c r="S1351" i="12"/>
  <c r="S1352" i="12"/>
  <c r="S1353" i="12"/>
  <c r="S1354" i="12"/>
  <c r="S1355" i="12"/>
  <c r="S1356" i="12"/>
  <c r="S1357" i="12"/>
  <c r="S1358" i="12"/>
  <c r="S1359" i="12"/>
  <c r="S1360" i="12"/>
  <c r="S1361" i="12"/>
  <c r="S1362" i="12"/>
  <c r="S1363" i="12"/>
  <c r="S1364" i="12"/>
  <c r="S1365" i="12"/>
  <c r="S1366" i="12"/>
  <c r="S1367" i="12"/>
  <c r="S1368" i="12"/>
  <c r="S1369" i="12"/>
  <c r="S1370" i="12"/>
  <c r="S1371" i="12"/>
  <c r="S1372" i="12"/>
  <c r="S1373" i="12"/>
  <c r="S1374" i="12"/>
  <c r="S1375" i="12"/>
  <c r="S1376" i="12"/>
  <c r="S1377" i="12"/>
  <c r="S1378" i="12"/>
  <c r="S1379" i="12"/>
  <c r="S1380" i="12"/>
  <c r="S1381" i="12"/>
  <c r="S1382" i="12"/>
  <c r="S1383" i="12"/>
  <c r="S1384" i="12"/>
  <c r="S1385" i="12"/>
  <c r="S1386" i="12"/>
  <c r="S1387" i="12"/>
  <c r="S1388" i="12"/>
  <c r="S1389" i="12"/>
  <c r="S1390" i="12"/>
  <c r="S1391" i="12"/>
  <c r="S1392" i="12"/>
  <c r="S1393" i="12"/>
  <c r="S1394" i="12"/>
  <c r="S1395" i="12"/>
  <c r="S1396" i="12"/>
  <c r="S1397" i="12"/>
  <c r="S1398" i="12"/>
  <c r="S1399" i="12"/>
  <c r="S1400" i="12"/>
  <c r="S1401" i="12"/>
  <c r="S1402" i="12"/>
  <c r="S1403" i="12"/>
  <c r="S1404" i="12"/>
  <c r="S1405" i="12"/>
  <c r="S1406" i="12"/>
  <c r="S1407" i="12"/>
  <c r="S1408" i="12"/>
  <c r="S1409" i="12"/>
  <c r="S1410" i="12"/>
  <c r="S1411" i="12"/>
  <c r="S1412" i="12"/>
  <c r="S1413" i="12"/>
  <c r="S1414" i="12"/>
  <c r="S1415" i="12"/>
  <c r="S1416" i="12"/>
  <c r="S1417" i="12"/>
  <c r="S1418" i="12"/>
  <c r="S1419" i="12"/>
  <c r="S1420" i="12"/>
  <c r="S1421" i="12"/>
  <c r="S1422" i="12"/>
  <c r="S1423" i="12"/>
  <c r="S1424" i="12"/>
  <c r="S1425" i="12"/>
  <c r="S1426" i="12"/>
  <c r="S1427" i="12"/>
  <c r="S1428" i="12"/>
  <c r="S1429" i="12"/>
  <c r="S1430" i="12"/>
  <c r="S1431" i="12"/>
  <c r="S1432" i="12"/>
  <c r="S1433" i="12"/>
  <c r="S1434" i="12"/>
  <c r="S1435" i="12"/>
  <c r="S1436" i="12"/>
  <c r="S1437" i="12"/>
  <c r="S1438" i="12"/>
  <c r="S1439" i="12"/>
  <c r="S1440" i="12"/>
  <c r="S1441" i="12"/>
  <c r="S1442" i="12"/>
  <c r="S1443" i="12"/>
  <c r="S1444" i="12"/>
  <c r="S1445" i="12"/>
  <c r="S1446" i="12"/>
  <c r="S1447" i="12"/>
  <c r="S1448" i="12"/>
  <c r="S1449" i="12"/>
  <c r="S1450" i="12"/>
  <c r="S1451" i="12"/>
  <c r="S1452" i="12"/>
  <c r="S1453" i="12"/>
  <c r="S1454" i="12"/>
  <c r="S1455" i="12"/>
  <c r="S1456" i="12"/>
  <c r="S1457" i="12"/>
  <c r="S1458" i="12"/>
  <c r="S1459" i="12"/>
  <c r="S1460" i="12"/>
  <c r="S1461" i="12"/>
  <c r="S1462" i="12"/>
  <c r="S1463" i="12"/>
  <c r="S1464" i="12"/>
  <c r="S1465" i="12"/>
  <c r="S1466" i="12"/>
  <c r="S1467" i="12"/>
  <c r="S1468" i="12"/>
  <c r="S1469" i="12"/>
  <c r="S1470" i="12"/>
  <c r="S1471" i="12"/>
  <c r="S1472" i="12"/>
  <c r="S1473" i="12"/>
  <c r="S1474" i="12"/>
  <c r="S1475" i="12"/>
  <c r="S1476" i="12"/>
  <c r="S1477" i="12"/>
  <c r="S1478" i="12"/>
  <c r="S1479" i="12"/>
  <c r="S1480" i="12"/>
  <c r="S1481" i="12"/>
  <c r="S1482" i="12"/>
  <c r="S1483" i="12"/>
  <c r="S1484" i="12"/>
  <c r="S1485" i="12"/>
  <c r="S1486" i="12"/>
  <c r="S1487" i="12"/>
  <c r="S1488" i="12"/>
  <c r="S1489" i="12"/>
  <c r="S1490" i="12"/>
  <c r="S1491" i="12"/>
  <c r="S1492" i="12"/>
  <c r="S1493" i="12"/>
  <c r="S1494" i="12"/>
  <c r="S1495" i="12"/>
  <c r="S1496" i="12"/>
  <c r="S1497" i="12"/>
  <c r="S1498" i="12"/>
  <c r="S1499" i="12"/>
  <c r="S1500" i="12"/>
  <c r="S1501" i="12"/>
  <c r="S1502" i="12"/>
  <c r="S1503" i="12"/>
  <c r="S1504" i="12"/>
  <c r="S1505" i="12"/>
  <c r="S1506" i="12"/>
  <c r="S1507" i="12"/>
  <c r="S1508" i="12"/>
  <c r="S1509" i="12"/>
  <c r="S1510" i="12"/>
  <c r="S1511" i="12"/>
  <c r="S1512" i="12"/>
  <c r="S1513" i="12"/>
  <c r="S1514" i="12"/>
  <c r="S1515" i="12"/>
  <c r="S1516" i="12"/>
  <c r="S1517" i="12"/>
  <c r="S1518" i="12"/>
  <c r="S1519" i="12"/>
  <c r="S1520" i="12"/>
  <c r="S1521" i="12"/>
  <c r="S1522" i="12"/>
  <c r="S1523" i="12"/>
  <c r="S1524" i="12"/>
  <c r="S1525" i="12"/>
  <c r="S1526" i="12"/>
  <c r="S1527" i="12"/>
  <c r="S1528" i="12"/>
  <c r="S1529" i="12"/>
  <c r="S1530" i="12"/>
  <c r="S1531" i="12"/>
  <c r="S1532" i="12"/>
  <c r="S1533" i="12"/>
  <c r="S1534" i="12"/>
  <c r="S1535" i="12"/>
  <c r="S1536" i="12"/>
  <c r="S1537" i="12"/>
  <c r="S1538" i="12"/>
  <c r="S1539" i="12"/>
  <c r="S1540" i="12"/>
  <c r="S1541" i="12"/>
  <c r="S1542" i="12"/>
  <c r="S1543" i="12"/>
  <c r="S1544" i="12"/>
  <c r="S1545" i="12"/>
  <c r="S1546" i="12"/>
  <c r="S1547" i="12"/>
  <c r="S1548" i="12"/>
  <c r="S1549" i="12"/>
  <c r="S1550" i="12"/>
  <c r="S1551" i="12"/>
  <c r="S1552" i="12"/>
  <c r="S1553" i="12"/>
  <c r="S1554" i="12"/>
  <c r="S1555" i="12"/>
  <c r="S1556" i="12"/>
  <c r="S1557" i="12"/>
  <c r="S1558" i="12"/>
  <c r="S1559" i="12"/>
  <c r="S1560" i="12"/>
  <c r="S1561" i="12"/>
  <c r="S1562" i="12"/>
  <c r="S1563" i="12"/>
  <c r="S1564" i="12"/>
  <c r="S1565" i="12"/>
  <c r="S1566" i="12"/>
  <c r="S1567" i="12"/>
  <c r="S1568" i="12"/>
  <c r="S1569" i="12"/>
  <c r="S1570" i="12"/>
  <c r="S1571" i="12"/>
  <c r="S1572" i="12"/>
  <c r="S1573" i="12"/>
  <c r="S1574" i="12"/>
  <c r="S1575" i="12"/>
  <c r="S1576" i="12"/>
  <c r="S1577" i="12"/>
  <c r="S1578" i="12"/>
  <c r="S1579" i="12"/>
  <c r="S1580" i="12"/>
  <c r="S1581" i="12"/>
  <c r="S1582" i="12"/>
  <c r="S1583" i="12"/>
  <c r="S1584" i="12"/>
  <c r="S1585" i="12"/>
  <c r="S1586" i="12"/>
  <c r="S1587" i="12"/>
  <c r="S1588" i="12"/>
  <c r="S1589" i="12"/>
  <c r="S1590" i="12"/>
  <c r="S1591" i="12"/>
  <c r="S1592" i="12"/>
  <c r="S1593" i="12"/>
  <c r="S1594" i="12"/>
  <c r="S1595" i="12"/>
  <c r="S1596" i="12"/>
  <c r="S1597" i="12"/>
  <c r="S1598" i="12"/>
  <c r="S1599" i="12"/>
  <c r="S1600" i="12"/>
  <c r="S1601" i="12"/>
  <c r="S1602" i="12"/>
  <c r="S1603" i="12"/>
  <c r="S1604" i="12"/>
  <c r="S1605" i="12"/>
  <c r="S1606" i="12"/>
  <c r="S1607" i="12"/>
  <c r="S1608" i="12"/>
  <c r="S1609" i="12"/>
  <c r="S1610" i="12"/>
  <c r="S1611" i="12"/>
  <c r="S1612" i="12"/>
  <c r="S1613" i="12"/>
  <c r="S1614" i="12"/>
  <c r="S1615" i="12"/>
  <c r="S1616" i="12"/>
  <c r="S1617" i="12"/>
  <c r="S1618" i="12"/>
  <c r="S1619" i="12"/>
  <c r="S1620" i="12"/>
  <c r="S1621" i="12"/>
  <c r="S1622" i="12"/>
  <c r="S1623" i="12"/>
  <c r="S1624" i="12"/>
  <c r="S1625" i="12"/>
  <c r="S1626" i="12"/>
  <c r="S1627" i="12"/>
  <c r="S1628" i="12"/>
  <c r="S1629" i="12"/>
  <c r="S1630" i="12"/>
  <c r="S1631" i="12"/>
  <c r="S1632" i="12"/>
  <c r="S1633" i="12"/>
  <c r="S1634" i="12"/>
  <c r="S1635" i="12"/>
  <c r="S1636" i="12"/>
  <c r="S1637" i="12"/>
  <c r="S1638" i="12"/>
  <c r="S1639" i="12"/>
  <c r="S1640" i="12"/>
  <c r="S1641" i="12"/>
  <c r="S1642" i="12"/>
  <c r="S1643" i="12"/>
  <c r="S1644" i="12"/>
  <c r="S1645" i="12"/>
  <c r="S1646" i="12"/>
  <c r="S1647" i="12"/>
  <c r="S1648" i="12"/>
  <c r="S1649" i="12"/>
  <c r="S1650" i="12"/>
  <c r="S1651" i="12"/>
  <c r="S1652" i="12"/>
  <c r="S1653" i="12"/>
  <c r="S1654" i="12"/>
  <c r="S1655" i="12"/>
  <c r="S1656" i="12"/>
  <c r="S1657" i="12"/>
  <c r="S1658" i="12"/>
  <c r="S1659" i="12"/>
  <c r="S1660" i="12"/>
  <c r="S1661" i="12"/>
  <c r="S1662" i="12"/>
  <c r="S1663" i="12"/>
  <c r="S1664" i="12"/>
  <c r="S1665" i="12"/>
  <c r="S1666" i="12"/>
  <c r="S1667" i="12"/>
  <c r="S1668" i="12"/>
  <c r="S1669" i="12"/>
  <c r="S1670" i="12"/>
  <c r="S1671" i="12"/>
  <c r="S1672" i="12"/>
  <c r="S1673" i="12"/>
  <c r="S1674" i="12"/>
  <c r="S1675" i="12"/>
  <c r="S1676" i="12"/>
  <c r="S1677" i="12"/>
  <c r="S1678" i="12"/>
  <c r="S1679" i="12"/>
  <c r="S1680" i="12"/>
  <c r="S1681" i="12"/>
  <c r="S1682" i="12"/>
  <c r="S1683" i="12"/>
  <c r="S1684" i="12"/>
  <c r="S1685" i="12"/>
  <c r="S1686" i="12"/>
  <c r="S1687" i="12"/>
  <c r="S1688" i="12"/>
  <c r="S1689" i="12"/>
  <c r="S1690" i="12"/>
  <c r="S1691" i="12"/>
  <c r="S1692" i="12"/>
  <c r="S1693" i="12"/>
  <c r="S1694" i="12"/>
  <c r="S1695" i="12"/>
  <c r="S1696" i="12"/>
  <c r="S1697" i="12"/>
  <c r="S1698" i="12"/>
  <c r="S1699" i="12"/>
  <c r="S1700" i="12"/>
  <c r="S1701" i="12"/>
  <c r="S1702" i="12"/>
  <c r="S1703" i="12"/>
  <c r="S1704" i="12"/>
  <c r="S1705" i="12"/>
  <c r="S1706" i="12"/>
  <c r="S1707" i="12"/>
  <c r="S1708" i="12"/>
  <c r="S1709" i="12"/>
  <c r="S1710" i="12"/>
  <c r="S1711" i="12"/>
  <c r="S1712" i="12"/>
  <c r="S1713" i="12"/>
  <c r="S1714" i="12"/>
  <c r="S1715" i="12"/>
  <c r="S1716" i="12"/>
  <c r="S1717" i="12"/>
  <c r="S1718" i="12"/>
  <c r="S1719" i="12"/>
  <c r="S1720" i="12"/>
  <c r="S1721" i="12"/>
  <c r="S1722" i="12"/>
  <c r="S1723" i="12"/>
  <c r="S1724" i="12"/>
  <c r="S1725" i="12"/>
  <c r="S1726" i="12"/>
  <c r="S1727" i="12"/>
  <c r="S1728" i="12"/>
  <c r="S1729" i="12"/>
  <c r="S1730" i="12"/>
  <c r="S1731" i="12"/>
  <c r="S1732" i="12"/>
  <c r="S1733" i="12"/>
  <c r="S1734" i="12"/>
  <c r="S1735" i="12"/>
  <c r="S1736" i="12"/>
  <c r="S1737" i="12"/>
  <c r="S1738" i="12"/>
  <c r="S1739" i="12"/>
  <c r="S1740" i="12"/>
  <c r="S1741" i="12"/>
  <c r="S1742" i="12"/>
  <c r="S1743" i="12"/>
  <c r="S1744" i="12"/>
  <c r="S1745" i="12"/>
  <c r="S1746" i="12"/>
  <c r="S1747" i="12"/>
  <c r="S1748" i="12"/>
  <c r="S1749" i="12"/>
  <c r="S1750" i="12"/>
  <c r="S1751" i="12"/>
  <c r="S1752" i="12"/>
  <c r="S1753" i="12"/>
  <c r="S1754" i="12"/>
  <c r="S1755" i="12"/>
  <c r="S1756" i="12"/>
  <c r="S1757" i="12"/>
  <c r="S1758" i="12"/>
  <c r="S1759" i="12"/>
  <c r="S1760" i="12"/>
  <c r="S1761" i="12"/>
  <c r="S1762" i="12"/>
  <c r="S1763" i="12"/>
  <c r="S1764" i="12"/>
  <c r="S1765" i="12"/>
  <c r="S1766" i="12"/>
  <c r="S1767" i="12"/>
  <c r="S1768" i="12"/>
  <c r="S1769" i="12"/>
  <c r="S1770" i="12"/>
  <c r="S1771" i="12"/>
  <c r="S1772" i="12"/>
  <c r="S1773" i="12"/>
  <c r="S1774" i="12"/>
  <c r="S1775" i="12"/>
  <c r="S1776" i="12"/>
  <c r="S1777" i="12"/>
  <c r="S1778" i="12"/>
  <c r="S1779" i="12"/>
  <c r="S1780" i="12"/>
  <c r="S1781" i="12"/>
  <c r="S1782" i="12"/>
  <c r="S1783" i="12"/>
  <c r="S1784" i="12"/>
  <c r="S1785" i="12"/>
  <c r="S1786" i="12"/>
  <c r="S1787" i="12"/>
  <c r="S1788" i="12"/>
  <c r="S1789" i="12"/>
  <c r="S1790" i="12"/>
  <c r="S1791" i="12"/>
  <c r="S1792" i="12"/>
  <c r="S1793" i="12"/>
  <c r="S1794" i="12"/>
  <c r="S1795" i="12"/>
  <c r="S1796" i="12"/>
  <c r="S1797" i="12"/>
  <c r="S1798" i="12"/>
  <c r="S1799" i="12"/>
  <c r="S1800" i="12"/>
  <c r="S1801" i="12"/>
  <c r="S1802" i="12"/>
  <c r="S1803" i="12"/>
  <c r="S1804" i="12"/>
  <c r="S1805" i="12"/>
  <c r="S1806" i="12"/>
  <c r="S1807" i="12"/>
  <c r="S1808" i="12"/>
  <c r="S1809" i="12"/>
  <c r="S1810" i="12"/>
  <c r="S1811" i="12"/>
  <c r="S1812" i="12"/>
  <c r="S1813" i="12"/>
  <c r="S1814" i="12"/>
  <c r="S1815" i="12"/>
  <c r="S1816" i="12"/>
  <c r="S1817" i="12"/>
  <c r="S1818" i="12"/>
  <c r="S1819" i="12"/>
  <c r="S1820" i="12"/>
  <c r="S1821" i="12"/>
  <c r="S1822" i="12"/>
  <c r="S1823" i="12"/>
  <c r="S1824" i="12"/>
  <c r="S1825" i="12"/>
  <c r="S1826" i="12"/>
  <c r="S1827" i="12"/>
  <c r="S1828" i="12"/>
  <c r="S1829" i="12"/>
  <c r="S1830" i="12"/>
  <c r="S1831" i="12"/>
  <c r="S1832" i="12"/>
  <c r="S1833" i="12"/>
  <c r="S1834" i="12"/>
  <c r="S1835" i="12"/>
  <c r="S1836" i="12"/>
  <c r="S1837" i="12"/>
  <c r="S1838" i="12"/>
  <c r="S1839" i="12"/>
  <c r="S1840" i="12"/>
  <c r="S1841" i="12"/>
  <c r="S1842" i="12"/>
  <c r="S1843" i="12"/>
  <c r="S1844" i="12"/>
  <c r="S1845" i="12"/>
  <c r="S1846" i="12"/>
  <c r="S1847" i="12"/>
  <c r="S1848" i="12"/>
  <c r="S1849" i="12"/>
  <c r="S1850" i="12"/>
  <c r="S1851" i="12"/>
  <c r="S1852" i="12"/>
  <c r="S1853" i="12"/>
  <c r="S1854" i="12"/>
  <c r="S1855" i="12"/>
  <c r="S1856" i="12"/>
  <c r="S1857" i="12"/>
  <c r="S1858" i="12"/>
  <c r="S1859" i="12"/>
  <c r="S1860" i="12"/>
  <c r="S1861" i="12"/>
  <c r="S1862" i="12"/>
  <c r="S1863" i="12"/>
  <c r="S1864" i="12"/>
  <c r="S1865" i="12"/>
  <c r="S1866" i="12"/>
  <c r="S1867" i="12"/>
  <c r="S1868" i="12"/>
  <c r="S1869" i="12"/>
  <c r="S1870" i="12"/>
  <c r="S1871" i="12"/>
  <c r="S1872" i="12"/>
  <c r="S1873" i="12"/>
  <c r="S1874" i="12"/>
  <c r="S1875" i="12"/>
  <c r="S1876" i="12"/>
  <c r="S1877" i="12"/>
  <c r="S1878" i="12"/>
  <c r="S1879" i="12"/>
  <c r="S1880" i="12"/>
  <c r="S1881" i="12"/>
  <c r="S1882" i="12"/>
  <c r="S1883" i="12"/>
  <c r="S1884" i="12"/>
  <c r="S1885" i="12"/>
  <c r="S1886" i="12"/>
  <c r="S1887" i="12"/>
  <c r="S1888" i="12"/>
  <c r="S1889" i="12"/>
  <c r="S1890" i="12"/>
  <c r="S1891" i="12"/>
  <c r="S1892" i="12"/>
  <c r="S1893" i="12"/>
  <c r="S1894" i="12"/>
  <c r="S1895" i="12"/>
  <c r="S1896" i="12"/>
  <c r="S1897" i="12"/>
  <c r="S1898" i="12"/>
  <c r="S1899" i="12"/>
  <c r="S1900" i="12"/>
  <c r="S1901" i="12"/>
  <c r="S1902" i="12"/>
  <c r="S1903" i="12"/>
  <c r="S1904" i="12"/>
  <c r="S1905" i="12"/>
  <c r="S1906" i="12"/>
  <c r="S1907" i="12"/>
  <c r="S1908" i="12"/>
  <c r="S1909" i="12"/>
  <c r="S1910" i="12"/>
  <c r="S1911" i="12"/>
  <c r="S1912" i="12"/>
  <c r="S1913" i="12"/>
  <c r="S1914" i="12"/>
  <c r="S1915" i="12"/>
  <c r="S1916" i="12"/>
  <c r="S1917" i="12"/>
  <c r="S1918" i="12"/>
  <c r="S1919" i="12"/>
  <c r="S1920" i="12"/>
  <c r="S1921" i="12"/>
  <c r="S1922" i="12"/>
  <c r="S1923" i="12"/>
  <c r="S1924" i="12"/>
  <c r="S1925" i="12"/>
  <c r="S1926" i="12"/>
  <c r="S1927" i="12"/>
  <c r="S1928" i="12"/>
  <c r="S1929" i="12"/>
  <c r="S1930" i="12"/>
  <c r="S1931" i="12"/>
  <c r="S1932" i="12"/>
  <c r="S1933" i="12"/>
  <c r="S1934" i="12"/>
  <c r="S1935" i="12"/>
  <c r="S1936" i="12"/>
  <c r="S1937" i="12"/>
  <c r="S1938" i="12"/>
  <c r="S1939" i="12"/>
  <c r="S1940" i="12"/>
  <c r="S1941" i="12"/>
  <c r="S1942" i="12"/>
  <c r="S1943" i="12"/>
  <c r="S1944" i="12"/>
  <c r="S1945" i="12"/>
  <c r="S1946" i="12"/>
  <c r="S1947" i="12"/>
  <c r="S1948" i="12"/>
  <c r="S1949" i="12"/>
  <c r="S1950" i="12"/>
  <c r="S1951" i="12"/>
  <c r="S1952" i="12"/>
  <c r="S1953" i="12"/>
  <c r="S1954" i="12"/>
  <c r="S1955" i="12"/>
  <c r="S1956" i="12"/>
  <c r="S1957" i="12"/>
  <c r="S1958" i="12"/>
  <c r="S1959" i="12"/>
  <c r="S1960" i="12"/>
  <c r="S1961" i="12"/>
  <c r="S1962" i="12"/>
  <c r="S1963" i="12"/>
  <c r="S1964" i="12"/>
  <c r="S1965" i="12"/>
  <c r="S1966" i="12"/>
  <c r="S1967" i="12"/>
  <c r="S1968" i="12"/>
  <c r="S1969" i="12"/>
  <c r="S1970" i="12"/>
  <c r="S1971" i="12"/>
  <c r="S1972" i="12"/>
  <c r="S1973" i="12"/>
  <c r="S1974" i="12"/>
  <c r="S1975" i="12"/>
  <c r="S1976" i="12"/>
  <c r="S1977" i="12"/>
  <c r="S1978" i="12"/>
  <c r="S1979" i="12"/>
  <c r="S1980" i="12"/>
  <c r="S1981" i="12"/>
  <c r="S1982" i="12"/>
  <c r="S1983" i="12"/>
  <c r="S1984" i="12"/>
  <c r="S1985" i="12"/>
  <c r="S1986" i="12"/>
  <c r="S1987" i="12"/>
  <c r="S1988" i="12"/>
  <c r="S1989" i="12"/>
  <c r="S1990" i="12"/>
  <c r="S1991" i="12"/>
  <c r="S1992" i="12"/>
  <c r="S1993" i="12"/>
  <c r="S1994" i="12"/>
  <c r="S1995" i="12"/>
  <c r="S1996" i="12"/>
  <c r="S1997" i="12"/>
  <c r="S1998" i="12"/>
  <c r="S1999" i="12"/>
  <c r="S2000" i="12"/>
  <c r="S2001" i="12"/>
  <c r="S2002" i="12"/>
  <c r="S2003" i="12"/>
  <c r="S2004" i="12"/>
  <c r="S2005" i="12"/>
  <c r="S2006" i="12"/>
  <c r="S2007" i="12"/>
  <c r="S2008" i="12"/>
  <c r="S2009" i="12"/>
  <c r="S2010" i="12"/>
  <c r="S2011" i="12"/>
  <c r="S2012" i="12"/>
  <c r="S2013" i="12"/>
  <c r="S2014" i="12"/>
  <c r="S2015" i="12"/>
  <c r="S2016" i="12"/>
  <c r="S2017" i="12"/>
  <c r="S2018" i="12"/>
  <c r="S2019" i="12"/>
  <c r="S2020" i="12"/>
  <c r="S2021" i="12"/>
  <c r="S2022" i="12"/>
  <c r="S2023" i="12"/>
  <c r="S2024" i="12"/>
  <c r="S2025" i="12"/>
  <c r="S2026" i="12"/>
  <c r="S2027" i="12"/>
  <c r="S2028" i="12"/>
  <c r="S2029" i="12"/>
  <c r="S2030" i="12"/>
  <c r="S2031" i="12"/>
  <c r="S2032" i="12"/>
  <c r="S2033" i="12"/>
  <c r="S2034" i="12"/>
  <c r="S2035" i="12"/>
  <c r="S2036" i="12"/>
  <c r="S2037" i="12"/>
  <c r="S2038" i="12"/>
  <c r="S2039" i="12"/>
  <c r="S2040" i="12"/>
  <c r="S2041" i="12"/>
  <c r="S2042" i="12"/>
  <c r="S2043" i="12"/>
  <c r="S2044" i="12"/>
  <c r="S2045" i="12"/>
  <c r="S2046" i="12"/>
  <c r="S2047" i="12"/>
  <c r="S2048" i="12"/>
  <c r="S2049" i="12"/>
  <c r="S2050" i="12"/>
  <c r="S2051" i="12"/>
  <c r="S2052" i="12"/>
  <c r="S2053" i="12"/>
  <c r="S2054" i="12"/>
  <c r="S2055" i="12"/>
  <c r="S2056" i="12"/>
  <c r="S2057" i="12"/>
  <c r="S2058" i="12"/>
  <c r="S2059" i="12"/>
  <c r="S2060" i="12"/>
  <c r="S2061" i="12"/>
  <c r="S2062" i="12"/>
  <c r="S2063" i="12"/>
  <c r="S2064" i="12"/>
  <c r="S2065" i="12"/>
  <c r="S2066" i="12"/>
  <c r="S2067" i="12"/>
  <c r="S2068" i="12"/>
  <c r="S2069" i="12"/>
  <c r="S2070" i="12"/>
  <c r="S2071" i="12"/>
  <c r="S2072" i="12"/>
  <c r="S2073" i="12"/>
  <c r="S2074" i="12"/>
  <c r="S2075" i="12"/>
  <c r="S2076" i="12"/>
  <c r="S2077" i="12"/>
  <c r="S2078" i="12"/>
  <c r="S2079" i="12"/>
  <c r="S2080" i="12"/>
  <c r="S2081" i="12"/>
  <c r="S2082" i="12"/>
  <c r="S2083" i="12"/>
  <c r="S2084" i="12"/>
  <c r="S2085" i="12"/>
  <c r="S2086" i="12"/>
  <c r="S2087" i="12"/>
  <c r="S2088" i="12"/>
  <c r="S2089" i="12"/>
  <c r="S2090" i="12"/>
  <c r="S2091" i="12"/>
  <c r="S2092" i="12"/>
  <c r="S2093" i="12"/>
  <c r="S2094" i="12"/>
  <c r="S2095" i="12"/>
  <c r="S2096" i="12"/>
  <c r="S2097" i="12"/>
  <c r="S2098" i="12"/>
  <c r="S2099" i="12"/>
  <c r="S2100" i="12"/>
  <c r="S2101" i="12"/>
  <c r="S2102" i="12"/>
  <c r="S2103" i="12"/>
  <c r="S2104" i="12"/>
  <c r="S2105" i="12"/>
  <c r="S2106" i="12"/>
  <c r="S2107" i="12"/>
  <c r="S2108" i="12"/>
  <c r="S2109" i="12"/>
  <c r="S2110" i="12"/>
  <c r="S2111" i="12"/>
  <c r="S2112" i="12"/>
  <c r="S2113" i="12"/>
  <c r="S2114" i="12"/>
  <c r="S2115" i="12"/>
  <c r="S2116" i="12"/>
  <c r="S2117" i="12"/>
  <c r="S2118" i="12"/>
  <c r="S2119" i="12"/>
  <c r="S2120" i="12"/>
  <c r="S2121" i="12"/>
  <c r="S2122" i="12"/>
  <c r="S2123" i="12"/>
  <c r="S2124" i="12"/>
  <c r="S2125" i="12"/>
  <c r="S2126" i="12"/>
  <c r="S2127" i="12"/>
  <c r="S2128" i="12"/>
  <c r="S2129" i="12"/>
  <c r="S2130" i="12"/>
  <c r="S2131" i="12"/>
  <c r="S2132" i="12"/>
  <c r="S2133" i="12"/>
  <c r="S2134" i="12"/>
  <c r="S2135" i="12"/>
  <c r="S2136" i="12"/>
  <c r="S2137" i="12"/>
  <c r="S2138" i="12"/>
  <c r="S2139" i="12"/>
  <c r="S2140" i="12"/>
  <c r="S2141" i="12"/>
  <c r="S2142" i="12"/>
  <c r="S2143" i="12"/>
  <c r="S2144" i="12"/>
  <c r="S2145" i="12"/>
  <c r="S2146" i="12"/>
  <c r="S2147" i="12"/>
  <c r="S2148" i="12"/>
  <c r="S2149" i="12"/>
  <c r="S2150" i="12"/>
  <c r="S2151" i="12"/>
  <c r="S2152" i="12"/>
  <c r="S2153" i="12"/>
  <c r="S2154" i="12"/>
  <c r="S2155" i="12"/>
  <c r="S2156" i="12"/>
  <c r="S2157" i="12"/>
  <c r="S2158" i="12"/>
  <c r="S2159" i="12"/>
  <c r="S2160" i="12"/>
  <c r="S2161" i="12"/>
  <c r="S2162" i="12"/>
  <c r="S2163" i="12"/>
  <c r="S2164" i="12"/>
  <c r="S2165" i="12"/>
  <c r="S2166" i="12"/>
  <c r="S2167" i="12"/>
  <c r="S2168" i="12"/>
  <c r="S2169" i="12"/>
  <c r="S2170" i="12"/>
  <c r="S2171" i="12"/>
  <c r="S2172" i="12"/>
  <c r="S2173" i="12"/>
  <c r="S2174" i="12"/>
  <c r="S2175" i="12"/>
  <c r="S2176" i="12"/>
  <c r="S2177" i="12"/>
  <c r="S2178" i="12"/>
  <c r="S2179" i="12"/>
  <c r="S2180" i="12"/>
  <c r="S2181" i="12"/>
  <c r="S2182" i="12"/>
  <c r="S2183" i="12"/>
  <c r="S2184" i="12"/>
  <c r="S2185" i="12"/>
  <c r="S2186" i="12"/>
  <c r="S2187" i="12"/>
  <c r="S2188" i="12"/>
  <c r="S2189" i="12"/>
  <c r="S2190" i="12"/>
  <c r="S2191" i="12"/>
  <c r="S2192" i="12"/>
  <c r="S2193" i="12"/>
  <c r="S2194" i="12"/>
  <c r="S2195" i="12"/>
  <c r="S2196" i="12"/>
  <c r="S2197" i="12"/>
  <c r="S2198" i="12"/>
  <c r="S2199" i="12"/>
  <c r="S2200" i="12"/>
  <c r="S2201" i="12"/>
  <c r="S2202" i="12"/>
  <c r="S2203" i="12"/>
  <c r="S2204" i="12"/>
  <c r="S2205" i="12"/>
  <c r="S2206" i="12"/>
  <c r="S2207" i="12"/>
  <c r="S2208" i="12"/>
  <c r="S2209" i="12"/>
  <c r="S2210" i="12"/>
  <c r="S2211" i="12"/>
  <c r="S2212" i="12"/>
  <c r="S2213" i="12"/>
  <c r="S2214" i="12"/>
  <c r="S2215" i="12"/>
  <c r="S2216" i="12"/>
  <c r="S2217" i="12"/>
  <c r="S2218" i="12"/>
  <c r="S2219" i="12"/>
  <c r="S2220" i="12"/>
  <c r="S2221" i="12"/>
  <c r="S2222" i="12"/>
  <c r="S2223" i="12"/>
  <c r="S2224" i="12"/>
  <c r="S2225" i="12"/>
  <c r="S2226" i="12"/>
  <c r="S2227" i="12"/>
  <c r="S2228" i="12"/>
  <c r="S2229" i="12"/>
  <c r="S2230" i="12"/>
  <c r="S2231" i="12"/>
  <c r="S2232" i="12"/>
  <c r="S2233" i="12"/>
  <c r="S2234" i="12"/>
  <c r="S2235" i="12"/>
  <c r="S2236" i="12"/>
  <c r="S2237" i="12"/>
  <c r="S2238" i="12"/>
  <c r="S2239" i="12"/>
  <c r="S2240" i="12"/>
  <c r="S2241" i="12"/>
  <c r="S2242" i="12"/>
  <c r="S2243" i="12"/>
  <c r="S2244" i="12"/>
  <c r="S2245" i="12"/>
  <c r="S2246" i="12"/>
  <c r="S2247" i="12"/>
  <c r="S2248" i="12"/>
  <c r="S2249" i="12"/>
  <c r="S2250" i="12"/>
  <c r="S2251" i="12"/>
  <c r="S2252" i="12"/>
  <c r="S2253" i="12"/>
  <c r="S2254" i="12"/>
  <c r="S2255" i="12"/>
  <c r="S2256" i="12"/>
  <c r="S2257" i="12"/>
  <c r="S2258" i="12"/>
  <c r="S2259" i="12"/>
  <c r="S2260" i="12"/>
  <c r="S2261" i="12"/>
  <c r="S2262" i="12"/>
  <c r="S2263" i="12"/>
  <c r="S2264" i="12"/>
  <c r="S2265" i="12"/>
  <c r="S2266" i="12"/>
  <c r="S2267" i="12"/>
  <c r="S2268" i="12"/>
  <c r="S2269" i="12"/>
  <c r="S2270" i="12"/>
  <c r="S2271" i="12"/>
  <c r="S2272" i="12"/>
  <c r="S2273" i="12"/>
  <c r="S2274" i="12"/>
  <c r="S2275" i="12"/>
  <c r="S2276" i="12"/>
  <c r="S2277" i="12"/>
  <c r="S2278" i="12"/>
  <c r="S2279" i="12"/>
  <c r="S2280" i="12"/>
  <c r="S2281" i="12"/>
  <c r="S2282" i="12"/>
  <c r="S2283" i="12"/>
  <c r="S2284" i="12"/>
  <c r="S2285" i="12"/>
  <c r="S2286" i="12"/>
  <c r="S2287" i="12"/>
  <c r="S2288" i="12"/>
  <c r="S2289" i="12"/>
  <c r="S2290" i="12"/>
  <c r="S2291" i="12"/>
  <c r="S2292" i="12"/>
  <c r="S2293" i="12"/>
  <c r="S2294" i="12"/>
  <c r="S2295" i="12"/>
  <c r="S2296" i="12"/>
  <c r="S2297" i="12"/>
  <c r="S2298" i="12"/>
  <c r="S2299" i="12"/>
  <c r="S2300" i="12"/>
  <c r="S2301" i="12"/>
  <c r="S2302" i="12"/>
  <c r="S2303" i="12"/>
  <c r="S2304" i="12"/>
  <c r="S2305" i="12"/>
  <c r="S2306" i="12"/>
  <c r="S2307" i="12"/>
  <c r="S2308" i="12"/>
  <c r="S2309" i="12"/>
  <c r="S2310" i="12"/>
  <c r="S2311" i="12"/>
  <c r="S2312" i="12"/>
  <c r="S2313" i="12"/>
  <c r="S2314" i="12"/>
  <c r="S2315" i="12"/>
  <c r="S2316" i="12"/>
  <c r="S2317" i="12"/>
  <c r="S2318" i="12"/>
  <c r="S2319" i="12"/>
  <c r="S2320" i="12"/>
  <c r="S2321" i="12"/>
  <c r="S2322" i="12"/>
  <c r="S2323" i="12"/>
  <c r="S2324" i="12"/>
  <c r="S2325" i="12"/>
  <c r="S2326" i="12"/>
  <c r="S2327" i="12"/>
  <c r="S2328" i="12"/>
  <c r="S2329" i="12"/>
  <c r="S2330" i="12"/>
  <c r="S2331" i="12"/>
  <c r="S2332" i="12"/>
  <c r="S2333" i="12"/>
  <c r="S2334" i="12"/>
  <c r="S2335" i="12"/>
  <c r="S2336" i="12"/>
  <c r="S2337" i="12"/>
  <c r="S2338" i="12"/>
  <c r="S2339" i="12"/>
  <c r="S2340" i="12"/>
  <c r="S2341" i="12"/>
  <c r="S2342" i="12"/>
  <c r="S2343" i="12"/>
  <c r="S2344" i="12"/>
  <c r="S2345" i="12"/>
  <c r="S2346" i="12"/>
  <c r="S2347" i="12"/>
  <c r="S2348" i="12"/>
  <c r="S2349" i="12"/>
  <c r="S2350" i="12"/>
  <c r="S2351" i="12"/>
  <c r="S2352" i="12"/>
  <c r="S2353" i="12"/>
  <c r="S2354" i="12"/>
  <c r="S2355" i="12"/>
  <c r="S2356" i="12"/>
  <c r="S2357" i="12"/>
  <c r="S2358" i="12"/>
  <c r="S2359" i="12"/>
  <c r="S2360" i="12"/>
  <c r="S2361" i="12"/>
  <c r="S2362" i="12"/>
  <c r="S2363" i="12"/>
  <c r="S2364" i="12"/>
  <c r="S2365" i="12"/>
  <c r="S2366" i="12"/>
  <c r="S2367" i="12"/>
  <c r="S2368" i="12"/>
  <c r="S2369" i="12"/>
  <c r="S2370" i="12"/>
  <c r="S2371" i="12"/>
  <c r="S2372" i="12"/>
  <c r="S2373" i="12"/>
  <c r="S2374" i="12"/>
  <c r="S2375" i="12"/>
  <c r="S2376" i="12"/>
  <c r="S2377" i="12"/>
  <c r="S2378" i="12"/>
  <c r="S2379" i="12"/>
  <c r="S2380" i="12"/>
  <c r="S2381" i="12"/>
  <c r="S2382" i="12"/>
  <c r="S2383" i="12"/>
  <c r="S2384" i="12"/>
  <c r="S2385" i="12"/>
  <c r="S2386" i="12"/>
  <c r="S2387" i="12"/>
  <c r="S2388" i="12"/>
  <c r="S2389" i="12"/>
  <c r="S2390" i="12"/>
  <c r="S2391" i="12"/>
  <c r="S2392" i="12"/>
  <c r="S2393" i="12"/>
  <c r="S2394" i="12"/>
  <c r="S2395" i="12"/>
  <c r="S2396" i="12"/>
  <c r="S2397" i="12"/>
  <c r="S2398" i="12"/>
  <c r="S2399" i="12"/>
  <c r="S2400" i="12"/>
  <c r="S2401" i="12"/>
  <c r="S2402" i="12"/>
  <c r="S2403" i="12"/>
  <c r="S2404" i="12"/>
  <c r="S2405" i="12"/>
  <c r="S2406" i="12"/>
  <c r="S2407" i="12"/>
  <c r="S2408" i="12"/>
  <c r="S2409" i="12"/>
  <c r="S2410" i="12"/>
  <c r="S2411" i="12"/>
  <c r="S2412" i="12"/>
  <c r="S2413" i="12"/>
  <c r="S2414" i="12"/>
  <c r="S2415" i="12"/>
  <c r="S2416" i="12"/>
  <c r="S2417" i="12"/>
  <c r="S2418" i="12"/>
  <c r="S2419" i="12"/>
  <c r="S2420" i="12"/>
  <c r="S2421" i="12"/>
  <c r="S2422" i="12"/>
  <c r="S2423" i="12"/>
  <c r="S2424" i="12"/>
  <c r="S2425" i="12"/>
  <c r="S2426" i="12"/>
  <c r="S2427" i="12"/>
  <c r="S2428" i="12"/>
  <c r="S2429" i="12"/>
  <c r="S2430" i="12"/>
  <c r="S2431" i="12"/>
  <c r="S2432" i="12"/>
  <c r="S2433" i="12"/>
  <c r="S2434" i="12"/>
  <c r="S2435" i="12"/>
  <c r="S2436" i="12"/>
  <c r="S2437" i="12"/>
  <c r="S2438" i="12"/>
  <c r="S2439" i="12"/>
  <c r="S2440" i="12"/>
  <c r="S2441" i="12"/>
  <c r="S2442" i="12"/>
  <c r="S2443" i="12"/>
  <c r="S2444" i="12"/>
  <c r="S2445" i="12"/>
  <c r="S2446" i="12"/>
  <c r="S2447" i="12"/>
  <c r="S2448" i="12"/>
  <c r="S2449" i="12"/>
  <c r="S2450" i="12"/>
  <c r="S2451" i="12"/>
  <c r="S2452" i="12"/>
  <c r="S2453" i="12"/>
  <c r="S2454" i="12"/>
  <c r="S2455" i="12"/>
  <c r="S2456" i="12"/>
  <c r="S2457" i="12"/>
  <c r="S2458" i="12"/>
  <c r="S2459" i="12"/>
  <c r="S2460" i="12"/>
  <c r="S2461" i="12"/>
  <c r="S2462" i="12"/>
  <c r="S2463" i="12"/>
  <c r="S2464" i="12"/>
  <c r="S2465" i="12"/>
  <c r="S2466" i="12"/>
  <c r="S2467" i="12"/>
  <c r="S2468" i="12"/>
  <c r="S2469" i="12"/>
  <c r="S2470" i="12"/>
  <c r="S2471" i="12"/>
  <c r="S2472" i="12"/>
  <c r="S2473" i="12"/>
  <c r="S2474" i="12"/>
  <c r="S2475" i="12"/>
  <c r="S2476" i="12"/>
  <c r="S2477" i="12"/>
  <c r="S2478" i="12"/>
  <c r="S2479" i="12"/>
  <c r="S2480" i="12"/>
  <c r="S2481" i="12"/>
  <c r="S2482" i="12"/>
  <c r="S2483" i="12"/>
  <c r="S2484" i="12"/>
  <c r="S2485" i="12"/>
  <c r="S2486" i="12"/>
  <c r="S2487" i="12"/>
  <c r="S2488" i="12"/>
  <c r="S2489" i="12"/>
  <c r="S2490" i="12"/>
  <c r="S2491" i="12"/>
  <c r="S2492" i="12"/>
  <c r="S2493" i="12"/>
  <c r="S2494" i="12"/>
  <c r="S2495" i="12"/>
  <c r="S2496" i="12"/>
  <c r="S2497" i="12"/>
  <c r="S2498" i="12"/>
  <c r="S2499" i="12"/>
  <c r="S2500" i="12"/>
  <c r="S2501" i="12"/>
  <c r="S2502" i="12"/>
  <c r="S2503" i="12"/>
  <c r="S2504" i="12"/>
  <c r="S2505" i="12"/>
  <c r="S2506" i="12"/>
  <c r="S2507" i="12"/>
  <c r="S2508" i="12"/>
  <c r="S2509" i="12"/>
  <c r="S2510" i="12"/>
  <c r="S2511" i="12"/>
  <c r="S2512" i="12"/>
  <c r="S2513" i="12"/>
  <c r="S2514" i="12"/>
  <c r="S2515" i="12"/>
  <c r="S2516" i="12"/>
  <c r="S2517" i="12"/>
  <c r="S2518" i="12"/>
  <c r="S2519" i="12"/>
  <c r="S2520" i="12"/>
  <c r="S2521" i="12"/>
  <c r="S2522" i="12"/>
  <c r="S2523" i="12"/>
  <c r="S2524" i="12"/>
  <c r="S2525" i="12"/>
  <c r="S2526" i="12"/>
  <c r="S2527" i="12"/>
  <c r="S2528" i="12"/>
  <c r="S2529" i="12"/>
  <c r="S2530" i="12"/>
  <c r="S2531" i="12"/>
  <c r="S2532" i="12"/>
  <c r="S2533" i="12"/>
  <c r="S2534" i="12"/>
  <c r="S2535" i="12"/>
  <c r="S2536" i="12"/>
  <c r="S2537" i="12"/>
  <c r="S2538" i="12"/>
  <c r="S2539" i="12"/>
  <c r="S2540" i="12"/>
  <c r="S2541" i="12"/>
  <c r="S2542" i="12"/>
  <c r="S2543" i="12"/>
  <c r="S2544" i="12"/>
  <c r="S2545" i="12"/>
  <c r="S2546" i="12"/>
  <c r="S2547" i="12"/>
  <c r="S2548" i="12"/>
  <c r="S2549" i="12"/>
  <c r="S2550" i="12"/>
  <c r="S2551" i="12"/>
  <c r="S2552" i="12"/>
  <c r="S2553" i="12"/>
  <c r="S2554" i="12"/>
  <c r="S2555" i="12"/>
  <c r="S2556" i="12"/>
  <c r="S2557" i="12"/>
  <c r="S2558" i="12"/>
  <c r="S2559" i="12"/>
  <c r="S2560" i="12"/>
  <c r="S2561" i="12"/>
  <c r="S2562" i="12"/>
  <c r="S2563" i="12"/>
  <c r="S2564" i="12"/>
  <c r="S2565" i="12"/>
  <c r="S2566" i="12"/>
  <c r="S2567" i="12"/>
  <c r="S2568" i="12"/>
  <c r="S2569" i="12"/>
  <c r="S2570" i="12"/>
  <c r="S2571" i="12"/>
  <c r="S2572" i="12"/>
  <c r="S2573" i="12"/>
  <c r="S2574" i="12"/>
  <c r="S2575" i="12"/>
  <c r="S2576" i="12"/>
  <c r="S2577" i="12"/>
  <c r="S2578" i="12"/>
  <c r="S2579" i="12"/>
  <c r="S2580" i="12"/>
  <c r="S2581" i="12"/>
  <c r="S2582" i="12"/>
  <c r="S2583" i="12"/>
  <c r="S2584" i="12"/>
  <c r="S2585" i="12"/>
  <c r="S2586" i="12"/>
  <c r="S2587" i="12"/>
  <c r="S2588" i="12"/>
  <c r="S2589" i="12"/>
  <c r="S2590" i="12"/>
  <c r="S2591" i="12"/>
  <c r="S2592" i="12"/>
  <c r="S2593" i="12"/>
  <c r="S2594" i="12"/>
  <c r="S2595" i="12"/>
  <c r="S2596" i="12"/>
  <c r="S2597" i="12"/>
  <c r="S2598" i="12"/>
  <c r="S2599" i="12"/>
  <c r="S2600" i="12"/>
  <c r="S2601" i="12"/>
  <c r="S2602" i="12"/>
  <c r="S2603" i="12"/>
  <c r="S2604" i="12"/>
  <c r="S2605" i="12"/>
  <c r="S2606" i="12"/>
  <c r="S2607" i="12"/>
  <c r="S2608" i="12"/>
  <c r="S2609" i="12"/>
  <c r="S2610" i="12"/>
  <c r="S2611" i="12"/>
  <c r="S2612" i="12"/>
  <c r="S2613" i="12"/>
  <c r="S2614" i="12"/>
  <c r="S2615" i="12"/>
  <c r="S2616" i="12"/>
  <c r="S2617" i="12"/>
  <c r="S2618" i="12"/>
  <c r="S2619" i="12"/>
  <c r="S2620" i="12"/>
  <c r="S2621" i="12"/>
  <c r="S2622" i="12"/>
  <c r="S2623" i="12"/>
  <c r="S2624" i="12"/>
  <c r="S2625" i="12"/>
  <c r="S2626" i="12"/>
  <c r="S2627" i="12"/>
  <c r="S2628" i="12"/>
  <c r="S2629" i="12"/>
  <c r="S2630" i="12"/>
  <c r="S2631" i="12"/>
  <c r="S2632" i="12"/>
  <c r="S2633" i="12"/>
  <c r="S2634" i="12"/>
  <c r="S2635" i="12"/>
  <c r="S2636" i="12"/>
  <c r="S2637" i="12"/>
  <c r="S2638" i="12"/>
  <c r="S2639" i="12"/>
  <c r="S2640" i="12"/>
  <c r="S2641" i="12"/>
  <c r="S2642" i="12"/>
  <c r="S2643" i="12"/>
  <c r="S2644" i="12"/>
  <c r="S2645" i="12"/>
  <c r="S2646" i="12"/>
  <c r="S2647" i="12"/>
  <c r="S2648" i="12"/>
  <c r="S2649" i="12"/>
  <c r="S2650" i="12"/>
  <c r="S2651" i="12"/>
  <c r="S2652" i="12"/>
  <c r="S2653" i="12"/>
  <c r="S2654" i="12"/>
  <c r="S2655" i="12"/>
  <c r="S2656" i="12"/>
  <c r="S2657" i="12"/>
  <c r="S2658" i="12"/>
  <c r="S2659" i="12"/>
  <c r="S2660" i="12"/>
  <c r="S2661" i="12"/>
  <c r="S2662" i="12"/>
  <c r="S2663" i="12"/>
  <c r="S2664" i="12"/>
  <c r="S2665" i="12"/>
  <c r="S2666" i="12"/>
  <c r="S2667" i="12"/>
  <c r="S2668" i="12"/>
  <c r="S2669" i="12"/>
  <c r="S2670" i="12"/>
  <c r="S2671" i="12"/>
  <c r="S2672" i="12"/>
  <c r="S2673" i="12"/>
  <c r="S2674" i="12"/>
  <c r="S2675" i="12"/>
  <c r="S2676" i="12"/>
  <c r="S2677" i="12"/>
  <c r="S2678" i="12"/>
  <c r="S2679" i="12"/>
  <c r="S2680" i="12"/>
  <c r="S2681" i="12"/>
  <c r="S2682" i="12"/>
  <c r="S2683" i="12"/>
  <c r="S2684" i="12"/>
  <c r="S2685" i="12"/>
  <c r="S2686" i="12"/>
  <c r="S2687" i="12"/>
  <c r="S2688" i="12"/>
  <c r="S2689" i="12"/>
  <c r="S2690" i="12"/>
  <c r="S2691" i="12"/>
  <c r="S2692" i="12"/>
  <c r="S2693" i="12"/>
  <c r="S2694" i="12"/>
  <c r="S2695" i="12"/>
  <c r="S2696" i="12"/>
  <c r="S2697" i="12"/>
  <c r="S2698" i="12"/>
  <c r="S2699" i="12"/>
  <c r="S2700" i="12"/>
  <c r="S2701" i="12"/>
  <c r="S2702" i="12"/>
  <c r="S2703" i="12"/>
  <c r="S2704" i="12"/>
  <c r="S2705" i="12"/>
  <c r="S2706" i="12"/>
  <c r="S2707" i="12"/>
  <c r="S2708" i="12"/>
  <c r="S2709" i="12"/>
  <c r="S2710" i="12"/>
  <c r="S2711" i="12"/>
  <c r="S2712" i="12"/>
  <c r="S2713" i="12"/>
  <c r="S2714" i="12"/>
  <c r="S2715" i="12"/>
  <c r="S2716" i="12"/>
  <c r="S2717" i="12"/>
  <c r="S2718" i="12"/>
  <c r="S2719" i="12"/>
  <c r="S2720" i="12"/>
  <c r="S2721" i="12"/>
  <c r="S2722" i="12"/>
  <c r="S2723" i="12"/>
  <c r="S2724" i="12"/>
  <c r="S2725" i="12"/>
  <c r="S2726" i="12"/>
  <c r="S2727" i="12"/>
  <c r="S2728" i="12"/>
  <c r="S2729" i="12"/>
  <c r="S2730" i="12"/>
  <c r="S2731" i="12"/>
  <c r="S2732" i="12"/>
  <c r="S2733" i="12"/>
  <c r="S2734" i="12"/>
  <c r="S2735" i="12"/>
  <c r="S2736" i="12"/>
  <c r="S2737" i="12"/>
  <c r="S2738" i="12"/>
  <c r="S2739" i="12"/>
  <c r="S2740" i="12"/>
  <c r="S2741" i="12"/>
  <c r="S2742" i="12"/>
  <c r="S2743" i="12"/>
  <c r="S2744" i="12"/>
  <c r="S2745" i="12"/>
  <c r="S2746" i="12"/>
  <c r="S2747" i="12"/>
  <c r="S2748" i="12"/>
  <c r="S2749" i="12"/>
  <c r="S2750" i="12"/>
  <c r="S2751" i="12"/>
  <c r="S2752" i="12"/>
  <c r="S2753" i="12"/>
  <c r="S2754" i="12"/>
  <c r="S2755" i="12"/>
  <c r="S2756" i="12"/>
  <c r="S2757" i="12"/>
  <c r="S2758" i="12"/>
  <c r="S2759" i="12"/>
  <c r="S2760" i="12"/>
  <c r="S2761" i="12"/>
  <c r="S2762" i="12"/>
  <c r="S2763" i="12"/>
  <c r="S2764" i="12"/>
  <c r="S2765" i="12"/>
  <c r="S2766" i="12"/>
  <c r="S2767" i="12"/>
  <c r="S2768" i="12"/>
  <c r="S2769" i="12"/>
  <c r="S2770" i="12"/>
  <c r="S2771" i="12"/>
  <c r="S2772" i="12"/>
  <c r="S2773" i="12"/>
  <c r="S2774" i="12"/>
  <c r="S2775" i="12"/>
  <c r="S2776" i="12"/>
  <c r="S2777" i="12"/>
  <c r="S2778" i="12"/>
  <c r="S2779" i="12"/>
  <c r="S2780" i="12"/>
  <c r="S2781" i="12"/>
  <c r="S2782" i="12"/>
  <c r="S2783" i="12"/>
  <c r="S2784" i="12"/>
  <c r="S2785" i="12"/>
  <c r="S2786" i="12"/>
  <c r="S2787" i="12"/>
  <c r="S2788" i="12"/>
  <c r="S2789" i="12"/>
  <c r="S2790" i="12"/>
  <c r="S2791" i="12"/>
  <c r="S2792" i="12"/>
  <c r="S2793" i="12"/>
  <c r="S2794" i="12"/>
  <c r="S2795" i="12"/>
  <c r="S2796" i="12"/>
  <c r="S2797" i="12"/>
  <c r="S2798" i="12"/>
  <c r="S2799" i="12"/>
  <c r="S2800" i="12"/>
  <c r="S2801" i="12"/>
  <c r="S2802" i="12"/>
  <c r="S2803" i="12"/>
  <c r="S2804" i="12"/>
  <c r="S2805" i="12"/>
  <c r="S2806" i="12"/>
  <c r="S2807" i="12"/>
  <c r="S2808" i="12"/>
  <c r="S2809" i="12"/>
  <c r="S2810" i="12"/>
  <c r="S2811" i="12"/>
  <c r="S2812" i="12"/>
  <c r="S2813" i="12"/>
  <c r="S2814" i="12"/>
  <c r="S2815" i="12"/>
  <c r="S2816" i="12"/>
  <c r="S2817" i="12"/>
  <c r="S2818" i="12"/>
  <c r="S2819" i="12"/>
  <c r="S2820" i="12"/>
  <c r="S2821" i="12"/>
  <c r="S2822" i="12"/>
  <c r="S2823" i="12"/>
  <c r="S2824" i="12"/>
  <c r="S2825" i="12"/>
  <c r="S2826" i="12"/>
  <c r="S2827" i="12"/>
  <c r="S2828" i="12"/>
  <c r="S2829" i="12"/>
  <c r="S2830" i="12"/>
  <c r="S2831" i="12"/>
  <c r="S2832" i="12"/>
  <c r="S2833" i="12"/>
  <c r="S2834" i="12"/>
  <c r="S2835" i="12"/>
  <c r="S2836" i="12"/>
  <c r="S2837" i="12"/>
  <c r="S2838" i="12"/>
  <c r="S2839" i="12"/>
  <c r="S2840" i="12"/>
  <c r="S2841" i="12"/>
  <c r="S2842" i="12"/>
  <c r="S2843" i="12"/>
  <c r="S2844" i="12"/>
  <c r="S2845" i="12"/>
  <c r="S2846" i="12"/>
  <c r="S2847" i="12"/>
  <c r="S2848" i="12"/>
  <c r="S2849" i="12"/>
  <c r="S2850" i="12"/>
  <c r="S2851" i="12"/>
  <c r="S2852" i="12"/>
  <c r="S2853" i="12"/>
  <c r="S2854" i="12"/>
  <c r="S2855" i="12"/>
  <c r="S2856" i="12"/>
  <c r="S2857" i="12"/>
  <c r="S2858" i="12"/>
  <c r="S2859" i="12"/>
  <c r="S2860" i="12"/>
  <c r="S2861" i="12"/>
  <c r="S2862" i="12"/>
  <c r="S2863" i="12"/>
  <c r="S2864" i="12"/>
  <c r="S2865" i="12"/>
  <c r="S2866" i="12"/>
  <c r="S2867" i="12"/>
  <c r="S2868" i="12"/>
  <c r="S2869" i="12"/>
  <c r="S2870" i="12"/>
  <c r="S2871" i="12"/>
  <c r="S2872" i="12"/>
  <c r="S2873" i="12"/>
  <c r="S2874" i="12"/>
  <c r="S2875" i="12"/>
  <c r="S2876" i="12"/>
  <c r="S2877" i="12"/>
  <c r="S2878" i="12"/>
  <c r="S2879" i="12"/>
  <c r="S2880" i="12"/>
  <c r="S2881" i="12"/>
  <c r="S2882" i="12"/>
  <c r="S2883" i="12"/>
  <c r="S2884" i="12"/>
  <c r="S2885" i="12"/>
  <c r="S2886" i="12"/>
  <c r="S2887" i="12"/>
  <c r="S2888" i="12"/>
  <c r="S2889" i="12"/>
  <c r="S2890" i="12"/>
  <c r="S2891" i="12"/>
  <c r="S2892" i="12"/>
  <c r="S2893" i="12"/>
  <c r="S2894" i="12"/>
  <c r="S2895" i="12"/>
  <c r="S2896" i="12"/>
  <c r="S2897" i="12"/>
  <c r="S2898" i="12"/>
  <c r="S2899" i="12"/>
  <c r="S2900" i="12"/>
  <c r="S2901" i="12"/>
  <c r="S2902" i="12"/>
  <c r="S2903" i="12"/>
  <c r="S2904" i="12"/>
  <c r="S2905" i="12"/>
  <c r="S2906" i="12"/>
  <c r="S2907" i="12"/>
  <c r="S2908" i="12"/>
  <c r="S2909" i="12"/>
  <c r="S2910" i="12"/>
  <c r="S2911" i="12"/>
  <c r="S2912" i="12"/>
  <c r="S2913" i="12"/>
  <c r="S2914" i="12"/>
  <c r="S2915" i="12"/>
  <c r="S2916" i="12"/>
  <c r="S2917" i="12"/>
  <c r="S2918" i="12"/>
  <c r="S2919" i="12"/>
  <c r="S2920" i="12"/>
  <c r="S2921" i="12"/>
  <c r="S2922" i="12"/>
  <c r="S2923" i="12"/>
  <c r="S2924" i="12"/>
  <c r="S2925" i="12"/>
  <c r="S2926" i="12"/>
  <c r="S2927" i="12"/>
  <c r="S2928" i="12"/>
  <c r="S2929" i="12"/>
  <c r="S2930" i="12"/>
  <c r="S2931" i="12"/>
  <c r="S2932" i="12"/>
  <c r="S2933" i="12"/>
  <c r="S2934" i="12"/>
  <c r="S2935" i="12"/>
  <c r="S2936" i="12"/>
  <c r="S2937" i="12"/>
  <c r="S2938" i="12"/>
  <c r="S2939" i="12"/>
  <c r="S2940" i="12"/>
  <c r="S2941" i="12"/>
  <c r="S2942" i="12"/>
  <c r="S2943" i="12"/>
  <c r="S2944" i="12"/>
  <c r="S2945" i="12"/>
  <c r="S2946" i="12"/>
  <c r="S2947" i="12"/>
  <c r="S2948" i="12"/>
  <c r="S2949" i="12"/>
  <c r="S2950" i="12"/>
  <c r="S2951" i="12"/>
  <c r="S2952" i="12"/>
  <c r="S2953" i="12"/>
  <c r="S2954" i="12"/>
  <c r="S2955" i="12"/>
  <c r="S2956" i="12"/>
  <c r="S2957" i="12"/>
  <c r="S2958" i="12"/>
  <c r="S2959" i="12"/>
  <c r="S2960" i="12"/>
  <c r="S2961" i="12"/>
  <c r="S2962" i="12"/>
  <c r="S2963" i="12"/>
  <c r="S2964" i="12"/>
  <c r="S2965" i="12"/>
  <c r="S2966" i="12"/>
  <c r="S2967" i="12"/>
  <c r="S2968" i="12"/>
  <c r="S2969" i="12"/>
  <c r="S2970" i="12"/>
  <c r="S2971" i="12"/>
  <c r="S2972" i="12"/>
  <c r="S2973" i="12"/>
  <c r="S2974" i="12"/>
  <c r="S2975" i="12"/>
  <c r="S2976" i="12"/>
  <c r="S2977" i="12"/>
  <c r="S2978" i="12"/>
  <c r="S2979" i="12"/>
  <c r="S2980" i="12"/>
  <c r="S2981" i="12"/>
  <c r="S2982" i="12"/>
  <c r="S2983" i="12"/>
  <c r="S2984" i="12"/>
  <c r="S2985" i="12"/>
  <c r="S2986" i="12"/>
  <c r="S2987" i="12"/>
  <c r="S2988" i="12"/>
  <c r="S2989" i="12"/>
  <c r="S2990" i="12"/>
  <c r="S2991" i="12"/>
  <c r="S2992" i="12"/>
  <c r="S2993" i="12"/>
  <c r="S2994" i="12"/>
  <c r="S2995" i="12"/>
  <c r="S2996" i="12"/>
  <c r="S2997" i="12"/>
  <c r="S2998" i="12"/>
  <c r="S2999" i="12"/>
  <c r="S3000" i="12"/>
  <c r="S3001" i="12"/>
  <c r="S3002" i="12"/>
  <c r="S3003" i="12"/>
  <c r="S3004" i="12"/>
  <c r="S3005" i="12"/>
  <c r="S3006" i="12"/>
  <c r="S3007" i="12"/>
  <c r="S3008" i="12"/>
  <c r="S3009" i="12"/>
  <c r="S3010" i="12"/>
  <c r="S3011" i="12"/>
  <c r="S3012" i="12"/>
  <c r="S3013" i="12"/>
  <c r="S3014" i="12"/>
  <c r="S3015" i="12"/>
  <c r="S3016" i="12"/>
  <c r="S3017" i="12"/>
  <c r="S3018" i="12"/>
  <c r="S3019" i="12"/>
  <c r="S3020" i="12"/>
  <c r="S3021" i="12"/>
  <c r="S3022" i="12"/>
  <c r="S3023" i="12"/>
  <c r="S3024" i="12"/>
  <c r="S3025" i="12"/>
  <c r="S3026" i="12"/>
  <c r="S3027" i="12"/>
  <c r="S3028" i="12"/>
  <c r="S3029" i="12"/>
  <c r="S3030" i="12"/>
  <c r="S3031" i="12"/>
  <c r="S3032" i="12"/>
  <c r="S3033" i="12"/>
  <c r="S3034" i="12"/>
  <c r="S3035" i="12"/>
  <c r="S3036" i="12"/>
  <c r="S3037" i="12"/>
  <c r="S3038" i="12"/>
  <c r="S3039" i="12"/>
  <c r="S3040" i="12"/>
  <c r="S3041" i="12"/>
  <c r="S3042" i="12"/>
  <c r="S3043" i="12"/>
  <c r="S3044" i="12"/>
  <c r="S3045" i="12"/>
  <c r="S3046" i="12"/>
  <c r="S3047" i="12"/>
  <c r="S3048" i="12"/>
  <c r="S3049" i="12"/>
  <c r="S3050" i="12"/>
  <c r="S3051" i="12"/>
  <c r="S3052" i="12"/>
  <c r="S3053" i="12"/>
  <c r="S3054" i="12"/>
  <c r="S3055" i="12"/>
  <c r="S3056" i="12"/>
  <c r="S3057" i="12"/>
  <c r="S3058" i="12"/>
  <c r="S3059" i="12"/>
  <c r="S3060" i="12"/>
  <c r="S3061" i="12"/>
  <c r="S3062" i="12"/>
  <c r="S3063" i="12"/>
  <c r="S3064" i="12"/>
  <c r="S3065" i="12"/>
  <c r="S3066" i="12"/>
  <c r="S3067" i="12"/>
  <c r="S3068" i="12"/>
  <c r="S3069" i="12"/>
  <c r="S3070" i="12"/>
  <c r="S3071" i="12"/>
  <c r="S3072" i="12"/>
  <c r="S3073" i="12"/>
  <c r="S3074" i="12"/>
  <c r="S3075" i="12"/>
  <c r="S3076" i="12"/>
  <c r="S3077" i="12"/>
  <c r="S3078" i="12"/>
  <c r="S3079" i="12"/>
  <c r="S3080" i="12"/>
  <c r="S3081" i="12"/>
  <c r="S3082" i="12"/>
  <c r="S3083" i="12"/>
  <c r="S3084" i="12"/>
  <c r="S3085" i="12"/>
  <c r="S3086" i="12"/>
  <c r="S3087" i="12"/>
  <c r="S3088" i="12"/>
  <c r="S3089" i="12"/>
  <c r="S3090" i="12"/>
  <c r="S3091" i="12"/>
  <c r="S3092" i="12"/>
  <c r="S3093" i="12"/>
  <c r="S3094" i="12"/>
  <c r="S3095" i="12"/>
  <c r="S3096" i="12"/>
  <c r="S3097" i="12"/>
  <c r="S3098" i="12"/>
  <c r="S3099" i="12"/>
  <c r="S3100" i="12"/>
  <c r="S3101" i="12"/>
  <c r="S3102" i="12"/>
  <c r="S3103" i="12"/>
  <c r="S3104" i="12"/>
  <c r="S3105" i="12"/>
  <c r="S3106" i="12"/>
  <c r="S3107" i="12"/>
  <c r="S3108" i="12"/>
  <c r="S3109" i="12"/>
  <c r="S3110" i="12"/>
  <c r="S3111" i="12"/>
  <c r="S3112" i="12"/>
  <c r="S3113" i="12"/>
  <c r="S3114" i="12"/>
  <c r="S3115" i="12"/>
  <c r="S3116" i="12"/>
  <c r="S3117" i="12"/>
  <c r="S3118" i="12"/>
  <c r="S3119" i="12"/>
  <c r="S3120" i="12"/>
  <c r="S3121" i="12"/>
  <c r="S3122" i="12"/>
  <c r="S3123" i="12"/>
  <c r="S3124" i="12"/>
  <c r="S3125" i="12"/>
  <c r="S3126" i="12"/>
  <c r="S3127" i="12"/>
  <c r="S3128" i="12"/>
  <c r="S3129" i="12"/>
  <c r="S3130" i="12"/>
  <c r="S3131" i="12"/>
  <c r="S3132" i="12"/>
  <c r="S3133" i="12"/>
  <c r="S3134" i="12"/>
  <c r="S3135" i="12"/>
  <c r="S3136" i="12"/>
  <c r="S3137" i="12"/>
  <c r="S3138" i="12"/>
  <c r="S3139" i="12"/>
  <c r="S3140" i="12"/>
  <c r="S3141" i="12"/>
  <c r="S3142" i="12"/>
  <c r="S3143" i="12"/>
  <c r="S3144" i="12"/>
  <c r="S3145" i="12"/>
  <c r="S3146" i="12"/>
  <c r="S3147" i="12"/>
  <c r="S3148" i="12"/>
  <c r="S3149" i="12"/>
  <c r="S3150" i="12"/>
  <c r="S3151" i="12"/>
  <c r="S3152" i="12"/>
  <c r="S3153" i="12"/>
  <c r="S3154" i="12"/>
  <c r="S3155" i="12"/>
  <c r="S3156" i="12"/>
  <c r="S3157" i="12"/>
  <c r="S3158" i="12"/>
  <c r="S3159" i="12"/>
  <c r="S3160" i="12"/>
  <c r="S3161" i="12"/>
  <c r="S3162" i="12"/>
  <c r="S3163" i="12"/>
  <c r="S3164" i="12"/>
  <c r="S3165" i="12"/>
  <c r="S3166" i="12"/>
  <c r="S3167" i="12"/>
  <c r="S3168" i="12"/>
  <c r="S3169" i="12"/>
  <c r="S3170" i="12"/>
  <c r="S3171" i="12"/>
  <c r="S3172" i="12"/>
  <c r="S3173" i="12"/>
  <c r="S3174" i="12"/>
  <c r="S3175" i="12"/>
  <c r="S3176" i="12"/>
  <c r="S3177" i="12"/>
  <c r="S3178" i="12"/>
  <c r="S3179" i="12"/>
  <c r="S3180" i="12"/>
  <c r="S3181" i="12"/>
  <c r="S3182" i="12"/>
  <c r="S3183" i="12"/>
  <c r="S3184" i="12"/>
  <c r="S3185" i="12"/>
  <c r="S3186" i="12"/>
  <c r="S3187" i="12"/>
  <c r="S3188" i="12"/>
  <c r="S3189" i="12"/>
  <c r="S3190" i="12"/>
  <c r="S3191" i="12"/>
  <c r="S3192" i="12"/>
  <c r="S3193" i="12"/>
  <c r="S3194" i="12"/>
  <c r="S3195" i="12"/>
  <c r="S3196" i="12"/>
  <c r="S3197" i="12"/>
  <c r="S3198" i="12"/>
  <c r="S3199" i="12"/>
  <c r="S3200" i="12"/>
  <c r="S3201" i="12"/>
  <c r="S3202" i="12"/>
  <c r="S3203" i="12"/>
  <c r="S3204" i="12"/>
  <c r="S3205" i="12"/>
  <c r="S3206" i="12"/>
  <c r="S3207" i="12"/>
  <c r="S3208" i="12"/>
  <c r="S3209" i="12"/>
  <c r="S3210" i="12"/>
  <c r="S3211" i="12"/>
  <c r="S3212" i="12"/>
  <c r="S3213" i="12"/>
  <c r="S3214" i="12"/>
  <c r="S3215" i="12"/>
  <c r="S3216" i="12"/>
  <c r="S3217" i="12"/>
  <c r="S3218" i="12"/>
  <c r="S3219" i="12"/>
  <c r="S3220" i="12"/>
  <c r="S3221" i="12"/>
  <c r="S3222" i="12"/>
  <c r="S3223" i="12"/>
  <c r="S3224" i="12"/>
  <c r="S3225" i="12"/>
  <c r="S3226" i="12"/>
  <c r="S3227" i="12"/>
  <c r="S3228" i="12"/>
  <c r="S3229" i="12"/>
  <c r="S3230" i="12"/>
  <c r="S3231" i="12"/>
  <c r="S3232" i="12"/>
  <c r="S3233" i="12"/>
  <c r="S3234" i="12"/>
  <c r="S3235" i="12"/>
  <c r="S3236" i="12"/>
  <c r="S3237" i="12"/>
  <c r="S3238" i="12"/>
  <c r="S3239" i="12"/>
  <c r="S3240" i="12"/>
  <c r="S3241" i="12"/>
  <c r="S3242" i="12"/>
  <c r="S3243" i="12"/>
  <c r="S3244" i="12"/>
  <c r="S3245" i="12"/>
  <c r="S3246" i="12"/>
  <c r="S3247" i="12"/>
  <c r="S3248" i="12"/>
  <c r="S3249" i="12"/>
  <c r="S3250" i="12"/>
  <c r="S3251" i="12"/>
  <c r="S3252" i="12"/>
  <c r="S3253" i="12"/>
  <c r="S3254" i="12"/>
  <c r="S3255" i="12"/>
  <c r="S3256" i="12"/>
  <c r="S3257" i="12"/>
  <c r="S3258" i="12"/>
  <c r="S3259" i="12"/>
  <c r="S3260" i="12"/>
  <c r="S3261" i="12"/>
  <c r="S3262" i="12"/>
  <c r="S3263" i="12"/>
  <c r="S3264" i="12"/>
  <c r="S3265" i="12"/>
  <c r="S3266" i="12"/>
  <c r="S3267" i="12"/>
  <c r="S3268" i="12"/>
  <c r="S3269" i="12"/>
  <c r="S3270" i="12"/>
  <c r="S3271" i="12"/>
  <c r="S3272" i="12"/>
  <c r="S3273" i="12"/>
  <c r="S3274" i="12"/>
  <c r="S3275" i="12"/>
  <c r="S3276" i="12"/>
  <c r="S3277" i="12"/>
  <c r="S3278" i="12"/>
  <c r="S3279" i="12"/>
  <c r="S3280" i="12"/>
  <c r="S3281" i="12"/>
  <c r="S3282" i="12"/>
  <c r="S3283" i="12"/>
  <c r="S3284" i="12"/>
  <c r="S3285" i="12"/>
  <c r="S3286" i="12"/>
  <c r="S3287" i="12"/>
  <c r="S3288" i="12"/>
  <c r="S3289" i="12"/>
  <c r="S3290" i="12"/>
  <c r="S3291" i="12"/>
  <c r="S3292" i="12"/>
  <c r="S3293" i="12"/>
  <c r="S3294" i="12"/>
  <c r="S3295" i="12"/>
  <c r="S3296" i="12"/>
  <c r="S3297" i="12"/>
  <c r="S3298" i="12"/>
  <c r="S3299" i="12"/>
  <c r="S3300" i="12"/>
  <c r="S3301" i="12"/>
  <c r="S3302" i="12"/>
  <c r="S3303" i="12"/>
  <c r="S3304" i="12"/>
  <c r="S3305" i="12"/>
  <c r="S3306" i="12"/>
  <c r="S3307" i="12"/>
  <c r="S3308" i="12"/>
  <c r="S3309" i="12"/>
  <c r="S3310" i="12"/>
  <c r="S3311" i="12"/>
  <c r="S3312" i="12"/>
  <c r="S3313" i="12"/>
  <c r="S3314" i="12"/>
  <c r="S3315" i="12"/>
  <c r="S3316" i="12"/>
  <c r="S3317" i="12"/>
  <c r="S3318" i="12"/>
  <c r="S3319" i="12"/>
  <c r="S3320" i="12"/>
  <c r="S3321" i="12"/>
  <c r="S3322" i="12"/>
  <c r="S3323" i="12"/>
  <c r="S3324" i="12"/>
  <c r="S3325" i="12"/>
  <c r="S3326" i="12"/>
  <c r="S3327" i="12"/>
  <c r="S3328" i="12"/>
  <c r="S3329" i="12"/>
  <c r="S3330" i="12"/>
  <c r="S3331" i="12"/>
  <c r="S3332" i="12"/>
  <c r="S3333" i="12"/>
  <c r="S3334" i="12"/>
  <c r="S3335" i="12"/>
  <c r="S3336" i="12"/>
  <c r="S3337" i="12"/>
  <c r="S3338" i="12"/>
  <c r="S3339" i="12"/>
  <c r="S3340" i="12"/>
  <c r="S3341" i="12"/>
  <c r="S3342" i="12"/>
  <c r="S3343" i="12"/>
  <c r="S3344" i="12"/>
  <c r="S3345" i="12"/>
  <c r="S3346" i="12"/>
  <c r="S3347" i="12"/>
  <c r="S3348" i="12"/>
  <c r="S3349" i="12"/>
  <c r="S3350" i="12"/>
  <c r="S3351" i="12"/>
  <c r="S3352" i="12"/>
  <c r="S3353" i="12"/>
  <c r="S3354" i="12"/>
  <c r="S3355" i="12"/>
  <c r="S3356" i="12"/>
  <c r="S3357" i="12"/>
  <c r="S3358" i="12"/>
  <c r="S3359" i="12"/>
  <c r="S3360" i="12"/>
  <c r="S3361" i="12"/>
  <c r="S3362" i="12"/>
  <c r="S3363" i="12"/>
  <c r="S3364" i="12"/>
  <c r="S3365" i="12"/>
  <c r="S3366" i="12"/>
  <c r="S3367" i="12"/>
  <c r="S3368" i="12"/>
  <c r="S3369" i="12"/>
  <c r="S3370" i="12"/>
  <c r="S3371" i="12"/>
  <c r="S3372" i="12"/>
  <c r="S3373" i="12"/>
  <c r="S3374" i="12"/>
  <c r="S3375" i="12"/>
  <c r="S3376" i="12"/>
  <c r="S3377" i="12"/>
  <c r="S3378" i="12"/>
  <c r="S3379" i="12"/>
  <c r="S3380" i="12"/>
  <c r="S3381" i="12"/>
  <c r="S3382" i="12"/>
  <c r="S3383" i="12"/>
  <c r="S3384" i="12"/>
  <c r="S3385" i="12"/>
  <c r="S3386" i="12"/>
  <c r="S3387" i="12"/>
  <c r="S3388" i="12"/>
  <c r="S3389" i="12"/>
  <c r="S3390" i="12"/>
  <c r="S3391" i="12"/>
  <c r="S3392" i="12"/>
  <c r="S3393" i="12"/>
  <c r="S3394" i="12"/>
  <c r="S3395" i="12"/>
  <c r="S3396" i="12"/>
  <c r="S3397" i="12"/>
  <c r="S3398" i="12"/>
  <c r="S3399" i="12"/>
  <c r="S3400" i="12"/>
  <c r="S3401" i="12"/>
  <c r="S3402" i="12"/>
  <c r="S3403" i="12"/>
  <c r="S3404" i="12"/>
  <c r="S3405" i="12"/>
  <c r="S3406" i="12"/>
  <c r="S3407" i="12"/>
  <c r="S3408" i="12"/>
  <c r="S3409" i="12"/>
  <c r="S3410" i="12"/>
  <c r="S3411" i="12"/>
  <c r="S3412" i="12"/>
  <c r="S3413" i="12"/>
  <c r="S3414" i="12"/>
  <c r="S3415" i="12"/>
  <c r="S3416" i="12"/>
  <c r="S3417" i="12"/>
  <c r="S3418" i="12"/>
  <c r="S3419" i="12"/>
  <c r="S3420" i="12"/>
  <c r="S3421" i="12"/>
  <c r="S3422" i="12"/>
  <c r="S3423" i="12"/>
  <c r="S3424" i="12"/>
  <c r="S3425" i="12"/>
  <c r="S3426" i="12"/>
  <c r="S3427" i="12"/>
  <c r="S3428" i="12"/>
  <c r="S3429" i="12"/>
  <c r="S3430" i="12"/>
  <c r="S3431" i="12"/>
  <c r="S3432" i="12"/>
  <c r="S3433" i="12"/>
  <c r="S3434" i="12"/>
  <c r="S3435" i="12"/>
  <c r="S3436" i="12"/>
  <c r="S3437" i="12"/>
  <c r="S3438" i="12"/>
  <c r="S3439" i="12"/>
  <c r="S3440" i="12"/>
  <c r="S3441" i="12"/>
  <c r="S3442" i="12"/>
  <c r="S3443" i="12"/>
  <c r="S3444" i="12"/>
  <c r="S3445" i="12"/>
  <c r="S3446" i="12"/>
  <c r="S3447" i="12"/>
  <c r="S3448" i="12"/>
  <c r="S3449" i="12"/>
  <c r="S3450" i="12"/>
  <c r="S3451" i="12"/>
  <c r="S3452" i="12"/>
  <c r="S3453" i="12"/>
  <c r="S3454" i="12"/>
  <c r="S3455" i="12"/>
  <c r="S3456" i="12"/>
  <c r="S3457" i="12"/>
  <c r="S3458" i="12"/>
  <c r="S3459" i="12"/>
  <c r="S3460" i="12"/>
  <c r="S3461" i="12"/>
  <c r="S3462" i="12"/>
  <c r="S3463" i="12"/>
  <c r="S3464" i="12"/>
  <c r="S3465" i="12"/>
  <c r="S3466" i="12"/>
  <c r="S3467" i="12"/>
  <c r="S3468" i="12"/>
  <c r="S3469" i="12"/>
  <c r="S3470" i="12"/>
  <c r="S3471" i="12"/>
  <c r="S3472" i="12"/>
  <c r="S3473" i="12"/>
  <c r="S3474" i="12"/>
  <c r="S3475" i="12"/>
  <c r="S3476" i="12"/>
  <c r="S3477" i="12"/>
  <c r="S3478" i="12"/>
  <c r="S3479" i="12"/>
  <c r="S3480" i="12"/>
  <c r="S3481" i="12"/>
  <c r="S3482" i="12"/>
  <c r="S3483" i="12"/>
  <c r="S3484" i="12"/>
  <c r="S3485" i="12"/>
  <c r="S3486" i="12"/>
  <c r="S3487" i="12"/>
  <c r="S3488" i="12"/>
  <c r="S3489" i="12"/>
  <c r="S3490" i="12"/>
  <c r="S3491" i="12"/>
  <c r="S3492" i="12"/>
  <c r="S3493" i="12"/>
  <c r="S3494" i="12"/>
  <c r="S3495" i="12"/>
  <c r="S3496" i="12"/>
  <c r="S3497" i="12"/>
  <c r="S3498" i="12"/>
  <c r="S3499" i="12"/>
  <c r="S3500" i="12"/>
  <c r="S3501" i="12"/>
  <c r="S3502" i="12"/>
  <c r="S3503" i="12"/>
  <c r="S3504" i="12"/>
  <c r="S3505" i="12"/>
  <c r="S3506" i="12"/>
  <c r="S3507" i="12"/>
  <c r="S3508" i="12"/>
  <c r="S3509" i="12"/>
  <c r="S3510" i="12"/>
  <c r="S3511" i="12"/>
  <c r="S3512" i="12"/>
  <c r="S3513" i="12"/>
  <c r="S3514" i="12"/>
  <c r="S3515" i="12"/>
  <c r="S3516" i="12"/>
  <c r="S3517" i="12"/>
  <c r="S3518" i="12"/>
  <c r="S3519" i="12"/>
  <c r="S3520" i="12"/>
  <c r="S3521" i="12"/>
  <c r="S3522" i="12"/>
  <c r="S3523" i="12"/>
  <c r="S3524" i="12"/>
  <c r="S3525" i="12"/>
  <c r="S3526" i="12"/>
  <c r="S3527" i="12"/>
  <c r="S3528" i="12"/>
  <c r="S3529" i="12"/>
  <c r="S3530" i="12"/>
  <c r="S3531" i="12"/>
  <c r="S3532" i="12"/>
  <c r="S3533" i="12"/>
  <c r="S3534" i="12"/>
  <c r="S3535" i="12"/>
  <c r="S3536" i="12"/>
  <c r="S3537" i="12"/>
  <c r="S3538" i="12"/>
  <c r="S3539" i="12"/>
  <c r="S3540" i="12"/>
  <c r="S3541" i="12"/>
  <c r="S3542" i="12"/>
  <c r="S3543" i="12"/>
  <c r="S3544" i="12"/>
  <c r="S3545" i="12"/>
  <c r="S3546" i="12"/>
  <c r="S3547" i="12"/>
  <c r="S3548" i="12"/>
  <c r="S3549" i="12"/>
  <c r="S3550" i="12"/>
  <c r="S3551" i="12"/>
  <c r="S3552" i="12"/>
  <c r="S3553" i="12"/>
  <c r="S3554" i="12"/>
  <c r="S3555" i="12"/>
  <c r="S3556" i="12"/>
  <c r="S3557" i="12"/>
  <c r="S3558" i="12"/>
  <c r="S3559" i="12"/>
  <c r="S3560" i="12"/>
  <c r="S3561" i="12"/>
  <c r="S3562" i="12"/>
  <c r="S3563" i="12"/>
  <c r="S3564" i="12"/>
  <c r="S3565" i="12"/>
  <c r="S3566" i="12"/>
  <c r="S3567" i="12"/>
  <c r="S3568" i="12"/>
  <c r="S3569" i="12"/>
  <c r="S3570" i="12"/>
  <c r="S3571" i="12"/>
  <c r="S3572" i="12"/>
  <c r="S3573" i="12"/>
  <c r="S3574" i="12"/>
  <c r="S3575" i="12"/>
  <c r="S3576" i="12"/>
  <c r="S3577" i="12"/>
  <c r="S3578" i="12"/>
  <c r="S3579" i="12"/>
  <c r="S3580" i="12"/>
  <c r="S3581" i="12"/>
  <c r="S3582" i="12"/>
  <c r="S3583" i="12"/>
  <c r="S3584" i="12"/>
  <c r="S3585" i="12"/>
  <c r="S3586" i="12"/>
  <c r="S3587" i="12"/>
  <c r="S3588" i="12"/>
  <c r="S3589" i="12"/>
  <c r="S3590" i="12"/>
  <c r="S3591" i="12"/>
  <c r="S3592" i="12"/>
  <c r="S3593" i="12"/>
  <c r="S3594" i="12"/>
  <c r="S3595" i="12"/>
  <c r="S3596" i="12"/>
  <c r="S3597" i="12"/>
  <c r="S3598" i="12"/>
  <c r="S3599" i="12"/>
  <c r="S3600" i="12"/>
  <c r="S3601" i="12"/>
  <c r="S3602" i="12"/>
  <c r="S3603" i="12"/>
  <c r="S3604" i="12"/>
  <c r="S3605" i="12"/>
  <c r="S3606" i="12"/>
  <c r="S3607" i="12"/>
  <c r="S3608" i="12"/>
  <c r="S3609" i="12"/>
  <c r="S3610" i="12"/>
  <c r="S3611" i="12"/>
  <c r="S3612" i="12"/>
  <c r="S3613" i="12"/>
  <c r="S3614" i="12"/>
  <c r="S3615" i="12"/>
  <c r="S3616" i="12"/>
  <c r="S3617" i="12"/>
  <c r="S3618" i="12"/>
  <c r="S3619" i="12"/>
  <c r="S3620" i="12"/>
  <c r="S3621" i="12"/>
  <c r="S3622" i="12"/>
  <c r="S3623" i="12"/>
  <c r="S3624" i="12"/>
  <c r="S3625" i="12"/>
  <c r="S3626" i="12"/>
  <c r="S3627" i="12"/>
  <c r="S3628" i="12"/>
  <c r="S3629" i="12"/>
  <c r="S3630" i="12"/>
  <c r="S3631" i="12"/>
  <c r="S3632" i="12"/>
  <c r="S3633" i="12"/>
  <c r="S3634" i="12"/>
  <c r="S3635" i="12"/>
  <c r="S3636" i="12"/>
  <c r="S3637" i="12"/>
  <c r="S3638" i="12"/>
  <c r="S3639" i="12"/>
  <c r="S3640" i="12"/>
  <c r="S3641" i="12"/>
  <c r="S3642" i="12"/>
  <c r="S3643" i="12"/>
  <c r="S3644" i="12"/>
  <c r="S3645" i="12"/>
  <c r="S3646" i="12"/>
  <c r="S3647" i="12"/>
  <c r="S3648" i="12"/>
  <c r="S3649" i="12"/>
  <c r="S3650" i="12"/>
  <c r="S3651" i="12"/>
  <c r="S3652" i="12"/>
  <c r="S3653" i="12"/>
  <c r="S3654" i="12"/>
  <c r="S3655" i="12"/>
  <c r="S3656" i="12"/>
  <c r="S3657" i="12"/>
  <c r="S3658" i="12"/>
  <c r="S3659" i="12"/>
  <c r="S3660" i="12"/>
  <c r="S3661" i="12"/>
  <c r="S3662" i="12"/>
  <c r="S3663" i="12"/>
  <c r="S3664" i="12"/>
  <c r="S3665" i="12"/>
  <c r="S3666" i="12"/>
  <c r="S3667" i="12"/>
  <c r="S3668" i="12"/>
  <c r="S3669" i="12"/>
  <c r="S3670" i="12"/>
  <c r="S3671" i="12"/>
  <c r="S3672" i="12"/>
  <c r="S3673" i="12"/>
  <c r="S3674" i="12"/>
  <c r="S3675" i="12"/>
  <c r="S3676" i="12"/>
  <c r="S3677" i="12"/>
  <c r="S3678" i="12"/>
  <c r="S3679" i="12"/>
  <c r="S3680" i="12"/>
  <c r="S3681" i="12"/>
  <c r="S3682" i="12"/>
  <c r="S3683" i="12"/>
  <c r="S3684" i="12"/>
  <c r="S3685" i="12"/>
  <c r="S3686" i="12"/>
  <c r="S3687" i="12"/>
  <c r="S3688" i="12"/>
  <c r="S3689" i="12"/>
  <c r="S3690" i="12"/>
  <c r="S3691" i="12"/>
  <c r="S3692" i="12"/>
  <c r="S3693" i="12"/>
  <c r="S3694" i="12"/>
  <c r="S3695" i="12"/>
  <c r="S3696" i="12"/>
  <c r="S3697" i="12"/>
  <c r="S3698" i="12"/>
  <c r="S3699" i="12"/>
  <c r="S3700" i="12"/>
  <c r="S3701" i="12"/>
  <c r="S3702" i="12"/>
  <c r="S3703" i="12"/>
  <c r="S3704" i="12"/>
  <c r="S3705" i="12"/>
  <c r="S3706" i="12"/>
  <c r="S3707" i="12"/>
  <c r="S3708" i="12"/>
  <c r="S3709" i="12"/>
  <c r="S3710" i="12"/>
  <c r="S3711" i="12"/>
  <c r="S3712" i="12"/>
  <c r="S3713" i="12"/>
  <c r="S3714" i="12"/>
  <c r="S3715" i="12"/>
  <c r="S3716" i="12"/>
  <c r="S3717" i="12"/>
  <c r="S3718" i="12"/>
  <c r="S3719" i="12"/>
  <c r="S3720" i="12"/>
  <c r="S3721" i="12"/>
  <c r="S3722" i="12"/>
  <c r="S3723" i="12"/>
  <c r="S3724" i="12"/>
  <c r="S3725" i="12"/>
  <c r="S3726" i="12"/>
  <c r="S3727" i="12"/>
  <c r="S3728" i="12"/>
  <c r="S3729" i="12"/>
  <c r="S3730" i="12"/>
  <c r="S3731" i="12"/>
  <c r="S3732" i="12"/>
  <c r="S3733" i="12"/>
  <c r="S3734" i="12"/>
  <c r="S3735" i="12"/>
  <c r="S3736" i="12"/>
  <c r="S3737" i="12"/>
  <c r="S3738" i="12"/>
  <c r="S3739" i="12"/>
  <c r="S3740" i="12"/>
  <c r="S3741" i="12"/>
  <c r="S3742" i="12"/>
  <c r="S3743" i="12"/>
  <c r="S3744" i="12"/>
  <c r="S3745" i="12"/>
  <c r="S3746" i="12"/>
  <c r="S3747" i="12"/>
  <c r="S3748" i="12"/>
  <c r="S3749" i="12"/>
  <c r="S3750" i="12"/>
  <c r="S3751" i="12"/>
  <c r="S3752" i="12"/>
  <c r="S3753" i="12"/>
  <c r="S3754" i="12"/>
  <c r="S3755" i="12"/>
  <c r="S3756" i="12"/>
  <c r="S3757" i="12"/>
  <c r="S3758" i="12"/>
  <c r="S3759" i="12"/>
  <c r="S3760" i="12"/>
  <c r="S3761" i="12"/>
  <c r="S3762" i="12"/>
  <c r="S3763" i="12"/>
  <c r="S3764" i="12"/>
  <c r="S3765" i="12"/>
  <c r="S3766" i="12"/>
  <c r="S3767" i="12"/>
  <c r="S3768" i="12"/>
  <c r="S3769" i="12"/>
  <c r="S3770" i="12"/>
  <c r="S3771" i="12"/>
  <c r="S3772" i="12"/>
  <c r="S3773" i="12"/>
  <c r="S3774" i="12"/>
  <c r="S3775" i="12"/>
  <c r="S3776" i="12"/>
  <c r="S3777" i="12"/>
  <c r="S3778" i="12"/>
  <c r="S3779" i="12"/>
  <c r="S3780" i="12"/>
  <c r="S3781" i="12"/>
  <c r="S3782" i="12"/>
  <c r="S3783" i="12"/>
  <c r="S3784" i="12"/>
  <c r="S3785" i="12"/>
  <c r="S3786" i="12"/>
  <c r="S3787" i="12"/>
  <c r="S3788" i="12"/>
  <c r="S3789" i="12"/>
  <c r="S3790" i="12"/>
  <c r="S3791" i="12"/>
  <c r="S3792" i="12"/>
  <c r="S3793" i="12"/>
  <c r="S3794" i="12"/>
  <c r="S3795" i="12"/>
  <c r="S3796" i="12"/>
  <c r="S3797" i="12"/>
  <c r="S3798" i="12"/>
  <c r="S3799" i="12"/>
  <c r="S3800" i="12"/>
  <c r="S3801" i="12"/>
  <c r="S3802" i="12"/>
  <c r="S3803" i="12"/>
  <c r="S3804" i="12"/>
  <c r="S3805" i="12"/>
  <c r="S3806" i="12"/>
  <c r="S3807" i="12"/>
  <c r="S3808" i="12"/>
  <c r="S3809" i="12"/>
  <c r="S3810" i="12"/>
  <c r="S3811" i="12"/>
  <c r="S3812" i="12"/>
  <c r="S3813" i="12"/>
  <c r="S3814" i="12"/>
  <c r="S3815" i="12"/>
  <c r="S3816" i="12"/>
  <c r="S3817" i="12"/>
  <c r="S3818" i="12"/>
  <c r="S3819" i="12"/>
  <c r="S3820" i="12"/>
  <c r="S3821" i="12"/>
  <c r="S3822" i="12"/>
  <c r="S3823" i="12"/>
  <c r="S3824" i="12"/>
  <c r="S3825" i="12"/>
  <c r="S3826" i="12"/>
  <c r="S3827" i="12"/>
  <c r="S3828" i="12"/>
  <c r="S3829" i="12"/>
  <c r="S3830" i="12"/>
  <c r="S3831" i="12"/>
  <c r="S3832" i="12"/>
  <c r="S3833" i="12"/>
  <c r="S3834" i="12"/>
  <c r="S3835" i="12"/>
  <c r="S3836" i="12"/>
  <c r="S3837" i="12"/>
  <c r="S3838" i="12"/>
  <c r="S3839" i="12"/>
  <c r="S3840" i="12"/>
  <c r="S3841" i="12"/>
  <c r="S3842" i="12"/>
  <c r="S3843" i="12"/>
  <c r="S3844" i="12"/>
  <c r="S3845" i="12"/>
  <c r="S3846" i="12"/>
  <c r="S3847" i="12"/>
  <c r="S3848" i="12"/>
  <c r="S3849" i="12"/>
  <c r="S3850" i="12"/>
  <c r="S3851" i="12"/>
  <c r="S3852" i="12"/>
  <c r="S3853" i="12"/>
  <c r="S3854" i="12"/>
  <c r="S3855" i="12"/>
  <c r="S3856" i="12"/>
  <c r="S3857" i="12"/>
  <c r="S3858" i="12"/>
  <c r="S3859" i="12"/>
  <c r="S3860" i="12"/>
  <c r="S3861" i="12"/>
  <c r="S3862" i="12"/>
  <c r="S3863" i="12"/>
  <c r="S3864" i="12"/>
  <c r="S3865" i="12"/>
  <c r="S3866" i="12"/>
  <c r="S3867" i="12"/>
  <c r="S3868" i="12"/>
  <c r="S3869" i="12"/>
  <c r="S3870" i="12"/>
  <c r="S3871" i="12"/>
  <c r="S3872" i="12"/>
  <c r="S3873" i="12"/>
  <c r="S3874" i="12"/>
  <c r="S3875" i="12"/>
  <c r="S3876" i="12"/>
  <c r="S3877" i="12"/>
  <c r="S3878" i="12"/>
  <c r="S3879" i="12"/>
  <c r="S3880" i="12"/>
  <c r="S3881" i="12"/>
  <c r="S3882" i="12"/>
  <c r="S3883" i="12"/>
  <c r="S3884" i="12"/>
  <c r="S3885" i="12"/>
  <c r="S3886" i="12"/>
  <c r="S3887" i="12"/>
  <c r="S3888" i="12"/>
  <c r="S3889" i="12"/>
  <c r="S3890" i="12"/>
  <c r="S3891" i="12"/>
  <c r="S3892" i="12"/>
  <c r="S3893" i="12"/>
  <c r="S3894" i="12"/>
  <c r="S3895" i="12"/>
  <c r="S3896" i="12"/>
  <c r="S3897" i="12"/>
  <c r="S3898" i="12"/>
  <c r="S3899" i="12"/>
  <c r="S3900" i="12"/>
  <c r="S3901" i="12"/>
  <c r="S3902" i="12"/>
  <c r="S3903" i="12"/>
  <c r="S3904" i="12"/>
  <c r="S3905" i="12"/>
  <c r="S3906" i="12"/>
  <c r="S3907" i="12"/>
  <c r="S3908" i="12"/>
  <c r="S3909" i="12"/>
  <c r="S3910" i="12"/>
  <c r="S3911" i="12"/>
  <c r="S3912" i="12"/>
  <c r="S3913" i="12"/>
  <c r="S3914" i="12"/>
  <c r="S3915" i="12"/>
  <c r="S3916" i="12"/>
  <c r="S3917" i="12"/>
  <c r="S3918" i="12"/>
  <c r="S3919" i="12"/>
  <c r="S3920" i="12"/>
  <c r="S3921" i="12"/>
  <c r="S3922" i="12"/>
  <c r="S3923" i="12"/>
  <c r="S3924" i="12"/>
  <c r="S3925" i="12"/>
  <c r="S3926" i="12"/>
  <c r="S3927" i="12"/>
  <c r="S3928" i="12"/>
  <c r="S3929" i="12"/>
  <c r="S3930" i="12"/>
  <c r="S3931" i="12"/>
  <c r="S3932" i="12"/>
  <c r="S3933" i="12"/>
  <c r="S3934" i="12"/>
  <c r="S3935" i="12"/>
  <c r="S3936" i="12"/>
  <c r="S3937" i="12"/>
  <c r="S3938" i="12"/>
  <c r="S3939" i="12"/>
  <c r="S3940" i="12"/>
  <c r="S3941" i="12"/>
  <c r="S3942" i="12"/>
  <c r="S3943" i="12"/>
  <c r="S3944" i="12"/>
  <c r="S3945" i="12"/>
  <c r="S3946" i="12"/>
  <c r="S3947" i="12"/>
  <c r="S3948" i="12"/>
  <c r="S3949" i="12"/>
  <c r="S3950" i="12"/>
  <c r="S3951" i="12"/>
  <c r="S3952" i="12"/>
  <c r="S3953" i="12"/>
  <c r="S3954" i="12"/>
  <c r="S3955" i="12"/>
  <c r="S3956" i="12"/>
  <c r="S3957" i="12"/>
  <c r="S3958" i="12"/>
  <c r="S3959" i="12"/>
  <c r="S3960" i="12"/>
  <c r="S3961" i="12"/>
  <c r="S3962" i="12"/>
  <c r="S3963" i="12"/>
  <c r="S3964" i="12"/>
  <c r="S3965" i="12"/>
  <c r="S3966" i="12"/>
  <c r="S3967" i="12"/>
  <c r="S3968" i="12"/>
  <c r="S3969" i="12"/>
  <c r="S3970" i="12"/>
  <c r="S3971" i="12"/>
  <c r="S3972" i="12"/>
  <c r="S3973" i="12"/>
  <c r="S3974" i="12"/>
  <c r="S3975" i="12"/>
  <c r="S3976" i="12"/>
  <c r="S3977" i="12"/>
  <c r="S3978" i="12"/>
  <c r="S3979" i="12"/>
  <c r="S3980" i="12"/>
  <c r="S3981" i="12"/>
  <c r="S3982" i="12"/>
  <c r="S3983" i="12"/>
  <c r="S3984" i="12"/>
  <c r="S3985" i="12"/>
  <c r="S3986" i="12"/>
  <c r="S3987" i="12"/>
  <c r="S3988" i="12"/>
  <c r="S3989" i="12"/>
  <c r="S3990" i="12"/>
  <c r="S3991" i="12"/>
  <c r="S3992" i="12"/>
  <c r="S3993" i="12"/>
  <c r="S3994" i="12"/>
  <c r="S3995" i="12"/>
  <c r="S3996" i="12"/>
  <c r="S3997" i="12"/>
  <c r="S3998" i="12"/>
  <c r="S3999" i="12"/>
  <c r="S4000" i="12"/>
  <c r="S4001" i="12"/>
  <c r="S4002" i="12"/>
  <c r="S4003" i="12"/>
  <c r="S4004" i="12"/>
  <c r="S4005" i="12"/>
  <c r="S4006" i="12"/>
  <c r="S4007" i="12"/>
  <c r="S4008" i="12"/>
  <c r="S4009" i="12"/>
  <c r="S4010" i="12"/>
  <c r="S4011" i="12"/>
  <c r="S4012" i="12"/>
  <c r="S4013" i="12"/>
  <c r="S4014" i="12"/>
  <c r="S4015" i="12"/>
  <c r="S4016" i="12"/>
  <c r="S4017" i="12"/>
  <c r="S4018" i="12"/>
  <c r="S4019" i="12"/>
  <c r="S4020" i="12"/>
  <c r="S4021" i="12"/>
  <c r="S4022" i="12"/>
  <c r="S4023" i="12"/>
  <c r="S4024" i="12"/>
  <c r="S4025" i="12"/>
  <c r="S4026" i="12"/>
  <c r="S4027" i="12"/>
  <c r="S4028" i="12"/>
  <c r="S4029" i="12"/>
  <c r="S4030" i="12"/>
  <c r="S4031" i="12"/>
  <c r="S4032" i="12"/>
  <c r="S4033" i="12"/>
  <c r="S4034" i="12"/>
  <c r="S4035" i="12"/>
  <c r="S4036" i="12"/>
  <c r="S4037" i="12"/>
  <c r="S4038" i="12"/>
  <c r="S4039" i="12"/>
  <c r="S4040" i="12"/>
  <c r="S4041" i="12"/>
  <c r="S4042" i="12"/>
  <c r="S4043" i="12"/>
  <c r="S4044" i="12"/>
  <c r="S4045" i="12"/>
  <c r="S4046" i="12"/>
  <c r="S4047" i="12"/>
  <c r="S4048" i="12"/>
  <c r="S4049" i="12"/>
  <c r="S4050" i="12"/>
  <c r="S4051" i="12"/>
  <c r="S4052" i="12"/>
  <c r="S4053" i="12"/>
  <c r="S4054" i="12"/>
  <c r="S4055" i="12"/>
  <c r="S4056" i="12"/>
  <c r="S4057" i="12"/>
  <c r="S4058" i="12"/>
  <c r="S4059" i="12"/>
  <c r="S4060" i="12"/>
  <c r="S4061" i="12"/>
  <c r="S4062" i="12"/>
  <c r="S4063" i="12"/>
  <c r="S4064" i="12"/>
  <c r="S4065" i="12"/>
  <c r="S4066" i="12"/>
  <c r="S4067" i="12"/>
  <c r="S4068" i="12"/>
  <c r="S4069" i="12"/>
  <c r="S4070" i="12"/>
  <c r="S4071" i="12"/>
  <c r="S4072" i="12"/>
  <c r="S4073" i="12"/>
  <c r="S4074" i="12"/>
  <c r="S4075" i="12"/>
  <c r="S4076" i="12"/>
  <c r="S4077" i="12"/>
  <c r="S4078" i="12"/>
  <c r="S4079" i="12"/>
  <c r="S4080" i="12"/>
  <c r="S4081" i="12"/>
  <c r="S4082" i="12"/>
  <c r="S4083" i="12"/>
  <c r="S4084" i="12"/>
  <c r="S4085" i="12"/>
  <c r="S4086" i="12"/>
  <c r="S4087" i="12"/>
  <c r="S4088" i="12"/>
  <c r="S4089" i="12"/>
  <c r="S4090" i="12"/>
  <c r="S4091" i="12"/>
  <c r="S4092" i="12"/>
  <c r="S4093" i="12"/>
  <c r="S4094" i="12"/>
  <c r="S4095" i="12"/>
  <c r="S4096" i="12"/>
  <c r="S4097" i="12"/>
  <c r="S4098" i="12"/>
  <c r="S4099" i="12"/>
  <c r="S4100" i="12"/>
  <c r="S4101" i="12"/>
  <c r="S4102" i="12"/>
  <c r="S4103" i="12"/>
  <c r="S4104" i="12"/>
  <c r="S4105" i="12"/>
  <c r="S4106" i="12"/>
  <c r="S4107" i="12"/>
  <c r="S4108" i="12"/>
  <c r="S4109" i="12"/>
  <c r="S4110" i="12"/>
  <c r="S4111" i="12"/>
  <c r="S4112" i="12"/>
  <c r="S4113" i="12"/>
  <c r="S4114" i="12"/>
  <c r="S4115" i="12"/>
  <c r="S4116" i="12"/>
  <c r="S4117" i="12"/>
  <c r="S4118" i="12"/>
  <c r="S4119" i="12"/>
  <c r="S4120" i="12"/>
  <c r="S4121" i="12"/>
  <c r="S4122" i="12"/>
  <c r="S4123" i="12"/>
  <c r="S4124" i="12"/>
  <c r="S4125" i="12"/>
  <c r="S4126" i="12"/>
  <c r="S4127" i="12"/>
  <c r="S4128" i="12"/>
  <c r="S4129" i="12"/>
  <c r="S4130" i="12"/>
  <c r="S4131" i="12"/>
  <c r="S4132" i="12"/>
  <c r="S4133" i="12"/>
  <c r="S4134" i="12"/>
  <c r="S4135" i="12"/>
  <c r="S4136" i="12"/>
  <c r="S4137" i="12"/>
  <c r="S4138" i="12"/>
  <c r="S4139" i="12"/>
  <c r="S4140" i="12"/>
  <c r="S4141" i="12"/>
  <c r="S4142" i="12"/>
  <c r="S4143" i="12"/>
  <c r="S4144" i="12"/>
  <c r="S4145" i="12"/>
  <c r="S4146" i="12"/>
  <c r="S4147" i="12"/>
  <c r="S4148" i="12"/>
  <c r="S4149" i="12"/>
  <c r="S4150" i="12"/>
  <c r="S4151" i="12"/>
  <c r="S4152" i="12"/>
  <c r="S4153" i="12"/>
  <c r="S4154" i="12"/>
  <c r="S4155" i="12"/>
  <c r="S4156" i="12"/>
  <c r="S4157" i="12"/>
  <c r="S4158" i="12"/>
  <c r="S4159" i="12"/>
  <c r="S4160" i="12"/>
  <c r="S4161" i="12"/>
  <c r="S4162" i="12"/>
  <c r="S4163" i="12"/>
  <c r="S4164" i="12"/>
  <c r="S4165" i="12"/>
  <c r="S4166" i="12"/>
  <c r="S4167" i="12"/>
  <c r="S4168" i="12"/>
  <c r="S4169" i="12"/>
  <c r="S4170" i="12"/>
  <c r="S4171" i="12"/>
  <c r="S4172" i="12"/>
  <c r="S4173" i="12"/>
  <c r="S4174" i="12"/>
  <c r="S4175" i="12"/>
  <c r="S4176" i="12"/>
  <c r="S4177" i="12"/>
  <c r="S4178" i="12"/>
  <c r="S4179" i="12"/>
  <c r="S4180" i="12"/>
  <c r="S4181" i="12"/>
  <c r="S4182" i="12"/>
  <c r="S4183" i="12"/>
  <c r="S4184" i="12"/>
  <c r="S4185" i="12"/>
  <c r="S4186" i="12"/>
  <c r="S4187" i="12"/>
  <c r="S4188" i="12"/>
  <c r="S4189" i="12"/>
  <c r="S4190" i="12"/>
  <c r="S4191" i="12"/>
  <c r="S4192" i="12"/>
  <c r="S4193" i="12"/>
  <c r="S4194" i="12"/>
  <c r="S4195" i="12"/>
  <c r="S4196" i="12"/>
  <c r="S4197" i="12"/>
  <c r="S4198" i="12"/>
  <c r="S4199" i="12"/>
  <c r="S4200" i="12"/>
  <c r="S4201" i="12"/>
  <c r="S4202" i="12"/>
  <c r="S4203" i="12"/>
  <c r="S4204" i="12"/>
  <c r="S4205" i="12"/>
  <c r="S4206" i="12"/>
  <c r="S4207" i="12"/>
  <c r="S4208" i="12"/>
  <c r="S4209" i="12"/>
  <c r="S4210" i="12"/>
  <c r="S4211" i="12"/>
  <c r="S4212" i="12"/>
  <c r="S4213" i="12"/>
  <c r="S4214" i="12"/>
  <c r="S4215" i="12"/>
  <c r="S4216" i="12"/>
  <c r="S4217" i="12"/>
  <c r="S4218" i="12"/>
  <c r="S4219" i="12"/>
  <c r="S4220" i="12"/>
  <c r="S4221" i="12"/>
  <c r="S4222" i="12"/>
  <c r="S4223" i="12"/>
  <c r="S4224" i="12"/>
  <c r="S4225" i="12"/>
  <c r="S4226" i="12"/>
  <c r="S4227" i="12"/>
  <c r="S4228" i="12"/>
  <c r="S4229" i="12"/>
  <c r="S4230" i="12"/>
  <c r="S4231" i="12"/>
  <c r="S4232" i="12"/>
  <c r="S4233" i="12"/>
  <c r="S4234" i="12"/>
  <c r="S4235" i="12"/>
  <c r="S4236" i="12"/>
  <c r="S4237" i="12"/>
  <c r="S4238" i="12"/>
  <c r="S4239" i="12"/>
  <c r="S4240" i="12"/>
  <c r="S4241" i="12"/>
  <c r="S4242" i="12"/>
  <c r="S4243" i="12"/>
  <c r="S4244" i="12"/>
  <c r="S4245" i="12"/>
  <c r="S4246" i="12"/>
  <c r="S4247" i="12"/>
  <c r="S4248" i="12"/>
  <c r="S4249" i="12"/>
  <c r="S4250" i="12"/>
  <c r="S4251" i="12"/>
  <c r="S4252" i="12"/>
  <c r="S4253" i="12"/>
  <c r="S4254" i="12"/>
  <c r="S4255" i="12"/>
  <c r="S4256" i="12"/>
  <c r="S4257" i="12"/>
  <c r="S4258" i="12"/>
  <c r="S4259" i="12"/>
  <c r="S4260" i="12"/>
  <c r="S4261" i="12"/>
  <c r="S4262" i="12"/>
  <c r="S4263" i="12"/>
  <c r="S4264" i="12"/>
  <c r="S4265" i="12"/>
  <c r="S4266" i="12"/>
  <c r="S4267" i="12"/>
  <c r="S4268" i="12"/>
  <c r="S4269" i="12"/>
  <c r="S4270" i="12"/>
  <c r="S4271" i="12"/>
  <c r="S4272" i="12"/>
  <c r="S4273" i="12"/>
  <c r="S4274" i="12"/>
  <c r="S4275" i="12"/>
  <c r="S4276" i="12"/>
  <c r="S4277" i="12"/>
  <c r="S4278" i="12"/>
  <c r="S4279" i="12"/>
  <c r="S4280" i="12"/>
  <c r="S4281" i="12"/>
  <c r="S4282" i="12"/>
  <c r="S4283" i="12"/>
  <c r="S4284" i="12"/>
  <c r="S4285" i="12"/>
  <c r="S4286" i="12"/>
  <c r="S4287" i="12"/>
  <c r="S4288" i="12"/>
  <c r="S4289" i="12"/>
  <c r="S4290" i="12"/>
  <c r="S4291" i="12"/>
  <c r="S4292" i="12"/>
  <c r="S4293" i="12"/>
  <c r="S4294" i="12"/>
  <c r="S4295" i="12"/>
  <c r="S4296" i="12"/>
  <c r="S4297" i="12"/>
  <c r="S4298" i="12"/>
  <c r="S4299" i="12"/>
  <c r="S4300" i="12"/>
  <c r="S4301" i="12"/>
  <c r="S4302" i="12"/>
  <c r="S4303" i="12"/>
  <c r="S4304" i="12"/>
  <c r="S4305" i="12"/>
  <c r="S4306" i="12"/>
  <c r="S4307" i="12"/>
  <c r="S4308" i="12"/>
  <c r="S4309" i="12"/>
  <c r="S4310" i="12"/>
  <c r="S4311" i="12"/>
  <c r="S4312" i="12"/>
  <c r="S4313" i="12"/>
  <c r="S4314" i="12"/>
  <c r="S4315" i="12"/>
  <c r="S4316" i="12"/>
  <c r="S4317" i="12"/>
  <c r="S4318" i="12"/>
  <c r="S4319" i="12"/>
  <c r="S4320" i="12"/>
  <c r="S4321" i="12"/>
  <c r="S4322" i="12"/>
  <c r="S4323" i="12"/>
  <c r="S4324" i="12"/>
  <c r="S4325" i="12"/>
  <c r="S4326" i="12"/>
  <c r="S4327" i="12"/>
  <c r="S4328" i="12"/>
  <c r="S4329" i="12"/>
  <c r="S4330" i="12"/>
  <c r="S4331" i="12"/>
  <c r="S4332" i="12"/>
  <c r="S4333" i="12"/>
  <c r="S4334" i="12"/>
  <c r="S4335" i="12"/>
  <c r="S4336" i="12"/>
  <c r="S4337" i="12"/>
  <c r="S4338" i="12"/>
  <c r="S4339" i="12"/>
  <c r="S4340" i="12"/>
  <c r="S4341" i="12"/>
  <c r="S4342" i="12"/>
  <c r="S4343" i="12"/>
  <c r="S4344" i="12"/>
  <c r="S4345" i="12"/>
  <c r="S4346" i="12"/>
  <c r="S4347" i="12"/>
  <c r="S4348" i="12"/>
  <c r="S4349" i="12"/>
  <c r="S4350" i="12"/>
  <c r="S4351" i="12"/>
  <c r="S4352" i="12"/>
  <c r="S4353" i="12"/>
  <c r="S4354" i="12"/>
  <c r="S4355" i="12"/>
  <c r="S4356" i="12"/>
  <c r="S4357" i="12"/>
  <c r="S4358" i="12"/>
  <c r="S4359" i="12"/>
  <c r="S4360" i="12"/>
  <c r="S4361" i="12"/>
  <c r="S4362" i="12"/>
  <c r="S4363" i="12"/>
  <c r="S4364" i="12"/>
  <c r="S4365" i="12"/>
  <c r="S4366" i="12"/>
  <c r="S4367" i="12"/>
  <c r="S4368" i="12"/>
  <c r="S4369" i="12"/>
  <c r="S4370" i="12"/>
  <c r="S4371" i="12"/>
  <c r="S4372" i="12"/>
  <c r="S4373" i="12"/>
  <c r="S4374" i="12"/>
  <c r="S4375" i="12"/>
  <c r="S4376" i="12"/>
  <c r="S4377" i="12"/>
  <c r="S4378" i="12"/>
  <c r="S4379" i="12"/>
  <c r="S4380" i="12"/>
  <c r="S4381" i="12"/>
  <c r="S4382" i="12"/>
  <c r="S4383" i="12"/>
  <c r="S4384" i="12"/>
  <c r="S4385" i="12"/>
  <c r="S4386" i="12"/>
  <c r="S4387" i="12"/>
  <c r="S4388" i="12"/>
  <c r="S4389" i="12"/>
  <c r="S4390" i="12"/>
  <c r="S4391" i="12"/>
  <c r="S4392" i="12"/>
  <c r="S4393" i="12"/>
  <c r="S4394" i="12"/>
  <c r="S4395" i="12"/>
  <c r="S4396" i="12"/>
  <c r="S4397" i="12"/>
  <c r="S4398" i="12"/>
  <c r="S4399" i="12"/>
  <c r="S4400" i="12"/>
  <c r="S4401" i="12"/>
  <c r="S4402" i="12"/>
  <c r="S4403" i="12"/>
  <c r="S4404" i="12"/>
  <c r="S4405" i="12"/>
  <c r="S4406" i="12"/>
  <c r="S4407" i="12"/>
  <c r="S4408" i="12"/>
  <c r="S4409" i="12"/>
  <c r="S4410" i="12"/>
  <c r="S4411" i="12"/>
  <c r="S4412" i="12"/>
  <c r="S4413" i="12"/>
  <c r="S4414" i="12"/>
  <c r="S4415" i="12"/>
  <c r="S4416" i="12"/>
  <c r="S4417" i="12"/>
  <c r="S4418" i="12"/>
  <c r="S4419" i="12"/>
  <c r="S4420" i="12"/>
  <c r="S4421" i="12"/>
  <c r="S4422" i="12"/>
  <c r="S4423" i="12"/>
  <c r="S4424" i="12"/>
  <c r="S4425" i="12"/>
  <c r="S4426" i="12"/>
  <c r="S4427" i="12"/>
  <c r="S4428" i="12"/>
  <c r="S4429" i="12"/>
  <c r="S4430" i="12"/>
  <c r="S4431" i="12"/>
  <c r="S4432" i="12"/>
  <c r="S4433" i="12"/>
  <c r="S4434" i="12"/>
  <c r="S4435" i="12"/>
  <c r="S4436" i="12"/>
  <c r="S4437" i="12"/>
  <c r="S4438" i="12"/>
  <c r="S4439" i="12"/>
  <c r="S4440" i="12"/>
  <c r="S4441" i="12"/>
  <c r="S4442" i="12"/>
  <c r="S4443" i="12"/>
  <c r="S4444" i="12"/>
  <c r="S4445" i="12"/>
  <c r="S4446" i="12"/>
  <c r="S4447" i="12"/>
  <c r="S4448" i="12"/>
  <c r="S4449" i="12"/>
  <c r="S4450" i="12"/>
  <c r="S4451" i="12"/>
  <c r="S4452" i="12"/>
  <c r="S4453" i="12"/>
  <c r="S4454" i="12"/>
  <c r="S4455" i="12"/>
  <c r="S4456" i="12"/>
  <c r="S4457" i="12"/>
  <c r="S4458" i="12"/>
  <c r="S4459" i="12"/>
  <c r="S4460" i="12"/>
  <c r="S4461" i="12"/>
  <c r="S4462" i="12"/>
  <c r="S4463" i="12"/>
  <c r="S4464" i="12"/>
  <c r="S4465" i="12"/>
  <c r="S4466" i="12"/>
  <c r="S4467" i="12"/>
  <c r="S4468" i="12"/>
  <c r="S4469" i="12"/>
  <c r="S4470" i="12"/>
  <c r="S4471" i="12"/>
  <c r="S4472" i="12"/>
  <c r="S4473" i="12"/>
  <c r="S4474" i="12"/>
  <c r="S4475" i="12"/>
  <c r="S4476" i="12"/>
  <c r="S4477" i="12"/>
  <c r="S4478" i="12"/>
  <c r="S4479" i="12"/>
  <c r="S4480" i="12"/>
  <c r="S4481" i="12"/>
  <c r="S4482" i="12"/>
  <c r="S4483" i="12"/>
  <c r="S4484" i="12"/>
  <c r="S4485" i="12"/>
  <c r="S4486" i="12"/>
  <c r="S4487" i="12"/>
  <c r="S4488" i="12"/>
  <c r="S4489" i="12"/>
  <c r="S4490" i="12"/>
  <c r="S4491" i="12"/>
  <c r="S4492" i="12"/>
  <c r="S4493" i="12"/>
  <c r="S4494" i="12"/>
  <c r="S4495" i="12"/>
  <c r="S4496" i="12"/>
  <c r="S4497" i="12"/>
  <c r="S4498" i="12"/>
  <c r="S4499" i="12"/>
  <c r="S4500" i="12"/>
  <c r="S4501" i="12"/>
  <c r="S4502" i="12"/>
  <c r="S4503" i="12"/>
  <c r="S4504" i="12"/>
  <c r="S4505" i="12"/>
  <c r="S4506" i="12"/>
  <c r="S4507" i="12"/>
  <c r="S4508" i="12"/>
  <c r="S4509" i="12"/>
  <c r="S4510" i="12"/>
  <c r="S4511" i="12"/>
  <c r="S4512" i="12"/>
  <c r="S4513" i="12"/>
  <c r="S4514" i="12"/>
  <c r="S4515" i="12"/>
  <c r="S4516" i="12"/>
  <c r="S4517" i="12"/>
  <c r="S4518" i="12"/>
  <c r="S4519" i="12"/>
  <c r="S4520" i="12"/>
  <c r="S4521" i="12"/>
  <c r="S4522" i="12"/>
  <c r="S4523" i="12"/>
  <c r="S4524" i="12"/>
  <c r="S4525" i="12"/>
  <c r="S4526" i="12"/>
  <c r="S4527" i="12"/>
  <c r="S4528" i="12"/>
  <c r="S4529" i="12"/>
  <c r="S4530" i="12"/>
  <c r="S4531" i="12"/>
  <c r="S4532" i="12"/>
  <c r="S4533" i="12"/>
  <c r="S4534" i="12"/>
  <c r="S4535" i="12"/>
  <c r="S4536" i="12"/>
  <c r="S4537" i="12"/>
  <c r="S4538" i="12"/>
  <c r="S4539" i="12"/>
  <c r="S4540" i="12"/>
  <c r="S4541" i="12"/>
  <c r="S4542" i="12"/>
  <c r="S4543" i="12"/>
  <c r="S4544" i="12"/>
  <c r="S4545" i="12"/>
  <c r="S4546" i="12"/>
  <c r="S4547" i="12"/>
  <c r="S4548" i="12"/>
  <c r="S4549" i="12"/>
  <c r="S4550" i="12"/>
  <c r="S4551" i="12"/>
  <c r="S4552" i="12"/>
  <c r="S4553" i="12"/>
  <c r="S4554" i="12"/>
  <c r="S4555" i="12"/>
  <c r="S4556" i="12"/>
  <c r="S4557" i="12"/>
  <c r="S4558" i="12"/>
  <c r="S4559" i="12"/>
  <c r="S4560" i="12"/>
  <c r="S4561" i="12"/>
  <c r="S4562" i="12"/>
  <c r="S4563" i="12"/>
  <c r="S4564" i="12"/>
  <c r="S4565" i="12"/>
  <c r="S4566" i="12"/>
  <c r="S4567" i="12"/>
  <c r="S4568" i="12"/>
  <c r="S4569" i="12"/>
  <c r="S4570" i="12"/>
  <c r="S4571" i="12"/>
  <c r="S4572" i="12"/>
  <c r="S4573" i="12"/>
  <c r="S4574" i="12"/>
  <c r="S4575" i="12"/>
  <c r="S4576" i="12"/>
  <c r="S4577" i="12"/>
  <c r="S4578" i="12"/>
  <c r="S4579" i="12"/>
  <c r="S4580" i="12"/>
  <c r="S4581" i="12"/>
  <c r="S4582" i="12"/>
  <c r="S4583" i="12"/>
  <c r="S4584" i="12"/>
  <c r="S4585" i="12"/>
  <c r="S4586" i="12"/>
  <c r="S4587" i="12"/>
  <c r="S4588" i="12"/>
  <c r="S4589" i="12"/>
  <c r="S4590" i="12"/>
  <c r="S4591" i="12"/>
  <c r="S4592" i="12"/>
  <c r="S4593" i="12"/>
  <c r="S4594" i="12"/>
  <c r="S4595" i="12"/>
  <c r="S4596" i="12"/>
  <c r="S4597" i="12"/>
  <c r="S4598" i="12"/>
  <c r="S4599" i="12"/>
  <c r="S4600" i="12"/>
  <c r="S4601" i="12"/>
  <c r="S4602" i="12"/>
  <c r="S4603" i="12"/>
  <c r="S4604" i="12"/>
  <c r="S4605" i="12"/>
  <c r="S4606" i="12"/>
  <c r="S4607" i="12"/>
  <c r="S4608" i="12"/>
  <c r="S4609" i="12"/>
  <c r="S4610" i="12"/>
  <c r="S4611" i="12"/>
  <c r="S4612" i="12"/>
  <c r="S4613" i="12"/>
  <c r="S4614" i="12"/>
  <c r="S4615" i="12"/>
  <c r="S4616" i="12"/>
  <c r="S4617" i="12"/>
  <c r="S4618" i="12"/>
  <c r="S4619" i="12"/>
  <c r="S4620" i="12"/>
  <c r="S4621" i="12"/>
  <c r="S4622" i="12"/>
  <c r="S4623" i="12"/>
  <c r="S4624" i="12"/>
  <c r="S4625" i="12"/>
  <c r="S4626" i="12"/>
  <c r="S4627" i="12"/>
  <c r="S4628" i="12"/>
  <c r="S4629" i="12"/>
  <c r="S4630" i="12"/>
  <c r="S4631" i="12"/>
  <c r="S4632" i="12"/>
  <c r="S4633" i="12"/>
  <c r="S4634" i="12"/>
  <c r="S4635" i="12"/>
  <c r="S4636" i="12"/>
  <c r="S4637" i="12"/>
  <c r="S4638" i="12"/>
  <c r="S4639" i="12"/>
  <c r="S4640" i="12"/>
  <c r="S4641" i="12"/>
  <c r="S4642" i="12"/>
  <c r="S4643" i="12"/>
  <c r="S4644" i="12"/>
  <c r="S4645" i="12"/>
  <c r="S4646" i="12"/>
  <c r="S4647" i="12"/>
  <c r="S4648" i="12"/>
  <c r="S4649" i="12"/>
  <c r="S4650" i="12"/>
  <c r="S4651" i="12"/>
  <c r="S4652" i="12"/>
  <c r="S4653" i="12"/>
  <c r="S4654" i="12"/>
  <c r="S4655" i="12"/>
  <c r="S4656" i="12"/>
  <c r="S4657" i="12"/>
  <c r="S4658" i="12"/>
  <c r="S4659" i="12"/>
  <c r="S4660" i="12"/>
  <c r="S4661" i="12"/>
  <c r="S4662" i="12"/>
  <c r="S4663" i="12"/>
  <c r="S4664" i="12"/>
  <c r="S4665" i="12"/>
  <c r="S4666" i="12"/>
  <c r="S4667" i="12"/>
  <c r="S4668" i="12"/>
  <c r="S4669" i="12"/>
  <c r="S4670" i="12"/>
  <c r="S4671" i="12"/>
  <c r="S4672" i="12"/>
  <c r="S4673" i="12"/>
  <c r="S4674" i="12"/>
  <c r="S4675" i="12"/>
  <c r="S4676" i="12"/>
  <c r="S4677" i="12"/>
  <c r="S4678" i="12"/>
  <c r="S4679" i="12"/>
  <c r="S4680" i="12"/>
  <c r="S4681" i="12"/>
  <c r="S4682" i="12"/>
  <c r="S4683" i="12"/>
  <c r="S4684" i="12"/>
  <c r="S4685" i="12"/>
  <c r="S4686" i="12"/>
  <c r="S4687" i="12"/>
  <c r="S4688" i="12"/>
  <c r="S4689" i="12"/>
  <c r="S4690" i="12"/>
  <c r="S4691" i="12"/>
  <c r="S4692" i="12"/>
  <c r="S4693" i="12"/>
  <c r="S4694" i="12"/>
  <c r="S4695" i="12"/>
  <c r="S4696" i="12"/>
  <c r="S4697" i="12"/>
  <c r="S4698" i="12"/>
  <c r="S4699" i="12"/>
  <c r="S4700" i="12"/>
  <c r="S4701" i="12"/>
  <c r="S4702" i="12"/>
  <c r="S4703" i="12"/>
  <c r="S4704" i="12"/>
  <c r="S4705" i="12"/>
  <c r="S4706" i="12"/>
  <c r="S4707" i="12"/>
  <c r="S4708" i="12"/>
  <c r="S4709" i="12"/>
  <c r="S4710" i="12"/>
  <c r="S4711" i="12"/>
  <c r="S4712" i="12"/>
  <c r="S4713" i="12"/>
  <c r="S4714" i="12"/>
  <c r="S4715" i="12"/>
  <c r="S4716" i="12"/>
  <c r="S4717" i="12"/>
  <c r="S4718" i="12"/>
  <c r="S4719" i="12"/>
  <c r="S4720" i="12"/>
  <c r="S4721" i="12"/>
  <c r="S4722" i="12"/>
  <c r="S4723" i="12"/>
  <c r="S4724" i="12"/>
  <c r="S4725" i="12"/>
  <c r="S4726" i="12"/>
  <c r="S4727" i="12"/>
  <c r="S4728" i="12"/>
  <c r="S4729" i="12"/>
  <c r="S4730" i="12"/>
  <c r="S4731" i="12"/>
  <c r="S4732" i="12"/>
  <c r="S4733" i="12"/>
  <c r="S4734" i="12"/>
  <c r="S4735" i="12"/>
  <c r="S4736" i="12"/>
  <c r="S4737" i="12"/>
  <c r="S4738" i="12"/>
  <c r="S4739" i="12"/>
  <c r="S4740" i="12"/>
  <c r="S4741" i="12"/>
  <c r="S4742" i="12"/>
  <c r="S4743" i="12"/>
  <c r="S4744" i="12"/>
  <c r="S4745" i="12"/>
  <c r="S4746" i="12"/>
  <c r="S4747" i="12"/>
  <c r="S4748" i="12"/>
  <c r="S4749" i="12"/>
  <c r="S4750" i="12"/>
  <c r="S4751" i="12"/>
  <c r="S4752" i="12"/>
  <c r="S4753" i="12"/>
  <c r="S4754" i="12"/>
  <c r="S4755" i="12"/>
  <c r="S4756" i="12"/>
  <c r="S4757" i="12"/>
  <c r="S4758" i="12"/>
  <c r="S4759" i="12"/>
  <c r="S4760" i="12"/>
  <c r="S4761" i="12"/>
  <c r="S4762" i="12"/>
  <c r="S4763" i="12"/>
  <c r="S4764" i="12"/>
  <c r="S4765" i="12"/>
  <c r="S4766" i="12"/>
  <c r="S4767" i="12"/>
  <c r="S4768" i="12"/>
  <c r="S4769" i="12"/>
  <c r="S4770" i="12"/>
  <c r="S4771" i="12"/>
  <c r="S4772" i="12"/>
  <c r="S4773" i="12"/>
  <c r="S4774" i="12"/>
  <c r="S4775" i="12"/>
  <c r="S4776" i="12"/>
  <c r="S4777" i="12"/>
  <c r="S4778" i="12"/>
  <c r="S4779" i="12"/>
  <c r="S4780" i="12"/>
  <c r="S4781" i="12"/>
  <c r="S4782" i="12"/>
  <c r="S4783" i="12"/>
  <c r="S4784" i="12"/>
  <c r="S4785" i="12"/>
  <c r="S4786" i="12"/>
  <c r="S4787" i="12"/>
  <c r="S4788" i="12"/>
  <c r="S4789" i="12"/>
  <c r="S4790" i="12"/>
  <c r="S4791" i="12"/>
  <c r="S4792" i="12"/>
  <c r="S4793" i="12"/>
  <c r="S4794" i="12"/>
  <c r="S4795" i="12"/>
  <c r="S4796" i="12"/>
  <c r="S4797" i="12"/>
  <c r="S4798" i="12"/>
  <c r="S4799" i="12"/>
  <c r="S4800" i="12"/>
  <c r="S4801" i="12"/>
  <c r="S4802" i="12"/>
  <c r="S4803" i="12"/>
  <c r="S4804" i="12"/>
  <c r="S4805" i="12"/>
  <c r="S4806" i="12"/>
  <c r="S4807" i="12"/>
  <c r="S4808" i="12"/>
  <c r="S4809" i="12"/>
  <c r="S4810" i="12"/>
  <c r="S4811" i="12"/>
  <c r="S4812" i="12"/>
  <c r="S4813" i="12"/>
  <c r="S4814" i="12"/>
  <c r="S4815" i="12"/>
  <c r="S4816" i="12"/>
  <c r="S4817" i="12"/>
  <c r="S4818" i="12"/>
  <c r="S4819" i="12"/>
  <c r="S4820" i="12"/>
  <c r="S4821" i="12"/>
  <c r="S4822" i="12"/>
  <c r="S4823" i="12"/>
  <c r="S4824" i="12"/>
  <c r="S4825" i="12"/>
  <c r="S4826" i="12"/>
  <c r="S4827" i="12"/>
  <c r="S4828" i="12"/>
  <c r="S4829" i="12"/>
  <c r="S4830" i="12"/>
  <c r="S4831" i="12"/>
  <c r="S4832" i="12"/>
  <c r="S4833" i="12"/>
  <c r="S4834" i="12"/>
  <c r="S4835" i="12"/>
  <c r="S4836" i="12"/>
  <c r="S4837" i="12"/>
  <c r="S4838" i="12"/>
  <c r="S4839" i="12"/>
  <c r="S4840" i="12"/>
  <c r="S4841" i="12"/>
  <c r="S4842" i="12"/>
  <c r="S4843" i="12"/>
  <c r="S4844" i="12"/>
  <c r="S4845" i="12"/>
  <c r="S4846" i="12"/>
  <c r="S4847" i="12"/>
  <c r="S4848" i="12"/>
  <c r="S4849" i="12"/>
  <c r="S4850" i="12"/>
  <c r="S4851" i="12"/>
  <c r="S4852" i="12"/>
  <c r="S4853" i="12"/>
  <c r="S4854" i="12"/>
  <c r="S4855" i="12"/>
  <c r="S4856" i="12"/>
  <c r="S4857" i="12"/>
  <c r="S4858" i="12"/>
  <c r="S4859" i="12"/>
  <c r="S4860" i="12"/>
  <c r="S4861" i="12"/>
  <c r="S4862" i="12"/>
  <c r="S4863" i="12"/>
  <c r="S4864" i="12"/>
  <c r="S4865" i="12"/>
  <c r="S4866" i="12"/>
  <c r="S4867" i="12"/>
  <c r="S4868" i="12"/>
  <c r="S4869" i="12"/>
  <c r="S4870" i="12"/>
  <c r="S4871" i="12"/>
  <c r="S4872" i="12"/>
  <c r="S4873" i="12"/>
  <c r="S4874" i="12"/>
  <c r="S4875" i="12"/>
  <c r="S4876" i="12"/>
  <c r="S4877" i="12"/>
  <c r="S4878" i="12"/>
  <c r="S4879" i="12"/>
  <c r="S4880" i="12"/>
  <c r="S4881" i="12"/>
  <c r="S4882" i="12"/>
  <c r="S4883" i="12"/>
  <c r="S4884" i="12"/>
  <c r="S4885" i="12"/>
  <c r="S4886" i="12"/>
  <c r="S4887" i="12"/>
  <c r="S4888" i="12"/>
  <c r="S4889" i="12"/>
  <c r="S4890" i="12"/>
  <c r="S4891" i="12"/>
  <c r="S4892" i="12"/>
  <c r="S4893" i="12"/>
  <c r="S4894" i="12"/>
  <c r="S4895" i="12"/>
  <c r="S4896" i="12"/>
  <c r="S4897" i="12"/>
  <c r="S4898" i="12"/>
  <c r="S4899" i="12"/>
  <c r="S4900" i="12"/>
  <c r="S4901" i="12"/>
  <c r="S4902" i="12"/>
  <c r="S4903" i="12"/>
  <c r="S4904" i="12"/>
  <c r="S4905" i="12"/>
  <c r="S4906" i="12"/>
  <c r="S4907" i="12"/>
  <c r="S4908" i="12"/>
  <c r="S4909" i="12"/>
  <c r="S4910" i="12"/>
  <c r="S4911" i="12"/>
  <c r="S4912" i="12"/>
  <c r="S4913" i="12"/>
  <c r="S4914" i="12"/>
  <c r="S4915" i="12"/>
  <c r="S4916" i="12"/>
  <c r="S4917" i="12"/>
  <c r="S4918" i="12"/>
  <c r="S4919" i="12"/>
  <c r="S4920" i="12"/>
  <c r="S4921" i="12"/>
  <c r="S4922" i="12"/>
  <c r="S4923" i="12"/>
  <c r="S4924" i="12"/>
  <c r="S4925" i="12"/>
  <c r="S4926" i="12"/>
  <c r="S4927" i="12"/>
  <c r="S4928" i="12"/>
  <c r="S4929" i="12"/>
  <c r="S4930" i="12"/>
  <c r="S4931" i="12"/>
  <c r="S4932" i="12"/>
  <c r="S4933" i="12"/>
  <c r="S4934" i="12"/>
  <c r="S4935" i="12"/>
  <c r="S4936" i="12"/>
  <c r="S4937" i="12"/>
  <c r="S4938" i="12"/>
  <c r="S4939" i="12"/>
  <c r="S4940" i="12"/>
  <c r="S4941" i="12"/>
  <c r="S4942" i="12"/>
  <c r="S4943" i="12"/>
  <c r="S4944" i="12"/>
  <c r="S4945" i="12"/>
  <c r="S4946" i="12"/>
  <c r="S4947" i="12"/>
  <c r="S4948" i="12"/>
  <c r="S4949" i="12"/>
  <c r="S4950" i="12"/>
  <c r="S4951" i="12"/>
  <c r="S4952" i="12"/>
  <c r="S4953" i="12"/>
  <c r="S4954" i="12"/>
  <c r="S4955" i="12"/>
  <c r="S54"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O1002" i="12"/>
  <c r="O1003" i="12"/>
  <c r="O1004" i="12"/>
  <c r="O1005" i="12"/>
  <c r="O1006" i="12"/>
  <c r="O1007" i="12"/>
  <c r="O1008" i="12"/>
  <c r="O1009" i="12"/>
  <c r="O1010" i="12"/>
  <c r="O1011" i="12"/>
  <c r="O1012" i="12"/>
  <c r="O1013" i="12"/>
  <c r="O1014" i="12"/>
  <c r="O1015" i="12"/>
  <c r="O1016" i="12"/>
  <c r="O1017" i="12"/>
  <c r="O1018" i="12"/>
  <c r="O1019" i="12"/>
  <c r="O1020" i="12"/>
  <c r="O1021" i="12"/>
  <c r="O1022" i="12"/>
  <c r="O1023" i="12"/>
  <c r="O1024" i="12"/>
  <c r="O1025" i="12"/>
  <c r="O1026" i="12"/>
  <c r="O1027" i="12"/>
  <c r="O1028" i="12"/>
  <c r="O1029" i="12"/>
  <c r="O1030" i="12"/>
  <c r="O1031" i="12"/>
  <c r="O1032" i="12"/>
  <c r="O1033" i="12"/>
  <c r="O1034" i="12"/>
  <c r="O1035" i="12"/>
  <c r="O1036" i="12"/>
  <c r="O1037" i="12"/>
  <c r="O1038" i="12"/>
  <c r="O1039" i="12"/>
  <c r="O1040" i="12"/>
  <c r="O1041" i="12"/>
  <c r="O1042" i="12"/>
  <c r="O1043" i="12"/>
  <c r="O1044" i="12"/>
  <c r="O1045" i="12"/>
  <c r="O1046" i="12"/>
  <c r="O1047" i="12"/>
  <c r="O1048" i="12"/>
  <c r="O1049" i="12"/>
  <c r="O1050" i="12"/>
  <c r="O1051" i="12"/>
  <c r="O1052" i="12"/>
  <c r="O1053" i="12"/>
  <c r="O1054" i="12"/>
  <c r="O1055" i="12"/>
  <c r="O1056" i="12"/>
  <c r="O1057" i="12"/>
  <c r="O1058" i="12"/>
  <c r="O1059" i="12"/>
  <c r="O1060" i="12"/>
  <c r="O1061" i="12"/>
  <c r="O1062" i="12"/>
  <c r="O1063" i="12"/>
  <c r="O1064" i="12"/>
  <c r="O1065" i="12"/>
  <c r="O1066" i="12"/>
  <c r="O1067" i="12"/>
  <c r="O55" i="12"/>
  <c r="H55" i="12"/>
  <c r="H56" i="12"/>
  <c r="H57" i="12"/>
  <c r="H58" i="12"/>
  <c r="H59" i="12"/>
  <c r="I59" i="12" s="1"/>
  <c r="H60" i="12"/>
  <c r="H61" i="12"/>
  <c r="H62" i="12"/>
  <c r="H63" i="12"/>
  <c r="H64" i="12"/>
  <c r="H65" i="12"/>
  <c r="H66" i="12"/>
  <c r="H67" i="12"/>
  <c r="H68" i="12"/>
  <c r="H69" i="12"/>
  <c r="H70" i="12"/>
  <c r="I70" i="12" s="1"/>
  <c r="H71" i="12"/>
  <c r="H72" i="12"/>
  <c r="H73" i="12"/>
  <c r="H74" i="12"/>
  <c r="H75" i="12"/>
  <c r="I75" i="12" s="1"/>
  <c r="H76" i="12"/>
  <c r="H77" i="12"/>
  <c r="H78" i="12"/>
  <c r="H79" i="12"/>
  <c r="H80" i="12"/>
  <c r="H81" i="12"/>
  <c r="H82" i="12"/>
  <c r="H83" i="12"/>
  <c r="I83" i="12" s="1"/>
  <c r="H84" i="12"/>
  <c r="H85" i="12"/>
  <c r="H86" i="12"/>
  <c r="H87" i="12"/>
  <c r="H88" i="12"/>
  <c r="H89" i="12"/>
  <c r="H90" i="12"/>
  <c r="H91" i="12"/>
  <c r="H92" i="12"/>
  <c r="H93" i="12"/>
  <c r="H94" i="12"/>
  <c r="I94" i="12" s="1"/>
  <c r="H95" i="12"/>
  <c r="H96" i="12"/>
  <c r="H97" i="12"/>
  <c r="H98" i="12"/>
  <c r="H99" i="12"/>
  <c r="H100" i="12"/>
  <c r="H101" i="12"/>
  <c r="H102" i="12"/>
  <c r="H103" i="12"/>
  <c r="H104" i="12"/>
  <c r="H105" i="12"/>
  <c r="H106" i="12"/>
  <c r="H107" i="12"/>
  <c r="H108" i="12"/>
  <c r="H109" i="12"/>
  <c r="H110" i="12"/>
  <c r="H111" i="12"/>
  <c r="H112" i="12"/>
  <c r="H113" i="12"/>
  <c r="H114" i="12"/>
  <c r="H115" i="12"/>
  <c r="I115" i="12" s="1"/>
  <c r="H116" i="12"/>
  <c r="H117" i="12"/>
  <c r="H118" i="12"/>
  <c r="H119" i="12"/>
  <c r="H120" i="12"/>
  <c r="H121" i="12"/>
  <c r="H122" i="12"/>
  <c r="H123" i="12"/>
  <c r="H124" i="12"/>
  <c r="H125" i="12"/>
  <c r="H126" i="12"/>
  <c r="I126" i="12" s="1"/>
  <c r="H127" i="12"/>
  <c r="H128" i="12"/>
  <c r="H129" i="12"/>
  <c r="H130" i="12"/>
  <c r="H131" i="12"/>
  <c r="I131" i="12" s="1"/>
  <c r="H132" i="12"/>
  <c r="H133" i="12"/>
  <c r="H134" i="12"/>
  <c r="H135" i="12"/>
  <c r="H136" i="12"/>
  <c r="H137" i="12"/>
  <c r="H138" i="12"/>
  <c r="H139" i="12"/>
  <c r="I139" i="12" s="1"/>
  <c r="H140" i="12"/>
  <c r="H141" i="12"/>
  <c r="H142" i="12"/>
  <c r="H143" i="12"/>
  <c r="H144" i="12"/>
  <c r="H145" i="12"/>
  <c r="H146" i="12"/>
  <c r="H147" i="12"/>
  <c r="H148" i="12"/>
  <c r="H149" i="12"/>
  <c r="H150" i="12"/>
  <c r="I150" i="12" s="1"/>
  <c r="H151" i="12"/>
  <c r="H152" i="12"/>
  <c r="H153" i="12"/>
  <c r="H154" i="12"/>
  <c r="H155" i="12"/>
  <c r="H156" i="12"/>
  <c r="H157" i="12"/>
  <c r="H158" i="12"/>
  <c r="H159" i="12"/>
  <c r="H160" i="12"/>
  <c r="H161" i="12"/>
  <c r="H162" i="12"/>
  <c r="H163" i="12"/>
  <c r="H164" i="12"/>
  <c r="H165" i="12"/>
  <c r="H166" i="12"/>
  <c r="H167" i="12"/>
  <c r="H168" i="12"/>
  <c r="H169" i="12"/>
  <c r="H170" i="12"/>
  <c r="H171" i="12"/>
  <c r="I171" i="12" s="1"/>
  <c r="H172" i="12"/>
  <c r="H173" i="12"/>
  <c r="H174" i="12"/>
  <c r="H175" i="12"/>
  <c r="H176" i="12"/>
  <c r="H177" i="12"/>
  <c r="H178" i="12"/>
  <c r="H179" i="12"/>
  <c r="H180" i="12"/>
  <c r="H181" i="12"/>
  <c r="H182" i="12"/>
  <c r="I182" i="12" s="1"/>
  <c r="H183" i="12"/>
  <c r="H184" i="12"/>
  <c r="H185" i="12"/>
  <c r="H186" i="12"/>
  <c r="H187" i="12"/>
  <c r="I187" i="12" s="1"/>
  <c r="H188" i="12"/>
  <c r="H189" i="12"/>
  <c r="H190" i="12"/>
  <c r="H191" i="12"/>
  <c r="H192" i="12"/>
  <c r="H193" i="12"/>
  <c r="H194" i="12"/>
  <c r="H195" i="12"/>
  <c r="I195" i="12" s="1"/>
  <c r="H196" i="12"/>
  <c r="H197" i="12"/>
  <c r="H198" i="12"/>
  <c r="H199" i="12"/>
  <c r="H200" i="12"/>
  <c r="H201" i="12"/>
  <c r="H202" i="12"/>
  <c r="H203" i="12"/>
  <c r="H204" i="12"/>
  <c r="H205" i="12"/>
  <c r="H206" i="12"/>
  <c r="I206" i="12" s="1"/>
  <c r="H207" i="12"/>
  <c r="H208" i="12"/>
  <c r="H209" i="12"/>
  <c r="H210" i="12"/>
  <c r="H211" i="12"/>
  <c r="H212" i="12"/>
  <c r="H213" i="12"/>
  <c r="H214" i="12"/>
  <c r="H215" i="12"/>
  <c r="H216" i="12"/>
  <c r="H217" i="12"/>
  <c r="H218" i="12"/>
  <c r="H219" i="12"/>
  <c r="H220" i="12"/>
  <c r="H221" i="12"/>
  <c r="H222" i="12"/>
  <c r="H223" i="12"/>
  <c r="H224" i="12"/>
  <c r="H225" i="12"/>
  <c r="H226" i="12"/>
  <c r="H227" i="12"/>
  <c r="I227" i="12" s="1"/>
  <c r="H228" i="12"/>
  <c r="H229" i="12"/>
  <c r="H230" i="12"/>
  <c r="H231" i="12"/>
  <c r="H232" i="12"/>
  <c r="H233" i="12"/>
  <c r="H234" i="12"/>
  <c r="H235" i="12"/>
  <c r="I235" i="12" s="1"/>
  <c r="H236" i="12"/>
  <c r="H237" i="12"/>
  <c r="H238" i="12"/>
  <c r="I238" i="12" s="1"/>
  <c r="H239" i="12"/>
  <c r="H240" i="12"/>
  <c r="H241" i="12"/>
  <c r="H242" i="12"/>
  <c r="H243" i="12"/>
  <c r="I243" i="12" s="1"/>
  <c r="H244" i="12"/>
  <c r="H245" i="12"/>
  <c r="H246" i="12"/>
  <c r="H247" i="12"/>
  <c r="H248" i="12"/>
  <c r="H249" i="12"/>
  <c r="H250" i="12"/>
  <c r="H251" i="12"/>
  <c r="I251" i="12" s="1"/>
  <c r="H252" i="12"/>
  <c r="H253" i="12"/>
  <c r="H254" i="12"/>
  <c r="H255" i="12"/>
  <c r="H256" i="12"/>
  <c r="H257" i="12"/>
  <c r="H258" i="12"/>
  <c r="H259" i="12"/>
  <c r="H260" i="12"/>
  <c r="H261" i="12"/>
  <c r="H262" i="12"/>
  <c r="I262" i="12" s="1"/>
  <c r="H263" i="12"/>
  <c r="H264" i="12"/>
  <c r="H265" i="12"/>
  <c r="H266" i="12"/>
  <c r="H267" i="12"/>
  <c r="H268" i="12"/>
  <c r="H269" i="12"/>
  <c r="H270" i="12"/>
  <c r="H271" i="12"/>
  <c r="H272" i="12"/>
  <c r="H273" i="12"/>
  <c r="H274" i="12"/>
  <c r="H275" i="12"/>
  <c r="H276" i="12"/>
  <c r="H277" i="12"/>
  <c r="H278" i="12"/>
  <c r="H279" i="12"/>
  <c r="H280" i="12"/>
  <c r="H281" i="12"/>
  <c r="H282" i="12"/>
  <c r="H283" i="12"/>
  <c r="I283" i="12" s="1"/>
  <c r="H284" i="12"/>
  <c r="H285" i="12"/>
  <c r="H286" i="12"/>
  <c r="H287" i="12"/>
  <c r="H288" i="12"/>
  <c r="H289" i="12"/>
  <c r="H290" i="12"/>
  <c r="H291" i="12"/>
  <c r="I291" i="12" s="1"/>
  <c r="H292" i="12"/>
  <c r="H293" i="12"/>
  <c r="H294" i="12"/>
  <c r="I294" i="12" s="1"/>
  <c r="H295" i="12"/>
  <c r="H296" i="12"/>
  <c r="H297" i="12"/>
  <c r="H298" i="12"/>
  <c r="H299" i="12"/>
  <c r="I299" i="12" s="1"/>
  <c r="H300" i="12"/>
  <c r="H301" i="12"/>
  <c r="H302" i="12"/>
  <c r="H303" i="12"/>
  <c r="H304" i="12"/>
  <c r="H305" i="12"/>
  <c r="H306" i="12"/>
  <c r="H307" i="12"/>
  <c r="I307" i="12" s="1"/>
  <c r="H308" i="12"/>
  <c r="H309" i="12"/>
  <c r="H310" i="12"/>
  <c r="H311" i="12"/>
  <c r="H312" i="12"/>
  <c r="H313" i="12"/>
  <c r="H314" i="12"/>
  <c r="H315" i="12"/>
  <c r="H316" i="12"/>
  <c r="H317" i="12"/>
  <c r="H318" i="12"/>
  <c r="I318" i="12" s="1"/>
  <c r="H319" i="12"/>
  <c r="H320" i="12"/>
  <c r="H321" i="12"/>
  <c r="H322" i="12"/>
  <c r="H323" i="12"/>
  <c r="H324" i="12"/>
  <c r="H325" i="12"/>
  <c r="H326" i="12"/>
  <c r="H327" i="12"/>
  <c r="H328" i="12"/>
  <c r="H329" i="12"/>
  <c r="H330" i="12"/>
  <c r="H331" i="12"/>
  <c r="H332" i="12"/>
  <c r="H333" i="12"/>
  <c r="H334" i="12"/>
  <c r="H335" i="12"/>
  <c r="H336" i="12"/>
  <c r="H337" i="12"/>
  <c r="H338" i="12"/>
  <c r="H339" i="12"/>
  <c r="I339" i="12" s="1"/>
  <c r="H340" i="12"/>
  <c r="H341" i="12"/>
  <c r="H342" i="12"/>
  <c r="H343" i="12"/>
  <c r="H344" i="12"/>
  <c r="H345" i="12"/>
  <c r="H346" i="12"/>
  <c r="H347" i="12"/>
  <c r="I347" i="12" s="1"/>
  <c r="H348" i="12"/>
  <c r="H349" i="12"/>
  <c r="H350" i="12"/>
  <c r="I350" i="12" s="1"/>
  <c r="H351" i="12"/>
  <c r="H352" i="12"/>
  <c r="H353" i="12"/>
  <c r="H354" i="12"/>
  <c r="H355" i="12"/>
  <c r="I355" i="12" s="1"/>
  <c r="H356" i="12"/>
  <c r="H357" i="12"/>
  <c r="H358" i="12"/>
  <c r="H359" i="12"/>
  <c r="H360" i="12"/>
  <c r="H361" i="12"/>
  <c r="H362" i="12"/>
  <c r="H363" i="12"/>
  <c r="I363" i="12" s="1"/>
  <c r="H364" i="12"/>
  <c r="H365" i="12"/>
  <c r="H366" i="12"/>
  <c r="H367" i="12"/>
  <c r="H368" i="12"/>
  <c r="H369" i="12"/>
  <c r="H370" i="12"/>
  <c r="H371" i="12"/>
  <c r="H372" i="12"/>
  <c r="H373" i="12"/>
  <c r="H374" i="12"/>
  <c r="I374" i="12" s="1"/>
  <c r="H375" i="12"/>
  <c r="H376" i="12"/>
  <c r="H377" i="12"/>
  <c r="H378" i="12"/>
  <c r="H379" i="12"/>
  <c r="H380" i="12"/>
  <c r="H381" i="12"/>
  <c r="H382" i="12"/>
  <c r="H383" i="12"/>
  <c r="H384" i="12"/>
  <c r="H385" i="12"/>
  <c r="H386" i="12"/>
  <c r="H387" i="12"/>
  <c r="H388" i="12"/>
  <c r="H389" i="12"/>
  <c r="H390" i="12"/>
  <c r="H391" i="12"/>
  <c r="H392" i="12"/>
  <c r="H393" i="12"/>
  <c r="H394" i="12"/>
  <c r="H395" i="12"/>
  <c r="I395" i="12" s="1"/>
  <c r="H396" i="12"/>
  <c r="H397" i="12"/>
  <c r="H398" i="12"/>
  <c r="H399" i="12"/>
  <c r="H400" i="12"/>
  <c r="H401" i="12"/>
  <c r="H402" i="12"/>
  <c r="H403" i="12"/>
  <c r="I403" i="12" s="1"/>
  <c r="H404" i="12"/>
  <c r="H405" i="12"/>
  <c r="H406" i="12"/>
  <c r="I406" i="12" s="1"/>
  <c r="H407" i="12"/>
  <c r="H408" i="12"/>
  <c r="H409" i="12"/>
  <c r="H410" i="12"/>
  <c r="H411" i="12"/>
  <c r="I411" i="12" s="1"/>
  <c r="H412" i="12"/>
  <c r="H413" i="12"/>
  <c r="H414" i="12"/>
  <c r="H415" i="12"/>
  <c r="H416" i="12"/>
  <c r="H417" i="12"/>
  <c r="H418" i="12"/>
  <c r="H419" i="12"/>
  <c r="H420" i="12"/>
  <c r="H421" i="12"/>
  <c r="H422" i="12"/>
  <c r="H423" i="12"/>
  <c r="H424" i="12"/>
  <c r="H425" i="12"/>
  <c r="H426" i="12"/>
  <c r="H427" i="12"/>
  <c r="H428" i="12"/>
  <c r="H429" i="12"/>
  <c r="H430" i="12"/>
  <c r="I430" i="12" s="1"/>
  <c r="H431" i="12"/>
  <c r="H432" i="12"/>
  <c r="H433" i="12"/>
  <c r="H434" i="12"/>
  <c r="H435" i="12"/>
  <c r="H436" i="12"/>
  <c r="H437" i="12"/>
  <c r="H438" i="12"/>
  <c r="H439" i="12"/>
  <c r="H440" i="12"/>
  <c r="H441" i="12"/>
  <c r="H442" i="12"/>
  <c r="H443" i="12"/>
  <c r="H444" i="12"/>
  <c r="H445" i="12"/>
  <c r="H446" i="12"/>
  <c r="H447" i="12"/>
  <c r="H448" i="12"/>
  <c r="H449" i="12"/>
  <c r="H450" i="12"/>
  <c r="H451" i="12"/>
  <c r="I451" i="12" s="1"/>
  <c r="H452" i="12"/>
  <c r="H453" i="12"/>
  <c r="H454" i="12"/>
  <c r="H455" i="12"/>
  <c r="H456" i="12"/>
  <c r="H457" i="12"/>
  <c r="H458" i="12"/>
  <c r="H459" i="12"/>
  <c r="H460" i="12"/>
  <c r="H461" i="12"/>
  <c r="H462" i="12"/>
  <c r="I462" i="12" s="1"/>
  <c r="H463" i="12"/>
  <c r="H464" i="12"/>
  <c r="H465" i="12"/>
  <c r="H466" i="12"/>
  <c r="H467" i="12"/>
  <c r="I467" i="12" s="1"/>
  <c r="H468" i="12"/>
  <c r="H469" i="12"/>
  <c r="H470" i="12"/>
  <c r="H471" i="12"/>
  <c r="H472" i="12"/>
  <c r="H473" i="12"/>
  <c r="H474" i="12"/>
  <c r="H475" i="12"/>
  <c r="I475" i="12" s="1"/>
  <c r="H476" i="12"/>
  <c r="H477" i="12"/>
  <c r="H478" i="12"/>
  <c r="H479" i="12"/>
  <c r="H480" i="12"/>
  <c r="H481" i="12"/>
  <c r="H482" i="12"/>
  <c r="H483" i="12"/>
  <c r="H484" i="12"/>
  <c r="H485" i="12"/>
  <c r="H486" i="12"/>
  <c r="I486" i="12" s="1"/>
  <c r="H487" i="12"/>
  <c r="H488" i="12"/>
  <c r="H489" i="12"/>
  <c r="H490" i="12"/>
  <c r="H491" i="12"/>
  <c r="H492" i="12"/>
  <c r="H493" i="12"/>
  <c r="H494" i="12"/>
  <c r="H495" i="12"/>
  <c r="H496" i="12"/>
  <c r="H497" i="12"/>
  <c r="H498" i="12"/>
  <c r="H499" i="12"/>
  <c r="H500" i="12"/>
  <c r="H501" i="12"/>
  <c r="H502" i="12"/>
  <c r="H503" i="12"/>
  <c r="H504" i="12"/>
  <c r="H505" i="12"/>
  <c r="H506" i="12"/>
  <c r="H507" i="12"/>
  <c r="I507" i="12" s="1"/>
  <c r="H508" i="12"/>
  <c r="H509" i="12"/>
  <c r="H510" i="12"/>
  <c r="H511" i="12"/>
  <c r="H512" i="12"/>
  <c r="H513" i="12"/>
  <c r="H514" i="12"/>
  <c r="H515" i="12"/>
  <c r="H516" i="12"/>
  <c r="H517" i="12"/>
  <c r="H518" i="12"/>
  <c r="I518" i="12" s="1"/>
  <c r="H519" i="12"/>
  <c r="H520" i="12"/>
  <c r="H521" i="12"/>
  <c r="H522" i="12"/>
  <c r="H523" i="12"/>
  <c r="I523" i="12" s="1"/>
  <c r="H524" i="12"/>
  <c r="H525" i="12"/>
  <c r="H526" i="12"/>
  <c r="H527" i="12"/>
  <c r="H528" i="12"/>
  <c r="H529" i="12"/>
  <c r="H530" i="12"/>
  <c r="H531" i="12"/>
  <c r="I531" i="12" s="1"/>
  <c r="H532" i="12"/>
  <c r="H533" i="12"/>
  <c r="H534" i="12"/>
  <c r="H535" i="12"/>
  <c r="I535" i="12" s="1"/>
  <c r="H536" i="12"/>
  <c r="H537" i="12"/>
  <c r="H538" i="12"/>
  <c r="H539" i="12"/>
  <c r="H540" i="12"/>
  <c r="H541" i="12"/>
  <c r="H542" i="12"/>
  <c r="I542" i="12" s="1"/>
  <c r="H543" i="12"/>
  <c r="H544" i="12"/>
  <c r="H545" i="12"/>
  <c r="H546" i="12"/>
  <c r="H547" i="12"/>
  <c r="H548" i="12"/>
  <c r="H549" i="12"/>
  <c r="H550" i="12"/>
  <c r="H551" i="12"/>
  <c r="I551" i="12" s="1"/>
  <c r="H552" i="12"/>
  <c r="H553" i="12"/>
  <c r="H554" i="12"/>
  <c r="H555" i="12"/>
  <c r="H556" i="12"/>
  <c r="H557" i="12"/>
  <c r="H558" i="12"/>
  <c r="H559" i="12"/>
  <c r="I559" i="12" s="1"/>
  <c r="H560" i="12"/>
  <c r="H561" i="12"/>
  <c r="H562" i="12"/>
  <c r="H563" i="12"/>
  <c r="I563" i="12" s="1"/>
  <c r="H564" i="12"/>
  <c r="H565" i="12"/>
  <c r="H566" i="12"/>
  <c r="H567" i="12"/>
  <c r="H568" i="12"/>
  <c r="H569" i="12"/>
  <c r="H570" i="12"/>
  <c r="H571" i="12"/>
  <c r="H572" i="12"/>
  <c r="H573" i="12"/>
  <c r="H574" i="12"/>
  <c r="I574" i="12" s="1"/>
  <c r="H575" i="12"/>
  <c r="H576" i="12"/>
  <c r="H577" i="12"/>
  <c r="H578" i="12"/>
  <c r="H579" i="12"/>
  <c r="I579" i="12" s="1"/>
  <c r="H580" i="12"/>
  <c r="H581" i="12"/>
  <c r="H582" i="12"/>
  <c r="H583" i="12"/>
  <c r="H584" i="12"/>
  <c r="H585" i="12"/>
  <c r="H586" i="12"/>
  <c r="H587" i="12"/>
  <c r="I587" i="12" s="1"/>
  <c r="H588" i="12"/>
  <c r="H589" i="12"/>
  <c r="H590" i="12"/>
  <c r="H591" i="12"/>
  <c r="I591" i="12" s="1"/>
  <c r="H592" i="12"/>
  <c r="H593" i="12"/>
  <c r="H594" i="12"/>
  <c r="H595" i="12"/>
  <c r="H596" i="12"/>
  <c r="H597" i="12"/>
  <c r="H598" i="12"/>
  <c r="I598" i="12" s="1"/>
  <c r="H599" i="12"/>
  <c r="I599" i="12" s="1"/>
  <c r="H600" i="12"/>
  <c r="H601" i="12"/>
  <c r="H602" i="12"/>
  <c r="H603" i="12"/>
  <c r="H604" i="12"/>
  <c r="H605" i="12"/>
  <c r="H606" i="12"/>
  <c r="H607" i="12"/>
  <c r="I607" i="12" s="1"/>
  <c r="H608" i="12"/>
  <c r="H609" i="12"/>
  <c r="H610" i="12"/>
  <c r="H611" i="12"/>
  <c r="H612" i="12"/>
  <c r="H613" i="12"/>
  <c r="H614" i="12"/>
  <c r="H615" i="12"/>
  <c r="I615" i="12" s="1"/>
  <c r="H616" i="12"/>
  <c r="H617" i="12"/>
  <c r="H618" i="12"/>
  <c r="H619" i="12"/>
  <c r="I619" i="12" s="1"/>
  <c r="H620" i="12"/>
  <c r="H621" i="12"/>
  <c r="H622" i="12"/>
  <c r="H623" i="12"/>
  <c r="H624" i="12"/>
  <c r="H625" i="12"/>
  <c r="H626" i="12"/>
  <c r="H627" i="12"/>
  <c r="I627" i="12" s="1"/>
  <c r="H628" i="12"/>
  <c r="H629" i="12"/>
  <c r="H630" i="12"/>
  <c r="I630" i="12" s="1"/>
  <c r="H631" i="12"/>
  <c r="H632" i="12"/>
  <c r="H633" i="12"/>
  <c r="H634" i="12"/>
  <c r="H635" i="12"/>
  <c r="I635" i="12" s="1"/>
  <c r="H636" i="12"/>
  <c r="H637" i="12"/>
  <c r="H638" i="12"/>
  <c r="H639" i="12"/>
  <c r="H640" i="12"/>
  <c r="H641" i="12"/>
  <c r="H642" i="12"/>
  <c r="H643" i="12"/>
  <c r="I643" i="12" s="1"/>
  <c r="H644" i="12"/>
  <c r="H645" i="12"/>
  <c r="H646" i="12"/>
  <c r="H647" i="12"/>
  <c r="I647" i="12" s="1"/>
  <c r="H648" i="12"/>
  <c r="H649" i="12"/>
  <c r="H650" i="12"/>
  <c r="H651" i="12"/>
  <c r="H652" i="12"/>
  <c r="H653" i="12"/>
  <c r="H654" i="12"/>
  <c r="I654" i="12" s="1"/>
  <c r="H655" i="12"/>
  <c r="I655" i="12" s="1"/>
  <c r="H656" i="12"/>
  <c r="H657" i="12"/>
  <c r="H658" i="12"/>
  <c r="H659" i="12"/>
  <c r="H660" i="12"/>
  <c r="H661" i="12"/>
  <c r="H662" i="12"/>
  <c r="H663" i="12"/>
  <c r="I663" i="12" s="1"/>
  <c r="H664" i="12"/>
  <c r="H665" i="12"/>
  <c r="H666" i="12"/>
  <c r="H667" i="12"/>
  <c r="H668" i="12"/>
  <c r="H669" i="12"/>
  <c r="H670" i="12"/>
  <c r="H671" i="12"/>
  <c r="I671" i="12" s="1"/>
  <c r="H672" i="12"/>
  <c r="H673" i="12"/>
  <c r="H674" i="12"/>
  <c r="H675" i="12"/>
  <c r="I675" i="12" s="1"/>
  <c r="H676" i="12"/>
  <c r="H677" i="12"/>
  <c r="H678" i="12"/>
  <c r="H679" i="12"/>
  <c r="H680" i="12"/>
  <c r="H681" i="12"/>
  <c r="H682" i="12"/>
  <c r="H683" i="12"/>
  <c r="I683" i="12" s="1"/>
  <c r="H684" i="12"/>
  <c r="H685" i="12"/>
  <c r="H686" i="12"/>
  <c r="H687" i="12"/>
  <c r="H688" i="12"/>
  <c r="H689" i="12"/>
  <c r="H690" i="12"/>
  <c r="H691" i="12"/>
  <c r="I691" i="12" s="1"/>
  <c r="H692" i="12"/>
  <c r="H693" i="12"/>
  <c r="H694" i="12"/>
  <c r="H695" i="12"/>
  <c r="H696" i="12"/>
  <c r="H697" i="12"/>
  <c r="H698" i="12"/>
  <c r="H699" i="12"/>
  <c r="I699" i="12" s="1"/>
  <c r="H700" i="12"/>
  <c r="H701" i="12"/>
  <c r="H702" i="12"/>
  <c r="H703" i="12"/>
  <c r="I703" i="12" s="1"/>
  <c r="H704" i="12"/>
  <c r="H705" i="12"/>
  <c r="H706" i="12"/>
  <c r="H707" i="12"/>
  <c r="H708" i="12"/>
  <c r="H709" i="12"/>
  <c r="H710" i="12"/>
  <c r="I710" i="12" s="1"/>
  <c r="H711" i="12"/>
  <c r="I711" i="12" s="1"/>
  <c r="H712" i="12"/>
  <c r="H713" i="12"/>
  <c r="H714" i="12"/>
  <c r="H715" i="12"/>
  <c r="H716" i="12"/>
  <c r="H717" i="12"/>
  <c r="H718" i="12"/>
  <c r="H719" i="12"/>
  <c r="I719" i="12" s="1"/>
  <c r="H720" i="12"/>
  <c r="H721" i="12"/>
  <c r="H722" i="12"/>
  <c r="H723" i="12"/>
  <c r="H724" i="12"/>
  <c r="H725" i="12"/>
  <c r="H726" i="12"/>
  <c r="H727" i="12"/>
  <c r="I727" i="12" s="1"/>
  <c r="H728" i="12"/>
  <c r="H729" i="12"/>
  <c r="H730" i="12"/>
  <c r="H731" i="12"/>
  <c r="I731" i="12" s="1"/>
  <c r="H732" i="12"/>
  <c r="H733" i="12"/>
  <c r="H734" i="12"/>
  <c r="H735" i="12"/>
  <c r="H736" i="12"/>
  <c r="H737" i="12"/>
  <c r="H738" i="12"/>
  <c r="H739" i="12"/>
  <c r="I739" i="12" s="1"/>
  <c r="H740" i="12"/>
  <c r="H741" i="12"/>
  <c r="H742" i="12"/>
  <c r="H743" i="12"/>
  <c r="H744" i="12"/>
  <c r="H745" i="12"/>
  <c r="H746" i="12"/>
  <c r="H747" i="12"/>
  <c r="I747" i="12" s="1"/>
  <c r="H748" i="12"/>
  <c r="H749" i="12"/>
  <c r="H750" i="12"/>
  <c r="H751" i="12"/>
  <c r="H752" i="12"/>
  <c r="H753" i="12"/>
  <c r="H754" i="12"/>
  <c r="H755" i="12"/>
  <c r="I755" i="12" s="1"/>
  <c r="H756" i="12"/>
  <c r="H757" i="12"/>
  <c r="H758" i="12"/>
  <c r="H759" i="12"/>
  <c r="I759" i="12" s="1"/>
  <c r="H760" i="12"/>
  <c r="H761" i="12"/>
  <c r="H762" i="12"/>
  <c r="H763" i="12"/>
  <c r="H764" i="12"/>
  <c r="H765" i="12"/>
  <c r="H766" i="12"/>
  <c r="I766" i="12" s="1"/>
  <c r="H767" i="12"/>
  <c r="I767" i="12" s="1"/>
  <c r="H768" i="12"/>
  <c r="H769" i="12"/>
  <c r="H770" i="12"/>
  <c r="H771" i="12"/>
  <c r="H772" i="12"/>
  <c r="H773" i="12"/>
  <c r="H774" i="12"/>
  <c r="H775" i="12"/>
  <c r="I775" i="12" s="1"/>
  <c r="H776" i="12"/>
  <c r="H777" i="12"/>
  <c r="H778" i="12"/>
  <c r="H779" i="12"/>
  <c r="H780" i="12"/>
  <c r="H781" i="12"/>
  <c r="H782" i="12"/>
  <c r="H783" i="12"/>
  <c r="I783" i="12" s="1"/>
  <c r="H784" i="12"/>
  <c r="H785" i="12"/>
  <c r="H786" i="12"/>
  <c r="H787" i="12"/>
  <c r="I787" i="12" s="1"/>
  <c r="H788" i="12"/>
  <c r="H789" i="12"/>
  <c r="H790" i="12"/>
  <c r="H791" i="12"/>
  <c r="H792" i="12"/>
  <c r="H793" i="12"/>
  <c r="H794" i="12"/>
  <c r="H795" i="12"/>
  <c r="I795" i="12" s="1"/>
  <c r="H796" i="12"/>
  <c r="H797" i="12"/>
  <c r="H798" i="12"/>
  <c r="H799" i="12"/>
  <c r="H800" i="12"/>
  <c r="H801" i="12"/>
  <c r="H802" i="12"/>
  <c r="H803" i="12"/>
  <c r="I803" i="12" s="1"/>
  <c r="H804" i="12"/>
  <c r="H805" i="12"/>
  <c r="H806" i="12"/>
  <c r="H807" i="12"/>
  <c r="H808" i="12"/>
  <c r="H809" i="12"/>
  <c r="H810" i="12"/>
  <c r="H811" i="12"/>
  <c r="I811" i="12" s="1"/>
  <c r="H812" i="12"/>
  <c r="H813" i="12"/>
  <c r="H814" i="12"/>
  <c r="H815" i="12"/>
  <c r="I815" i="12" s="1"/>
  <c r="H816" i="12"/>
  <c r="H817" i="12"/>
  <c r="H818" i="12"/>
  <c r="H819" i="12"/>
  <c r="H820" i="12"/>
  <c r="H821" i="12"/>
  <c r="H822" i="12"/>
  <c r="I822" i="12" s="1"/>
  <c r="H823" i="12"/>
  <c r="I823" i="12" s="1"/>
  <c r="H824" i="12"/>
  <c r="H825" i="12"/>
  <c r="H826" i="12"/>
  <c r="H827" i="12"/>
  <c r="H828" i="12"/>
  <c r="H829" i="12"/>
  <c r="H830" i="12"/>
  <c r="H831" i="12"/>
  <c r="I831" i="12" s="1"/>
  <c r="H832" i="12"/>
  <c r="H833" i="12"/>
  <c r="H834" i="12"/>
  <c r="H835" i="12"/>
  <c r="H836" i="12"/>
  <c r="H837" i="12"/>
  <c r="H838" i="12"/>
  <c r="H839" i="12"/>
  <c r="I839" i="12" s="1"/>
  <c r="H840" i="12"/>
  <c r="H841" i="12"/>
  <c r="H842" i="12"/>
  <c r="H843" i="12"/>
  <c r="I843" i="12" s="1"/>
  <c r="H844" i="12"/>
  <c r="H845" i="12"/>
  <c r="H846" i="12"/>
  <c r="H847" i="12"/>
  <c r="H848" i="12"/>
  <c r="H849" i="12"/>
  <c r="H850" i="12"/>
  <c r="H851" i="12"/>
  <c r="I851" i="12" s="1"/>
  <c r="H852" i="12"/>
  <c r="H853" i="12"/>
  <c r="H854" i="12"/>
  <c r="H855" i="12"/>
  <c r="H856" i="12"/>
  <c r="H857" i="12"/>
  <c r="H858" i="12"/>
  <c r="H859" i="12"/>
  <c r="I859" i="12" s="1"/>
  <c r="H860" i="12"/>
  <c r="H861" i="12"/>
  <c r="H862" i="12"/>
  <c r="H863" i="12"/>
  <c r="H864" i="12"/>
  <c r="H865" i="12"/>
  <c r="H866" i="12"/>
  <c r="H867" i="12"/>
  <c r="I867" i="12" s="1"/>
  <c r="H868" i="12"/>
  <c r="H869" i="12"/>
  <c r="H870" i="12"/>
  <c r="H871" i="12"/>
  <c r="I871" i="12" s="1"/>
  <c r="H872" i="12"/>
  <c r="H873" i="12"/>
  <c r="H874" i="12"/>
  <c r="H875" i="12"/>
  <c r="H876" i="12"/>
  <c r="H877" i="12"/>
  <c r="H878" i="12"/>
  <c r="I878" i="12" s="1"/>
  <c r="H879" i="12"/>
  <c r="I879" i="12" s="1"/>
  <c r="H880" i="12"/>
  <c r="H881" i="12"/>
  <c r="H882" i="12"/>
  <c r="H883" i="12"/>
  <c r="H884" i="12"/>
  <c r="H885" i="12"/>
  <c r="H886" i="12"/>
  <c r="H887" i="12"/>
  <c r="I887" i="12" s="1"/>
  <c r="H888" i="12"/>
  <c r="H889" i="12"/>
  <c r="H890" i="12"/>
  <c r="H891" i="12"/>
  <c r="H892" i="12"/>
  <c r="H893" i="12"/>
  <c r="H894" i="12"/>
  <c r="H895" i="12"/>
  <c r="I895" i="12" s="1"/>
  <c r="H896" i="12"/>
  <c r="H897" i="12"/>
  <c r="H898" i="12"/>
  <c r="H899" i="12"/>
  <c r="I899" i="12" s="1"/>
  <c r="H900" i="12"/>
  <c r="H901" i="12"/>
  <c r="H902" i="12"/>
  <c r="H903" i="12"/>
  <c r="H904" i="12"/>
  <c r="H905" i="12"/>
  <c r="H906" i="12"/>
  <c r="H907" i="12"/>
  <c r="I907" i="12" s="1"/>
  <c r="H908" i="12"/>
  <c r="H909" i="12"/>
  <c r="H910" i="12"/>
  <c r="H911" i="12"/>
  <c r="H912" i="12"/>
  <c r="H913" i="12"/>
  <c r="H914" i="12"/>
  <c r="H915" i="12"/>
  <c r="I915" i="12" s="1"/>
  <c r="H916" i="12"/>
  <c r="H917" i="12"/>
  <c r="H918" i="12"/>
  <c r="H919" i="12"/>
  <c r="H920" i="12"/>
  <c r="H921" i="12"/>
  <c r="H922" i="12"/>
  <c r="H923" i="12"/>
  <c r="I923" i="12" s="1"/>
  <c r="H924" i="12"/>
  <c r="H925" i="12"/>
  <c r="H926" i="12"/>
  <c r="H927" i="12"/>
  <c r="I927" i="12" s="1"/>
  <c r="H928" i="12"/>
  <c r="H929" i="12"/>
  <c r="H930" i="12"/>
  <c r="H931" i="12"/>
  <c r="H932" i="12"/>
  <c r="H933" i="12"/>
  <c r="H934" i="12"/>
  <c r="I934" i="12" s="1"/>
  <c r="H935" i="12"/>
  <c r="I935" i="12" s="1"/>
  <c r="H936" i="12"/>
  <c r="H937" i="12"/>
  <c r="H938" i="12"/>
  <c r="H939" i="12"/>
  <c r="H940" i="12"/>
  <c r="H941" i="12"/>
  <c r="H942" i="12"/>
  <c r="H943" i="12"/>
  <c r="I943" i="12" s="1"/>
  <c r="H944" i="12"/>
  <c r="H945" i="12"/>
  <c r="H946" i="12"/>
  <c r="H947" i="12"/>
  <c r="H948" i="12"/>
  <c r="H949" i="12"/>
  <c r="H950" i="12"/>
  <c r="H951" i="12"/>
  <c r="I951" i="12" s="1"/>
  <c r="H952" i="12"/>
  <c r="H953" i="12"/>
  <c r="H954" i="12"/>
  <c r="H955" i="12"/>
  <c r="I955" i="12" s="1"/>
  <c r="H956" i="12"/>
  <c r="H957" i="12"/>
  <c r="H958" i="12"/>
  <c r="H959" i="12"/>
  <c r="H960" i="12"/>
  <c r="H961" i="12"/>
  <c r="H962" i="12"/>
  <c r="H963" i="12"/>
  <c r="I963" i="12" s="1"/>
  <c r="H964" i="12"/>
  <c r="H965" i="12"/>
  <c r="H966" i="12"/>
  <c r="H967" i="12"/>
  <c r="H968" i="12"/>
  <c r="H969" i="12"/>
  <c r="H970" i="12"/>
  <c r="H971" i="12"/>
  <c r="I971" i="12" s="1"/>
  <c r="H972" i="12"/>
  <c r="H973" i="12"/>
  <c r="H974" i="12"/>
  <c r="H975" i="12"/>
  <c r="H976" i="12"/>
  <c r="H977" i="12"/>
  <c r="H978" i="12"/>
  <c r="H979" i="12"/>
  <c r="I979" i="12" s="1"/>
  <c r="H980" i="12"/>
  <c r="H981" i="12"/>
  <c r="H982" i="12"/>
  <c r="H983" i="12"/>
  <c r="I983" i="12" s="1"/>
  <c r="H984" i="12"/>
  <c r="H985" i="12"/>
  <c r="H986" i="12"/>
  <c r="H987" i="12"/>
  <c r="H988" i="12"/>
  <c r="H989" i="12"/>
  <c r="H990" i="12"/>
  <c r="I990" i="12" s="1"/>
  <c r="H991" i="12"/>
  <c r="I991" i="12" s="1"/>
  <c r="H992" i="12"/>
  <c r="H993" i="12"/>
  <c r="H994" i="12"/>
  <c r="H995" i="12"/>
  <c r="H996" i="12"/>
  <c r="H997" i="12"/>
  <c r="H998" i="12"/>
  <c r="H999" i="12"/>
  <c r="I999" i="12" s="1"/>
  <c r="H1000" i="12"/>
  <c r="H1001" i="12"/>
  <c r="H1002" i="12"/>
  <c r="H1003" i="12"/>
  <c r="H1004" i="12"/>
  <c r="H1005" i="12"/>
  <c r="H1006" i="12"/>
  <c r="H1007" i="12"/>
  <c r="I1007" i="12" s="1"/>
  <c r="H1008" i="12"/>
  <c r="H1009" i="12"/>
  <c r="H1010" i="12"/>
  <c r="H1011" i="12"/>
  <c r="I1011" i="12" s="1"/>
  <c r="H1012" i="12"/>
  <c r="H1013" i="12"/>
  <c r="H1014" i="12"/>
  <c r="H1015" i="12"/>
  <c r="H1016" i="12"/>
  <c r="H1017" i="12"/>
  <c r="H1018" i="12"/>
  <c r="H1019" i="12"/>
  <c r="I1019" i="12" s="1"/>
  <c r="H1020" i="12"/>
  <c r="H1021" i="12"/>
  <c r="H1022" i="12"/>
  <c r="I1022" i="12" s="1"/>
  <c r="H1023" i="12"/>
  <c r="H1024" i="12"/>
  <c r="H1025" i="12"/>
  <c r="H1026" i="12"/>
  <c r="H1027" i="12"/>
  <c r="I1027" i="12" s="1"/>
  <c r="H1028" i="12"/>
  <c r="H1029" i="12"/>
  <c r="H1030" i="12"/>
  <c r="H1031" i="12"/>
  <c r="H1032" i="12"/>
  <c r="H1033" i="12"/>
  <c r="H1034" i="12"/>
  <c r="H1035" i="12"/>
  <c r="I1035" i="12" s="1"/>
  <c r="H1036" i="12"/>
  <c r="H1037" i="12"/>
  <c r="H1038" i="12"/>
  <c r="H1039" i="12"/>
  <c r="I1039" i="12" s="1"/>
  <c r="H1040" i="12"/>
  <c r="H1041" i="12"/>
  <c r="H1042" i="12"/>
  <c r="H1043" i="12"/>
  <c r="H1044" i="12"/>
  <c r="H1045" i="12"/>
  <c r="H1046" i="12"/>
  <c r="I1046" i="12" s="1"/>
  <c r="H1047" i="12"/>
  <c r="I1047" i="12" s="1"/>
  <c r="H1048" i="12"/>
  <c r="H1049" i="12"/>
  <c r="H1050" i="12"/>
  <c r="H1051" i="12"/>
  <c r="H1052" i="12"/>
  <c r="H1053" i="12"/>
  <c r="H1054" i="12"/>
  <c r="H1055" i="12"/>
  <c r="I1055" i="12" s="1"/>
  <c r="H1056" i="12"/>
  <c r="H1057" i="12"/>
  <c r="H1058" i="12"/>
  <c r="H1059" i="12"/>
  <c r="H1060" i="12"/>
  <c r="H1061" i="12"/>
  <c r="H1062" i="12"/>
  <c r="H1063" i="12"/>
  <c r="I1063" i="12" s="1"/>
  <c r="H1064" i="12"/>
  <c r="H1065" i="12"/>
  <c r="H1066" i="12"/>
  <c r="H1067" i="12"/>
  <c r="I1067" i="12" s="1"/>
  <c r="H1068" i="12"/>
  <c r="H1069" i="12"/>
  <c r="H1070" i="12"/>
  <c r="H1071" i="12"/>
  <c r="H1072" i="12"/>
  <c r="H1073" i="12"/>
  <c r="H1074" i="12"/>
  <c r="H1075" i="12"/>
  <c r="I1075" i="12" s="1"/>
  <c r="H1076" i="12"/>
  <c r="H1077" i="12"/>
  <c r="H1078" i="12"/>
  <c r="H1079" i="12"/>
  <c r="H1080" i="12"/>
  <c r="H1081" i="12"/>
  <c r="H1082" i="12"/>
  <c r="H1083" i="12"/>
  <c r="I1083" i="12" s="1"/>
  <c r="H1084" i="12"/>
  <c r="H1085" i="12"/>
  <c r="H1086" i="12"/>
  <c r="H1087" i="12"/>
  <c r="H1088" i="12"/>
  <c r="H1089" i="12"/>
  <c r="H1090" i="12"/>
  <c r="H1091" i="12"/>
  <c r="I1091" i="12" s="1"/>
  <c r="H1092" i="12"/>
  <c r="H1093" i="12"/>
  <c r="H1094" i="12"/>
  <c r="H1095" i="12"/>
  <c r="I1095" i="12" s="1"/>
  <c r="H1096" i="12"/>
  <c r="H1097" i="12"/>
  <c r="H1098" i="12"/>
  <c r="H1099" i="12"/>
  <c r="H1100" i="12"/>
  <c r="H1101" i="12"/>
  <c r="H1102" i="12"/>
  <c r="I1102" i="12" s="1"/>
  <c r="H1103" i="12"/>
  <c r="I1103" i="12" s="1"/>
  <c r="H1104" i="12"/>
  <c r="H1105" i="12"/>
  <c r="H1106" i="12"/>
  <c r="H1107" i="12"/>
  <c r="H1108" i="12"/>
  <c r="H1109" i="12"/>
  <c r="H1110" i="12"/>
  <c r="H1111" i="12"/>
  <c r="I1111" i="12" s="1"/>
  <c r="H1112" i="12"/>
  <c r="H1113" i="12"/>
  <c r="H1114" i="12"/>
  <c r="H1115" i="12"/>
  <c r="H1116" i="12"/>
  <c r="H1117" i="12"/>
  <c r="H1118" i="12"/>
  <c r="H1119" i="12"/>
  <c r="I1119" i="12" s="1"/>
  <c r="H1120" i="12"/>
  <c r="H1121" i="12"/>
  <c r="H1122" i="12"/>
  <c r="H1123" i="12"/>
  <c r="I1123" i="12" s="1"/>
  <c r="H1124" i="12"/>
  <c r="H1125" i="12"/>
  <c r="H1126" i="12"/>
  <c r="H1127" i="12"/>
  <c r="H1128" i="12"/>
  <c r="H1129" i="12"/>
  <c r="H1130" i="12"/>
  <c r="H1131" i="12"/>
  <c r="I1131" i="12" s="1"/>
  <c r="H1132" i="12"/>
  <c r="H1133" i="12"/>
  <c r="H1134" i="12"/>
  <c r="I1134" i="12" s="1"/>
  <c r="H1135" i="12"/>
  <c r="H1136" i="12"/>
  <c r="H1137" i="12"/>
  <c r="H1138" i="12"/>
  <c r="H1139" i="12"/>
  <c r="I1139" i="12" s="1"/>
  <c r="H1140" i="12"/>
  <c r="H1141" i="12"/>
  <c r="H1142" i="12"/>
  <c r="H1143" i="12"/>
  <c r="H1144" i="12"/>
  <c r="H1145" i="12"/>
  <c r="H1146" i="12"/>
  <c r="H1147" i="12"/>
  <c r="I1147" i="12" s="1"/>
  <c r="H1148" i="12"/>
  <c r="H1149" i="12"/>
  <c r="H1150" i="12"/>
  <c r="H1151" i="12"/>
  <c r="I1151" i="12" s="1"/>
  <c r="H1152" i="12"/>
  <c r="H1153" i="12"/>
  <c r="H1154" i="12"/>
  <c r="H1155" i="12"/>
  <c r="H1156" i="12"/>
  <c r="H1157" i="12"/>
  <c r="H1158" i="12"/>
  <c r="I1158" i="12" s="1"/>
  <c r="H1159" i="12"/>
  <c r="I1159" i="12" s="1"/>
  <c r="H1160" i="12"/>
  <c r="H1161" i="12"/>
  <c r="H1162" i="12"/>
  <c r="H1163" i="12"/>
  <c r="H1164" i="12"/>
  <c r="H1165" i="12"/>
  <c r="H1166" i="12"/>
  <c r="H1167" i="12"/>
  <c r="I1167" i="12" s="1"/>
  <c r="H1168" i="12"/>
  <c r="H1169" i="12"/>
  <c r="H1170" i="12"/>
  <c r="H1171" i="12"/>
  <c r="H1172" i="12"/>
  <c r="H1173" i="12"/>
  <c r="H1174" i="12"/>
  <c r="H1175" i="12"/>
  <c r="I1175" i="12" s="1"/>
  <c r="H1176" i="12"/>
  <c r="H1177" i="12"/>
  <c r="H1178" i="12"/>
  <c r="H1179" i="12"/>
  <c r="I1179" i="12" s="1"/>
  <c r="H1180" i="12"/>
  <c r="H1181" i="12"/>
  <c r="H1182" i="12"/>
  <c r="H1183" i="12"/>
  <c r="H1184" i="12"/>
  <c r="H1185" i="12"/>
  <c r="H1186" i="12"/>
  <c r="H1187" i="12"/>
  <c r="I1187" i="12" s="1"/>
  <c r="H1188" i="12"/>
  <c r="H1189" i="12"/>
  <c r="H1190" i="12"/>
  <c r="H1191" i="12"/>
  <c r="H1192" i="12"/>
  <c r="H1193" i="12"/>
  <c r="H1194" i="12"/>
  <c r="H1195" i="12"/>
  <c r="I1195" i="12" s="1"/>
  <c r="H1196" i="12"/>
  <c r="H1197" i="12"/>
  <c r="H1198" i="12"/>
  <c r="H1199" i="12"/>
  <c r="H1200" i="12"/>
  <c r="H1201" i="12"/>
  <c r="H1202" i="12"/>
  <c r="H1203" i="12"/>
  <c r="I1203" i="12" s="1"/>
  <c r="H1204" i="12"/>
  <c r="H1205" i="12"/>
  <c r="H1206" i="12"/>
  <c r="H1207" i="12"/>
  <c r="I1207" i="12" s="1"/>
  <c r="H1208" i="12"/>
  <c r="H1209" i="12"/>
  <c r="H1210" i="12"/>
  <c r="H1211" i="12"/>
  <c r="H1212" i="12"/>
  <c r="H1213" i="12"/>
  <c r="H1214" i="12"/>
  <c r="I1214" i="12" s="1"/>
  <c r="H1215" i="12"/>
  <c r="I1215" i="12" s="1"/>
  <c r="H1216" i="12"/>
  <c r="H1217" i="12"/>
  <c r="H1218" i="12"/>
  <c r="H1219" i="12"/>
  <c r="H1220" i="12"/>
  <c r="H1221" i="12"/>
  <c r="H1222" i="12"/>
  <c r="H1223" i="12"/>
  <c r="I1223" i="12" s="1"/>
  <c r="H1224" i="12"/>
  <c r="H1225" i="12"/>
  <c r="H1226" i="12"/>
  <c r="H1227" i="12"/>
  <c r="H1228" i="12"/>
  <c r="H1229" i="12"/>
  <c r="H1230" i="12"/>
  <c r="H1231" i="12"/>
  <c r="I1231" i="12" s="1"/>
  <c r="H1232" i="12"/>
  <c r="H1233" i="12"/>
  <c r="H1234" i="12"/>
  <c r="H1235" i="12"/>
  <c r="I1235" i="12" s="1"/>
  <c r="H1236" i="12"/>
  <c r="H1237" i="12"/>
  <c r="H1238" i="12"/>
  <c r="H1239" i="12"/>
  <c r="H1240" i="12"/>
  <c r="H1241" i="12"/>
  <c r="H1242" i="12"/>
  <c r="H1243" i="12"/>
  <c r="I1243" i="12" s="1"/>
  <c r="H1244" i="12"/>
  <c r="H1245" i="12"/>
  <c r="H1246" i="12"/>
  <c r="H1247" i="12"/>
  <c r="H1248" i="12"/>
  <c r="H1249" i="12"/>
  <c r="H1250" i="12"/>
  <c r="H1251" i="12"/>
  <c r="I1251" i="12" s="1"/>
  <c r="H1252" i="12"/>
  <c r="H1253" i="12"/>
  <c r="H1254" i="12"/>
  <c r="H1255" i="12"/>
  <c r="H1256" i="12"/>
  <c r="H1257" i="12"/>
  <c r="H1258" i="12"/>
  <c r="H1259" i="12"/>
  <c r="I1259" i="12" s="1"/>
  <c r="H1260" i="12"/>
  <c r="H1261" i="12"/>
  <c r="H1262" i="12"/>
  <c r="H1263" i="12"/>
  <c r="I1263" i="12" s="1"/>
  <c r="H1264" i="12"/>
  <c r="H1265" i="12"/>
  <c r="H1266" i="12"/>
  <c r="H1267" i="12"/>
  <c r="H1268" i="12"/>
  <c r="H1269" i="12"/>
  <c r="H1270" i="12"/>
  <c r="I1270" i="12" s="1"/>
  <c r="H1271" i="12"/>
  <c r="I1271" i="12" s="1"/>
  <c r="H1272" i="12"/>
  <c r="H1273" i="12"/>
  <c r="H1274" i="12"/>
  <c r="H1275" i="12"/>
  <c r="H1276" i="12"/>
  <c r="H1277" i="12"/>
  <c r="H1278" i="12"/>
  <c r="H1279" i="12"/>
  <c r="I1279" i="12" s="1"/>
  <c r="H1280" i="12"/>
  <c r="H1281" i="12"/>
  <c r="H1282" i="12"/>
  <c r="H1283" i="12"/>
  <c r="H1284" i="12"/>
  <c r="H1285" i="12"/>
  <c r="H1286" i="12"/>
  <c r="H1287" i="12"/>
  <c r="I1287" i="12" s="1"/>
  <c r="H1288" i="12"/>
  <c r="H1289" i="12"/>
  <c r="H1290" i="12"/>
  <c r="H1291" i="12"/>
  <c r="I1291" i="12" s="1"/>
  <c r="H1292" i="12"/>
  <c r="H1293" i="12"/>
  <c r="H1294" i="12"/>
  <c r="H1295" i="12"/>
  <c r="H1296" i="12"/>
  <c r="H1297" i="12"/>
  <c r="H1298" i="12"/>
  <c r="H1299" i="12"/>
  <c r="I1299" i="12" s="1"/>
  <c r="H1300" i="12"/>
  <c r="H1301" i="12"/>
  <c r="H1302" i="12"/>
  <c r="H1303" i="12"/>
  <c r="H1304" i="12"/>
  <c r="H1305" i="12"/>
  <c r="H1306" i="12"/>
  <c r="H1307" i="12"/>
  <c r="I1307" i="12" s="1"/>
  <c r="H1308" i="12"/>
  <c r="H1309" i="12"/>
  <c r="H1310" i="12"/>
  <c r="H1311" i="12"/>
  <c r="H1312" i="12"/>
  <c r="H1313" i="12"/>
  <c r="H1314" i="12"/>
  <c r="H1315" i="12"/>
  <c r="I1315" i="12" s="1"/>
  <c r="H1316" i="12"/>
  <c r="H1317" i="12"/>
  <c r="H1318" i="12"/>
  <c r="H1319" i="12"/>
  <c r="I1319" i="12" s="1"/>
  <c r="H1320" i="12"/>
  <c r="H1321" i="12"/>
  <c r="H1322" i="12"/>
  <c r="H1323" i="12"/>
  <c r="H1324" i="12"/>
  <c r="H1325" i="12"/>
  <c r="H1326" i="12"/>
  <c r="I1326" i="12" s="1"/>
  <c r="H1327" i="12"/>
  <c r="I1327" i="12" s="1"/>
  <c r="H1328" i="12"/>
  <c r="H1329" i="12"/>
  <c r="H1330" i="12"/>
  <c r="H1331" i="12"/>
  <c r="H1332" i="12"/>
  <c r="H1333" i="12"/>
  <c r="H1334" i="12"/>
  <c r="H1335" i="12"/>
  <c r="I1335" i="12" s="1"/>
  <c r="H1336" i="12"/>
  <c r="H1337" i="12"/>
  <c r="H1338" i="12"/>
  <c r="H1339" i="12"/>
  <c r="H1340" i="12"/>
  <c r="H1341" i="12"/>
  <c r="H1342" i="12"/>
  <c r="H1343" i="12"/>
  <c r="I1343" i="12" s="1"/>
  <c r="H1344" i="12"/>
  <c r="H1345" i="12"/>
  <c r="H1346" i="12"/>
  <c r="H1347" i="12"/>
  <c r="I1347" i="12" s="1"/>
  <c r="H1348" i="12"/>
  <c r="H1349" i="12"/>
  <c r="H1350" i="12"/>
  <c r="H1351" i="12"/>
  <c r="H1352" i="12"/>
  <c r="H1353" i="12"/>
  <c r="H1354" i="12"/>
  <c r="H1355" i="12"/>
  <c r="I1355" i="12" s="1"/>
  <c r="H1356" i="12"/>
  <c r="H1357" i="12"/>
  <c r="H1358" i="12"/>
  <c r="I1358" i="12" s="1"/>
  <c r="H1359" i="12"/>
  <c r="H1360" i="12"/>
  <c r="H1361" i="12"/>
  <c r="H1362" i="12"/>
  <c r="H1363" i="12"/>
  <c r="I1363" i="12" s="1"/>
  <c r="H1364" i="12"/>
  <c r="H1365" i="12"/>
  <c r="H1366" i="12"/>
  <c r="H1367" i="12"/>
  <c r="H1368" i="12"/>
  <c r="H1369" i="12"/>
  <c r="H1370" i="12"/>
  <c r="H1371" i="12"/>
  <c r="I1371" i="12" s="1"/>
  <c r="H1372" i="12"/>
  <c r="H1373" i="12"/>
  <c r="H1374" i="12"/>
  <c r="H1375" i="12"/>
  <c r="I1375" i="12" s="1"/>
  <c r="H1376" i="12"/>
  <c r="H1377" i="12"/>
  <c r="H1378" i="12"/>
  <c r="H1379" i="12"/>
  <c r="H1380" i="12"/>
  <c r="H1381" i="12"/>
  <c r="H1382" i="12"/>
  <c r="I1382" i="12" s="1"/>
  <c r="H1383" i="12"/>
  <c r="I1383" i="12" s="1"/>
  <c r="H1384" i="12"/>
  <c r="H1385" i="12"/>
  <c r="H1386" i="12"/>
  <c r="H1387" i="12"/>
  <c r="H1388" i="12"/>
  <c r="H1389" i="12"/>
  <c r="H1390" i="12"/>
  <c r="H1391" i="12"/>
  <c r="I1391" i="12" s="1"/>
  <c r="H1392" i="12"/>
  <c r="H1393" i="12"/>
  <c r="H1394" i="12"/>
  <c r="H1395" i="12"/>
  <c r="H1396" i="12"/>
  <c r="H1397" i="12"/>
  <c r="H1398" i="12"/>
  <c r="H1399" i="12"/>
  <c r="I1399" i="12" s="1"/>
  <c r="H1400" i="12"/>
  <c r="H1401" i="12"/>
  <c r="H1402" i="12"/>
  <c r="H1403" i="12"/>
  <c r="I1403" i="12" s="1"/>
  <c r="H1404" i="12"/>
  <c r="H1405" i="12"/>
  <c r="H1406" i="12"/>
  <c r="H1407" i="12"/>
  <c r="H1408" i="12"/>
  <c r="H1409" i="12"/>
  <c r="H1410" i="12"/>
  <c r="H1411" i="12"/>
  <c r="I1411" i="12" s="1"/>
  <c r="H1412" i="12"/>
  <c r="H1413" i="12"/>
  <c r="H1414" i="12"/>
  <c r="H1415" i="12"/>
  <c r="H1416" i="12"/>
  <c r="H1417" i="12"/>
  <c r="H1418" i="12"/>
  <c r="H1419" i="12"/>
  <c r="I1419" i="12" s="1"/>
  <c r="H1420" i="12"/>
  <c r="H1421" i="12"/>
  <c r="H1422" i="12"/>
  <c r="H1423" i="12"/>
  <c r="H1424" i="12"/>
  <c r="H1425" i="12"/>
  <c r="H1426" i="12"/>
  <c r="H1427" i="12"/>
  <c r="I1427" i="12" s="1"/>
  <c r="H1428" i="12"/>
  <c r="H1429" i="12"/>
  <c r="H1430" i="12"/>
  <c r="H1431" i="12"/>
  <c r="I1431" i="12" s="1"/>
  <c r="H1432" i="12"/>
  <c r="H1433" i="12"/>
  <c r="H1434" i="12"/>
  <c r="H1435" i="12"/>
  <c r="H1436" i="12"/>
  <c r="H1437" i="12"/>
  <c r="H1438" i="12"/>
  <c r="I1438" i="12" s="1"/>
  <c r="H1439" i="12"/>
  <c r="I1439" i="12" s="1"/>
  <c r="H1440" i="12"/>
  <c r="H1441" i="12"/>
  <c r="H1442" i="12"/>
  <c r="H1443" i="12"/>
  <c r="H1444" i="12"/>
  <c r="H1445" i="12"/>
  <c r="H1446" i="12"/>
  <c r="H1447" i="12"/>
  <c r="I1447" i="12" s="1"/>
  <c r="H1448" i="12"/>
  <c r="H1449" i="12"/>
  <c r="H1450" i="12"/>
  <c r="H1451" i="12"/>
  <c r="H1452" i="12"/>
  <c r="H1453" i="12"/>
  <c r="H1454" i="12"/>
  <c r="H1455" i="12"/>
  <c r="I1455" i="12" s="1"/>
  <c r="H1456" i="12"/>
  <c r="H1457" i="12"/>
  <c r="H1458" i="12"/>
  <c r="H1459" i="12"/>
  <c r="I1459" i="12" s="1"/>
  <c r="H1460" i="12"/>
  <c r="H1461" i="12"/>
  <c r="H1462" i="12"/>
  <c r="H1463" i="12"/>
  <c r="H1464" i="12"/>
  <c r="H1465" i="12"/>
  <c r="H1466" i="12"/>
  <c r="H1467" i="12"/>
  <c r="I1467" i="12" s="1"/>
  <c r="H1468" i="12"/>
  <c r="H1469" i="12"/>
  <c r="H1470" i="12"/>
  <c r="I1470" i="12" s="1"/>
  <c r="H1471" i="12"/>
  <c r="H1472" i="12"/>
  <c r="H1473" i="12"/>
  <c r="H1474" i="12"/>
  <c r="H1475" i="12"/>
  <c r="I1475" i="12" s="1"/>
  <c r="H1476" i="12"/>
  <c r="H1477" i="12"/>
  <c r="H1478" i="12"/>
  <c r="H1479" i="12"/>
  <c r="H1480" i="12"/>
  <c r="H1481" i="12"/>
  <c r="H1482" i="12"/>
  <c r="H1483" i="12"/>
  <c r="I1483" i="12" s="1"/>
  <c r="H1484" i="12"/>
  <c r="H1485" i="12"/>
  <c r="H1486" i="12"/>
  <c r="H1487" i="12"/>
  <c r="I1487" i="12" s="1"/>
  <c r="H1488" i="12"/>
  <c r="H1489" i="12"/>
  <c r="H1490" i="12"/>
  <c r="H1491" i="12"/>
  <c r="H1492" i="12"/>
  <c r="H1493" i="12"/>
  <c r="H1494" i="12"/>
  <c r="I1494" i="12" s="1"/>
  <c r="H1495" i="12"/>
  <c r="I1495" i="12" s="1"/>
  <c r="H1496" i="12"/>
  <c r="H1497" i="12"/>
  <c r="H1498" i="12"/>
  <c r="H1499" i="12"/>
  <c r="H1500" i="12"/>
  <c r="H1501" i="12"/>
  <c r="H1502" i="12"/>
  <c r="H1503" i="12"/>
  <c r="I1503" i="12" s="1"/>
  <c r="H1504" i="12"/>
  <c r="H1505" i="12"/>
  <c r="H1506" i="12"/>
  <c r="H1507" i="12"/>
  <c r="H1508" i="12"/>
  <c r="H1509" i="12"/>
  <c r="H1510" i="12"/>
  <c r="H1511" i="12"/>
  <c r="I1511" i="12" s="1"/>
  <c r="H1512" i="12"/>
  <c r="H1513" i="12"/>
  <c r="H1514" i="12"/>
  <c r="H1515" i="12"/>
  <c r="I1515" i="12" s="1"/>
  <c r="H1516" i="12"/>
  <c r="H1517" i="12"/>
  <c r="H1518" i="12"/>
  <c r="H1519" i="12"/>
  <c r="H1520" i="12"/>
  <c r="H1521" i="12"/>
  <c r="H1522" i="12"/>
  <c r="H1523" i="12"/>
  <c r="I1523" i="12" s="1"/>
  <c r="H1524" i="12"/>
  <c r="H1525" i="12"/>
  <c r="H1526" i="12"/>
  <c r="I1526" i="12" s="1"/>
  <c r="H1527" i="12"/>
  <c r="H1528" i="12"/>
  <c r="H1529" i="12"/>
  <c r="H1530" i="12"/>
  <c r="H1531" i="12"/>
  <c r="I1531" i="12" s="1"/>
  <c r="H1532" i="12"/>
  <c r="H1533" i="12"/>
  <c r="H1534" i="12"/>
  <c r="H1535" i="12"/>
  <c r="H1536" i="12"/>
  <c r="H1537" i="12"/>
  <c r="H1538" i="12"/>
  <c r="H1539" i="12"/>
  <c r="I1539" i="12" s="1"/>
  <c r="H1540" i="12"/>
  <c r="H1541" i="12"/>
  <c r="H1542" i="12"/>
  <c r="H1543" i="12"/>
  <c r="I1543" i="12" s="1"/>
  <c r="H1544" i="12"/>
  <c r="H1545" i="12"/>
  <c r="H1546" i="12"/>
  <c r="H1547" i="12"/>
  <c r="H1548" i="12"/>
  <c r="H1549" i="12"/>
  <c r="H1550" i="12"/>
  <c r="I1550" i="12" s="1"/>
  <c r="H1551" i="12"/>
  <c r="I1551" i="12" s="1"/>
  <c r="H1552" i="12"/>
  <c r="H1553" i="12"/>
  <c r="H1554" i="12"/>
  <c r="H1555" i="12"/>
  <c r="H1556" i="12"/>
  <c r="H1557" i="12"/>
  <c r="H1558" i="12"/>
  <c r="H1559" i="12"/>
  <c r="I1559" i="12" s="1"/>
  <c r="H1560" i="12"/>
  <c r="H1561" i="12"/>
  <c r="H1562" i="12"/>
  <c r="H1563" i="12"/>
  <c r="H1564" i="12"/>
  <c r="H1565" i="12"/>
  <c r="H1566" i="12"/>
  <c r="H1567" i="12"/>
  <c r="I1567" i="12" s="1"/>
  <c r="H1568" i="12"/>
  <c r="H1569" i="12"/>
  <c r="H1570" i="12"/>
  <c r="H1571" i="12"/>
  <c r="I1571" i="12" s="1"/>
  <c r="H1572" i="12"/>
  <c r="H1573" i="12"/>
  <c r="H1574" i="12"/>
  <c r="H1575" i="12"/>
  <c r="H1576" i="12"/>
  <c r="H1577" i="12"/>
  <c r="H1578" i="12"/>
  <c r="H1579" i="12"/>
  <c r="I1579" i="12" s="1"/>
  <c r="H1580" i="12"/>
  <c r="H1581" i="12"/>
  <c r="H1582" i="12"/>
  <c r="H1583" i="12"/>
  <c r="H1584" i="12"/>
  <c r="H1585" i="12"/>
  <c r="H1586" i="12"/>
  <c r="H1587" i="12"/>
  <c r="I1587" i="12" s="1"/>
  <c r="H1588" i="12"/>
  <c r="H1589" i="12"/>
  <c r="H1590" i="12"/>
  <c r="H1591" i="12"/>
  <c r="H1592" i="12"/>
  <c r="H1593" i="12"/>
  <c r="H1594" i="12"/>
  <c r="H1595" i="12"/>
  <c r="I1595" i="12" s="1"/>
  <c r="H1596" i="12"/>
  <c r="H1597" i="12"/>
  <c r="H1598" i="12"/>
  <c r="H1599" i="12"/>
  <c r="I1599" i="12" s="1"/>
  <c r="H1600" i="12"/>
  <c r="H1601" i="12"/>
  <c r="H1602" i="12"/>
  <c r="H1603" i="12"/>
  <c r="H1604" i="12"/>
  <c r="H1605" i="12"/>
  <c r="H1606" i="12"/>
  <c r="I1606" i="12" s="1"/>
  <c r="H1607" i="12"/>
  <c r="I1607" i="12" s="1"/>
  <c r="H1608" i="12"/>
  <c r="H1609" i="12"/>
  <c r="H1610" i="12"/>
  <c r="H1611" i="12"/>
  <c r="H1612" i="12"/>
  <c r="H1613" i="12"/>
  <c r="H1614" i="12"/>
  <c r="H1615" i="12"/>
  <c r="I1615" i="12" s="1"/>
  <c r="H1616" i="12"/>
  <c r="H1617" i="12"/>
  <c r="H1618" i="12"/>
  <c r="H1619" i="12"/>
  <c r="H1620" i="12"/>
  <c r="H1621" i="12"/>
  <c r="H1622" i="12"/>
  <c r="H1623" i="12"/>
  <c r="I1623" i="12" s="1"/>
  <c r="H1624" i="12"/>
  <c r="H1625" i="12"/>
  <c r="H1626" i="12"/>
  <c r="H1627" i="12"/>
  <c r="I1627" i="12" s="1"/>
  <c r="H1628" i="12"/>
  <c r="H1629" i="12"/>
  <c r="H1630" i="12"/>
  <c r="H1631" i="12"/>
  <c r="H1632" i="12"/>
  <c r="H1633" i="12"/>
  <c r="H1634" i="12"/>
  <c r="H1635" i="12"/>
  <c r="I1635" i="12" s="1"/>
  <c r="H1636" i="12"/>
  <c r="H1637" i="12"/>
  <c r="H1638" i="12"/>
  <c r="I1638" i="12" s="1"/>
  <c r="H1639" i="12"/>
  <c r="H1640" i="12"/>
  <c r="H1641" i="12"/>
  <c r="H1642" i="12"/>
  <c r="H1643" i="12"/>
  <c r="I1643" i="12" s="1"/>
  <c r="H1644" i="12"/>
  <c r="H1645" i="12"/>
  <c r="H1646" i="12"/>
  <c r="H1647" i="12"/>
  <c r="H1648" i="12"/>
  <c r="H1649" i="12"/>
  <c r="H1650" i="12"/>
  <c r="H1651" i="12"/>
  <c r="I1651" i="12" s="1"/>
  <c r="H1652" i="12"/>
  <c r="H1653" i="12"/>
  <c r="H1654" i="12"/>
  <c r="H1655" i="12"/>
  <c r="I1655" i="12" s="1"/>
  <c r="H1656" i="12"/>
  <c r="H1657" i="12"/>
  <c r="H1658" i="12"/>
  <c r="H1659" i="12"/>
  <c r="H1660" i="12"/>
  <c r="H1661" i="12"/>
  <c r="H1662" i="12"/>
  <c r="I1662" i="12" s="1"/>
  <c r="H1663" i="12"/>
  <c r="I1663" i="12" s="1"/>
  <c r="H1664" i="12"/>
  <c r="H1665" i="12"/>
  <c r="H1666" i="12"/>
  <c r="H1667" i="12"/>
  <c r="H1668" i="12"/>
  <c r="H1669" i="12"/>
  <c r="H1670" i="12"/>
  <c r="H1671" i="12"/>
  <c r="I1671" i="12" s="1"/>
  <c r="H1672" i="12"/>
  <c r="H1673" i="12"/>
  <c r="H1674" i="12"/>
  <c r="H1675" i="12"/>
  <c r="H1676" i="12"/>
  <c r="H1677" i="12"/>
  <c r="H1678" i="12"/>
  <c r="H1679" i="12"/>
  <c r="I1679" i="12" s="1"/>
  <c r="H1680" i="12"/>
  <c r="H1681" i="12"/>
  <c r="H1682" i="12"/>
  <c r="H1683" i="12"/>
  <c r="I1683" i="12" s="1"/>
  <c r="H1684" i="12"/>
  <c r="H1685" i="12"/>
  <c r="H1686" i="12"/>
  <c r="H1687" i="12"/>
  <c r="H1688" i="12"/>
  <c r="H1689" i="12"/>
  <c r="H1690" i="12"/>
  <c r="H1691" i="12"/>
  <c r="I1691" i="12" s="1"/>
  <c r="H1692" i="12"/>
  <c r="H1693" i="12"/>
  <c r="H1694" i="12"/>
  <c r="H1695" i="12"/>
  <c r="H1696" i="12"/>
  <c r="H1697" i="12"/>
  <c r="H1698" i="12"/>
  <c r="H1699" i="12"/>
  <c r="I1699" i="12" s="1"/>
  <c r="H1700" i="12"/>
  <c r="H1701" i="12"/>
  <c r="H1702" i="12"/>
  <c r="H1703" i="12"/>
  <c r="H1704" i="12"/>
  <c r="H1705" i="12"/>
  <c r="H1706" i="12"/>
  <c r="H1707" i="12"/>
  <c r="I1707" i="12" s="1"/>
  <c r="H1708" i="12"/>
  <c r="H1709" i="12"/>
  <c r="H1710" i="12"/>
  <c r="H1711" i="12"/>
  <c r="I1711" i="12" s="1"/>
  <c r="H1712" i="12"/>
  <c r="H1713" i="12"/>
  <c r="H1714" i="12"/>
  <c r="H1715" i="12"/>
  <c r="H1716" i="12"/>
  <c r="H1717" i="12"/>
  <c r="H1718" i="12"/>
  <c r="I1718" i="12" s="1"/>
  <c r="H1719" i="12"/>
  <c r="I1719" i="12" s="1"/>
  <c r="H1720" i="12"/>
  <c r="H1721" i="12"/>
  <c r="H1722" i="12"/>
  <c r="H1723" i="12"/>
  <c r="H1724" i="12"/>
  <c r="H1725" i="12"/>
  <c r="H1726" i="12"/>
  <c r="H1727" i="12"/>
  <c r="I1727" i="12" s="1"/>
  <c r="H1728" i="12"/>
  <c r="H1729" i="12"/>
  <c r="H1730" i="12"/>
  <c r="H1731" i="12"/>
  <c r="H1732" i="12"/>
  <c r="H1733" i="12"/>
  <c r="H1734" i="12"/>
  <c r="H1735" i="12"/>
  <c r="I1735" i="12" s="1"/>
  <c r="H1736" i="12"/>
  <c r="H1737" i="12"/>
  <c r="H1738" i="12"/>
  <c r="H1739" i="12"/>
  <c r="I1739" i="12" s="1"/>
  <c r="H1740" i="12"/>
  <c r="H1741" i="12"/>
  <c r="H1742" i="12"/>
  <c r="H1743" i="12"/>
  <c r="H1744" i="12"/>
  <c r="H1745" i="12"/>
  <c r="H1746" i="12"/>
  <c r="H1747" i="12"/>
  <c r="I1747" i="12" s="1"/>
  <c r="H1748" i="12"/>
  <c r="H1749" i="12"/>
  <c r="H1750" i="12"/>
  <c r="H1751" i="12"/>
  <c r="H1752" i="12"/>
  <c r="H1753" i="12"/>
  <c r="H1754" i="12"/>
  <c r="H1755" i="12"/>
  <c r="I1755" i="12" s="1"/>
  <c r="H1756" i="12"/>
  <c r="H1757" i="12"/>
  <c r="H1758" i="12"/>
  <c r="H1759" i="12"/>
  <c r="H1760" i="12"/>
  <c r="H1761" i="12"/>
  <c r="H1762" i="12"/>
  <c r="H1763" i="12"/>
  <c r="I1763" i="12" s="1"/>
  <c r="H1764" i="12"/>
  <c r="H1765" i="12"/>
  <c r="H1766" i="12"/>
  <c r="H1767" i="12"/>
  <c r="I1767" i="12" s="1"/>
  <c r="H1768" i="12"/>
  <c r="H1769" i="12"/>
  <c r="H1770" i="12"/>
  <c r="H1771" i="12"/>
  <c r="H1772" i="12"/>
  <c r="H1773" i="12"/>
  <c r="H1774" i="12"/>
  <c r="I1774" i="12" s="1"/>
  <c r="H1775" i="12"/>
  <c r="I1775" i="12" s="1"/>
  <c r="H1776" i="12"/>
  <c r="H1777" i="12"/>
  <c r="H1778" i="12"/>
  <c r="H1779" i="12"/>
  <c r="H1780" i="12"/>
  <c r="H1781" i="12"/>
  <c r="H1782" i="12"/>
  <c r="H1783" i="12"/>
  <c r="I1783" i="12" s="1"/>
  <c r="H1784" i="12"/>
  <c r="H1785" i="12"/>
  <c r="H1786" i="12"/>
  <c r="H1787" i="12"/>
  <c r="H1788" i="12"/>
  <c r="H1789" i="12"/>
  <c r="H1790" i="12"/>
  <c r="H1791" i="12"/>
  <c r="I1791" i="12" s="1"/>
  <c r="H1792" i="12"/>
  <c r="H1793" i="12"/>
  <c r="H1794" i="12"/>
  <c r="H1795" i="12"/>
  <c r="I1795" i="12" s="1"/>
  <c r="H1796" i="12"/>
  <c r="H1797" i="12"/>
  <c r="H1798" i="12"/>
  <c r="H1799" i="12"/>
  <c r="H1800" i="12"/>
  <c r="H1801" i="12"/>
  <c r="H1802" i="12"/>
  <c r="H1803" i="12"/>
  <c r="I1803" i="12" s="1"/>
  <c r="H1804" i="12"/>
  <c r="H1805" i="12"/>
  <c r="H1806" i="12"/>
  <c r="H1807" i="12"/>
  <c r="H1808" i="12"/>
  <c r="H1809" i="12"/>
  <c r="H1810" i="12"/>
  <c r="H1811" i="12"/>
  <c r="I1811" i="12" s="1"/>
  <c r="H1812" i="12"/>
  <c r="H1813" i="12"/>
  <c r="H1814" i="12"/>
  <c r="H1815" i="12"/>
  <c r="H1816" i="12"/>
  <c r="H1817" i="12"/>
  <c r="H1818" i="12"/>
  <c r="H1819" i="12"/>
  <c r="I1819" i="12" s="1"/>
  <c r="H1820" i="12"/>
  <c r="H1821" i="12"/>
  <c r="H1822" i="12"/>
  <c r="H1823" i="12"/>
  <c r="I1823" i="12" s="1"/>
  <c r="H1824" i="12"/>
  <c r="H1825" i="12"/>
  <c r="H1826" i="12"/>
  <c r="H1827" i="12"/>
  <c r="H1828" i="12"/>
  <c r="H1829" i="12"/>
  <c r="H1830" i="12"/>
  <c r="I1830" i="12" s="1"/>
  <c r="H1831" i="12"/>
  <c r="I1831" i="12" s="1"/>
  <c r="H1832" i="12"/>
  <c r="H1833" i="12"/>
  <c r="H1834" i="12"/>
  <c r="H1835" i="12"/>
  <c r="H1836" i="12"/>
  <c r="H1837" i="12"/>
  <c r="H1838" i="12"/>
  <c r="H1839" i="12"/>
  <c r="I1839" i="12" s="1"/>
  <c r="H1840" i="12"/>
  <c r="H1841" i="12"/>
  <c r="H1842" i="12"/>
  <c r="H1843" i="12"/>
  <c r="H1844" i="12"/>
  <c r="H1845" i="12"/>
  <c r="H1846" i="12"/>
  <c r="H1847" i="12"/>
  <c r="I1847" i="12" s="1"/>
  <c r="H1848" i="12"/>
  <c r="H1849" i="12"/>
  <c r="H1850" i="12"/>
  <c r="H1851" i="12"/>
  <c r="I1851" i="12" s="1"/>
  <c r="H1852" i="12"/>
  <c r="H1853" i="12"/>
  <c r="H1854" i="12"/>
  <c r="H1855" i="12"/>
  <c r="H1856" i="12"/>
  <c r="H1857" i="12"/>
  <c r="H1858" i="12"/>
  <c r="H1859" i="12"/>
  <c r="I1859" i="12" s="1"/>
  <c r="H1860" i="12"/>
  <c r="H1861" i="12"/>
  <c r="H1862" i="12"/>
  <c r="H1863" i="12"/>
  <c r="H1864" i="12"/>
  <c r="H1865" i="12"/>
  <c r="H1866" i="12"/>
  <c r="H1867" i="12"/>
  <c r="I1867" i="12" s="1"/>
  <c r="H1868" i="12"/>
  <c r="H1869" i="12"/>
  <c r="H1870" i="12"/>
  <c r="H1871" i="12"/>
  <c r="H1872" i="12"/>
  <c r="H1873" i="12"/>
  <c r="H1874" i="12"/>
  <c r="H1875" i="12"/>
  <c r="I1875" i="12" s="1"/>
  <c r="H1876" i="12"/>
  <c r="H1877" i="12"/>
  <c r="H1878" i="12"/>
  <c r="H1879" i="12"/>
  <c r="I1879" i="12" s="1"/>
  <c r="H1880" i="12"/>
  <c r="H1881" i="12"/>
  <c r="H1882" i="12"/>
  <c r="H1883" i="12"/>
  <c r="H1884" i="12"/>
  <c r="H1885" i="12"/>
  <c r="H1886" i="12"/>
  <c r="I1886" i="12" s="1"/>
  <c r="H1887" i="12"/>
  <c r="I1887" i="12" s="1"/>
  <c r="H1888" i="12"/>
  <c r="H1889" i="12"/>
  <c r="H1890" i="12"/>
  <c r="H1891" i="12"/>
  <c r="H1892" i="12"/>
  <c r="H1893" i="12"/>
  <c r="H1894" i="12"/>
  <c r="H1895" i="12"/>
  <c r="I1895" i="12" s="1"/>
  <c r="H1896" i="12"/>
  <c r="H1897" i="12"/>
  <c r="H1898" i="12"/>
  <c r="H1899" i="12"/>
  <c r="H1900" i="12"/>
  <c r="H1901" i="12"/>
  <c r="H1902" i="12"/>
  <c r="H1903" i="12"/>
  <c r="I1903" i="12" s="1"/>
  <c r="H1904" i="12"/>
  <c r="H1905" i="12"/>
  <c r="H1906" i="12"/>
  <c r="H1907" i="12"/>
  <c r="I1907" i="12" s="1"/>
  <c r="H1908" i="12"/>
  <c r="H1909" i="12"/>
  <c r="H1910" i="12"/>
  <c r="H1911" i="12"/>
  <c r="H1912" i="12"/>
  <c r="H1913" i="12"/>
  <c r="H1914" i="12"/>
  <c r="H1915" i="12"/>
  <c r="I1915" i="12" s="1"/>
  <c r="H1916" i="12"/>
  <c r="H1917" i="12"/>
  <c r="H1918" i="12"/>
  <c r="H1919" i="12"/>
  <c r="H1920" i="12"/>
  <c r="H1921" i="12"/>
  <c r="H1922" i="12"/>
  <c r="H1923" i="12"/>
  <c r="I1923" i="12" s="1"/>
  <c r="H1924" i="12"/>
  <c r="H1925" i="12"/>
  <c r="H1926" i="12"/>
  <c r="H1927" i="12"/>
  <c r="H1928" i="12"/>
  <c r="H1929" i="12"/>
  <c r="H1930" i="12"/>
  <c r="H1931" i="12"/>
  <c r="I1931" i="12" s="1"/>
  <c r="H1932" i="12"/>
  <c r="H1933" i="12"/>
  <c r="H1934" i="12"/>
  <c r="H1935" i="12"/>
  <c r="I1935" i="12" s="1"/>
  <c r="H1936" i="12"/>
  <c r="H1937" i="12"/>
  <c r="H1938" i="12"/>
  <c r="H1939" i="12"/>
  <c r="H1940" i="12"/>
  <c r="H1941" i="12"/>
  <c r="H1942" i="12"/>
  <c r="I1942" i="12" s="1"/>
  <c r="H1943" i="12"/>
  <c r="I1943" i="12" s="1"/>
  <c r="H1944" i="12"/>
  <c r="H1945" i="12"/>
  <c r="H1946" i="12"/>
  <c r="H1947" i="12"/>
  <c r="H1948" i="12"/>
  <c r="H1949" i="12"/>
  <c r="H1950" i="12"/>
  <c r="H1951" i="12"/>
  <c r="I1951" i="12" s="1"/>
  <c r="H1952" i="12"/>
  <c r="H1953" i="12"/>
  <c r="H1954" i="12"/>
  <c r="H1955" i="12"/>
  <c r="H1956" i="12"/>
  <c r="H1957" i="12"/>
  <c r="H1958" i="12"/>
  <c r="H1959" i="12"/>
  <c r="I1959" i="12" s="1"/>
  <c r="H1960" i="12"/>
  <c r="H1961" i="12"/>
  <c r="H1962" i="12"/>
  <c r="H1963" i="12"/>
  <c r="I1963" i="12" s="1"/>
  <c r="H1964" i="12"/>
  <c r="H1965" i="12"/>
  <c r="H1966" i="12"/>
  <c r="H1967" i="12"/>
  <c r="H1968" i="12"/>
  <c r="H1969" i="12"/>
  <c r="H1970" i="12"/>
  <c r="H1971" i="12"/>
  <c r="I1971" i="12" s="1"/>
  <c r="H1972" i="12"/>
  <c r="H1973" i="12"/>
  <c r="H1974" i="12"/>
  <c r="I1974" i="12" s="1"/>
  <c r="H1975" i="12"/>
  <c r="H1976" i="12"/>
  <c r="H1977" i="12"/>
  <c r="H1978" i="12"/>
  <c r="H1979" i="12"/>
  <c r="I1979" i="12" s="1"/>
  <c r="H1980" i="12"/>
  <c r="H1981" i="12"/>
  <c r="H1982" i="12"/>
  <c r="H1983" i="12"/>
  <c r="H1984" i="12"/>
  <c r="H1985" i="12"/>
  <c r="H1986" i="12"/>
  <c r="H1987" i="12"/>
  <c r="I1987" i="12" s="1"/>
  <c r="H1988" i="12"/>
  <c r="H1989" i="12"/>
  <c r="H1990" i="12"/>
  <c r="H1991" i="12"/>
  <c r="I1991" i="12" s="1"/>
  <c r="H1992" i="12"/>
  <c r="H1993" i="12"/>
  <c r="H1994" i="12"/>
  <c r="H1995" i="12"/>
  <c r="H1996" i="12"/>
  <c r="H1997" i="12"/>
  <c r="H1998" i="12"/>
  <c r="I1998" i="12" s="1"/>
  <c r="H1999" i="12"/>
  <c r="I1999" i="12" s="1"/>
  <c r="H2000" i="12"/>
  <c r="H2001" i="12"/>
  <c r="H2002" i="12"/>
  <c r="H2003" i="12"/>
  <c r="H2004" i="12"/>
  <c r="H2005" i="12"/>
  <c r="H2006" i="12"/>
  <c r="H2007" i="12"/>
  <c r="I2007" i="12" s="1"/>
  <c r="H2008" i="12"/>
  <c r="H2009" i="12"/>
  <c r="H2010" i="12"/>
  <c r="H2011" i="12"/>
  <c r="H2012" i="12"/>
  <c r="H2013" i="12"/>
  <c r="H2014" i="12"/>
  <c r="H2015" i="12"/>
  <c r="I2015" i="12" s="1"/>
  <c r="H2016" i="12"/>
  <c r="H2017" i="12"/>
  <c r="H2018" i="12"/>
  <c r="H2019" i="12"/>
  <c r="I2019" i="12" s="1"/>
  <c r="H2020" i="12"/>
  <c r="H2021" i="12"/>
  <c r="H2022" i="12"/>
  <c r="H2023" i="12"/>
  <c r="H2024" i="12"/>
  <c r="H2025" i="12"/>
  <c r="H2026" i="12"/>
  <c r="H2027" i="12"/>
  <c r="I2027" i="12" s="1"/>
  <c r="H2028" i="12"/>
  <c r="H2029" i="12"/>
  <c r="H2030" i="12"/>
  <c r="H2031" i="12"/>
  <c r="H2032" i="12"/>
  <c r="H2033" i="12"/>
  <c r="H2034" i="12"/>
  <c r="H2035" i="12"/>
  <c r="I2035" i="12" s="1"/>
  <c r="H2036" i="12"/>
  <c r="H2037" i="12"/>
  <c r="H2038" i="12"/>
  <c r="H2039" i="12"/>
  <c r="H2040" i="12"/>
  <c r="H2041" i="12"/>
  <c r="H2042" i="12"/>
  <c r="H2043" i="12"/>
  <c r="I2043" i="12" s="1"/>
  <c r="H2044" i="12"/>
  <c r="H2045" i="12"/>
  <c r="H2046" i="12"/>
  <c r="H2047" i="12"/>
  <c r="I2047" i="12" s="1"/>
  <c r="H2048" i="12"/>
  <c r="H2049" i="12"/>
  <c r="H2050" i="12"/>
  <c r="H2051" i="12"/>
  <c r="H2052" i="12"/>
  <c r="H2053" i="12"/>
  <c r="H2054" i="12"/>
  <c r="I2054" i="12" s="1"/>
  <c r="H2055" i="12"/>
  <c r="I2055" i="12" s="1"/>
  <c r="H2056" i="12"/>
  <c r="H2057" i="12"/>
  <c r="H2058" i="12"/>
  <c r="H2059" i="12"/>
  <c r="H2060" i="12"/>
  <c r="H2061" i="12"/>
  <c r="H2062" i="12"/>
  <c r="H2063" i="12"/>
  <c r="I2063" i="12" s="1"/>
  <c r="H2064" i="12"/>
  <c r="H2065" i="12"/>
  <c r="H2066" i="12"/>
  <c r="H2067" i="12"/>
  <c r="H2068" i="12"/>
  <c r="H2069" i="12"/>
  <c r="H2070" i="12"/>
  <c r="H2071" i="12"/>
  <c r="I2071" i="12" s="1"/>
  <c r="H2072" i="12"/>
  <c r="H2073" i="12"/>
  <c r="H2074" i="12"/>
  <c r="H2075" i="12"/>
  <c r="I2075" i="12" s="1"/>
  <c r="H2076" i="12"/>
  <c r="H2077" i="12"/>
  <c r="H2078" i="12"/>
  <c r="H2079" i="12"/>
  <c r="H2080" i="12"/>
  <c r="H2081" i="12"/>
  <c r="H2082" i="12"/>
  <c r="H2083" i="12"/>
  <c r="I2083" i="12" s="1"/>
  <c r="H2084" i="12"/>
  <c r="H2085" i="12"/>
  <c r="H2086" i="12"/>
  <c r="I2086" i="12" s="1"/>
  <c r="H2087" i="12"/>
  <c r="H2088" i="12"/>
  <c r="H2089" i="12"/>
  <c r="H2090" i="12"/>
  <c r="H2091" i="12"/>
  <c r="I2091" i="12" s="1"/>
  <c r="H2092" i="12"/>
  <c r="H2093" i="12"/>
  <c r="H2094" i="12"/>
  <c r="H2095" i="12"/>
  <c r="H2096" i="12"/>
  <c r="H2097" i="12"/>
  <c r="H2098" i="12"/>
  <c r="H2099" i="12"/>
  <c r="I2099" i="12" s="1"/>
  <c r="H2100" i="12"/>
  <c r="H2101" i="12"/>
  <c r="H2102" i="12"/>
  <c r="H2103" i="12"/>
  <c r="I2103" i="12" s="1"/>
  <c r="H2104" i="12"/>
  <c r="H2105" i="12"/>
  <c r="H2106" i="12"/>
  <c r="H2107" i="12"/>
  <c r="H2108" i="12"/>
  <c r="H2109" i="12"/>
  <c r="H2110" i="12"/>
  <c r="I2110" i="12" s="1"/>
  <c r="H2111" i="12"/>
  <c r="I2111" i="12" s="1"/>
  <c r="H2112" i="12"/>
  <c r="H2113" i="12"/>
  <c r="H2114" i="12"/>
  <c r="H2115" i="12"/>
  <c r="H2116" i="12"/>
  <c r="H2117" i="12"/>
  <c r="H2118" i="12"/>
  <c r="H2119" i="12"/>
  <c r="I2119" i="12" s="1"/>
  <c r="H2120" i="12"/>
  <c r="H2121" i="12"/>
  <c r="H2122" i="12"/>
  <c r="H2123" i="12"/>
  <c r="H2124" i="12"/>
  <c r="H2125" i="12"/>
  <c r="H2126" i="12"/>
  <c r="H2127" i="12"/>
  <c r="I2127" i="12" s="1"/>
  <c r="H2128" i="12"/>
  <c r="H2129" i="12"/>
  <c r="H2130" i="12"/>
  <c r="H2131" i="12"/>
  <c r="I2131" i="12" s="1"/>
  <c r="H2132" i="12"/>
  <c r="H2133" i="12"/>
  <c r="H2134" i="12"/>
  <c r="H2135" i="12"/>
  <c r="H2136" i="12"/>
  <c r="H2137" i="12"/>
  <c r="H2138" i="12"/>
  <c r="H2139" i="12"/>
  <c r="I2139" i="12" s="1"/>
  <c r="H2140" i="12"/>
  <c r="H2141" i="12"/>
  <c r="H2142" i="12"/>
  <c r="I2142" i="12" s="1"/>
  <c r="H2143" i="12"/>
  <c r="H2144" i="12"/>
  <c r="H2145" i="12"/>
  <c r="H2146" i="12"/>
  <c r="H2147" i="12"/>
  <c r="I2147" i="12" s="1"/>
  <c r="H2148" i="12"/>
  <c r="H2149" i="12"/>
  <c r="H2150" i="12"/>
  <c r="H2151" i="12"/>
  <c r="H2152" i="12"/>
  <c r="H2153" i="12"/>
  <c r="H2154" i="12"/>
  <c r="H2155" i="12"/>
  <c r="I2155" i="12" s="1"/>
  <c r="H2156" i="12"/>
  <c r="H2157" i="12"/>
  <c r="H2158" i="12"/>
  <c r="H2159" i="12"/>
  <c r="I2159" i="12" s="1"/>
  <c r="H2160" i="12"/>
  <c r="H2161" i="12"/>
  <c r="H2162" i="12"/>
  <c r="H2163" i="12"/>
  <c r="H2164" i="12"/>
  <c r="H2165" i="12"/>
  <c r="H2166" i="12"/>
  <c r="I2166" i="12" s="1"/>
  <c r="H2167" i="12"/>
  <c r="I2167" i="12" s="1"/>
  <c r="H2168" i="12"/>
  <c r="H2169" i="12"/>
  <c r="H2170" i="12"/>
  <c r="H2171" i="12"/>
  <c r="H2172" i="12"/>
  <c r="H2173" i="12"/>
  <c r="H2174" i="12"/>
  <c r="H2175" i="12"/>
  <c r="I2175" i="12" s="1"/>
  <c r="H2176" i="12"/>
  <c r="H2177" i="12"/>
  <c r="H2178" i="12"/>
  <c r="H2179" i="12"/>
  <c r="H2180" i="12"/>
  <c r="H2181" i="12"/>
  <c r="H2182" i="12"/>
  <c r="H2183" i="12"/>
  <c r="I2183" i="12" s="1"/>
  <c r="H2184" i="12"/>
  <c r="H2185" i="12"/>
  <c r="H2186" i="12"/>
  <c r="H2187" i="12"/>
  <c r="I2187" i="12" s="1"/>
  <c r="H2188" i="12"/>
  <c r="H2189" i="12"/>
  <c r="H2190" i="12"/>
  <c r="H2191" i="12"/>
  <c r="H2192" i="12"/>
  <c r="H2193" i="12"/>
  <c r="H2194" i="12"/>
  <c r="H2195" i="12"/>
  <c r="I2195" i="12" s="1"/>
  <c r="H2196" i="12"/>
  <c r="H2197" i="12"/>
  <c r="H2198" i="12"/>
  <c r="H2199" i="12"/>
  <c r="H2200" i="12"/>
  <c r="H2201" i="12"/>
  <c r="H2202" i="12"/>
  <c r="H2203" i="12"/>
  <c r="I2203" i="12" s="1"/>
  <c r="H2204" i="12"/>
  <c r="H2205" i="12"/>
  <c r="H2206" i="12"/>
  <c r="H2207" i="12"/>
  <c r="H2208" i="12"/>
  <c r="H2209" i="12"/>
  <c r="H2210" i="12"/>
  <c r="H2211" i="12"/>
  <c r="I2211" i="12" s="1"/>
  <c r="H2212" i="12"/>
  <c r="H2213" i="12"/>
  <c r="H2214" i="12"/>
  <c r="H2215" i="12"/>
  <c r="I2215" i="12" s="1"/>
  <c r="H2216" i="12"/>
  <c r="H2217" i="12"/>
  <c r="H2218" i="12"/>
  <c r="H2219" i="12"/>
  <c r="H2220" i="12"/>
  <c r="H2221" i="12"/>
  <c r="H2222" i="12"/>
  <c r="I2222" i="12" s="1"/>
  <c r="H2223" i="12"/>
  <c r="I2223" i="12" s="1"/>
  <c r="H2224" i="12"/>
  <c r="H2225" i="12"/>
  <c r="H2226" i="12"/>
  <c r="H2227" i="12"/>
  <c r="H2228" i="12"/>
  <c r="H2229" i="12"/>
  <c r="H2230" i="12"/>
  <c r="H2231" i="12"/>
  <c r="I2231" i="12" s="1"/>
  <c r="H2232" i="12"/>
  <c r="H2233" i="12"/>
  <c r="H2234" i="12"/>
  <c r="H2235" i="12"/>
  <c r="H2236" i="12"/>
  <c r="H2237" i="12"/>
  <c r="H2238" i="12"/>
  <c r="H2239" i="12"/>
  <c r="I2239" i="12" s="1"/>
  <c r="H2240" i="12"/>
  <c r="H2241" i="12"/>
  <c r="H2242" i="12"/>
  <c r="H2243" i="12"/>
  <c r="I2243" i="12" s="1"/>
  <c r="H2244" i="12"/>
  <c r="H2245" i="12"/>
  <c r="H2246" i="12"/>
  <c r="H2247" i="12"/>
  <c r="H2248" i="12"/>
  <c r="H2249" i="12"/>
  <c r="H2250" i="12"/>
  <c r="H2251" i="12"/>
  <c r="I2251" i="12" s="1"/>
  <c r="H2252" i="12"/>
  <c r="H2253" i="12"/>
  <c r="H2254" i="12"/>
  <c r="I2254" i="12" s="1"/>
  <c r="H2255" i="12"/>
  <c r="H2256" i="12"/>
  <c r="H2257" i="12"/>
  <c r="H2258" i="12"/>
  <c r="H2259" i="12"/>
  <c r="I2259" i="12" s="1"/>
  <c r="H2260" i="12"/>
  <c r="H2261" i="12"/>
  <c r="H2262" i="12"/>
  <c r="H2263" i="12"/>
  <c r="H2264" i="12"/>
  <c r="H2265" i="12"/>
  <c r="H2266" i="12"/>
  <c r="H2267" i="12"/>
  <c r="I2267" i="12" s="1"/>
  <c r="H2268" i="12"/>
  <c r="H2269" i="12"/>
  <c r="H2270" i="12"/>
  <c r="H2271" i="12"/>
  <c r="I2271" i="12" s="1"/>
  <c r="H2272" i="12"/>
  <c r="H2273" i="12"/>
  <c r="H2274" i="12"/>
  <c r="H2275" i="12"/>
  <c r="H2276" i="12"/>
  <c r="H2277" i="12"/>
  <c r="H2278" i="12"/>
  <c r="I2278" i="12" s="1"/>
  <c r="H2279" i="12"/>
  <c r="I2279" i="12" s="1"/>
  <c r="H2280" i="12"/>
  <c r="H2281" i="12"/>
  <c r="H2282" i="12"/>
  <c r="H2283" i="12"/>
  <c r="H2284" i="12"/>
  <c r="H2285" i="12"/>
  <c r="H2286" i="12"/>
  <c r="H2287" i="12"/>
  <c r="I2287" i="12" s="1"/>
  <c r="H2288" i="12"/>
  <c r="H2289" i="12"/>
  <c r="H2290" i="12"/>
  <c r="H2291" i="12"/>
  <c r="H2292" i="12"/>
  <c r="H2293" i="12"/>
  <c r="H2294" i="12"/>
  <c r="H2295" i="12"/>
  <c r="I2295" i="12" s="1"/>
  <c r="H2296" i="12"/>
  <c r="H2297" i="12"/>
  <c r="H2298" i="12"/>
  <c r="H2299" i="12"/>
  <c r="I2299" i="12" s="1"/>
  <c r="H2300" i="12"/>
  <c r="H2301" i="12"/>
  <c r="H2302" i="12"/>
  <c r="H2303" i="12"/>
  <c r="H2304" i="12"/>
  <c r="H2305" i="12"/>
  <c r="H2306" i="12"/>
  <c r="H2307" i="12"/>
  <c r="I2307" i="12" s="1"/>
  <c r="H2308" i="12"/>
  <c r="H2309" i="12"/>
  <c r="H2310" i="12"/>
  <c r="H2311" i="12"/>
  <c r="H2312" i="12"/>
  <c r="H2313" i="12"/>
  <c r="H2314" i="12"/>
  <c r="H2315" i="12"/>
  <c r="I2315" i="12" s="1"/>
  <c r="H2316" i="12"/>
  <c r="H2317" i="12"/>
  <c r="H2318" i="12"/>
  <c r="H2319" i="12"/>
  <c r="H2320" i="12"/>
  <c r="H2321" i="12"/>
  <c r="H2322" i="12"/>
  <c r="H2323" i="12"/>
  <c r="I2323" i="12" s="1"/>
  <c r="H2324" i="12"/>
  <c r="H2325" i="12"/>
  <c r="H2326" i="12"/>
  <c r="H2327" i="12"/>
  <c r="I2327" i="12" s="1"/>
  <c r="H2328" i="12"/>
  <c r="H2329" i="12"/>
  <c r="H2330" i="12"/>
  <c r="H2331" i="12"/>
  <c r="H2332" i="12"/>
  <c r="H2333" i="12"/>
  <c r="H2334" i="12"/>
  <c r="I2334" i="12" s="1"/>
  <c r="H2335" i="12"/>
  <c r="I2335" i="12" s="1"/>
  <c r="H2336" i="12"/>
  <c r="H2337" i="12"/>
  <c r="H2338" i="12"/>
  <c r="H2339" i="12"/>
  <c r="H2340" i="12"/>
  <c r="H2341" i="12"/>
  <c r="H2342" i="12"/>
  <c r="H2343" i="12"/>
  <c r="I2343" i="12" s="1"/>
  <c r="H2344" i="12"/>
  <c r="H2345" i="12"/>
  <c r="H2346" i="12"/>
  <c r="H2347" i="12"/>
  <c r="H2348" i="12"/>
  <c r="H2349" i="12"/>
  <c r="H2350" i="12"/>
  <c r="H2351" i="12"/>
  <c r="I2351" i="12" s="1"/>
  <c r="H2352" i="12"/>
  <c r="H2353" i="12"/>
  <c r="H2354" i="12"/>
  <c r="H2355" i="12"/>
  <c r="I2355" i="12" s="1"/>
  <c r="H2356" i="12"/>
  <c r="H2357" i="12"/>
  <c r="H2358" i="12"/>
  <c r="H2359" i="12"/>
  <c r="H2360" i="12"/>
  <c r="H2361" i="12"/>
  <c r="H2362" i="12"/>
  <c r="H2363" i="12"/>
  <c r="I2363" i="12" s="1"/>
  <c r="H2364" i="12"/>
  <c r="H2365" i="12"/>
  <c r="H2366" i="12"/>
  <c r="H2367" i="12"/>
  <c r="H2368" i="12"/>
  <c r="H2369" i="12"/>
  <c r="H2370" i="12"/>
  <c r="H2371" i="12"/>
  <c r="I2371" i="12" s="1"/>
  <c r="H2372" i="12"/>
  <c r="H2373" i="12"/>
  <c r="H2374" i="12"/>
  <c r="H2375" i="12"/>
  <c r="H2376" i="12"/>
  <c r="H2377" i="12"/>
  <c r="H2378" i="12"/>
  <c r="H2379" i="12"/>
  <c r="I2379" i="12" s="1"/>
  <c r="H2380" i="12"/>
  <c r="H2381" i="12"/>
  <c r="H2382" i="12"/>
  <c r="H2383" i="12"/>
  <c r="I2383" i="12" s="1"/>
  <c r="H2384" i="12"/>
  <c r="H2385" i="12"/>
  <c r="H2386" i="12"/>
  <c r="H2387" i="12"/>
  <c r="H2388" i="12"/>
  <c r="H2389" i="12"/>
  <c r="H2390" i="12"/>
  <c r="I2390" i="12" s="1"/>
  <c r="H2391" i="12"/>
  <c r="I2391" i="12" s="1"/>
  <c r="H2392" i="12"/>
  <c r="H2393" i="12"/>
  <c r="H2394" i="12"/>
  <c r="H2395" i="12"/>
  <c r="H2396" i="12"/>
  <c r="H2397" i="12"/>
  <c r="H2398" i="12"/>
  <c r="H2399" i="12"/>
  <c r="I2399" i="12" s="1"/>
  <c r="H2400" i="12"/>
  <c r="H2401" i="12"/>
  <c r="H2402" i="12"/>
  <c r="H2403" i="12"/>
  <c r="H2404" i="12"/>
  <c r="H2405" i="12"/>
  <c r="H2406" i="12"/>
  <c r="H2407" i="12"/>
  <c r="I2407" i="12" s="1"/>
  <c r="H2408" i="12"/>
  <c r="H2409" i="12"/>
  <c r="H2410" i="12"/>
  <c r="H2411" i="12"/>
  <c r="I2411" i="12" s="1"/>
  <c r="H2412" i="12"/>
  <c r="H2413" i="12"/>
  <c r="H2414" i="12"/>
  <c r="H2415" i="12"/>
  <c r="H2416" i="12"/>
  <c r="H2417" i="12"/>
  <c r="H2418" i="12"/>
  <c r="H2419" i="12"/>
  <c r="I2419" i="12" s="1"/>
  <c r="H2420" i="12"/>
  <c r="H2421" i="12"/>
  <c r="H2422" i="12"/>
  <c r="H2423" i="12"/>
  <c r="H2424" i="12"/>
  <c r="H2425" i="12"/>
  <c r="H2426" i="12"/>
  <c r="H2427" i="12"/>
  <c r="I2427" i="12" s="1"/>
  <c r="H2428" i="12"/>
  <c r="H2429" i="12"/>
  <c r="H2430" i="12"/>
  <c r="H2431" i="12"/>
  <c r="H2432" i="12"/>
  <c r="H2433" i="12"/>
  <c r="H2434" i="12"/>
  <c r="H2435" i="12"/>
  <c r="I2435" i="12" s="1"/>
  <c r="H2436" i="12"/>
  <c r="H2437" i="12"/>
  <c r="H2438" i="12"/>
  <c r="H2439" i="12"/>
  <c r="I2439" i="12" s="1"/>
  <c r="H2440" i="12"/>
  <c r="H2441" i="12"/>
  <c r="H2442" i="12"/>
  <c r="H2443" i="12"/>
  <c r="H2444" i="12"/>
  <c r="H2445" i="12"/>
  <c r="H2446" i="12"/>
  <c r="I2446" i="12" s="1"/>
  <c r="H2447" i="12"/>
  <c r="I2447" i="12" s="1"/>
  <c r="H2448" i="12"/>
  <c r="H2449" i="12"/>
  <c r="H2450" i="12"/>
  <c r="H2451" i="12"/>
  <c r="H2452" i="12"/>
  <c r="H2453" i="12"/>
  <c r="H2454" i="12"/>
  <c r="H2455" i="12"/>
  <c r="I2455" i="12" s="1"/>
  <c r="H2456" i="12"/>
  <c r="H2457" i="12"/>
  <c r="H2458" i="12"/>
  <c r="H2459" i="12"/>
  <c r="H2460" i="12"/>
  <c r="H2461" i="12"/>
  <c r="H2462" i="12"/>
  <c r="H2463" i="12"/>
  <c r="I2463" i="12" s="1"/>
  <c r="H2464" i="12"/>
  <c r="H2465" i="12"/>
  <c r="H2466" i="12"/>
  <c r="H2467" i="12"/>
  <c r="I2467" i="12" s="1"/>
  <c r="H2468" i="12"/>
  <c r="H2469" i="12"/>
  <c r="H2470" i="12"/>
  <c r="H2471" i="12"/>
  <c r="H2472" i="12"/>
  <c r="H2473" i="12"/>
  <c r="H2474" i="12"/>
  <c r="H2475" i="12"/>
  <c r="I2475" i="12" s="1"/>
  <c r="H2476" i="12"/>
  <c r="H2477" i="12"/>
  <c r="H2478" i="12"/>
  <c r="I2478" i="12" s="1"/>
  <c r="H2479" i="12"/>
  <c r="H2480" i="12"/>
  <c r="H2481" i="12"/>
  <c r="H2482" i="12"/>
  <c r="H2483" i="12"/>
  <c r="I2483" i="12" s="1"/>
  <c r="H2484" i="12"/>
  <c r="H2485" i="12"/>
  <c r="H2486" i="12"/>
  <c r="H2487" i="12"/>
  <c r="H2488" i="12"/>
  <c r="H2489" i="12"/>
  <c r="H2490" i="12"/>
  <c r="H2491" i="12"/>
  <c r="I2491" i="12" s="1"/>
  <c r="H2492" i="12"/>
  <c r="H2493" i="12"/>
  <c r="H2494" i="12"/>
  <c r="H2495" i="12"/>
  <c r="I2495" i="12" s="1"/>
  <c r="H2496" i="12"/>
  <c r="H2497" i="12"/>
  <c r="H2498" i="12"/>
  <c r="H2499" i="12"/>
  <c r="H2500" i="12"/>
  <c r="H2501" i="12"/>
  <c r="H2502" i="12"/>
  <c r="I2502" i="12" s="1"/>
  <c r="H2503" i="12"/>
  <c r="I2503" i="12" s="1"/>
  <c r="H2504" i="12"/>
  <c r="H2505" i="12"/>
  <c r="H2506" i="12"/>
  <c r="H2507" i="12"/>
  <c r="H2508" i="12"/>
  <c r="H2509" i="12"/>
  <c r="H2510" i="12"/>
  <c r="H2511" i="12"/>
  <c r="I2511" i="12" s="1"/>
  <c r="H2512" i="12"/>
  <c r="H2513" i="12"/>
  <c r="H2514" i="12"/>
  <c r="H2515" i="12"/>
  <c r="H2516" i="12"/>
  <c r="H2517" i="12"/>
  <c r="H2518" i="12"/>
  <c r="H2519" i="12"/>
  <c r="I2519" i="12" s="1"/>
  <c r="H2520" i="12"/>
  <c r="H2521" i="12"/>
  <c r="H2522" i="12"/>
  <c r="H2523" i="12"/>
  <c r="I2523" i="12" s="1"/>
  <c r="H2524" i="12"/>
  <c r="H2525" i="12"/>
  <c r="H2526" i="12"/>
  <c r="H2527" i="12"/>
  <c r="H2528" i="12"/>
  <c r="H2529" i="12"/>
  <c r="H2530" i="12"/>
  <c r="H2531" i="12"/>
  <c r="I2531" i="12" s="1"/>
  <c r="H2532" i="12"/>
  <c r="H2533" i="12"/>
  <c r="H2534" i="12"/>
  <c r="H2535" i="12"/>
  <c r="H2536" i="12"/>
  <c r="H2537" i="12"/>
  <c r="H2538" i="12"/>
  <c r="H2539" i="12"/>
  <c r="I2539" i="12" s="1"/>
  <c r="H2540" i="12"/>
  <c r="H2541" i="12"/>
  <c r="H2542" i="12"/>
  <c r="H2543" i="12"/>
  <c r="H2544" i="12"/>
  <c r="H2545" i="12"/>
  <c r="H2546" i="12"/>
  <c r="H2547" i="12"/>
  <c r="I2547" i="12" s="1"/>
  <c r="H2548" i="12"/>
  <c r="H2549" i="12"/>
  <c r="H2550" i="12"/>
  <c r="H2551" i="12"/>
  <c r="I2551" i="12" s="1"/>
  <c r="H2552" i="12"/>
  <c r="H2553" i="12"/>
  <c r="H2554" i="12"/>
  <c r="H2555" i="12"/>
  <c r="H2556" i="12"/>
  <c r="H2557" i="12"/>
  <c r="H2558" i="12"/>
  <c r="I2558" i="12" s="1"/>
  <c r="H2559" i="12"/>
  <c r="I2559" i="12" s="1"/>
  <c r="H2560" i="12"/>
  <c r="H2561" i="12"/>
  <c r="H2562" i="12"/>
  <c r="H2563" i="12"/>
  <c r="H2564" i="12"/>
  <c r="H2565" i="12"/>
  <c r="H2566" i="12"/>
  <c r="H2567" i="12"/>
  <c r="I2567" i="12" s="1"/>
  <c r="H2568" i="12"/>
  <c r="H2569" i="12"/>
  <c r="H2570" i="12"/>
  <c r="H2571" i="12"/>
  <c r="H2572" i="12"/>
  <c r="H2573" i="12"/>
  <c r="H2574" i="12"/>
  <c r="H2575" i="12"/>
  <c r="I2575" i="12" s="1"/>
  <c r="H2576" i="12"/>
  <c r="H2577" i="12"/>
  <c r="H2578" i="12"/>
  <c r="H2579" i="12"/>
  <c r="I2579" i="12" s="1"/>
  <c r="H2580" i="12"/>
  <c r="H2581" i="12"/>
  <c r="H2582" i="12"/>
  <c r="H2583" i="12"/>
  <c r="H2584" i="12"/>
  <c r="H2585" i="12"/>
  <c r="H2586" i="12"/>
  <c r="H2587" i="12"/>
  <c r="I2587" i="12" s="1"/>
  <c r="H2588" i="12"/>
  <c r="H2589" i="12"/>
  <c r="H2590" i="12"/>
  <c r="I2590" i="12" s="1"/>
  <c r="H2591" i="12"/>
  <c r="H2592" i="12"/>
  <c r="H2593" i="12"/>
  <c r="H2594" i="12"/>
  <c r="H2595" i="12"/>
  <c r="I2595" i="12" s="1"/>
  <c r="H2596" i="12"/>
  <c r="H2597" i="12"/>
  <c r="H2598" i="12"/>
  <c r="H2599" i="12"/>
  <c r="H2600" i="12"/>
  <c r="H2601" i="12"/>
  <c r="H2602" i="12"/>
  <c r="H2603" i="12"/>
  <c r="I2603" i="12" s="1"/>
  <c r="H2604" i="12"/>
  <c r="H2605" i="12"/>
  <c r="H2606" i="12"/>
  <c r="H2607" i="12"/>
  <c r="I2607" i="12" s="1"/>
  <c r="H2608" i="12"/>
  <c r="H2609" i="12"/>
  <c r="H2610" i="12"/>
  <c r="H2611" i="12"/>
  <c r="H2612" i="12"/>
  <c r="H2613" i="12"/>
  <c r="H2614" i="12"/>
  <c r="I2614" i="12" s="1"/>
  <c r="H2615" i="12"/>
  <c r="I2615" i="12" s="1"/>
  <c r="H2616" i="12"/>
  <c r="H2617" i="12"/>
  <c r="H2618" i="12"/>
  <c r="H2619" i="12"/>
  <c r="H2620" i="12"/>
  <c r="H2621" i="12"/>
  <c r="H2622" i="12"/>
  <c r="H2623" i="12"/>
  <c r="I2623" i="12" s="1"/>
  <c r="H2624" i="12"/>
  <c r="H2625" i="12"/>
  <c r="H2626" i="12"/>
  <c r="H2627" i="12"/>
  <c r="H2628" i="12"/>
  <c r="H2629" i="12"/>
  <c r="H2630" i="12"/>
  <c r="H2631" i="12"/>
  <c r="I2631" i="12" s="1"/>
  <c r="H2632" i="12"/>
  <c r="H2633" i="12"/>
  <c r="H2634" i="12"/>
  <c r="H2635" i="12"/>
  <c r="I2635" i="12" s="1"/>
  <c r="H2636" i="12"/>
  <c r="H2637" i="12"/>
  <c r="H2638" i="12"/>
  <c r="H2639" i="12"/>
  <c r="H2640" i="12"/>
  <c r="H2641" i="12"/>
  <c r="H2642" i="12"/>
  <c r="H2643" i="12"/>
  <c r="I2643" i="12" s="1"/>
  <c r="H2644" i="12"/>
  <c r="H2645" i="12"/>
  <c r="H2646" i="12"/>
  <c r="I2646" i="12" s="1"/>
  <c r="H2647" i="12"/>
  <c r="H2648" i="12"/>
  <c r="H2649" i="12"/>
  <c r="H2650" i="12"/>
  <c r="H2651" i="12"/>
  <c r="I2651" i="12" s="1"/>
  <c r="H2652" i="12"/>
  <c r="H2653" i="12"/>
  <c r="H2654" i="12"/>
  <c r="H2655" i="12"/>
  <c r="H2656" i="12"/>
  <c r="H2657" i="12"/>
  <c r="H2658" i="12"/>
  <c r="H2659" i="12"/>
  <c r="I2659" i="12" s="1"/>
  <c r="H2660" i="12"/>
  <c r="H2661" i="12"/>
  <c r="H2662" i="12"/>
  <c r="H2663" i="12"/>
  <c r="I2663" i="12" s="1"/>
  <c r="H2664" i="12"/>
  <c r="H2665" i="12"/>
  <c r="H2666" i="12"/>
  <c r="H2667" i="12"/>
  <c r="H2668" i="12"/>
  <c r="H2669" i="12"/>
  <c r="H2670" i="12"/>
  <c r="I2670" i="12" s="1"/>
  <c r="H2671" i="12"/>
  <c r="I2671" i="12" s="1"/>
  <c r="H2672" i="12"/>
  <c r="H2673" i="12"/>
  <c r="H2674" i="12"/>
  <c r="H2675" i="12"/>
  <c r="H2676" i="12"/>
  <c r="H2677" i="12"/>
  <c r="H2678" i="12"/>
  <c r="H2679" i="12"/>
  <c r="I2679" i="12" s="1"/>
  <c r="H2680" i="12"/>
  <c r="H2681" i="12"/>
  <c r="H2682" i="12"/>
  <c r="H2683" i="12"/>
  <c r="H2684" i="12"/>
  <c r="H2685" i="12"/>
  <c r="H2686" i="12"/>
  <c r="H2687" i="12"/>
  <c r="I2687" i="12" s="1"/>
  <c r="H2688" i="12"/>
  <c r="H2689" i="12"/>
  <c r="H2690" i="12"/>
  <c r="H2691" i="12"/>
  <c r="I2691" i="12" s="1"/>
  <c r="H2692" i="12"/>
  <c r="H2693" i="12"/>
  <c r="H2694" i="12"/>
  <c r="H2695" i="12"/>
  <c r="H2696" i="12"/>
  <c r="H2697" i="12"/>
  <c r="H2698" i="12"/>
  <c r="H2699" i="12"/>
  <c r="I2699" i="12" s="1"/>
  <c r="H2700" i="12"/>
  <c r="H2701" i="12"/>
  <c r="H2702" i="12"/>
  <c r="I2702" i="12" s="1"/>
  <c r="H2703" i="12"/>
  <c r="H2704" i="12"/>
  <c r="H2705" i="12"/>
  <c r="H2706" i="12"/>
  <c r="H2707" i="12"/>
  <c r="I2707" i="12" s="1"/>
  <c r="H2708" i="12"/>
  <c r="H2709" i="12"/>
  <c r="H2710" i="12"/>
  <c r="H2711" i="12"/>
  <c r="H2712" i="12"/>
  <c r="H2713" i="12"/>
  <c r="H2714" i="12"/>
  <c r="H2715" i="12"/>
  <c r="I2715" i="12" s="1"/>
  <c r="H2716" i="12"/>
  <c r="H2717" i="12"/>
  <c r="H2718" i="12"/>
  <c r="H2719" i="12"/>
  <c r="I2719" i="12" s="1"/>
  <c r="H2720" i="12"/>
  <c r="H2721" i="12"/>
  <c r="H2722" i="12"/>
  <c r="H2723" i="12"/>
  <c r="H2724" i="12"/>
  <c r="H2725" i="12"/>
  <c r="H2726" i="12"/>
  <c r="I2726" i="12" s="1"/>
  <c r="H2727" i="12"/>
  <c r="I2727" i="12" s="1"/>
  <c r="H2728" i="12"/>
  <c r="H2729" i="12"/>
  <c r="H2730" i="12"/>
  <c r="H2731" i="12"/>
  <c r="H2732" i="12"/>
  <c r="H2733" i="12"/>
  <c r="H2734" i="12"/>
  <c r="H2735" i="12"/>
  <c r="I2735" i="12" s="1"/>
  <c r="H2736" i="12"/>
  <c r="H2737" i="12"/>
  <c r="H2738" i="12"/>
  <c r="H2739" i="12"/>
  <c r="H2740" i="12"/>
  <c r="H2741" i="12"/>
  <c r="H2742" i="12"/>
  <c r="H2743" i="12"/>
  <c r="I2743" i="12" s="1"/>
  <c r="H2744" i="12"/>
  <c r="H2745" i="12"/>
  <c r="H2746" i="12"/>
  <c r="H2747" i="12"/>
  <c r="I2747" i="12" s="1"/>
  <c r="H2748" i="12"/>
  <c r="H2749" i="12"/>
  <c r="H2750" i="12"/>
  <c r="H2751" i="12"/>
  <c r="H2752" i="12"/>
  <c r="H2753" i="12"/>
  <c r="H2754" i="12"/>
  <c r="H2755" i="12"/>
  <c r="I2755" i="12" s="1"/>
  <c r="H2756" i="12"/>
  <c r="H2757" i="12"/>
  <c r="H2758" i="12"/>
  <c r="H2759" i="12"/>
  <c r="H2760" i="12"/>
  <c r="H2761" i="12"/>
  <c r="H2762" i="12"/>
  <c r="H2763" i="12"/>
  <c r="I2763" i="12" s="1"/>
  <c r="H2764" i="12"/>
  <c r="H2765" i="12"/>
  <c r="H2766" i="12"/>
  <c r="H2767" i="12"/>
  <c r="H2768" i="12"/>
  <c r="H2769" i="12"/>
  <c r="H2770" i="12"/>
  <c r="H2771" i="12"/>
  <c r="I2771" i="12" s="1"/>
  <c r="H2772" i="12"/>
  <c r="H2773" i="12"/>
  <c r="H2774" i="12"/>
  <c r="H2775" i="12"/>
  <c r="I2775" i="12" s="1"/>
  <c r="H2776" i="12"/>
  <c r="H2777" i="12"/>
  <c r="H2778" i="12"/>
  <c r="H2779" i="12"/>
  <c r="H2780" i="12"/>
  <c r="H2781" i="12"/>
  <c r="H2782" i="12"/>
  <c r="I2782" i="12" s="1"/>
  <c r="H2783" i="12"/>
  <c r="I2783" i="12" s="1"/>
  <c r="H2784" i="12"/>
  <c r="H2785" i="12"/>
  <c r="H2786" i="12"/>
  <c r="H2787" i="12"/>
  <c r="H2788" i="12"/>
  <c r="H2789" i="12"/>
  <c r="H2790" i="12"/>
  <c r="H2791" i="12"/>
  <c r="I2791" i="12" s="1"/>
  <c r="H2792" i="12"/>
  <c r="H2793" i="12"/>
  <c r="H2794" i="12"/>
  <c r="H2795" i="12"/>
  <c r="H2796" i="12"/>
  <c r="H2797" i="12"/>
  <c r="H2798" i="12"/>
  <c r="H2799" i="12"/>
  <c r="I2799" i="12" s="1"/>
  <c r="H2800" i="12"/>
  <c r="H2801" i="12"/>
  <c r="H2802" i="12"/>
  <c r="H2803" i="12"/>
  <c r="I2803" i="12" s="1"/>
  <c r="H2804" i="12"/>
  <c r="H2805" i="12"/>
  <c r="H2806" i="12"/>
  <c r="H2807" i="12"/>
  <c r="H2808" i="12"/>
  <c r="H2809" i="12"/>
  <c r="H2810" i="12"/>
  <c r="H2811" i="12"/>
  <c r="I2811" i="12" s="1"/>
  <c r="H2812" i="12"/>
  <c r="H2813" i="12"/>
  <c r="H2814" i="12"/>
  <c r="H2815" i="12"/>
  <c r="H2816" i="12"/>
  <c r="H2817" i="12"/>
  <c r="H2818" i="12"/>
  <c r="H2819" i="12"/>
  <c r="I2819" i="12" s="1"/>
  <c r="H2820" i="12"/>
  <c r="H2821" i="12"/>
  <c r="H2822" i="12"/>
  <c r="H2823" i="12"/>
  <c r="H2824" i="12"/>
  <c r="H2825" i="12"/>
  <c r="H2826" i="12"/>
  <c r="H2827" i="12"/>
  <c r="I2827" i="12" s="1"/>
  <c r="H2828" i="12"/>
  <c r="H2829" i="12"/>
  <c r="H2830" i="12"/>
  <c r="H2831" i="12"/>
  <c r="I2831" i="12" s="1"/>
  <c r="H2832" i="12"/>
  <c r="H2833" i="12"/>
  <c r="H2834" i="12"/>
  <c r="H2835" i="12"/>
  <c r="H2836" i="12"/>
  <c r="H2837" i="12"/>
  <c r="H2838" i="12"/>
  <c r="I2838" i="12" s="1"/>
  <c r="H2839" i="12"/>
  <c r="I2839" i="12" s="1"/>
  <c r="H2840" i="12"/>
  <c r="H2841" i="12"/>
  <c r="H2842" i="12"/>
  <c r="H2843" i="12"/>
  <c r="H2844" i="12"/>
  <c r="H2845" i="12"/>
  <c r="H2846" i="12"/>
  <c r="H2847" i="12"/>
  <c r="I2847" i="12" s="1"/>
  <c r="H2848" i="12"/>
  <c r="H2849" i="12"/>
  <c r="H2850" i="12"/>
  <c r="H2851" i="12"/>
  <c r="H2852" i="12"/>
  <c r="H2853" i="12"/>
  <c r="H2854" i="12"/>
  <c r="H2855" i="12"/>
  <c r="I2855" i="12" s="1"/>
  <c r="H2856" i="12"/>
  <c r="H2857" i="12"/>
  <c r="H2858" i="12"/>
  <c r="H2859" i="12"/>
  <c r="I2859" i="12" s="1"/>
  <c r="H2860" i="12"/>
  <c r="H2861" i="12"/>
  <c r="H2862" i="12"/>
  <c r="H2863" i="12"/>
  <c r="H2864" i="12"/>
  <c r="H2865" i="12"/>
  <c r="H2866" i="12"/>
  <c r="H2867" i="12"/>
  <c r="I2867" i="12" s="1"/>
  <c r="H2868" i="12"/>
  <c r="H2869" i="12"/>
  <c r="H2870" i="12"/>
  <c r="H2871" i="12"/>
  <c r="H2872" i="12"/>
  <c r="H2873" i="12"/>
  <c r="H2874" i="12"/>
  <c r="H2875" i="12"/>
  <c r="I2875" i="12" s="1"/>
  <c r="H2876" i="12"/>
  <c r="H2877" i="12"/>
  <c r="H2878" i="12"/>
  <c r="H2879" i="12"/>
  <c r="H2880" i="12"/>
  <c r="H2881" i="12"/>
  <c r="H2882" i="12"/>
  <c r="H2883" i="12"/>
  <c r="I2883" i="12" s="1"/>
  <c r="H2884" i="12"/>
  <c r="H2885" i="12"/>
  <c r="H2886" i="12"/>
  <c r="H2887" i="12"/>
  <c r="H2888" i="12"/>
  <c r="H2889" i="12"/>
  <c r="H2890" i="12"/>
  <c r="H2891" i="12"/>
  <c r="H2892" i="12"/>
  <c r="H2893" i="12"/>
  <c r="H2894" i="12"/>
  <c r="I2894" i="12" s="1"/>
  <c r="H2895" i="12"/>
  <c r="H2896" i="12"/>
  <c r="H2897" i="12"/>
  <c r="H2898" i="12"/>
  <c r="H2899" i="12"/>
  <c r="H2900" i="12"/>
  <c r="H2901" i="12"/>
  <c r="H2902" i="12"/>
  <c r="H2903" i="12"/>
  <c r="H2904" i="12"/>
  <c r="H2905" i="12"/>
  <c r="H2906" i="12"/>
  <c r="H2907" i="12"/>
  <c r="H2908" i="12"/>
  <c r="H2909" i="12"/>
  <c r="H2910" i="12"/>
  <c r="H2911" i="12"/>
  <c r="H2912" i="12"/>
  <c r="H2913" i="12"/>
  <c r="H2914" i="12"/>
  <c r="H2915" i="12"/>
  <c r="I2915" i="12" s="1"/>
  <c r="H2916" i="12"/>
  <c r="H2917" i="12"/>
  <c r="H2918" i="12"/>
  <c r="H2919" i="12"/>
  <c r="H2920" i="12"/>
  <c r="H2921" i="12"/>
  <c r="H2922" i="12"/>
  <c r="H2923" i="12"/>
  <c r="I2923" i="12" s="1"/>
  <c r="H2924" i="12"/>
  <c r="H2925" i="12"/>
  <c r="H2926" i="12"/>
  <c r="I2926" i="12" s="1"/>
  <c r="H2927" i="12"/>
  <c r="H2928" i="12"/>
  <c r="H2929" i="12"/>
  <c r="H2930" i="12"/>
  <c r="H2931" i="12"/>
  <c r="I2931" i="12" s="1"/>
  <c r="H2932" i="12"/>
  <c r="H2933" i="12"/>
  <c r="H2934" i="12"/>
  <c r="H2935" i="12"/>
  <c r="H2936" i="12"/>
  <c r="H2937" i="12"/>
  <c r="H2938" i="12"/>
  <c r="H2939" i="12"/>
  <c r="I2939" i="12" s="1"/>
  <c r="H2940" i="12"/>
  <c r="H2941" i="12"/>
  <c r="H2942" i="12"/>
  <c r="H2943" i="12"/>
  <c r="H2944" i="12"/>
  <c r="H2945" i="12"/>
  <c r="H2946" i="12"/>
  <c r="H2947" i="12"/>
  <c r="H2948" i="12"/>
  <c r="H2949" i="12"/>
  <c r="H2950" i="12"/>
  <c r="I2950" i="12" s="1"/>
  <c r="H2951" i="12"/>
  <c r="H2952" i="12"/>
  <c r="H2953" i="12"/>
  <c r="H2954" i="12"/>
  <c r="H2955" i="12"/>
  <c r="H2956" i="12"/>
  <c r="H2957" i="12"/>
  <c r="H2958" i="12"/>
  <c r="H2959" i="12"/>
  <c r="H2960" i="12"/>
  <c r="H2961" i="12"/>
  <c r="H2962" i="12"/>
  <c r="H2963" i="12"/>
  <c r="H2964" i="12"/>
  <c r="H2965" i="12"/>
  <c r="H2966" i="12"/>
  <c r="H2967" i="12"/>
  <c r="H2968" i="12"/>
  <c r="H2969" i="12"/>
  <c r="H2970" i="12"/>
  <c r="H2971" i="12"/>
  <c r="I2971" i="12" s="1"/>
  <c r="H2972" i="12"/>
  <c r="H2973" i="12"/>
  <c r="H2974" i="12"/>
  <c r="H2975" i="12"/>
  <c r="H2976" i="12"/>
  <c r="H2977" i="12"/>
  <c r="H2978" i="12"/>
  <c r="H2979" i="12"/>
  <c r="I2979" i="12" s="1"/>
  <c r="H2980" i="12"/>
  <c r="H2981" i="12"/>
  <c r="H2982" i="12"/>
  <c r="I2982" i="12" s="1"/>
  <c r="H2983" i="12"/>
  <c r="H2984" i="12"/>
  <c r="H2985" i="12"/>
  <c r="H2986" i="12"/>
  <c r="H2987" i="12"/>
  <c r="I2987" i="12" s="1"/>
  <c r="H2988" i="12"/>
  <c r="H2989" i="12"/>
  <c r="H2990" i="12"/>
  <c r="H2991" i="12"/>
  <c r="H2992" i="12"/>
  <c r="H2993" i="12"/>
  <c r="H2994" i="12"/>
  <c r="H2995" i="12"/>
  <c r="I2995" i="12" s="1"/>
  <c r="H2996" i="12"/>
  <c r="H2997" i="12"/>
  <c r="H2998" i="12"/>
  <c r="H2999" i="12"/>
  <c r="H3000" i="12"/>
  <c r="H3001" i="12"/>
  <c r="H3002" i="12"/>
  <c r="H3003" i="12"/>
  <c r="H3004" i="12"/>
  <c r="H3005" i="12"/>
  <c r="H3006" i="12"/>
  <c r="I3006" i="12" s="1"/>
  <c r="H3007" i="12"/>
  <c r="H3008" i="12"/>
  <c r="H3009" i="12"/>
  <c r="H3010" i="12"/>
  <c r="H3011" i="12"/>
  <c r="H3012" i="12"/>
  <c r="H3013" i="12"/>
  <c r="H3014" i="12"/>
  <c r="H3015" i="12"/>
  <c r="H3016" i="12"/>
  <c r="H3017" i="12"/>
  <c r="H3018" i="12"/>
  <c r="H3019" i="12"/>
  <c r="H3020" i="12"/>
  <c r="H3021" i="12"/>
  <c r="H3022" i="12"/>
  <c r="H3023" i="12"/>
  <c r="H3024" i="12"/>
  <c r="H3025" i="12"/>
  <c r="H3026" i="12"/>
  <c r="H3027" i="12"/>
  <c r="I3027" i="12" s="1"/>
  <c r="H3028" i="12"/>
  <c r="H3029" i="12"/>
  <c r="H3030" i="12"/>
  <c r="H3031" i="12"/>
  <c r="H3032" i="12"/>
  <c r="H3033" i="12"/>
  <c r="H3034" i="12"/>
  <c r="H3035" i="12"/>
  <c r="I3035" i="12" s="1"/>
  <c r="H3036" i="12"/>
  <c r="H3037" i="12"/>
  <c r="H3038" i="12"/>
  <c r="I3038" i="12" s="1"/>
  <c r="H3039" i="12"/>
  <c r="H3040" i="12"/>
  <c r="H3041" i="12"/>
  <c r="H3042" i="12"/>
  <c r="H3043" i="12"/>
  <c r="I3043" i="12" s="1"/>
  <c r="H3044" i="12"/>
  <c r="H3045" i="12"/>
  <c r="H3046" i="12"/>
  <c r="H3047" i="12"/>
  <c r="H3048" i="12"/>
  <c r="H3049" i="12"/>
  <c r="H3050" i="12"/>
  <c r="H3051" i="12"/>
  <c r="I3051" i="12" s="1"/>
  <c r="H3052" i="12"/>
  <c r="H3053" i="12"/>
  <c r="H3054" i="12"/>
  <c r="H3055" i="12"/>
  <c r="H3056" i="12"/>
  <c r="H3057" i="12"/>
  <c r="H3058" i="12"/>
  <c r="H3059" i="12"/>
  <c r="H3060" i="12"/>
  <c r="H3061" i="12"/>
  <c r="H3062" i="12"/>
  <c r="I3062" i="12" s="1"/>
  <c r="H3063" i="12"/>
  <c r="H3064" i="12"/>
  <c r="H3065" i="12"/>
  <c r="H3066" i="12"/>
  <c r="H3067" i="12"/>
  <c r="H3068" i="12"/>
  <c r="H3069" i="12"/>
  <c r="H3070" i="12"/>
  <c r="H3071" i="12"/>
  <c r="H3072" i="12"/>
  <c r="H3073" i="12"/>
  <c r="H3074" i="12"/>
  <c r="H3075" i="12"/>
  <c r="H3076" i="12"/>
  <c r="H3077" i="12"/>
  <c r="H3078" i="12"/>
  <c r="H3079" i="12"/>
  <c r="H3080" i="12"/>
  <c r="H3081" i="12"/>
  <c r="H3082" i="12"/>
  <c r="H3083" i="12"/>
  <c r="I3083" i="12" s="1"/>
  <c r="H3084" i="12"/>
  <c r="H3085" i="12"/>
  <c r="H3086" i="12"/>
  <c r="H3087" i="12"/>
  <c r="H3088" i="12"/>
  <c r="H3089" i="12"/>
  <c r="H3090" i="12"/>
  <c r="H3091" i="12"/>
  <c r="I3091" i="12" s="1"/>
  <c r="H3092" i="12"/>
  <c r="H3093" i="12"/>
  <c r="H3094" i="12"/>
  <c r="I3094" i="12" s="1"/>
  <c r="H3095" i="12"/>
  <c r="H3096" i="12"/>
  <c r="H3097" i="12"/>
  <c r="H3098" i="12"/>
  <c r="H3099" i="12"/>
  <c r="I3099" i="12" s="1"/>
  <c r="H3100" i="12"/>
  <c r="H3101" i="12"/>
  <c r="H3102" i="12"/>
  <c r="H3103" i="12"/>
  <c r="H3104" i="12"/>
  <c r="H3105" i="12"/>
  <c r="H3106" i="12"/>
  <c r="H3107" i="12"/>
  <c r="I3107" i="12" s="1"/>
  <c r="H3108" i="12"/>
  <c r="H3109" i="12"/>
  <c r="H3110" i="12"/>
  <c r="H3111" i="12"/>
  <c r="H3112" i="12"/>
  <c r="H3113" i="12"/>
  <c r="H3114" i="12"/>
  <c r="H3115" i="12"/>
  <c r="H3116" i="12"/>
  <c r="H3117" i="12"/>
  <c r="H3118" i="12"/>
  <c r="I3118" i="12" s="1"/>
  <c r="H3119" i="12"/>
  <c r="H3120" i="12"/>
  <c r="H3121" i="12"/>
  <c r="H3122" i="12"/>
  <c r="H3123" i="12"/>
  <c r="H3124" i="12"/>
  <c r="H3125" i="12"/>
  <c r="H3126" i="12"/>
  <c r="H3127" i="12"/>
  <c r="H3128" i="12"/>
  <c r="H3129" i="12"/>
  <c r="H3130" i="12"/>
  <c r="H3131" i="12"/>
  <c r="H3132" i="12"/>
  <c r="H3133" i="12"/>
  <c r="H3134" i="12"/>
  <c r="H3135" i="12"/>
  <c r="H3136" i="12"/>
  <c r="H3137" i="12"/>
  <c r="H3138" i="12"/>
  <c r="H3139" i="12"/>
  <c r="I3139" i="12" s="1"/>
  <c r="H3140" i="12"/>
  <c r="H3141" i="12"/>
  <c r="H3142" i="12"/>
  <c r="H3143" i="12"/>
  <c r="H3144" i="12"/>
  <c r="H3145" i="12"/>
  <c r="H3146" i="12"/>
  <c r="H3147" i="12"/>
  <c r="I3147" i="12" s="1"/>
  <c r="H3148" i="12"/>
  <c r="H3149" i="12"/>
  <c r="H3150" i="12"/>
  <c r="I3150" i="12" s="1"/>
  <c r="H3151" i="12"/>
  <c r="H3152" i="12"/>
  <c r="H3153" i="12"/>
  <c r="H3154" i="12"/>
  <c r="H3155" i="12"/>
  <c r="I3155" i="12" s="1"/>
  <c r="H3156" i="12"/>
  <c r="H3157" i="12"/>
  <c r="H3158" i="12"/>
  <c r="H3159" i="12"/>
  <c r="H3160" i="12"/>
  <c r="H3161" i="12"/>
  <c r="H3162" i="12"/>
  <c r="H3163" i="12"/>
  <c r="I3163" i="12" s="1"/>
  <c r="H3164" i="12"/>
  <c r="H3165" i="12"/>
  <c r="H3166" i="12"/>
  <c r="H3167" i="12"/>
  <c r="H3168" i="12"/>
  <c r="H3169" i="12"/>
  <c r="H3170" i="12"/>
  <c r="H3171" i="12"/>
  <c r="H3172" i="12"/>
  <c r="H3173" i="12"/>
  <c r="H3174" i="12"/>
  <c r="I3174" i="12" s="1"/>
  <c r="H3175" i="12"/>
  <c r="H3176" i="12"/>
  <c r="H3177" i="12"/>
  <c r="H3178" i="12"/>
  <c r="H3179" i="12"/>
  <c r="H3180" i="12"/>
  <c r="H3181" i="12"/>
  <c r="H3182" i="12"/>
  <c r="H3183" i="12"/>
  <c r="H3184" i="12"/>
  <c r="H3185" i="12"/>
  <c r="H3186" i="12"/>
  <c r="H3187" i="12"/>
  <c r="H3188" i="12"/>
  <c r="H3189" i="12"/>
  <c r="H3190" i="12"/>
  <c r="H3191" i="12"/>
  <c r="H3192" i="12"/>
  <c r="H3193" i="12"/>
  <c r="H3194" i="12"/>
  <c r="H3195" i="12"/>
  <c r="I3195" i="12" s="1"/>
  <c r="H3196" i="12"/>
  <c r="H3197" i="12"/>
  <c r="H3198" i="12"/>
  <c r="H3199" i="12"/>
  <c r="H3200" i="12"/>
  <c r="H3201" i="12"/>
  <c r="H3202" i="12"/>
  <c r="H3203" i="12"/>
  <c r="I3203" i="12" s="1"/>
  <c r="H3204" i="12"/>
  <c r="H3205" i="12"/>
  <c r="H3206" i="12"/>
  <c r="I3206" i="12" s="1"/>
  <c r="H3207" i="12"/>
  <c r="H3208" i="12"/>
  <c r="H3209" i="12"/>
  <c r="H3210" i="12"/>
  <c r="H3211" i="12"/>
  <c r="I3211" i="12" s="1"/>
  <c r="H3212" i="12"/>
  <c r="H3213" i="12"/>
  <c r="H3214" i="12"/>
  <c r="H3215" i="12"/>
  <c r="H3216" i="12"/>
  <c r="H3217" i="12"/>
  <c r="H3218" i="12"/>
  <c r="H3219" i="12"/>
  <c r="I3219" i="12" s="1"/>
  <c r="H3220" i="12"/>
  <c r="H3221" i="12"/>
  <c r="H3222" i="12"/>
  <c r="H3223" i="12"/>
  <c r="H3224" i="12"/>
  <c r="H3225" i="12"/>
  <c r="H3226" i="12"/>
  <c r="H3227" i="12"/>
  <c r="H3228" i="12"/>
  <c r="H3229" i="12"/>
  <c r="H3230" i="12"/>
  <c r="I3230" i="12" s="1"/>
  <c r="H3231" i="12"/>
  <c r="H3232" i="12"/>
  <c r="H3233" i="12"/>
  <c r="H3234" i="12"/>
  <c r="H3235" i="12"/>
  <c r="H3236" i="12"/>
  <c r="H3237" i="12"/>
  <c r="H3238" i="12"/>
  <c r="H3239" i="12"/>
  <c r="H3240" i="12"/>
  <c r="H3241" i="12"/>
  <c r="H3242" i="12"/>
  <c r="H3243" i="12"/>
  <c r="H3244" i="12"/>
  <c r="H3245" i="12"/>
  <c r="H3246" i="12"/>
  <c r="H3247" i="12"/>
  <c r="H3248" i="12"/>
  <c r="H3249" i="12"/>
  <c r="H3250" i="12"/>
  <c r="H3251" i="12"/>
  <c r="I3251" i="12" s="1"/>
  <c r="H3252" i="12"/>
  <c r="H3253" i="12"/>
  <c r="H3254" i="12"/>
  <c r="H3255" i="12"/>
  <c r="H3256" i="12"/>
  <c r="H3257" i="12"/>
  <c r="H3258" i="12"/>
  <c r="H3259" i="12"/>
  <c r="I3259" i="12" s="1"/>
  <c r="H3260" i="12"/>
  <c r="H3261" i="12"/>
  <c r="H3262" i="12"/>
  <c r="I3262" i="12" s="1"/>
  <c r="H3263" i="12"/>
  <c r="H3264" i="12"/>
  <c r="H3265" i="12"/>
  <c r="H3266" i="12"/>
  <c r="H3267" i="12"/>
  <c r="I3267" i="12" s="1"/>
  <c r="H3268" i="12"/>
  <c r="H3269" i="12"/>
  <c r="H3270" i="12"/>
  <c r="H3271" i="12"/>
  <c r="H3272" i="12"/>
  <c r="H3273" i="12"/>
  <c r="H3274" i="12"/>
  <c r="H3275" i="12"/>
  <c r="I3275" i="12" s="1"/>
  <c r="H3276" i="12"/>
  <c r="H3277" i="12"/>
  <c r="H3278" i="12"/>
  <c r="H3279" i="12"/>
  <c r="H3280" i="12"/>
  <c r="H3281" i="12"/>
  <c r="H3282" i="12"/>
  <c r="H3283" i="12"/>
  <c r="H3284" i="12"/>
  <c r="H3285" i="12"/>
  <c r="H3286" i="12"/>
  <c r="I3286" i="12" s="1"/>
  <c r="H3287" i="12"/>
  <c r="H3288" i="12"/>
  <c r="H3289" i="12"/>
  <c r="H3290" i="12"/>
  <c r="H3291" i="12"/>
  <c r="H3292" i="12"/>
  <c r="H3293" i="12"/>
  <c r="H3294" i="12"/>
  <c r="H3295" i="12"/>
  <c r="H3296" i="12"/>
  <c r="H3297" i="12"/>
  <c r="H3298" i="12"/>
  <c r="H3299" i="12"/>
  <c r="H3300" i="12"/>
  <c r="H3301" i="12"/>
  <c r="H3302" i="12"/>
  <c r="H3303" i="12"/>
  <c r="H3304" i="12"/>
  <c r="H3305" i="12"/>
  <c r="H3306" i="12"/>
  <c r="H3307" i="12"/>
  <c r="I3307" i="12" s="1"/>
  <c r="H3308" i="12"/>
  <c r="H3309" i="12"/>
  <c r="H3310" i="12"/>
  <c r="H3311" i="12"/>
  <c r="H3312" i="12"/>
  <c r="H3313" i="12"/>
  <c r="H3314" i="12"/>
  <c r="H3315" i="12"/>
  <c r="I3315" i="12" s="1"/>
  <c r="H3316" i="12"/>
  <c r="H3317" i="12"/>
  <c r="H3318" i="12"/>
  <c r="H3319" i="12"/>
  <c r="H3320" i="12"/>
  <c r="H3321" i="12"/>
  <c r="H3322" i="12"/>
  <c r="H3323" i="12"/>
  <c r="I3323" i="12" s="1"/>
  <c r="H3324" i="12"/>
  <c r="H3325" i="12"/>
  <c r="H3326" i="12"/>
  <c r="H3327" i="12"/>
  <c r="H3328" i="12"/>
  <c r="H3329" i="12"/>
  <c r="H3330" i="12"/>
  <c r="H3331" i="12"/>
  <c r="I3331" i="12" s="1"/>
  <c r="H3332" i="12"/>
  <c r="H3333" i="12"/>
  <c r="H3334" i="12"/>
  <c r="H3335" i="12"/>
  <c r="H3336" i="12"/>
  <c r="H3337" i="12"/>
  <c r="H3338" i="12"/>
  <c r="H3339" i="12"/>
  <c r="H3340" i="12"/>
  <c r="H3341" i="12"/>
  <c r="H3342" i="12"/>
  <c r="I3342" i="12" s="1"/>
  <c r="H3343" i="12"/>
  <c r="H3344" i="12"/>
  <c r="H3345" i="12"/>
  <c r="H3346" i="12"/>
  <c r="H3347" i="12"/>
  <c r="H3348" i="12"/>
  <c r="H3349" i="12"/>
  <c r="H3350" i="12"/>
  <c r="H3351" i="12"/>
  <c r="H3352" i="12"/>
  <c r="H3353" i="12"/>
  <c r="H3354" i="12"/>
  <c r="H3355" i="12"/>
  <c r="H3356" i="12"/>
  <c r="H3357" i="12"/>
  <c r="H3358" i="12"/>
  <c r="H3359" i="12"/>
  <c r="H3360" i="12"/>
  <c r="H3361" i="12"/>
  <c r="H3362" i="12"/>
  <c r="H3363" i="12"/>
  <c r="I3363" i="12" s="1"/>
  <c r="H3364" i="12"/>
  <c r="H3365" i="12"/>
  <c r="H3366" i="12"/>
  <c r="H3367" i="12"/>
  <c r="H3368" i="12"/>
  <c r="H3369" i="12"/>
  <c r="H3370" i="12"/>
  <c r="H3371" i="12"/>
  <c r="I3371" i="12" s="1"/>
  <c r="H3372" i="12"/>
  <c r="H3373" i="12"/>
  <c r="H3374" i="12"/>
  <c r="H3375" i="12"/>
  <c r="H3376" i="12"/>
  <c r="H3377" i="12"/>
  <c r="H3378" i="12"/>
  <c r="H3379" i="12"/>
  <c r="I3379" i="12" s="1"/>
  <c r="H3380" i="12"/>
  <c r="H3381" i="12"/>
  <c r="H3382" i="12"/>
  <c r="H3383" i="12"/>
  <c r="H3384" i="12"/>
  <c r="H3385" i="12"/>
  <c r="H3386" i="12"/>
  <c r="H3387" i="12"/>
  <c r="I3387" i="12" s="1"/>
  <c r="H3388" i="12"/>
  <c r="H3389" i="12"/>
  <c r="H3390" i="12"/>
  <c r="H3391" i="12"/>
  <c r="H3392" i="12"/>
  <c r="H3393" i="12"/>
  <c r="H3394" i="12"/>
  <c r="H3395" i="12"/>
  <c r="H3396" i="12"/>
  <c r="H3397" i="12"/>
  <c r="H3398" i="12"/>
  <c r="I3398" i="12" s="1"/>
  <c r="H3399" i="12"/>
  <c r="H3400" i="12"/>
  <c r="H3401" i="12"/>
  <c r="H3402" i="12"/>
  <c r="H3403" i="12"/>
  <c r="H3404" i="12"/>
  <c r="H3405" i="12"/>
  <c r="H3406" i="12"/>
  <c r="H3407" i="12"/>
  <c r="H3408" i="12"/>
  <c r="H3409" i="12"/>
  <c r="H3410" i="12"/>
  <c r="H3411" i="12"/>
  <c r="H3412" i="12"/>
  <c r="H3413" i="12"/>
  <c r="H3414" i="12"/>
  <c r="H3415" i="12"/>
  <c r="H3416" i="12"/>
  <c r="H3417" i="12"/>
  <c r="H3418" i="12"/>
  <c r="H3419" i="12"/>
  <c r="I3419" i="12" s="1"/>
  <c r="H3420" i="12"/>
  <c r="H3421" i="12"/>
  <c r="H3422" i="12"/>
  <c r="H3423" i="12"/>
  <c r="H3424" i="12"/>
  <c r="H3425" i="12"/>
  <c r="H3426" i="12"/>
  <c r="H3427" i="12"/>
  <c r="I3427" i="12" s="1"/>
  <c r="H3428" i="12"/>
  <c r="H3429" i="12"/>
  <c r="H3430" i="12"/>
  <c r="H3431" i="12"/>
  <c r="H3432" i="12"/>
  <c r="H3433" i="12"/>
  <c r="H3434" i="12"/>
  <c r="H3435" i="12"/>
  <c r="I3435" i="12" s="1"/>
  <c r="H3436" i="12"/>
  <c r="H3437" i="12"/>
  <c r="H3438" i="12"/>
  <c r="H3439" i="12"/>
  <c r="H3440" i="12"/>
  <c r="H3441" i="12"/>
  <c r="H3442" i="12"/>
  <c r="H3443" i="12"/>
  <c r="I3443" i="12" s="1"/>
  <c r="H3444" i="12"/>
  <c r="H3445" i="12"/>
  <c r="H3446" i="12"/>
  <c r="H3447" i="12"/>
  <c r="H3448" i="12"/>
  <c r="H3449" i="12"/>
  <c r="H3450" i="12"/>
  <c r="H3451" i="12"/>
  <c r="H3452" i="12"/>
  <c r="H3453" i="12"/>
  <c r="H3454" i="12"/>
  <c r="I3454" i="12" s="1"/>
  <c r="H3455" i="12"/>
  <c r="H3456" i="12"/>
  <c r="H3457" i="12"/>
  <c r="H3458" i="12"/>
  <c r="H3459" i="12"/>
  <c r="H3460" i="12"/>
  <c r="H3461" i="12"/>
  <c r="H3462" i="12"/>
  <c r="H3463" i="12"/>
  <c r="H3464" i="12"/>
  <c r="H3465" i="12"/>
  <c r="H3466" i="12"/>
  <c r="H3467" i="12"/>
  <c r="H3468" i="12"/>
  <c r="H3469" i="12"/>
  <c r="H3470" i="12"/>
  <c r="H3471" i="12"/>
  <c r="H3472" i="12"/>
  <c r="H3473" i="12"/>
  <c r="H3474" i="12"/>
  <c r="H3475" i="12"/>
  <c r="I3475" i="12" s="1"/>
  <c r="H3476" i="12"/>
  <c r="H3477" i="12"/>
  <c r="H3478" i="12"/>
  <c r="H3479" i="12"/>
  <c r="H3480" i="12"/>
  <c r="H3481" i="12"/>
  <c r="H3482" i="12"/>
  <c r="H3483" i="12"/>
  <c r="I3483" i="12" s="1"/>
  <c r="H3484" i="12"/>
  <c r="H3485" i="12"/>
  <c r="H3486" i="12"/>
  <c r="H3487" i="12"/>
  <c r="H3488" i="12"/>
  <c r="H3489" i="12"/>
  <c r="H3490" i="12"/>
  <c r="H3491" i="12"/>
  <c r="I3491" i="12" s="1"/>
  <c r="H3492" i="12"/>
  <c r="H3493" i="12"/>
  <c r="H3494" i="12"/>
  <c r="H3495" i="12"/>
  <c r="H3496" i="12"/>
  <c r="H3497" i="12"/>
  <c r="H3498" i="12"/>
  <c r="H3499" i="12"/>
  <c r="I3499" i="12" s="1"/>
  <c r="H3500" i="12"/>
  <c r="H3501" i="12"/>
  <c r="H3502" i="12"/>
  <c r="H3503" i="12"/>
  <c r="H3504" i="12"/>
  <c r="H3505" i="12"/>
  <c r="H3506" i="12"/>
  <c r="H3507" i="12"/>
  <c r="H3508" i="12"/>
  <c r="H3509" i="12"/>
  <c r="H3510" i="12"/>
  <c r="I3510" i="12" s="1"/>
  <c r="H3511" i="12"/>
  <c r="H3512" i="12"/>
  <c r="H3513" i="12"/>
  <c r="H3514" i="12"/>
  <c r="H3515" i="12"/>
  <c r="H3516" i="12"/>
  <c r="H3517" i="12"/>
  <c r="H3518" i="12"/>
  <c r="H3519" i="12"/>
  <c r="H3520" i="12"/>
  <c r="H3521" i="12"/>
  <c r="H3522" i="12"/>
  <c r="H3523" i="12"/>
  <c r="H3524" i="12"/>
  <c r="H3525" i="12"/>
  <c r="H3526" i="12"/>
  <c r="H3527" i="12"/>
  <c r="H3528" i="12"/>
  <c r="H3529" i="12"/>
  <c r="H3530" i="12"/>
  <c r="H3531" i="12"/>
  <c r="I3531" i="12" s="1"/>
  <c r="H3532" i="12"/>
  <c r="H3533" i="12"/>
  <c r="H3534" i="12"/>
  <c r="H3535" i="12"/>
  <c r="H3536" i="12"/>
  <c r="H3537" i="12"/>
  <c r="H3538" i="12"/>
  <c r="H3539" i="12"/>
  <c r="I3539" i="12" s="1"/>
  <c r="H3540" i="12"/>
  <c r="H3541" i="12"/>
  <c r="H3542" i="12"/>
  <c r="H3543" i="12"/>
  <c r="H3544" i="12"/>
  <c r="H3545" i="12"/>
  <c r="H3546" i="12"/>
  <c r="H3547" i="12"/>
  <c r="I3547" i="12" s="1"/>
  <c r="H3548" i="12"/>
  <c r="H3549" i="12"/>
  <c r="H3550" i="12"/>
  <c r="H3551" i="12"/>
  <c r="H3552" i="12"/>
  <c r="H3553" i="12"/>
  <c r="H3554" i="12"/>
  <c r="H3555" i="12"/>
  <c r="I3555" i="12" s="1"/>
  <c r="H3556" i="12"/>
  <c r="H3557" i="12"/>
  <c r="H3558" i="12"/>
  <c r="H3559" i="12"/>
  <c r="H3560" i="12"/>
  <c r="H3561" i="12"/>
  <c r="H3562" i="12"/>
  <c r="H3563" i="12"/>
  <c r="H3564" i="12"/>
  <c r="H3565" i="12"/>
  <c r="H3566" i="12"/>
  <c r="I3566" i="12" s="1"/>
  <c r="H3567" i="12"/>
  <c r="H3568" i="12"/>
  <c r="H3569" i="12"/>
  <c r="H3570" i="12"/>
  <c r="H3571" i="12"/>
  <c r="H3572" i="12"/>
  <c r="H3573" i="12"/>
  <c r="H3574" i="12"/>
  <c r="H3575" i="12"/>
  <c r="H3576" i="12"/>
  <c r="H3577" i="12"/>
  <c r="H3578" i="12"/>
  <c r="H3579" i="12"/>
  <c r="H3580" i="12"/>
  <c r="H3581" i="12"/>
  <c r="H3582" i="12"/>
  <c r="H3583" i="12"/>
  <c r="H3584" i="12"/>
  <c r="H3585" i="12"/>
  <c r="H3586" i="12"/>
  <c r="H3587" i="12"/>
  <c r="I3587" i="12" s="1"/>
  <c r="H3588" i="12"/>
  <c r="H3589" i="12"/>
  <c r="H3590" i="12"/>
  <c r="H3591" i="12"/>
  <c r="H3592" i="12"/>
  <c r="H3593" i="12"/>
  <c r="H3594" i="12"/>
  <c r="H3595" i="12"/>
  <c r="I3595" i="12" s="1"/>
  <c r="H3596" i="12"/>
  <c r="H3597" i="12"/>
  <c r="H3598" i="12"/>
  <c r="H3599" i="12"/>
  <c r="H3600" i="12"/>
  <c r="H3601" i="12"/>
  <c r="H3602" i="12"/>
  <c r="H3603" i="12"/>
  <c r="I3603" i="12" s="1"/>
  <c r="H3604" i="12"/>
  <c r="H3605" i="12"/>
  <c r="H3606" i="12"/>
  <c r="H3607" i="12"/>
  <c r="H3608" i="12"/>
  <c r="H3609" i="12"/>
  <c r="H3610" i="12"/>
  <c r="H3611" i="12"/>
  <c r="I3611" i="12" s="1"/>
  <c r="H3612" i="12"/>
  <c r="H3613" i="12"/>
  <c r="H3614" i="12"/>
  <c r="H3615" i="12"/>
  <c r="H3616" i="12"/>
  <c r="H3617" i="12"/>
  <c r="H3618" i="12"/>
  <c r="H3619" i="12"/>
  <c r="H3620" i="12"/>
  <c r="H3621" i="12"/>
  <c r="H3622" i="12"/>
  <c r="I3622" i="12" s="1"/>
  <c r="H3623" i="12"/>
  <c r="H3624" i="12"/>
  <c r="H3625" i="12"/>
  <c r="H3626" i="12"/>
  <c r="H3627" i="12"/>
  <c r="H3628" i="12"/>
  <c r="H3629" i="12"/>
  <c r="H3630" i="12"/>
  <c r="H3631" i="12"/>
  <c r="H3632" i="12"/>
  <c r="H3633" i="12"/>
  <c r="H3634" i="12"/>
  <c r="H3635" i="12"/>
  <c r="H3636" i="12"/>
  <c r="H3637" i="12"/>
  <c r="H3638" i="12"/>
  <c r="H3639" i="12"/>
  <c r="H3640" i="12"/>
  <c r="H3641" i="12"/>
  <c r="H3642" i="12"/>
  <c r="H3643" i="12"/>
  <c r="I3643" i="12" s="1"/>
  <c r="H3644" i="12"/>
  <c r="H3645" i="12"/>
  <c r="H3646" i="12"/>
  <c r="H3647" i="12"/>
  <c r="H3648" i="12"/>
  <c r="H3649" i="12"/>
  <c r="H3650" i="12"/>
  <c r="H3651" i="12"/>
  <c r="I3651" i="12" s="1"/>
  <c r="H3652" i="12"/>
  <c r="H3653" i="12"/>
  <c r="H3654" i="12"/>
  <c r="H3655" i="12"/>
  <c r="H3656" i="12"/>
  <c r="H3657" i="12"/>
  <c r="H3658" i="12"/>
  <c r="H3659" i="12"/>
  <c r="I3659" i="12" s="1"/>
  <c r="H3660" i="12"/>
  <c r="H3661" i="12"/>
  <c r="H3662" i="12"/>
  <c r="H3663" i="12"/>
  <c r="H3664" i="12"/>
  <c r="H3665" i="12"/>
  <c r="H3666" i="12"/>
  <c r="H3667" i="12"/>
  <c r="I3667" i="12" s="1"/>
  <c r="H3668" i="12"/>
  <c r="H3669" i="12"/>
  <c r="H3670" i="12"/>
  <c r="H3671" i="12"/>
  <c r="H3672" i="12"/>
  <c r="H3673" i="12"/>
  <c r="H3674" i="12"/>
  <c r="H3675" i="12"/>
  <c r="H3676" i="12"/>
  <c r="H3677" i="12"/>
  <c r="H3678" i="12"/>
  <c r="I3678" i="12" s="1"/>
  <c r="H3679" i="12"/>
  <c r="H3680" i="12"/>
  <c r="H3681" i="12"/>
  <c r="H3682" i="12"/>
  <c r="H3683" i="12"/>
  <c r="H3684" i="12"/>
  <c r="H3685" i="12"/>
  <c r="H3686" i="12"/>
  <c r="H3687" i="12"/>
  <c r="H3688" i="12"/>
  <c r="H3689" i="12"/>
  <c r="H3690" i="12"/>
  <c r="H3691" i="12"/>
  <c r="H3692" i="12"/>
  <c r="H3693" i="12"/>
  <c r="H3694" i="12"/>
  <c r="H3695" i="12"/>
  <c r="H3696" i="12"/>
  <c r="H3697" i="12"/>
  <c r="H3698" i="12"/>
  <c r="H3699" i="12"/>
  <c r="I3699" i="12" s="1"/>
  <c r="H3700" i="12"/>
  <c r="H3701" i="12"/>
  <c r="H3702" i="12"/>
  <c r="H3703" i="12"/>
  <c r="H3704" i="12"/>
  <c r="H3705" i="12"/>
  <c r="H3706" i="12"/>
  <c r="H3707" i="12"/>
  <c r="I3707" i="12" s="1"/>
  <c r="H3708" i="12"/>
  <c r="H3709" i="12"/>
  <c r="H3710" i="12"/>
  <c r="H3711" i="12"/>
  <c r="H3712" i="12"/>
  <c r="H3713" i="12"/>
  <c r="H3714" i="12"/>
  <c r="H3715" i="12"/>
  <c r="I3715" i="12" s="1"/>
  <c r="H3716" i="12"/>
  <c r="H3717" i="12"/>
  <c r="H3718" i="12"/>
  <c r="H3719" i="12"/>
  <c r="H3720" i="12"/>
  <c r="H3721" i="12"/>
  <c r="H3722" i="12"/>
  <c r="H3723" i="12"/>
  <c r="I3723" i="12" s="1"/>
  <c r="H3724" i="12"/>
  <c r="H3725" i="12"/>
  <c r="H3726" i="12"/>
  <c r="H3727" i="12"/>
  <c r="H3728" i="12"/>
  <c r="H3729" i="12"/>
  <c r="H3730" i="12"/>
  <c r="H3731" i="12"/>
  <c r="H3732" i="12"/>
  <c r="H3733" i="12"/>
  <c r="H3734" i="12"/>
  <c r="I3734" i="12" s="1"/>
  <c r="H3735" i="12"/>
  <c r="H3736" i="12"/>
  <c r="H3737" i="12"/>
  <c r="H3738" i="12"/>
  <c r="H3739" i="12"/>
  <c r="H3740" i="12"/>
  <c r="H3741" i="12"/>
  <c r="H3742" i="12"/>
  <c r="H3743" i="12"/>
  <c r="H3744" i="12"/>
  <c r="H3745" i="12"/>
  <c r="H3746" i="12"/>
  <c r="H3747" i="12"/>
  <c r="H3748" i="12"/>
  <c r="H3749" i="12"/>
  <c r="H3750" i="12"/>
  <c r="H3751" i="12"/>
  <c r="H3752" i="12"/>
  <c r="H3753" i="12"/>
  <c r="H3754" i="12"/>
  <c r="H3755" i="12"/>
  <c r="I3755" i="12" s="1"/>
  <c r="H3756" i="12"/>
  <c r="H3757" i="12"/>
  <c r="H3758" i="12"/>
  <c r="H3759" i="12"/>
  <c r="H3760" i="12"/>
  <c r="H3761" i="12"/>
  <c r="H3762" i="12"/>
  <c r="H3763" i="12"/>
  <c r="I3763" i="12" s="1"/>
  <c r="H3764" i="12"/>
  <c r="H3765" i="12"/>
  <c r="H3766" i="12"/>
  <c r="H3767" i="12"/>
  <c r="H3768" i="12"/>
  <c r="H3769" i="12"/>
  <c r="H3770" i="12"/>
  <c r="H3771" i="12"/>
  <c r="I3771" i="12" s="1"/>
  <c r="H3772" i="12"/>
  <c r="H3773" i="12"/>
  <c r="H3774" i="12"/>
  <c r="H3775" i="12"/>
  <c r="H3776" i="12"/>
  <c r="H3777" i="12"/>
  <c r="H3778" i="12"/>
  <c r="H3779" i="12"/>
  <c r="I3779" i="12" s="1"/>
  <c r="H3780" i="12"/>
  <c r="H3781" i="12"/>
  <c r="H3782" i="12"/>
  <c r="H3783" i="12"/>
  <c r="H3784" i="12"/>
  <c r="H3785" i="12"/>
  <c r="H3786" i="12"/>
  <c r="H3787" i="12"/>
  <c r="H3788" i="12"/>
  <c r="H3789" i="12"/>
  <c r="H3790" i="12"/>
  <c r="I3790" i="12" s="1"/>
  <c r="H3791" i="12"/>
  <c r="H3792" i="12"/>
  <c r="H3793" i="12"/>
  <c r="H3794" i="12"/>
  <c r="H3795" i="12"/>
  <c r="H3796" i="12"/>
  <c r="H3797" i="12"/>
  <c r="H3798" i="12"/>
  <c r="H3799" i="12"/>
  <c r="H3800" i="12"/>
  <c r="H3801" i="12"/>
  <c r="H3802" i="12"/>
  <c r="H3803" i="12"/>
  <c r="H3804" i="12"/>
  <c r="H3805" i="12"/>
  <c r="H3806" i="12"/>
  <c r="H3807" i="12"/>
  <c r="H3808" i="12"/>
  <c r="H3809" i="12"/>
  <c r="H3810" i="12"/>
  <c r="H3811" i="12"/>
  <c r="I3811" i="12" s="1"/>
  <c r="H3812" i="12"/>
  <c r="H3813" i="12"/>
  <c r="H3814" i="12"/>
  <c r="H3815" i="12"/>
  <c r="H3816" i="12"/>
  <c r="H3817" i="12"/>
  <c r="H3818" i="12"/>
  <c r="H3819" i="12"/>
  <c r="I3819" i="12" s="1"/>
  <c r="H3820" i="12"/>
  <c r="H3821" i="12"/>
  <c r="H3822" i="12"/>
  <c r="H3823" i="12"/>
  <c r="H3824" i="12"/>
  <c r="H3825" i="12"/>
  <c r="H3826" i="12"/>
  <c r="H3827" i="12"/>
  <c r="I3827" i="12" s="1"/>
  <c r="H3828" i="12"/>
  <c r="H3829" i="12"/>
  <c r="H3830" i="12"/>
  <c r="H3831" i="12"/>
  <c r="H3832" i="12"/>
  <c r="H3833" i="12"/>
  <c r="H3834" i="12"/>
  <c r="H3835" i="12"/>
  <c r="I3835" i="12" s="1"/>
  <c r="H3836" i="12"/>
  <c r="H3837" i="12"/>
  <c r="H3838" i="12"/>
  <c r="H3839" i="12"/>
  <c r="H3840" i="12"/>
  <c r="H3841" i="12"/>
  <c r="H3842" i="12"/>
  <c r="H3843" i="12"/>
  <c r="H3844" i="12"/>
  <c r="H3845" i="12"/>
  <c r="H3846" i="12"/>
  <c r="I3846" i="12" s="1"/>
  <c r="H3847" i="12"/>
  <c r="H3848" i="12"/>
  <c r="H3849" i="12"/>
  <c r="H3850" i="12"/>
  <c r="H3851" i="12"/>
  <c r="H3852" i="12"/>
  <c r="H3853" i="12"/>
  <c r="H3854" i="12"/>
  <c r="H3855" i="12"/>
  <c r="H3856" i="12"/>
  <c r="H3857" i="12"/>
  <c r="H3858" i="12"/>
  <c r="H3859" i="12"/>
  <c r="H3860" i="12"/>
  <c r="H3861" i="12"/>
  <c r="H3862" i="12"/>
  <c r="H3863" i="12"/>
  <c r="H3864" i="12"/>
  <c r="H3865" i="12"/>
  <c r="H3866" i="12"/>
  <c r="H3867" i="12"/>
  <c r="I3867" i="12" s="1"/>
  <c r="H3868" i="12"/>
  <c r="H3869" i="12"/>
  <c r="H3870" i="12"/>
  <c r="H3871" i="12"/>
  <c r="H3872" i="12"/>
  <c r="H3873" i="12"/>
  <c r="H3874" i="12"/>
  <c r="H3875" i="12"/>
  <c r="I3875" i="12" s="1"/>
  <c r="H3876" i="12"/>
  <c r="H3877" i="12"/>
  <c r="H3878" i="12"/>
  <c r="H3879" i="12"/>
  <c r="H3880" i="12"/>
  <c r="H3881" i="12"/>
  <c r="H3882" i="12"/>
  <c r="H3883" i="12"/>
  <c r="I3883" i="12" s="1"/>
  <c r="H3884" i="12"/>
  <c r="H3885" i="12"/>
  <c r="H3886" i="12"/>
  <c r="H3887" i="12"/>
  <c r="H3888" i="12"/>
  <c r="H3889" i="12"/>
  <c r="H3890" i="12"/>
  <c r="H3891" i="12"/>
  <c r="I3891" i="12" s="1"/>
  <c r="H3892" i="12"/>
  <c r="H3893" i="12"/>
  <c r="H3894" i="12"/>
  <c r="H3895" i="12"/>
  <c r="H3896" i="12"/>
  <c r="H3897" i="12"/>
  <c r="H3898" i="12"/>
  <c r="H3899" i="12"/>
  <c r="H3900" i="12"/>
  <c r="H3901" i="12"/>
  <c r="H3902" i="12"/>
  <c r="I3902" i="12" s="1"/>
  <c r="H3903" i="12"/>
  <c r="H3904" i="12"/>
  <c r="H3905" i="12"/>
  <c r="H3906" i="12"/>
  <c r="H3907" i="12"/>
  <c r="H3908" i="12"/>
  <c r="H3909" i="12"/>
  <c r="H3910" i="12"/>
  <c r="H3911" i="12"/>
  <c r="H3912" i="12"/>
  <c r="H3913" i="12"/>
  <c r="H3914" i="12"/>
  <c r="H3915" i="12"/>
  <c r="H3916" i="12"/>
  <c r="H3917" i="12"/>
  <c r="H3918" i="12"/>
  <c r="H3919" i="12"/>
  <c r="H3920" i="12"/>
  <c r="H3921" i="12"/>
  <c r="H3922" i="12"/>
  <c r="H3923" i="12"/>
  <c r="I3923" i="12" s="1"/>
  <c r="H3924" i="12"/>
  <c r="H3925" i="12"/>
  <c r="H3926" i="12"/>
  <c r="H3927" i="12"/>
  <c r="H3928" i="12"/>
  <c r="H3929" i="12"/>
  <c r="H3930" i="12"/>
  <c r="H3931" i="12"/>
  <c r="I3931" i="12" s="1"/>
  <c r="H3932" i="12"/>
  <c r="H3933" i="12"/>
  <c r="H3934" i="12"/>
  <c r="H3935" i="12"/>
  <c r="H3936" i="12"/>
  <c r="H3937" i="12"/>
  <c r="H3938" i="12"/>
  <c r="H3939" i="12"/>
  <c r="I3939" i="12" s="1"/>
  <c r="H3940" i="12"/>
  <c r="H3941" i="12"/>
  <c r="H3942" i="12"/>
  <c r="H3943" i="12"/>
  <c r="H3944" i="12"/>
  <c r="H3945" i="12"/>
  <c r="H3946" i="12"/>
  <c r="H3947" i="12"/>
  <c r="I3947" i="12" s="1"/>
  <c r="H3948" i="12"/>
  <c r="H3949" i="12"/>
  <c r="H3950" i="12"/>
  <c r="H3951" i="12"/>
  <c r="H3952" i="12"/>
  <c r="H3953" i="12"/>
  <c r="H3954" i="12"/>
  <c r="H3955" i="12"/>
  <c r="H3956" i="12"/>
  <c r="H3957" i="12"/>
  <c r="H3958" i="12"/>
  <c r="I3958" i="12" s="1"/>
  <c r="H3959" i="12"/>
  <c r="H3960" i="12"/>
  <c r="H3961" i="12"/>
  <c r="H3962" i="12"/>
  <c r="H3963" i="12"/>
  <c r="H3964" i="12"/>
  <c r="H3965" i="12"/>
  <c r="H3966" i="12"/>
  <c r="H3967" i="12"/>
  <c r="H3968" i="12"/>
  <c r="H3969" i="12"/>
  <c r="H3970" i="12"/>
  <c r="H3971" i="12"/>
  <c r="H3972" i="12"/>
  <c r="H3973" i="12"/>
  <c r="H3974" i="12"/>
  <c r="H3975" i="12"/>
  <c r="H3976" i="12"/>
  <c r="H3977" i="12"/>
  <c r="H3978" i="12"/>
  <c r="H3979" i="12"/>
  <c r="I3979" i="12" s="1"/>
  <c r="H3980" i="12"/>
  <c r="H3981" i="12"/>
  <c r="H3982" i="12"/>
  <c r="H3983" i="12"/>
  <c r="H3984" i="12"/>
  <c r="H3985" i="12"/>
  <c r="H3986" i="12"/>
  <c r="H3987" i="12"/>
  <c r="H3988" i="12"/>
  <c r="H3989" i="12"/>
  <c r="H3990" i="12"/>
  <c r="H3991" i="12"/>
  <c r="H3992" i="12"/>
  <c r="H3993" i="12"/>
  <c r="H3994" i="12"/>
  <c r="H3995" i="12"/>
  <c r="I3995" i="12" s="1"/>
  <c r="H3996" i="12"/>
  <c r="H3997" i="12"/>
  <c r="H3998" i="12"/>
  <c r="H3999" i="12"/>
  <c r="H4000" i="12"/>
  <c r="H4001" i="12"/>
  <c r="H4002" i="12"/>
  <c r="H4003" i="12"/>
  <c r="I4003" i="12" s="1"/>
  <c r="H4004" i="12"/>
  <c r="H4005" i="12"/>
  <c r="H4006" i="12"/>
  <c r="H4007" i="12"/>
  <c r="H4008" i="12"/>
  <c r="H4009" i="12"/>
  <c r="H4010" i="12"/>
  <c r="H4011" i="12"/>
  <c r="H4012" i="12"/>
  <c r="H4013" i="12"/>
  <c r="H4014" i="12"/>
  <c r="I4014" i="12" s="1"/>
  <c r="H4015" i="12"/>
  <c r="H4016" i="12"/>
  <c r="H4017" i="12"/>
  <c r="H4018" i="12"/>
  <c r="H4019" i="12"/>
  <c r="H4020" i="12"/>
  <c r="H4021" i="12"/>
  <c r="H4022" i="12"/>
  <c r="H4023" i="12"/>
  <c r="H4024" i="12"/>
  <c r="H4025" i="12"/>
  <c r="H4026" i="12"/>
  <c r="H4027" i="12"/>
  <c r="H4028" i="12"/>
  <c r="H4029" i="12"/>
  <c r="H4030" i="12"/>
  <c r="H4031" i="12"/>
  <c r="H4032" i="12"/>
  <c r="H4033" i="12"/>
  <c r="H4034" i="12"/>
  <c r="H4035" i="12"/>
  <c r="I4035" i="12" s="1"/>
  <c r="H4036" i="12"/>
  <c r="H4037" i="12"/>
  <c r="H4038" i="12"/>
  <c r="H4039" i="12"/>
  <c r="H4040" i="12"/>
  <c r="H4041" i="12"/>
  <c r="H4042" i="12"/>
  <c r="H4043" i="12"/>
  <c r="H4044" i="12"/>
  <c r="H4045" i="12"/>
  <c r="H4046" i="12"/>
  <c r="H4047" i="12"/>
  <c r="H4048" i="12"/>
  <c r="H4049" i="12"/>
  <c r="H4050" i="12"/>
  <c r="H4051" i="12"/>
  <c r="I4051" i="12" s="1"/>
  <c r="H4052" i="12"/>
  <c r="H4053" i="12"/>
  <c r="H4054" i="12"/>
  <c r="H4055" i="12"/>
  <c r="H4056" i="12"/>
  <c r="H4057" i="12"/>
  <c r="H4058" i="12"/>
  <c r="H4059" i="12"/>
  <c r="I4059" i="12" s="1"/>
  <c r="H4060" i="12"/>
  <c r="H4061" i="12"/>
  <c r="H4062" i="12"/>
  <c r="H4063" i="12"/>
  <c r="H4064" i="12"/>
  <c r="H4065" i="12"/>
  <c r="H4066" i="12"/>
  <c r="H4067" i="12"/>
  <c r="H4068" i="12"/>
  <c r="H4069" i="12"/>
  <c r="H4070" i="12"/>
  <c r="I4070" i="12" s="1"/>
  <c r="H4071" i="12"/>
  <c r="H4072" i="12"/>
  <c r="H4073" i="12"/>
  <c r="H4074" i="12"/>
  <c r="H4075" i="12"/>
  <c r="H4076" i="12"/>
  <c r="H4077" i="12"/>
  <c r="H4078" i="12"/>
  <c r="H4079" i="12"/>
  <c r="H4080" i="12"/>
  <c r="H4081" i="12"/>
  <c r="H4082" i="12"/>
  <c r="H4083" i="12"/>
  <c r="H4084" i="12"/>
  <c r="H4085" i="12"/>
  <c r="H4086" i="12"/>
  <c r="H4087" i="12"/>
  <c r="H4088" i="12"/>
  <c r="H4089" i="12"/>
  <c r="H4090" i="12"/>
  <c r="H4091" i="12"/>
  <c r="I4091" i="12" s="1"/>
  <c r="H4092" i="12"/>
  <c r="H4093" i="12"/>
  <c r="H4094" i="12"/>
  <c r="H4095" i="12"/>
  <c r="H4096" i="12"/>
  <c r="H4097" i="12"/>
  <c r="H4098" i="12"/>
  <c r="H4099" i="12"/>
  <c r="H4100" i="12"/>
  <c r="H4101" i="12"/>
  <c r="H4102" i="12"/>
  <c r="H4103" i="12"/>
  <c r="H4104" i="12"/>
  <c r="H4105" i="12"/>
  <c r="H4106" i="12"/>
  <c r="H4107" i="12"/>
  <c r="I4107" i="12" s="1"/>
  <c r="H4108" i="12"/>
  <c r="H4109" i="12"/>
  <c r="H4110" i="12"/>
  <c r="H4111" i="12"/>
  <c r="H4112" i="12"/>
  <c r="H4113" i="12"/>
  <c r="H4114" i="12"/>
  <c r="H4115" i="12"/>
  <c r="I4115" i="12" s="1"/>
  <c r="H4116" i="12"/>
  <c r="H4117" i="12"/>
  <c r="H4118" i="12"/>
  <c r="H4119" i="12"/>
  <c r="H4120" i="12"/>
  <c r="H4121" i="12"/>
  <c r="H4122" i="12"/>
  <c r="H4123" i="12"/>
  <c r="H4124" i="12"/>
  <c r="H4125" i="12"/>
  <c r="H4126" i="12"/>
  <c r="I4126" i="12" s="1"/>
  <c r="H4127" i="12"/>
  <c r="H4128" i="12"/>
  <c r="H4129" i="12"/>
  <c r="H4130" i="12"/>
  <c r="H4131" i="12"/>
  <c r="H4132" i="12"/>
  <c r="H4133" i="12"/>
  <c r="H4134" i="12"/>
  <c r="H4135" i="12"/>
  <c r="H4136" i="12"/>
  <c r="H4137" i="12"/>
  <c r="H4138" i="12"/>
  <c r="H4139" i="12"/>
  <c r="H4140" i="12"/>
  <c r="H4141" i="12"/>
  <c r="H4142" i="12"/>
  <c r="H4143" i="12"/>
  <c r="H4144" i="12"/>
  <c r="H4145" i="12"/>
  <c r="H4146" i="12"/>
  <c r="H4147" i="12"/>
  <c r="I4147" i="12" s="1"/>
  <c r="H4148" i="12"/>
  <c r="H4149" i="12"/>
  <c r="H4150" i="12"/>
  <c r="H4151" i="12"/>
  <c r="H4152" i="12"/>
  <c r="H4153" i="12"/>
  <c r="H4154" i="12"/>
  <c r="H4155" i="12"/>
  <c r="H4156" i="12"/>
  <c r="H4157" i="12"/>
  <c r="H4158" i="12"/>
  <c r="H4159" i="12"/>
  <c r="H4160" i="12"/>
  <c r="H4161" i="12"/>
  <c r="H4162" i="12"/>
  <c r="H4163" i="12"/>
  <c r="I4163" i="12" s="1"/>
  <c r="H4164" i="12"/>
  <c r="H4165" i="12"/>
  <c r="H4166" i="12"/>
  <c r="H4167" i="12"/>
  <c r="H4168" i="12"/>
  <c r="H4169" i="12"/>
  <c r="H4170" i="12"/>
  <c r="H4171" i="12"/>
  <c r="I4171" i="12" s="1"/>
  <c r="H4172" i="12"/>
  <c r="H4173" i="12"/>
  <c r="H4174" i="12"/>
  <c r="H4175" i="12"/>
  <c r="H4176" i="12"/>
  <c r="H4177" i="12"/>
  <c r="H4178" i="12"/>
  <c r="H4179" i="12"/>
  <c r="H4180" i="12"/>
  <c r="H4181" i="12"/>
  <c r="H4182" i="12"/>
  <c r="I4182" i="12" s="1"/>
  <c r="H4183" i="12"/>
  <c r="H4184" i="12"/>
  <c r="H4185" i="12"/>
  <c r="H4186" i="12"/>
  <c r="H4187" i="12"/>
  <c r="H4188" i="12"/>
  <c r="H4189" i="12"/>
  <c r="H4190" i="12"/>
  <c r="H4191" i="12"/>
  <c r="H4192" i="12"/>
  <c r="H4193" i="12"/>
  <c r="H4194" i="12"/>
  <c r="H4195" i="12"/>
  <c r="H4196" i="12"/>
  <c r="H4197" i="12"/>
  <c r="H4198" i="12"/>
  <c r="H4199" i="12"/>
  <c r="H4200" i="12"/>
  <c r="H4201" i="12"/>
  <c r="H4202" i="12"/>
  <c r="H4203" i="12"/>
  <c r="I4203" i="12" s="1"/>
  <c r="H4204" i="12"/>
  <c r="H4205" i="12"/>
  <c r="H4206" i="12"/>
  <c r="H4207" i="12"/>
  <c r="H4208" i="12"/>
  <c r="H4209" i="12"/>
  <c r="H4210" i="12"/>
  <c r="H4211" i="12"/>
  <c r="H4212" i="12"/>
  <c r="H4213" i="12"/>
  <c r="H4214" i="12"/>
  <c r="H4215" i="12"/>
  <c r="H4216" i="12"/>
  <c r="H4217" i="12"/>
  <c r="H4218" i="12"/>
  <c r="H4219" i="12"/>
  <c r="I4219" i="12" s="1"/>
  <c r="H4220" i="12"/>
  <c r="H4221" i="12"/>
  <c r="H4222" i="12"/>
  <c r="H4223" i="12"/>
  <c r="H4224" i="12"/>
  <c r="H4225" i="12"/>
  <c r="H4226" i="12"/>
  <c r="H4227" i="12"/>
  <c r="I4227" i="12" s="1"/>
  <c r="H4228" i="12"/>
  <c r="H4229" i="12"/>
  <c r="H4230" i="12"/>
  <c r="H4231" i="12"/>
  <c r="H4232" i="12"/>
  <c r="H4233" i="12"/>
  <c r="H4234" i="12"/>
  <c r="H4235" i="12"/>
  <c r="H4236" i="12"/>
  <c r="H4237" i="12"/>
  <c r="H4238" i="12"/>
  <c r="I4238" i="12" s="1"/>
  <c r="H4239" i="12"/>
  <c r="H4240" i="12"/>
  <c r="H4241" i="12"/>
  <c r="H4242" i="12"/>
  <c r="H4243" i="12"/>
  <c r="H4244" i="12"/>
  <c r="H4245" i="12"/>
  <c r="H4246" i="12"/>
  <c r="H4247" i="12"/>
  <c r="H4248" i="12"/>
  <c r="H4249" i="12"/>
  <c r="H4250" i="12"/>
  <c r="H4251" i="12"/>
  <c r="H4252" i="12"/>
  <c r="H4253" i="12"/>
  <c r="H4254" i="12"/>
  <c r="H4255" i="12"/>
  <c r="H4256" i="12"/>
  <c r="H4257" i="12"/>
  <c r="H4258" i="12"/>
  <c r="H4259" i="12"/>
  <c r="I4259" i="12" s="1"/>
  <c r="H4260" i="12"/>
  <c r="H4261" i="12"/>
  <c r="H4262" i="12"/>
  <c r="H4263" i="12"/>
  <c r="H4264" i="12"/>
  <c r="H4265" i="12"/>
  <c r="H4266" i="12"/>
  <c r="H4267" i="12"/>
  <c r="H4268" i="12"/>
  <c r="H4269" i="12"/>
  <c r="H4270" i="12"/>
  <c r="I4270" i="12" s="1"/>
  <c r="H4271" i="12"/>
  <c r="H4272" i="12"/>
  <c r="H4273" i="12"/>
  <c r="H4274" i="12"/>
  <c r="H4275" i="12"/>
  <c r="I4275" i="12" s="1"/>
  <c r="H4276" i="12"/>
  <c r="H4277" i="12"/>
  <c r="H4278" i="12"/>
  <c r="H4279" i="12"/>
  <c r="H4280" i="12"/>
  <c r="H4281" i="12"/>
  <c r="H4282" i="12"/>
  <c r="H4283" i="12"/>
  <c r="I4283" i="12" s="1"/>
  <c r="H4284" i="12"/>
  <c r="H4285" i="12"/>
  <c r="H4286" i="12"/>
  <c r="H4287" i="12"/>
  <c r="H4288" i="12"/>
  <c r="H4289" i="12"/>
  <c r="H4290" i="12"/>
  <c r="H4291" i="12"/>
  <c r="H4292" i="12"/>
  <c r="H4293" i="12"/>
  <c r="H4294" i="12"/>
  <c r="I4294" i="12" s="1"/>
  <c r="H4295" i="12"/>
  <c r="H4296" i="12"/>
  <c r="H4297" i="12"/>
  <c r="H4298" i="12"/>
  <c r="H4299" i="12"/>
  <c r="H4300" i="12"/>
  <c r="H4301" i="12"/>
  <c r="H4302" i="12"/>
  <c r="H4303" i="12"/>
  <c r="H4304" i="12"/>
  <c r="H4305" i="12"/>
  <c r="H4306" i="12"/>
  <c r="H4307" i="12"/>
  <c r="H4308" i="12"/>
  <c r="H4309" i="12"/>
  <c r="H4310" i="12"/>
  <c r="H4311" i="12"/>
  <c r="H4312" i="12"/>
  <c r="H4313" i="12"/>
  <c r="H4314" i="12"/>
  <c r="H4315" i="12"/>
  <c r="I4315" i="12" s="1"/>
  <c r="H4316" i="12"/>
  <c r="H4317" i="12"/>
  <c r="H4318" i="12"/>
  <c r="H4319" i="12"/>
  <c r="H4320" i="12"/>
  <c r="H4321" i="12"/>
  <c r="H4322" i="12"/>
  <c r="H4323" i="12"/>
  <c r="H4324" i="12"/>
  <c r="H4325" i="12"/>
  <c r="H4326" i="12"/>
  <c r="I4326" i="12" s="1"/>
  <c r="H4327" i="12"/>
  <c r="H4328" i="12"/>
  <c r="H4329" i="12"/>
  <c r="H4330" i="12"/>
  <c r="H4331" i="12"/>
  <c r="I4331" i="12" s="1"/>
  <c r="H4332" i="12"/>
  <c r="H4333" i="12"/>
  <c r="H4334" i="12"/>
  <c r="H4335" i="12"/>
  <c r="H4336" i="12"/>
  <c r="H4337" i="12"/>
  <c r="H4338" i="12"/>
  <c r="H4339" i="12"/>
  <c r="I4339" i="12" s="1"/>
  <c r="H4340" i="12"/>
  <c r="H4341" i="12"/>
  <c r="H4342" i="12"/>
  <c r="H4343" i="12"/>
  <c r="H4344" i="12"/>
  <c r="H4345" i="12"/>
  <c r="H4346" i="12"/>
  <c r="H4347" i="12"/>
  <c r="H4348" i="12"/>
  <c r="H4349" i="12"/>
  <c r="H4350" i="12"/>
  <c r="I4350" i="12" s="1"/>
  <c r="H4351" i="12"/>
  <c r="H4352" i="12"/>
  <c r="H4353" i="12"/>
  <c r="H4354" i="12"/>
  <c r="H4355" i="12"/>
  <c r="H4356" i="12"/>
  <c r="H4357" i="12"/>
  <c r="H4358" i="12"/>
  <c r="H4359" i="12"/>
  <c r="H4360" i="12"/>
  <c r="H4361" i="12"/>
  <c r="H4362" i="12"/>
  <c r="H4363" i="12"/>
  <c r="H4364" i="12"/>
  <c r="H4365" i="12"/>
  <c r="H4366" i="12"/>
  <c r="H4367" i="12"/>
  <c r="H4368" i="12"/>
  <c r="H4369" i="12"/>
  <c r="H4370" i="12"/>
  <c r="H4371" i="12"/>
  <c r="I4371" i="12" s="1"/>
  <c r="H4372" i="12"/>
  <c r="H4373" i="12"/>
  <c r="H4374" i="12"/>
  <c r="H4375" i="12"/>
  <c r="H4376" i="12"/>
  <c r="H4377" i="12"/>
  <c r="H4378" i="12"/>
  <c r="H4379" i="12"/>
  <c r="H4380" i="12"/>
  <c r="H4381" i="12"/>
  <c r="H4382" i="12"/>
  <c r="I4382" i="12" s="1"/>
  <c r="H4383" i="12"/>
  <c r="H4384" i="12"/>
  <c r="H4385" i="12"/>
  <c r="H4386" i="12"/>
  <c r="H4387" i="12"/>
  <c r="I4387" i="12" s="1"/>
  <c r="H4388" i="12"/>
  <c r="H4389" i="12"/>
  <c r="H4390" i="12"/>
  <c r="H4391" i="12"/>
  <c r="H4392" i="12"/>
  <c r="H4393" i="12"/>
  <c r="H4394" i="12"/>
  <c r="H4395" i="12"/>
  <c r="I4395" i="12" s="1"/>
  <c r="H4396" i="12"/>
  <c r="H4397" i="12"/>
  <c r="H4398" i="12"/>
  <c r="H4399" i="12"/>
  <c r="H4400" i="12"/>
  <c r="H4401" i="12"/>
  <c r="H4402" i="12"/>
  <c r="H4403" i="12"/>
  <c r="H4404" i="12"/>
  <c r="H4405" i="12"/>
  <c r="H4406" i="12"/>
  <c r="I4406" i="12" s="1"/>
  <c r="H4407" i="12"/>
  <c r="H4408" i="12"/>
  <c r="H4409" i="12"/>
  <c r="H4410" i="12"/>
  <c r="H4411" i="12"/>
  <c r="H4412" i="12"/>
  <c r="H4413" i="12"/>
  <c r="H4414" i="12"/>
  <c r="H4415" i="12"/>
  <c r="H4416" i="12"/>
  <c r="H4417" i="12"/>
  <c r="H4418" i="12"/>
  <c r="H4419" i="12"/>
  <c r="H4420" i="12"/>
  <c r="H4421" i="12"/>
  <c r="H4422" i="12"/>
  <c r="H4423" i="12"/>
  <c r="H4424" i="12"/>
  <c r="H4425" i="12"/>
  <c r="H4426" i="12"/>
  <c r="H4427" i="12"/>
  <c r="I4427" i="12" s="1"/>
  <c r="H4428" i="12"/>
  <c r="H4429" i="12"/>
  <c r="H4430" i="12"/>
  <c r="H4431" i="12"/>
  <c r="H4432" i="12"/>
  <c r="H4433" i="12"/>
  <c r="H4434" i="12"/>
  <c r="H4435" i="12"/>
  <c r="H4436" i="12"/>
  <c r="H4437" i="12"/>
  <c r="H4438" i="12"/>
  <c r="I4438" i="12" s="1"/>
  <c r="H4439" i="12"/>
  <c r="H4440" i="12"/>
  <c r="H4441" i="12"/>
  <c r="H4442" i="12"/>
  <c r="H4443" i="12"/>
  <c r="I4443" i="12" s="1"/>
  <c r="H4444" i="12"/>
  <c r="H4445" i="12"/>
  <c r="H4446" i="12"/>
  <c r="H4447" i="12"/>
  <c r="H4448" i="12"/>
  <c r="H4449" i="12"/>
  <c r="H4450" i="12"/>
  <c r="H4451" i="12"/>
  <c r="I4451" i="12" s="1"/>
  <c r="H4452" i="12"/>
  <c r="H4453" i="12"/>
  <c r="H4454" i="12"/>
  <c r="H4455" i="12"/>
  <c r="H4456" i="12"/>
  <c r="H4457" i="12"/>
  <c r="H4458" i="12"/>
  <c r="H4459" i="12"/>
  <c r="H4460" i="12"/>
  <c r="H4461" i="12"/>
  <c r="H4462" i="12"/>
  <c r="I4462" i="12" s="1"/>
  <c r="H4463" i="12"/>
  <c r="H4464" i="12"/>
  <c r="H4465" i="12"/>
  <c r="H4466" i="12"/>
  <c r="H4467" i="12"/>
  <c r="H4468" i="12"/>
  <c r="H4469" i="12"/>
  <c r="H4470" i="12"/>
  <c r="H4471" i="12"/>
  <c r="H4472" i="12"/>
  <c r="H4473" i="12"/>
  <c r="H4474" i="12"/>
  <c r="H4475" i="12"/>
  <c r="H4476" i="12"/>
  <c r="H4477" i="12"/>
  <c r="H4478" i="12"/>
  <c r="H4479" i="12"/>
  <c r="H4480" i="12"/>
  <c r="H4481" i="12"/>
  <c r="H4482" i="12"/>
  <c r="H4483" i="12"/>
  <c r="I4483" i="12" s="1"/>
  <c r="H4484" i="12"/>
  <c r="H4485" i="12"/>
  <c r="H4486" i="12"/>
  <c r="H4487" i="12"/>
  <c r="H4488" i="12"/>
  <c r="H4489" i="12"/>
  <c r="H4490" i="12"/>
  <c r="H4491" i="12"/>
  <c r="H4492" i="12"/>
  <c r="H4493" i="12"/>
  <c r="H4494" i="12"/>
  <c r="I4494" i="12" s="1"/>
  <c r="H4495" i="12"/>
  <c r="H4496" i="12"/>
  <c r="H4497" i="12"/>
  <c r="H4498" i="12"/>
  <c r="H4499" i="12"/>
  <c r="I4499" i="12" s="1"/>
  <c r="H4500" i="12"/>
  <c r="H4501" i="12"/>
  <c r="H4502" i="12"/>
  <c r="H4503" i="12"/>
  <c r="H4504" i="12"/>
  <c r="H4505" i="12"/>
  <c r="H4506" i="12"/>
  <c r="H4507" i="12"/>
  <c r="I4507" i="12" s="1"/>
  <c r="H4508" i="12"/>
  <c r="H4509" i="12"/>
  <c r="H4510" i="12"/>
  <c r="H4511" i="12"/>
  <c r="H4512" i="12"/>
  <c r="H4513" i="12"/>
  <c r="H4514" i="12"/>
  <c r="H4515" i="12"/>
  <c r="H4516" i="12"/>
  <c r="H4517" i="12"/>
  <c r="H4518" i="12"/>
  <c r="I4518" i="12" s="1"/>
  <c r="H4519" i="12"/>
  <c r="H4520" i="12"/>
  <c r="H4521" i="12"/>
  <c r="H4522" i="12"/>
  <c r="H4523" i="12"/>
  <c r="H4524" i="12"/>
  <c r="H4525" i="12"/>
  <c r="H4526" i="12"/>
  <c r="H4527" i="12"/>
  <c r="H4528" i="12"/>
  <c r="H4529" i="12"/>
  <c r="H4530" i="12"/>
  <c r="H4531" i="12"/>
  <c r="H4532" i="12"/>
  <c r="H4533" i="12"/>
  <c r="H4534" i="12"/>
  <c r="H4535" i="12"/>
  <c r="H4536" i="12"/>
  <c r="H4537" i="12"/>
  <c r="H4538" i="12"/>
  <c r="H4539" i="12"/>
  <c r="I4539" i="12" s="1"/>
  <c r="H4540" i="12"/>
  <c r="H4541" i="12"/>
  <c r="H4542" i="12"/>
  <c r="H4543" i="12"/>
  <c r="H4544" i="12"/>
  <c r="H4545" i="12"/>
  <c r="H4546" i="12"/>
  <c r="H4547" i="12"/>
  <c r="H4548" i="12"/>
  <c r="H4549" i="12"/>
  <c r="H4550" i="12"/>
  <c r="I4550" i="12" s="1"/>
  <c r="H4551" i="12"/>
  <c r="H4552" i="12"/>
  <c r="H4553" i="12"/>
  <c r="H4554" i="12"/>
  <c r="H4555" i="12"/>
  <c r="I4555" i="12" s="1"/>
  <c r="H4556" i="12"/>
  <c r="H4557" i="12"/>
  <c r="H4558" i="12"/>
  <c r="H4559" i="12"/>
  <c r="H4560" i="12"/>
  <c r="H4561" i="12"/>
  <c r="H4562" i="12"/>
  <c r="H4563" i="12"/>
  <c r="H4564" i="12"/>
  <c r="H4565" i="12"/>
  <c r="H4566" i="12"/>
  <c r="H4567" i="12"/>
  <c r="H4568" i="12"/>
  <c r="H4569" i="12"/>
  <c r="H4570" i="12"/>
  <c r="H4571" i="12"/>
  <c r="H4572" i="12"/>
  <c r="H4573" i="12"/>
  <c r="H4574" i="12"/>
  <c r="I4574" i="12" s="1"/>
  <c r="H4575" i="12"/>
  <c r="H4576" i="12"/>
  <c r="H4577" i="12"/>
  <c r="H4578" i="12"/>
  <c r="H4579" i="12"/>
  <c r="H4580" i="12"/>
  <c r="H4581" i="12"/>
  <c r="H4582" i="12"/>
  <c r="H4583" i="12"/>
  <c r="H4584" i="12"/>
  <c r="H4585" i="12"/>
  <c r="H4586" i="12"/>
  <c r="H4587" i="12"/>
  <c r="H4588" i="12"/>
  <c r="H4589" i="12"/>
  <c r="H4590" i="12"/>
  <c r="H4591" i="12"/>
  <c r="H4592" i="12"/>
  <c r="H4593" i="12"/>
  <c r="H4594" i="12"/>
  <c r="H4595" i="12"/>
  <c r="I4595" i="12" s="1"/>
  <c r="H4596" i="12"/>
  <c r="H4597" i="12"/>
  <c r="H4598" i="12"/>
  <c r="H4599" i="12"/>
  <c r="H4600" i="12"/>
  <c r="H4601" i="12"/>
  <c r="H4602" i="12"/>
  <c r="H4603" i="12"/>
  <c r="H4604" i="12"/>
  <c r="H4605" i="12"/>
  <c r="H4606" i="12"/>
  <c r="I4606" i="12" s="1"/>
  <c r="H4607" i="12"/>
  <c r="H4608" i="12"/>
  <c r="H4609" i="12"/>
  <c r="H4610" i="12"/>
  <c r="H4611" i="12"/>
  <c r="I4611" i="12" s="1"/>
  <c r="H4612" i="12"/>
  <c r="H4613" i="12"/>
  <c r="H4614" i="12"/>
  <c r="H4615" i="12"/>
  <c r="H4616" i="12"/>
  <c r="H4617" i="12"/>
  <c r="H4618" i="12"/>
  <c r="H4619" i="12"/>
  <c r="H4620" i="12"/>
  <c r="H4621" i="12"/>
  <c r="H4622" i="12"/>
  <c r="H4623" i="12"/>
  <c r="H4624" i="12"/>
  <c r="H4625" i="12"/>
  <c r="H4626" i="12"/>
  <c r="H4627" i="12"/>
  <c r="H4628" i="12"/>
  <c r="H4629" i="12"/>
  <c r="H4630" i="12"/>
  <c r="I4630" i="12" s="1"/>
  <c r="H4631" i="12"/>
  <c r="H4632" i="12"/>
  <c r="H4633" i="12"/>
  <c r="H4634" i="12"/>
  <c r="H4635" i="12"/>
  <c r="H4636" i="12"/>
  <c r="H4637" i="12"/>
  <c r="H4638" i="12"/>
  <c r="H4639" i="12"/>
  <c r="H4640" i="12"/>
  <c r="H4641" i="12"/>
  <c r="H4642" i="12"/>
  <c r="H4643" i="12"/>
  <c r="H4644" i="12"/>
  <c r="H4645" i="12"/>
  <c r="H4646" i="12"/>
  <c r="H4647" i="12"/>
  <c r="H4648" i="12"/>
  <c r="H4649" i="12"/>
  <c r="H4650" i="12"/>
  <c r="H4651" i="12"/>
  <c r="I4651" i="12" s="1"/>
  <c r="H4652" i="12"/>
  <c r="H4653" i="12"/>
  <c r="H4654" i="12"/>
  <c r="H4655" i="12"/>
  <c r="H4656" i="12"/>
  <c r="H4657" i="12"/>
  <c r="H4658" i="12"/>
  <c r="H4659" i="12"/>
  <c r="H4660" i="12"/>
  <c r="H4661" i="12"/>
  <c r="H4662" i="12"/>
  <c r="I4662" i="12" s="1"/>
  <c r="H4663" i="12"/>
  <c r="H4664" i="12"/>
  <c r="H4665" i="12"/>
  <c r="H4666" i="12"/>
  <c r="H4667" i="12"/>
  <c r="I4667" i="12" s="1"/>
  <c r="H4668" i="12"/>
  <c r="H4669" i="12"/>
  <c r="H4670" i="12"/>
  <c r="H4671" i="12"/>
  <c r="H4672" i="12"/>
  <c r="H4673" i="12"/>
  <c r="H4674" i="12"/>
  <c r="H4675" i="12"/>
  <c r="H4676" i="12"/>
  <c r="H4677" i="12"/>
  <c r="H4678" i="12"/>
  <c r="H4679" i="12"/>
  <c r="H4680" i="12"/>
  <c r="H4681" i="12"/>
  <c r="H4682" i="12"/>
  <c r="H4683" i="12"/>
  <c r="H4684" i="12"/>
  <c r="H4685" i="12"/>
  <c r="H4686" i="12"/>
  <c r="I4686" i="12" s="1"/>
  <c r="H4687" i="12"/>
  <c r="H4688" i="12"/>
  <c r="H4689" i="12"/>
  <c r="H4690" i="12"/>
  <c r="H4691" i="12"/>
  <c r="H4692" i="12"/>
  <c r="H4693" i="12"/>
  <c r="H4694" i="12"/>
  <c r="H4695" i="12"/>
  <c r="H4696" i="12"/>
  <c r="H4697" i="12"/>
  <c r="H4698" i="12"/>
  <c r="H4699" i="12"/>
  <c r="H4700" i="12"/>
  <c r="H4701" i="12"/>
  <c r="H4702" i="12"/>
  <c r="H4703" i="12"/>
  <c r="H4704" i="12"/>
  <c r="H4705" i="12"/>
  <c r="H4706" i="12"/>
  <c r="H4707" i="12"/>
  <c r="I4707" i="12" s="1"/>
  <c r="H4708" i="12"/>
  <c r="H4709" i="12"/>
  <c r="H4710" i="12"/>
  <c r="H4711" i="12"/>
  <c r="H4712" i="12"/>
  <c r="H4713" i="12"/>
  <c r="H4714" i="12"/>
  <c r="H4715" i="12"/>
  <c r="H4716" i="12"/>
  <c r="H4717" i="12"/>
  <c r="H4718" i="12"/>
  <c r="I4718" i="12" s="1"/>
  <c r="H4719" i="12"/>
  <c r="H4720" i="12"/>
  <c r="H4721" i="12"/>
  <c r="H4722" i="12"/>
  <c r="H4723" i="12"/>
  <c r="I4723" i="12" s="1"/>
  <c r="H4724" i="12"/>
  <c r="H4725" i="12"/>
  <c r="H4726" i="12"/>
  <c r="H4727" i="12"/>
  <c r="H4728" i="12"/>
  <c r="H4729" i="12"/>
  <c r="H4730" i="12"/>
  <c r="H4731" i="12"/>
  <c r="H4732" i="12"/>
  <c r="H4733" i="12"/>
  <c r="H4734" i="12"/>
  <c r="H4735" i="12"/>
  <c r="H4736" i="12"/>
  <c r="H4737" i="12"/>
  <c r="H4738" i="12"/>
  <c r="H4739" i="12"/>
  <c r="H4740" i="12"/>
  <c r="H4741" i="12"/>
  <c r="H4742" i="12"/>
  <c r="I4742" i="12" s="1"/>
  <c r="H4743" i="12"/>
  <c r="H4744" i="12"/>
  <c r="H4745" i="12"/>
  <c r="H4746" i="12"/>
  <c r="H4747" i="12"/>
  <c r="H4748" i="12"/>
  <c r="H4749" i="12"/>
  <c r="H4750" i="12"/>
  <c r="H4751" i="12"/>
  <c r="H4752" i="12"/>
  <c r="H4753" i="12"/>
  <c r="H4754" i="12"/>
  <c r="H4755" i="12"/>
  <c r="H4756" i="12"/>
  <c r="H4757" i="12"/>
  <c r="H4758" i="12"/>
  <c r="H4759" i="12"/>
  <c r="H4760" i="12"/>
  <c r="H4761" i="12"/>
  <c r="H4762" i="12"/>
  <c r="H4763" i="12"/>
  <c r="I4763" i="12" s="1"/>
  <c r="H4764" i="12"/>
  <c r="H4765" i="12"/>
  <c r="H4766" i="12"/>
  <c r="H4767" i="12"/>
  <c r="H4768" i="12"/>
  <c r="H4769" i="12"/>
  <c r="H4770" i="12"/>
  <c r="H4771" i="12"/>
  <c r="H4772" i="12"/>
  <c r="H4773" i="12"/>
  <c r="H4774" i="12"/>
  <c r="I4774" i="12" s="1"/>
  <c r="H4775" i="12"/>
  <c r="H4776" i="12"/>
  <c r="H4777" i="12"/>
  <c r="H4778" i="12"/>
  <c r="H4779" i="12"/>
  <c r="I4779" i="12" s="1"/>
  <c r="H4780" i="12"/>
  <c r="H4781" i="12"/>
  <c r="H4782" i="12"/>
  <c r="H4783" i="12"/>
  <c r="H4784" i="12"/>
  <c r="H4785" i="12"/>
  <c r="H4786" i="12"/>
  <c r="H4787" i="12"/>
  <c r="H4788" i="12"/>
  <c r="H4789" i="12"/>
  <c r="H4790" i="12"/>
  <c r="H4791" i="12"/>
  <c r="H4792" i="12"/>
  <c r="H4793" i="12"/>
  <c r="H4794" i="12"/>
  <c r="H4795" i="12"/>
  <c r="H4796" i="12"/>
  <c r="H4797" i="12"/>
  <c r="H4798" i="12"/>
  <c r="I4798" i="12" s="1"/>
  <c r="H4799" i="12"/>
  <c r="H4800" i="12"/>
  <c r="H4801" i="12"/>
  <c r="H4802" i="12"/>
  <c r="H4803" i="12"/>
  <c r="H4804" i="12"/>
  <c r="H4805" i="12"/>
  <c r="H4806" i="12"/>
  <c r="H4807" i="12"/>
  <c r="H4808" i="12"/>
  <c r="H4809" i="12"/>
  <c r="H4810" i="12"/>
  <c r="H4811" i="12"/>
  <c r="H4812" i="12"/>
  <c r="H4813" i="12"/>
  <c r="H4814" i="12"/>
  <c r="H4815" i="12"/>
  <c r="H4816" i="12"/>
  <c r="H4817" i="12"/>
  <c r="H4818" i="12"/>
  <c r="H4819" i="12"/>
  <c r="I4819" i="12" s="1"/>
  <c r="H4820" i="12"/>
  <c r="H4821" i="12"/>
  <c r="H4822" i="12"/>
  <c r="H4823" i="12"/>
  <c r="H4824" i="12"/>
  <c r="H4825" i="12"/>
  <c r="H4826" i="12"/>
  <c r="H4827" i="12"/>
  <c r="H4828" i="12"/>
  <c r="H4829" i="12"/>
  <c r="H4830" i="12"/>
  <c r="I4830" i="12" s="1"/>
  <c r="H4831" i="12"/>
  <c r="H4832" i="12"/>
  <c r="H4833" i="12"/>
  <c r="H4834" i="12"/>
  <c r="H4835" i="12"/>
  <c r="I4835" i="12" s="1"/>
  <c r="H4836" i="12"/>
  <c r="H4837" i="12"/>
  <c r="H4838" i="12"/>
  <c r="H4839" i="12"/>
  <c r="H4840" i="12"/>
  <c r="H4841" i="12"/>
  <c r="H4842" i="12"/>
  <c r="H4843" i="12"/>
  <c r="H4844" i="12"/>
  <c r="H4845" i="12"/>
  <c r="H4846" i="12"/>
  <c r="H4847" i="12"/>
  <c r="H4848" i="12"/>
  <c r="H4849" i="12"/>
  <c r="H4850" i="12"/>
  <c r="H4851" i="12"/>
  <c r="H4852" i="12"/>
  <c r="H4853" i="12"/>
  <c r="H4854" i="12"/>
  <c r="I4854" i="12" s="1"/>
  <c r="H4855" i="12"/>
  <c r="H4856" i="12"/>
  <c r="H4857" i="12"/>
  <c r="H4858" i="12"/>
  <c r="H4859" i="12"/>
  <c r="H4860" i="12"/>
  <c r="H4861" i="12"/>
  <c r="H4862" i="12"/>
  <c r="H4863" i="12"/>
  <c r="H4864" i="12"/>
  <c r="H4865" i="12"/>
  <c r="H4866" i="12"/>
  <c r="H4867" i="12"/>
  <c r="H4868" i="12"/>
  <c r="H4869" i="12"/>
  <c r="H4870" i="12"/>
  <c r="H4871" i="12"/>
  <c r="H4872" i="12"/>
  <c r="H4873" i="12"/>
  <c r="H4874" i="12"/>
  <c r="H4875" i="12"/>
  <c r="I4875" i="12" s="1"/>
  <c r="H4876" i="12"/>
  <c r="H4877" i="12"/>
  <c r="H4878" i="12"/>
  <c r="H4879" i="12"/>
  <c r="H4880" i="12"/>
  <c r="H4881" i="12"/>
  <c r="H4882" i="12"/>
  <c r="H4883" i="12"/>
  <c r="H4884" i="12"/>
  <c r="H4885" i="12"/>
  <c r="H4886" i="12"/>
  <c r="I4886" i="12" s="1"/>
  <c r="H4887" i="12"/>
  <c r="H4888" i="12"/>
  <c r="H4889" i="12"/>
  <c r="H4890" i="12"/>
  <c r="H4891" i="12"/>
  <c r="I4891" i="12" s="1"/>
  <c r="H4892" i="12"/>
  <c r="H4893" i="12"/>
  <c r="H4894" i="12"/>
  <c r="H4895" i="12"/>
  <c r="H4896" i="12"/>
  <c r="H4897" i="12"/>
  <c r="H4898" i="12"/>
  <c r="H4899" i="12"/>
  <c r="H4900" i="12"/>
  <c r="H4901" i="12"/>
  <c r="H4902" i="12"/>
  <c r="H4903" i="12"/>
  <c r="H4904" i="12"/>
  <c r="H4905" i="12"/>
  <c r="H4906" i="12"/>
  <c r="H4907" i="12"/>
  <c r="H4908" i="12"/>
  <c r="H4909" i="12"/>
  <c r="H4910" i="12"/>
  <c r="I4910" i="12" s="1"/>
  <c r="H4911" i="12"/>
  <c r="H4912" i="12"/>
  <c r="H4913" i="12"/>
  <c r="H4914" i="12"/>
  <c r="H4915" i="12"/>
  <c r="H4916" i="12"/>
  <c r="H4917" i="12"/>
  <c r="H4918" i="12"/>
  <c r="H4919" i="12"/>
  <c r="H4920" i="12"/>
  <c r="H4921" i="12"/>
  <c r="H4922" i="12"/>
  <c r="H4923" i="12"/>
  <c r="H4924" i="12"/>
  <c r="H4925" i="12"/>
  <c r="H4926" i="12"/>
  <c r="H4927" i="12"/>
  <c r="H4928" i="12"/>
  <c r="H4929" i="12"/>
  <c r="H4930" i="12"/>
  <c r="H4931" i="12"/>
  <c r="I4931" i="12" s="1"/>
  <c r="H4932" i="12"/>
  <c r="H4933" i="12"/>
  <c r="H4934" i="12"/>
  <c r="H4935" i="12"/>
  <c r="H4936" i="12"/>
  <c r="H4937" i="12"/>
  <c r="H4938" i="12"/>
  <c r="H4939" i="12"/>
  <c r="H4940" i="12"/>
  <c r="H4941" i="12"/>
  <c r="H4942" i="12"/>
  <c r="I4942" i="12" s="1"/>
  <c r="H4943" i="12"/>
  <c r="H4944" i="12"/>
  <c r="H4945" i="12"/>
  <c r="H4946" i="12"/>
  <c r="H4947" i="12"/>
  <c r="I4947" i="12" s="1"/>
  <c r="H4948" i="12"/>
  <c r="H4949" i="12"/>
  <c r="H4950" i="12"/>
  <c r="H4951" i="12"/>
  <c r="H4952" i="12"/>
  <c r="H4953" i="12"/>
  <c r="H4954" i="12"/>
  <c r="H4955" i="12"/>
  <c r="I4955" i="12" s="1"/>
  <c r="H54" i="12"/>
  <c r="I54" i="12" s="1"/>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405" i="12"/>
  <c r="D406" i="12"/>
  <c r="D407" i="12"/>
  <c r="D408" i="12"/>
  <c r="D409" i="12"/>
  <c r="D410" i="12"/>
  <c r="D411" i="12"/>
  <c r="D412" i="12"/>
  <c r="D413" i="12"/>
  <c r="D414" i="12"/>
  <c r="D415" i="12"/>
  <c r="D416" i="12"/>
  <c r="D417" i="12"/>
  <c r="D418" i="12"/>
  <c r="D419" i="12"/>
  <c r="D420" i="12"/>
  <c r="D421" i="12"/>
  <c r="D422" i="12"/>
  <c r="D423" i="12"/>
  <c r="D424" i="12"/>
  <c r="D425" i="12"/>
  <c r="D426" i="12"/>
  <c r="D427" i="12"/>
  <c r="D428" i="12"/>
  <c r="D429" i="12"/>
  <c r="D430" i="12"/>
  <c r="D431" i="12"/>
  <c r="D432" i="12"/>
  <c r="D433" i="12"/>
  <c r="D434" i="12"/>
  <c r="D435" i="12"/>
  <c r="D436" i="12"/>
  <c r="D437" i="12"/>
  <c r="D438" i="12"/>
  <c r="D439" i="12"/>
  <c r="D440" i="12"/>
  <c r="D441" i="12"/>
  <c r="D442" i="12"/>
  <c r="D443" i="12"/>
  <c r="D444" i="12"/>
  <c r="D445" i="12"/>
  <c r="D446" i="12"/>
  <c r="D447" i="12"/>
  <c r="D448" i="12"/>
  <c r="D449" i="12"/>
  <c r="D450" i="12"/>
  <c r="D451" i="12"/>
  <c r="D452" i="12"/>
  <c r="D453" i="12"/>
  <c r="D454" i="12"/>
  <c r="D455" i="12"/>
  <c r="D456" i="12"/>
  <c r="D457" i="12"/>
  <c r="D458" i="12"/>
  <c r="D459" i="12"/>
  <c r="D460" i="12"/>
  <c r="D461" i="12"/>
  <c r="D462" i="12"/>
  <c r="D463" i="12"/>
  <c r="D464" i="12"/>
  <c r="D465" i="12"/>
  <c r="D466" i="12"/>
  <c r="D467" i="12"/>
  <c r="D468" i="12"/>
  <c r="D469" i="12"/>
  <c r="D470" i="12"/>
  <c r="D471" i="12"/>
  <c r="D472" i="12"/>
  <c r="D473" i="12"/>
  <c r="D474" i="12"/>
  <c r="D475" i="12"/>
  <c r="D476" i="12"/>
  <c r="D477" i="12"/>
  <c r="D478" i="12"/>
  <c r="D479" i="12"/>
  <c r="D480" i="12"/>
  <c r="D481" i="12"/>
  <c r="D482" i="12"/>
  <c r="D483" i="12"/>
  <c r="D484" i="12"/>
  <c r="D485" i="12"/>
  <c r="D486" i="12"/>
  <c r="D487" i="12"/>
  <c r="D488" i="12"/>
  <c r="D489" i="12"/>
  <c r="D490" i="12"/>
  <c r="D491" i="12"/>
  <c r="D492" i="12"/>
  <c r="D493" i="12"/>
  <c r="D494" i="12"/>
  <c r="D495" i="12"/>
  <c r="D496" i="12"/>
  <c r="D497" i="12"/>
  <c r="D498" i="12"/>
  <c r="D499" i="12"/>
  <c r="D500" i="12"/>
  <c r="D501" i="12"/>
  <c r="D502" i="12"/>
  <c r="D503" i="12"/>
  <c r="D504" i="12"/>
  <c r="D505" i="12"/>
  <c r="D506" i="12"/>
  <c r="D507" i="12"/>
  <c r="D508" i="12"/>
  <c r="D509" i="12"/>
  <c r="D510" i="12"/>
  <c r="D511" i="12"/>
  <c r="D512" i="12"/>
  <c r="D513" i="12"/>
  <c r="D514" i="12"/>
  <c r="D515" i="12"/>
  <c r="D516" i="12"/>
  <c r="D517" i="12"/>
  <c r="D518" i="12"/>
  <c r="D519" i="12"/>
  <c r="D520" i="12"/>
  <c r="D521" i="12"/>
  <c r="D522" i="12"/>
  <c r="D523" i="12"/>
  <c r="D524" i="12"/>
  <c r="D525" i="12"/>
  <c r="D526" i="12"/>
  <c r="D527" i="12"/>
  <c r="D528" i="12"/>
  <c r="D529" i="12"/>
  <c r="D530" i="12"/>
  <c r="D531" i="12"/>
  <c r="D532" i="12"/>
  <c r="D533" i="12"/>
  <c r="D534" i="12"/>
  <c r="D535" i="12"/>
  <c r="D536" i="12"/>
  <c r="D537" i="12"/>
  <c r="D538" i="12"/>
  <c r="D539" i="12"/>
  <c r="D540" i="12"/>
  <c r="D541" i="12"/>
  <c r="D542" i="12"/>
  <c r="D543" i="12"/>
  <c r="D544" i="12"/>
  <c r="D545" i="12"/>
  <c r="D546" i="12"/>
  <c r="D547" i="12"/>
  <c r="D548" i="12"/>
  <c r="D549" i="12"/>
  <c r="D550" i="12"/>
  <c r="D551" i="12"/>
  <c r="D552" i="12"/>
  <c r="D553" i="12"/>
  <c r="D554" i="12"/>
  <c r="D555" i="12"/>
  <c r="D556" i="12"/>
  <c r="D557" i="12"/>
  <c r="D558" i="12"/>
  <c r="D559" i="12"/>
  <c r="D560" i="12"/>
  <c r="D561" i="12"/>
  <c r="D562" i="12"/>
  <c r="D563" i="12"/>
  <c r="D564" i="12"/>
  <c r="D565" i="12"/>
  <c r="D566" i="12"/>
  <c r="D567" i="12"/>
  <c r="D568" i="12"/>
  <c r="D569" i="12"/>
  <c r="D570" i="12"/>
  <c r="D571" i="12"/>
  <c r="D572" i="12"/>
  <c r="D573" i="12"/>
  <c r="D574" i="12"/>
  <c r="D575" i="12"/>
  <c r="D576" i="12"/>
  <c r="D577" i="12"/>
  <c r="D578" i="12"/>
  <c r="D579" i="12"/>
  <c r="D580" i="12"/>
  <c r="D581" i="12"/>
  <c r="D582" i="12"/>
  <c r="D583" i="12"/>
  <c r="D584" i="12"/>
  <c r="D585" i="12"/>
  <c r="D586" i="12"/>
  <c r="D587" i="12"/>
  <c r="D588" i="12"/>
  <c r="D589" i="12"/>
  <c r="D590" i="12"/>
  <c r="D591" i="12"/>
  <c r="D592" i="12"/>
  <c r="D593" i="12"/>
  <c r="D594" i="12"/>
  <c r="D595" i="12"/>
  <c r="D596" i="12"/>
  <c r="D597" i="12"/>
  <c r="D598" i="12"/>
  <c r="D599" i="12"/>
  <c r="D600" i="12"/>
  <c r="D601" i="12"/>
  <c r="D602" i="12"/>
  <c r="D603" i="12"/>
  <c r="D604" i="12"/>
  <c r="D605" i="12"/>
  <c r="D606" i="12"/>
  <c r="D607" i="12"/>
  <c r="D608" i="12"/>
  <c r="D609" i="12"/>
  <c r="D610" i="12"/>
  <c r="D611" i="12"/>
  <c r="D612" i="12"/>
  <c r="D613" i="12"/>
  <c r="D614" i="12"/>
  <c r="D615" i="12"/>
  <c r="D616" i="12"/>
  <c r="D617" i="12"/>
  <c r="D618" i="12"/>
  <c r="D619" i="12"/>
  <c r="D620" i="12"/>
  <c r="D621" i="12"/>
  <c r="D622" i="12"/>
  <c r="D623" i="12"/>
  <c r="D624" i="12"/>
  <c r="D625" i="12"/>
  <c r="D626" i="12"/>
  <c r="D627" i="12"/>
  <c r="D628" i="12"/>
  <c r="D629" i="12"/>
  <c r="D630" i="12"/>
  <c r="D631" i="12"/>
  <c r="D632" i="12"/>
  <c r="D633" i="12"/>
  <c r="D634" i="12"/>
  <c r="D635" i="12"/>
  <c r="D636" i="12"/>
  <c r="D637" i="12"/>
  <c r="D638" i="12"/>
  <c r="D639" i="12"/>
  <c r="D640" i="12"/>
  <c r="D641" i="12"/>
  <c r="D642" i="12"/>
  <c r="D643" i="12"/>
  <c r="D644" i="12"/>
  <c r="D645" i="12"/>
  <c r="D646" i="12"/>
  <c r="D647" i="12"/>
  <c r="D648" i="12"/>
  <c r="D649" i="12"/>
  <c r="D650" i="12"/>
  <c r="D651" i="12"/>
  <c r="D652" i="12"/>
  <c r="D653" i="12"/>
  <c r="D654" i="12"/>
  <c r="D655" i="12"/>
  <c r="D656" i="12"/>
  <c r="D657" i="12"/>
  <c r="D658" i="12"/>
  <c r="D659" i="12"/>
  <c r="D660" i="12"/>
  <c r="D661" i="12"/>
  <c r="D662" i="12"/>
  <c r="D663" i="12"/>
  <c r="D664" i="12"/>
  <c r="D665" i="12"/>
  <c r="D666" i="12"/>
  <c r="D667" i="12"/>
  <c r="D668" i="12"/>
  <c r="D669" i="12"/>
  <c r="D670" i="12"/>
  <c r="D671" i="12"/>
  <c r="D672" i="12"/>
  <c r="D673" i="12"/>
  <c r="D674" i="12"/>
  <c r="D675" i="12"/>
  <c r="D676" i="12"/>
  <c r="D677" i="12"/>
  <c r="D678" i="12"/>
  <c r="D679" i="12"/>
  <c r="D680" i="12"/>
  <c r="D681" i="12"/>
  <c r="D682" i="12"/>
  <c r="D683" i="12"/>
  <c r="D684" i="12"/>
  <c r="D685" i="12"/>
  <c r="D686" i="12"/>
  <c r="D687" i="12"/>
  <c r="D688" i="12"/>
  <c r="D689" i="12"/>
  <c r="D690" i="12"/>
  <c r="D691" i="12"/>
  <c r="D692" i="12"/>
  <c r="D693" i="12"/>
  <c r="D694" i="12"/>
  <c r="D695" i="12"/>
  <c r="D696" i="12"/>
  <c r="D697" i="12"/>
  <c r="D698" i="12"/>
  <c r="D699" i="12"/>
  <c r="D700" i="12"/>
  <c r="D701" i="12"/>
  <c r="D702" i="12"/>
  <c r="D703" i="12"/>
  <c r="D704" i="12"/>
  <c r="D705" i="12"/>
  <c r="D706" i="12"/>
  <c r="D707" i="12"/>
  <c r="D708" i="12"/>
  <c r="D709" i="12"/>
  <c r="D710" i="12"/>
  <c r="D711" i="12"/>
  <c r="D712" i="12"/>
  <c r="D713" i="12"/>
  <c r="D714" i="12"/>
  <c r="D715" i="12"/>
  <c r="D716" i="12"/>
  <c r="D717" i="12"/>
  <c r="D718" i="12"/>
  <c r="D719" i="12"/>
  <c r="D720" i="12"/>
  <c r="D721" i="12"/>
  <c r="D722" i="12"/>
  <c r="D723" i="12"/>
  <c r="D724" i="12"/>
  <c r="D725" i="12"/>
  <c r="D726" i="12"/>
  <c r="D727" i="12"/>
  <c r="D728" i="12"/>
  <c r="D729" i="12"/>
  <c r="D730" i="12"/>
  <c r="D731" i="12"/>
  <c r="D732" i="12"/>
  <c r="D733" i="12"/>
  <c r="D734" i="12"/>
  <c r="D735" i="12"/>
  <c r="D736" i="12"/>
  <c r="D737" i="12"/>
  <c r="D738" i="12"/>
  <c r="D739" i="12"/>
  <c r="D740" i="12"/>
  <c r="D741" i="12"/>
  <c r="D742" i="12"/>
  <c r="D743" i="12"/>
  <c r="D744" i="12"/>
  <c r="D745" i="12"/>
  <c r="D746" i="12"/>
  <c r="D747" i="12"/>
  <c r="D748" i="12"/>
  <c r="D749" i="12"/>
  <c r="D750" i="12"/>
  <c r="D751" i="12"/>
  <c r="D752" i="12"/>
  <c r="D753" i="12"/>
  <c r="D754" i="12"/>
  <c r="D755" i="12"/>
  <c r="D756" i="12"/>
  <c r="D757" i="12"/>
  <c r="D758" i="12"/>
  <c r="D759" i="12"/>
  <c r="D760" i="12"/>
  <c r="D761" i="12"/>
  <c r="D762" i="12"/>
  <c r="D763" i="12"/>
  <c r="D764" i="12"/>
  <c r="D765" i="12"/>
  <c r="D766" i="12"/>
  <c r="D767" i="12"/>
  <c r="D768" i="12"/>
  <c r="D769" i="12"/>
  <c r="D770" i="12"/>
  <c r="D771" i="12"/>
  <c r="D772" i="12"/>
  <c r="D773" i="12"/>
  <c r="D774" i="12"/>
  <c r="D775" i="12"/>
  <c r="D776" i="12"/>
  <c r="D777" i="12"/>
  <c r="D778" i="12"/>
  <c r="D779" i="12"/>
  <c r="D780" i="12"/>
  <c r="D781" i="12"/>
  <c r="D782" i="12"/>
  <c r="D783" i="12"/>
  <c r="D784" i="12"/>
  <c r="D785" i="12"/>
  <c r="D786" i="12"/>
  <c r="D787" i="12"/>
  <c r="D788" i="12"/>
  <c r="D789" i="12"/>
  <c r="D790" i="12"/>
  <c r="D791" i="12"/>
  <c r="D792" i="12"/>
  <c r="D793" i="12"/>
  <c r="D794" i="12"/>
  <c r="D795" i="12"/>
  <c r="D796" i="12"/>
  <c r="D797" i="12"/>
  <c r="D798" i="12"/>
  <c r="D799" i="12"/>
  <c r="D800" i="12"/>
  <c r="D801" i="12"/>
  <c r="D802" i="12"/>
  <c r="D803" i="12"/>
  <c r="D804" i="12"/>
  <c r="D805" i="12"/>
  <c r="D806" i="12"/>
  <c r="D807" i="12"/>
  <c r="D808" i="12"/>
  <c r="D809" i="12"/>
  <c r="D810" i="12"/>
  <c r="D811" i="12"/>
  <c r="D812" i="12"/>
  <c r="D813" i="12"/>
  <c r="D814" i="12"/>
  <c r="D815" i="12"/>
  <c r="D816" i="12"/>
  <c r="D817" i="12"/>
  <c r="D818" i="12"/>
  <c r="D819" i="12"/>
  <c r="D820" i="12"/>
  <c r="D821" i="12"/>
  <c r="D822" i="12"/>
  <c r="D823" i="12"/>
  <c r="D824" i="12"/>
  <c r="D825" i="12"/>
  <c r="D826" i="12"/>
  <c r="D827" i="12"/>
  <c r="D828" i="12"/>
  <c r="D829" i="12"/>
  <c r="D830" i="12"/>
  <c r="D831" i="12"/>
  <c r="D832" i="12"/>
  <c r="D833" i="12"/>
  <c r="D834" i="12"/>
  <c r="D835" i="12"/>
  <c r="D836" i="12"/>
  <c r="D837" i="12"/>
  <c r="D838" i="12"/>
  <c r="D839" i="12"/>
  <c r="D840" i="12"/>
  <c r="D841" i="12"/>
  <c r="D842" i="12"/>
  <c r="D843" i="12"/>
  <c r="D844" i="12"/>
  <c r="D845" i="12"/>
  <c r="D846" i="12"/>
  <c r="D847" i="12"/>
  <c r="D848" i="12"/>
  <c r="D849" i="12"/>
  <c r="D850" i="12"/>
  <c r="D851" i="12"/>
  <c r="D852" i="12"/>
  <c r="D853" i="12"/>
  <c r="D854" i="12"/>
  <c r="D855" i="12"/>
  <c r="D856" i="12"/>
  <c r="D857" i="12"/>
  <c r="D858" i="12"/>
  <c r="D859" i="12"/>
  <c r="D860" i="12"/>
  <c r="D861" i="12"/>
  <c r="D862" i="12"/>
  <c r="D863" i="12"/>
  <c r="D864" i="12"/>
  <c r="D865" i="12"/>
  <c r="D866" i="12"/>
  <c r="D867" i="12"/>
  <c r="D868" i="12"/>
  <c r="D869" i="12"/>
  <c r="D870" i="12"/>
  <c r="D871" i="12"/>
  <c r="D872" i="12"/>
  <c r="D873" i="12"/>
  <c r="D874" i="12"/>
  <c r="D875" i="12"/>
  <c r="D876" i="12"/>
  <c r="D877" i="12"/>
  <c r="D878" i="12"/>
  <c r="D879" i="12"/>
  <c r="D880" i="12"/>
  <c r="D881" i="12"/>
  <c r="D882" i="12"/>
  <c r="D883" i="12"/>
  <c r="D884" i="12"/>
  <c r="D885" i="12"/>
  <c r="D886" i="12"/>
  <c r="D887" i="12"/>
  <c r="D888" i="12"/>
  <c r="D889" i="12"/>
  <c r="D890" i="12"/>
  <c r="D891" i="12"/>
  <c r="D892" i="12"/>
  <c r="D893" i="12"/>
  <c r="D894" i="12"/>
  <c r="D895" i="12"/>
  <c r="D896" i="12"/>
  <c r="D897" i="12"/>
  <c r="D898" i="12"/>
  <c r="D899" i="12"/>
  <c r="D900" i="12"/>
  <c r="D901" i="12"/>
  <c r="D902" i="12"/>
  <c r="D903" i="12"/>
  <c r="D904" i="12"/>
  <c r="D905" i="12"/>
  <c r="D906" i="12"/>
  <c r="D907" i="12"/>
  <c r="D908" i="12"/>
  <c r="D909" i="12"/>
  <c r="D910" i="12"/>
  <c r="D911" i="12"/>
  <c r="D912" i="12"/>
  <c r="D913" i="12"/>
  <c r="D914" i="12"/>
  <c r="D915" i="12"/>
  <c r="D916" i="12"/>
  <c r="D917" i="12"/>
  <c r="D918" i="12"/>
  <c r="D919" i="12"/>
  <c r="D920" i="12"/>
  <c r="D921" i="12"/>
  <c r="D922" i="12"/>
  <c r="D923" i="12"/>
  <c r="D924" i="12"/>
  <c r="D925" i="12"/>
  <c r="D926" i="12"/>
  <c r="D927" i="12"/>
  <c r="D928" i="12"/>
  <c r="D929" i="12"/>
  <c r="D930" i="12"/>
  <c r="D931" i="12"/>
  <c r="D932" i="12"/>
  <c r="D933" i="12"/>
  <c r="D934" i="12"/>
  <c r="D935" i="12"/>
  <c r="D936" i="12"/>
  <c r="D937" i="12"/>
  <c r="D938" i="12"/>
  <c r="D939" i="12"/>
  <c r="D940" i="12"/>
  <c r="D941" i="12"/>
  <c r="D942" i="12"/>
  <c r="D943" i="12"/>
  <c r="D944" i="12"/>
  <c r="D945" i="12"/>
  <c r="D946" i="12"/>
  <c r="D947" i="12"/>
  <c r="D948" i="12"/>
  <c r="D949" i="12"/>
  <c r="D950" i="12"/>
  <c r="D951" i="12"/>
  <c r="D952" i="12"/>
  <c r="D953" i="12"/>
  <c r="D954" i="12"/>
  <c r="D955" i="12"/>
  <c r="D956" i="12"/>
  <c r="D957" i="12"/>
  <c r="D958" i="12"/>
  <c r="D959" i="12"/>
  <c r="D960" i="12"/>
  <c r="D961" i="12"/>
  <c r="D962" i="12"/>
  <c r="D963" i="12"/>
  <c r="D964" i="12"/>
  <c r="D965" i="12"/>
  <c r="D966" i="12"/>
  <c r="D967" i="12"/>
  <c r="D968" i="12"/>
  <c r="D969" i="12"/>
  <c r="D970" i="12"/>
  <c r="D971" i="12"/>
  <c r="D972" i="12"/>
  <c r="D973" i="12"/>
  <c r="D974" i="12"/>
  <c r="D975" i="12"/>
  <c r="D976" i="12"/>
  <c r="D977" i="12"/>
  <c r="D978" i="12"/>
  <c r="D979" i="12"/>
  <c r="D980" i="12"/>
  <c r="D981" i="12"/>
  <c r="D982" i="12"/>
  <c r="D983" i="12"/>
  <c r="D984" i="12"/>
  <c r="D985" i="12"/>
  <c r="D986" i="12"/>
  <c r="D987" i="12"/>
  <c r="D988" i="12"/>
  <c r="D989" i="12"/>
  <c r="D990" i="12"/>
  <c r="D991" i="12"/>
  <c r="D992" i="12"/>
  <c r="D993" i="12"/>
  <c r="D994" i="12"/>
  <c r="D995" i="12"/>
  <c r="D996" i="12"/>
  <c r="D997" i="12"/>
  <c r="D998" i="12"/>
  <c r="D999" i="12"/>
  <c r="D1000" i="12"/>
  <c r="D1001" i="12"/>
  <c r="D1002" i="12"/>
  <c r="D1003" i="12"/>
  <c r="D1004" i="12"/>
  <c r="D1005" i="12"/>
  <c r="D1006" i="12"/>
  <c r="D1007" i="12"/>
  <c r="D1008" i="12"/>
  <c r="D1009" i="12"/>
  <c r="D1010" i="12"/>
  <c r="D1011" i="12"/>
  <c r="D1012" i="12"/>
  <c r="D1013" i="12"/>
  <c r="D1014" i="12"/>
  <c r="D1015" i="12"/>
  <c r="D1016" i="12"/>
  <c r="D1017" i="12"/>
  <c r="D1018" i="12"/>
  <c r="D1019" i="12"/>
  <c r="D1020" i="12"/>
  <c r="D1021" i="12"/>
  <c r="D1022" i="12"/>
  <c r="D1023" i="12"/>
  <c r="D1024" i="12"/>
  <c r="D1025" i="12"/>
  <c r="D1026" i="12"/>
  <c r="D1027" i="12"/>
  <c r="D1028" i="12"/>
  <c r="D1029" i="12"/>
  <c r="D1030" i="12"/>
  <c r="D1031" i="12"/>
  <c r="D1032" i="12"/>
  <c r="D1033" i="12"/>
  <c r="D1034" i="12"/>
  <c r="D1035" i="12"/>
  <c r="D1036" i="12"/>
  <c r="D1037" i="12"/>
  <c r="D1038" i="12"/>
  <c r="D1039" i="12"/>
  <c r="D1040" i="12"/>
  <c r="D1041" i="12"/>
  <c r="D1042" i="12"/>
  <c r="D1043" i="12"/>
  <c r="D1044" i="12"/>
  <c r="D1045" i="12"/>
  <c r="D1046" i="12"/>
  <c r="D1047" i="12"/>
  <c r="D1048" i="12"/>
  <c r="D1049" i="12"/>
  <c r="D1050" i="12"/>
  <c r="D1051" i="12"/>
  <c r="D1052" i="12"/>
  <c r="D1053" i="12"/>
  <c r="D1054" i="12"/>
  <c r="D1055" i="12"/>
  <c r="D1056" i="12"/>
  <c r="D1057" i="12"/>
  <c r="D1058" i="12"/>
  <c r="D1059" i="12"/>
  <c r="D1060" i="12"/>
  <c r="D1061" i="12"/>
  <c r="D1062" i="12"/>
  <c r="D1063" i="12"/>
  <c r="D1064" i="12"/>
  <c r="D1065" i="12"/>
  <c r="D1066" i="12"/>
  <c r="D1067" i="12"/>
  <c r="D1068" i="12"/>
  <c r="D1069" i="12"/>
  <c r="D1070" i="12"/>
  <c r="D1071" i="12"/>
  <c r="D1072" i="12"/>
  <c r="D1073" i="12"/>
  <c r="D1074" i="12"/>
  <c r="D1075" i="12"/>
  <c r="D1076" i="12"/>
  <c r="D1077" i="12"/>
  <c r="D1078" i="12"/>
  <c r="D1079" i="12"/>
  <c r="D1080" i="12"/>
  <c r="D1081" i="12"/>
  <c r="D1082" i="12"/>
  <c r="D1083" i="12"/>
  <c r="D1084" i="12"/>
  <c r="D1085" i="12"/>
  <c r="D1086" i="12"/>
  <c r="D1087" i="12"/>
  <c r="D1088" i="12"/>
  <c r="D1089" i="12"/>
  <c r="D1090" i="12"/>
  <c r="D1091" i="12"/>
  <c r="D1092" i="12"/>
  <c r="D1093" i="12"/>
  <c r="D1094" i="12"/>
  <c r="D1095" i="12"/>
  <c r="D1096" i="12"/>
  <c r="D1097" i="12"/>
  <c r="D1098" i="12"/>
  <c r="D1099" i="12"/>
  <c r="D1100" i="12"/>
  <c r="D1101" i="12"/>
  <c r="D1102" i="12"/>
  <c r="D1103" i="12"/>
  <c r="D1104" i="12"/>
  <c r="D1105" i="12"/>
  <c r="D1106" i="12"/>
  <c r="D1107" i="12"/>
  <c r="D1108" i="12"/>
  <c r="D1109" i="12"/>
  <c r="D1110" i="12"/>
  <c r="D1111" i="12"/>
  <c r="D1112" i="12"/>
  <c r="D1113" i="12"/>
  <c r="D1114" i="12"/>
  <c r="D1115" i="12"/>
  <c r="D1116" i="12"/>
  <c r="D1117" i="12"/>
  <c r="D1118" i="12"/>
  <c r="D1119" i="12"/>
  <c r="D1120" i="12"/>
  <c r="D1121" i="12"/>
  <c r="D1122" i="12"/>
  <c r="D1123" i="12"/>
  <c r="D1124" i="12"/>
  <c r="D1125" i="12"/>
  <c r="D1126" i="12"/>
  <c r="D1127" i="12"/>
  <c r="D1128" i="12"/>
  <c r="D1129" i="12"/>
  <c r="D1130" i="12"/>
  <c r="D1131" i="12"/>
  <c r="D1132" i="12"/>
  <c r="D1133" i="12"/>
  <c r="D1134" i="12"/>
  <c r="D1135" i="12"/>
  <c r="D1136" i="12"/>
  <c r="D1137" i="12"/>
  <c r="D1138" i="12"/>
  <c r="D1139" i="12"/>
  <c r="D1140" i="12"/>
  <c r="D1141" i="12"/>
  <c r="D1142" i="12"/>
  <c r="D1143" i="12"/>
  <c r="D1144" i="12"/>
  <c r="D1145" i="12"/>
  <c r="D1146" i="12"/>
  <c r="D1147" i="12"/>
  <c r="D1148" i="12"/>
  <c r="D1149" i="12"/>
  <c r="D1150" i="12"/>
  <c r="D1151" i="12"/>
  <c r="D1152" i="12"/>
  <c r="D1153" i="12"/>
  <c r="D1154" i="12"/>
  <c r="D1155" i="12"/>
  <c r="D1156" i="12"/>
  <c r="D1157" i="12"/>
  <c r="D1158" i="12"/>
  <c r="D1159" i="12"/>
  <c r="D1160" i="12"/>
  <c r="D1161" i="12"/>
  <c r="D1162" i="12"/>
  <c r="D1163" i="12"/>
  <c r="D1164" i="12"/>
  <c r="D1165" i="12"/>
  <c r="D1166" i="12"/>
  <c r="D1167" i="12"/>
  <c r="D1168" i="12"/>
  <c r="D1169" i="12"/>
  <c r="D1170" i="12"/>
  <c r="D1171" i="12"/>
  <c r="D1172" i="12"/>
  <c r="D1173" i="12"/>
  <c r="D1174" i="12"/>
  <c r="D1175" i="12"/>
  <c r="D1176" i="12"/>
  <c r="D1177" i="12"/>
  <c r="D1178" i="12"/>
  <c r="D1179" i="12"/>
  <c r="D1180" i="12"/>
  <c r="D1181" i="12"/>
  <c r="D1182" i="12"/>
  <c r="D1183" i="12"/>
  <c r="D1184" i="12"/>
  <c r="D1185" i="12"/>
  <c r="D1186" i="12"/>
  <c r="D1187" i="12"/>
  <c r="D1188" i="12"/>
  <c r="D1189" i="12"/>
  <c r="D1190" i="12"/>
  <c r="D1191" i="12"/>
  <c r="D1192" i="12"/>
  <c r="D1193" i="12"/>
  <c r="D1194" i="12"/>
  <c r="D1195" i="12"/>
  <c r="D1196" i="12"/>
  <c r="D1197" i="12"/>
  <c r="D1198" i="12"/>
  <c r="D1199" i="12"/>
  <c r="D1200" i="12"/>
  <c r="D1201" i="12"/>
  <c r="D1202" i="12"/>
  <c r="D1203" i="12"/>
  <c r="D1204" i="12"/>
  <c r="D1205" i="12"/>
  <c r="D1206" i="12"/>
  <c r="D1207" i="12"/>
  <c r="D1208" i="12"/>
  <c r="D1209" i="12"/>
  <c r="D1210" i="12"/>
  <c r="D1211" i="12"/>
  <c r="D1212" i="12"/>
  <c r="D1213" i="12"/>
  <c r="D1214" i="12"/>
  <c r="D1215" i="12"/>
  <c r="D1216" i="12"/>
  <c r="D1217" i="12"/>
  <c r="D1218" i="12"/>
  <c r="D1219" i="12"/>
  <c r="D1220" i="12"/>
  <c r="D1221" i="12"/>
  <c r="D1222" i="12"/>
  <c r="D1223" i="12"/>
  <c r="D1224" i="12"/>
  <c r="D1225" i="12"/>
  <c r="D1226" i="12"/>
  <c r="D1227" i="12"/>
  <c r="D1228" i="12"/>
  <c r="D1229" i="12"/>
  <c r="D1230" i="12"/>
  <c r="D1231" i="12"/>
  <c r="D1232" i="12"/>
  <c r="D1233" i="12"/>
  <c r="D1234" i="12"/>
  <c r="D1235" i="12"/>
  <c r="D1236" i="12"/>
  <c r="D1237" i="12"/>
  <c r="D1238" i="12"/>
  <c r="D1239" i="12"/>
  <c r="D1240" i="12"/>
  <c r="D1241" i="12"/>
  <c r="D1242" i="12"/>
  <c r="D1243" i="12"/>
  <c r="D1244" i="12"/>
  <c r="D1245" i="12"/>
  <c r="D1246" i="12"/>
  <c r="D1247" i="12"/>
  <c r="D1248" i="12"/>
  <c r="D1249" i="12"/>
  <c r="D1250" i="12"/>
  <c r="D1251" i="12"/>
  <c r="D1252" i="12"/>
  <c r="D1253" i="12"/>
  <c r="D1254" i="12"/>
  <c r="D1255" i="12"/>
  <c r="D1256" i="12"/>
  <c r="D1257" i="12"/>
  <c r="D1258" i="12"/>
  <c r="D1259" i="12"/>
  <c r="D1260" i="12"/>
  <c r="D1261" i="12"/>
  <c r="D1262" i="12"/>
  <c r="D1263" i="12"/>
  <c r="D1264" i="12"/>
  <c r="D1265" i="12"/>
  <c r="D1266" i="12"/>
  <c r="D1267" i="12"/>
  <c r="D1268" i="12"/>
  <c r="D1269" i="12"/>
  <c r="D1270" i="12"/>
  <c r="D1271" i="12"/>
  <c r="D1272" i="12"/>
  <c r="D1273" i="12"/>
  <c r="D1274" i="12"/>
  <c r="D1275" i="12"/>
  <c r="D1276" i="12"/>
  <c r="D1277" i="12"/>
  <c r="D1278" i="12"/>
  <c r="D1279" i="12"/>
  <c r="D1280" i="12"/>
  <c r="D1281" i="12"/>
  <c r="D1282" i="12"/>
  <c r="D1283" i="12"/>
  <c r="D1284" i="12"/>
  <c r="D1285" i="12"/>
  <c r="D1286" i="12"/>
  <c r="D1287" i="12"/>
  <c r="D1288" i="12"/>
  <c r="D1289" i="12"/>
  <c r="D1290" i="12"/>
  <c r="D1291" i="12"/>
  <c r="D1292" i="12"/>
  <c r="D1293" i="12"/>
  <c r="D1294" i="12"/>
  <c r="D1295" i="12"/>
  <c r="D1296" i="12"/>
  <c r="D1297" i="12"/>
  <c r="D1298" i="12"/>
  <c r="D1299" i="12"/>
  <c r="D1300" i="12"/>
  <c r="D1301" i="12"/>
  <c r="D1302" i="12"/>
  <c r="D1303" i="12"/>
  <c r="D1304" i="12"/>
  <c r="D1305" i="12"/>
  <c r="D1306" i="12"/>
  <c r="D1307" i="12"/>
  <c r="D1308" i="12"/>
  <c r="D1309" i="12"/>
  <c r="D1310" i="12"/>
  <c r="D1311" i="12"/>
  <c r="D1312" i="12"/>
  <c r="D1313" i="12"/>
  <c r="D1314" i="12"/>
  <c r="D1315" i="12"/>
  <c r="D1316" i="12"/>
  <c r="D1317" i="12"/>
  <c r="D1318" i="12"/>
  <c r="D1319" i="12"/>
  <c r="D1320" i="12"/>
  <c r="D1321" i="12"/>
  <c r="D1322" i="12"/>
  <c r="D1323" i="12"/>
  <c r="D1324" i="12"/>
  <c r="D1325" i="12"/>
  <c r="D1326" i="12"/>
  <c r="D1327" i="12"/>
  <c r="D1328" i="12"/>
  <c r="D1329" i="12"/>
  <c r="D1330" i="12"/>
  <c r="D1331" i="12"/>
  <c r="D1332" i="12"/>
  <c r="D1333" i="12"/>
  <c r="D1334" i="12"/>
  <c r="D1335" i="12"/>
  <c r="D1336" i="12"/>
  <c r="D1337" i="12"/>
  <c r="D1338" i="12"/>
  <c r="D1339" i="12"/>
  <c r="D1340" i="12"/>
  <c r="D1341" i="12"/>
  <c r="D1342" i="12"/>
  <c r="D1343" i="12"/>
  <c r="D1344" i="12"/>
  <c r="D1345" i="12"/>
  <c r="D1346" i="12"/>
  <c r="D1347" i="12"/>
  <c r="D1348" i="12"/>
  <c r="D1349" i="12"/>
  <c r="D1350" i="12"/>
  <c r="D1351" i="12"/>
  <c r="D1352" i="12"/>
  <c r="D1353" i="12"/>
  <c r="D1354" i="12"/>
  <c r="D1355" i="12"/>
  <c r="D1356" i="12"/>
  <c r="D1357" i="12"/>
  <c r="D1358" i="12"/>
  <c r="D1359" i="12"/>
  <c r="D1360" i="12"/>
  <c r="D1361" i="12"/>
  <c r="D1362" i="12"/>
  <c r="D1363" i="12"/>
  <c r="D1364" i="12"/>
  <c r="D1365" i="12"/>
  <c r="D1366" i="12"/>
  <c r="D1367" i="12"/>
  <c r="D1368" i="12"/>
  <c r="D1369" i="12"/>
  <c r="D1370" i="12"/>
  <c r="D1371" i="12"/>
  <c r="D1372" i="12"/>
  <c r="D1373" i="12"/>
  <c r="D1374" i="12"/>
  <c r="D1375" i="12"/>
  <c r="D1376" i="12"/>
  <c r="D1377" i="12"/>
  <c r="D1378" i="12"/>
  <c r="D1379" i="12"/>
  <c r="D1380" i="12"/>
  <c r="D1381" i="12"/>
  <c r="D1382" i="12"/>
  <c r="D1383" i="12"/>
  <c r="D1384" i="12"/>
  <c r="D1385" i="12"/>
  <c r="D1386" i="12"/>
  <c r="D1387" i="12"/>
  <c r="D1388" i="12"/>
  <c r="D1389" i="12"/>
  <c r="D1390" i="12"/>
  <c r="D1391" i="12"/>
  <c r="D1392" i="12"/>
  <c r="D1393" i="12"/>
  <c r="D1394" i="12"/>
  <c r="D1395" i="12"/>
  <c r="D1396" i="12"/>
  <c r="D1397" i="12"/>
  <c r="D1398" i="12"/>
  <c r="D1399" i="12"/>
  <c r="D1400" i="12"/>
  <c r="D1401" i="12"/>
  <c r="D1402" i="12"/>
  <c r="D1403" i="12"/>
  <c r="D1404" i="12"/>
  <c r="D1405" i="12"/>
  <c r="D1406" i="12"/>
  <c r="D1407" i="12"/>
  <c r="D1408" i="12"/>
  <c r="D1409" i="12"/>
  <c r="D1410" i="12"/>
  <c r="D1411" i="12"/>
  <c r="D1412" i="12"/>
  <c r="D1413" i="12"/>
  <c r="D1414" i="12"/>
  <c r="D1415" i="12"/>
  <c r="D1416" i="12"/>
  <c r="D1417" i="12"/>
  <c r="D1418" i="12"/>
  <c r="D1419" i="12"/>
  <c r="D1420" i="12"/>
  <c r="D1421" i="12"/>
  <c r="D1422" i="12"/>
  <c r="D1423" i="12"/>
  <c r="D1424" i="12"/>
  <c r="D1425" i="12"/>
  <c r="D1426" i="12"/>
  <c r="D1427" i="12"/>
  <c r="D1428" i="12"/>
  <c r="D1429" i="12"/>
  <c r="D1430" i="12"/>
  <c r="D1431" i="12"/>
  <c r="D1432" i="12"/>
  <c r="D1433" i="12"/>
  <c r="D1434" i="12"/>
  <c r="D1435" i="12"/>
  <c r="D1436" i="12"/>
  <c r="D1437" i="12"/>
  <c r="D1438" i="12"/>
  <c r="D1439" i="12"/>
  <c r="D1440" i="12"/>
  <c r="D1441" i="12"/>
  <c r="D1442" i="12"/>
  <c r="D1443" i="12"/>
  <c r="D1444" i="12"/>
  <c r="D1445" i="12"/>
  <c r="D1446" i="12"/>
  <c r="D1447" i="12"/>
  <c r="D1448" i="12"/>
  <c r="D1449" i="12"/>
  <c r="D1450" i="12"/>
  <c r="D1451" i="12"/>
  <c r="D1452" i="12"/>
  <c r="D1453" i="12"/>
  <c r="D1454" i="12"/>
  <c r="D1455" i="12"/>
  <c r="D1456" i="12"/>
  <c r="D1457" i="12"/>
  <c r="D1458" i="12"/>
  <c r="D1459" i="12"/>
  <c r="D1460" i="12"/>
  <c r="D1461" i="12"/>
  <c r="D1462" i="12"/>
  <c r="D1463" i="12"/>
  <c r="D1464" i="12"/>
  <c r="D1465" i="12"/>
  <c r="D1466" i="12"/>
  <c r="D1467" i="12"/>
  <c r="D1468" i="12"/>
  <c r="D1469" i="12"/>
  <c r="D1470" i="12"/>
  <c r="D1471" i="12"/>
  <c r="D1472" i="12"/>
  <c r="D1473" i="12"/>
  <c r="D1474" i="12"/>
  <c r="D1475" i="12"/>
  <c r="D1476" i="12"/>
  <c r="D1477" i="12"/>
  <c r="D1478" i="12"/>
  <c r="D1479" i="12"/>
  <c r="D1480" i="12"/>
  <c r="D1481" i="12"/>
  <c r="D1482" i="12"/>
  <c r="D1483" i="12"/>
  <c r="D1484" i="12"/>
  <c r="D1485" i="12"/>
  <c r="D1486" i="12"/>
  <c r="D1487" i="12"/>
  <c r="D1488" i="12"/>
  <c r="D1489" i="12"/>
  <c r="D1490" i="12"/>
  <c r="D1491" i="12"/>
  <c r="D1492" i="12"/>
  <c r="D1493" i="12"/>
  <c r="D1494" i="12"/>
  <c r="D1495" i="12"/>
  <c r="D1496" i="12"/>
  <c r="D1497" i="12"/>
  <c r="D1498" i="12"/>
  <c r="D1499" i="12"/>
  <c r="D1500" i="12"/>
  <c r="D1501" i="12"/>
  <c r="D1502" i="12"/>
  <c r="D1503" i="12"/>
  <c r="D1504" i="12"/>
  <c r="D1505" i="12"/>
  <c r="D1506" i="12"/>
  <c r="D1507" i="12"/>
  <c r="D1508" i="12"/>
  <c r="D1509" i="12"/>
  <c r="D1510" i="12"/>
  <c r="D1511" i="12"/>
  <c r="D1512" i="12"/>
  <c r="D1513" i="12"/>
  <c r="D1514" i="12"/>
  <c r="D1515" i="12"/>
  <c r="D1516" i="12"/>
  <c r="D1517" i="12"/>
  <c r="D1518" i="12"/>
  <c r="D1519" i="12"/>
  <c r="D1520" i="12"/>
  <c r="D1521" i="12"/>
  <c r="D1522" i="12"/>
  <c r="D1523" i="12"/>
  <c r="D1524" i="12"/>
  <c r="D1525" i="12"/>
  <c r="D1526" i="12"/>
  <c r="D1527" i="12"/>
  <c r="D1528" i="12"/>
  <c r="D1529" i="12"/>
  <c r="D1530" i="12"/>
  <c r="D1531" i="12"/>
  <c r="D1532" i="12"/>
  <c r="D1533" i="12"/>
  <c r="D1534" i="12"/>
  <c r="D1535" i="12"/>
  <c r="D1536" i="12"/>
  <c r="D1537" i="12"/>
  <c r="D1538" i="12"/>
  <c r="D1539" i="12"/>
  <c r="D1540" i="12"/>
  <c r="D1541" i="12"/>
  <c r="D1542" i="12"/>
  <c r="D1543" i="12"/>
  <c r="D1544" i="12"/>
  <c r="D1545" i="12"/>
  <c r="D1546" i="12"/>
  <c r="D1547" i="12"/>
  <c r="D1548" i="12"/>
  <c r="D1549" i="12"/>
  <c r="D1550" i="12"/>
  <c r="D1551" i="12"/>
  <c r="D1552" i="12"/>
  <c r="D1553" i="12"/>
  <c r="D1554" i="12"/>
  <c r="D1555" i="12"/>
  <c r="D1556" i="12"/>
  <c r="D1557" i="12"/>
  <c r="D1558" i="12"/>
  <c r="D1559" i="12"/>
  <c r="D1560" i="12"/>
  <c r="D1561" i="12"/>
  <c r="D1562" i="12"/>
  <c r="D1563" i="12"/>
  <c r="D1564" i="12"/>
  <c r="D1565" i="12"/>
  <c r="D1566" i="12"/>
  <c r="D1567" i="12"/>
  <c r="D1568" i="12"/>
  <c r="D1569" i="12"/>
  <c r="D1570" i="12"/>
  <c r="D1571" i="12"/>
  <c r="D1572" i="12"/>
  <c r="D1573" i="12"/>
  <c r="D1574" i="12"/>
  <c r="D1575" i="12"/>
  <c r="D1576" i="12"/>
  <c r="D1577" i="12"/>
  <c r="D1578" i="12"/>
  <c r="D1579" i="12"/>
  <c r="D1580" i="12"/>
  <c r="D1581" i="12"/>
  <c r="D1582" i="12"/>
  <c r="D1583" i="12"/>
  <c r="D1584" i="12"/>
  <c r="D1585" i="12"/>
  <c r="D1586" i="12"/>
  <c r="D1587" i="12"/>
  <c r="D1588" i="12"/>
  <c r="D1589" i="12"/>
  <c r="D1590" i="12"/>
  <c r="D1591" i="12"/>
  <c r="D1592" i="12"/>
  <c r="D1593" i="12"/>
  <c r="D1594" i="12"/>
  <c r="D1595" i="12"/>
  <c r="D1596" i="12"/>
  <c r="D1597" i="12"/>
  <c r="D1598" i="12"/>
  <c r="D1599" i="12"/>
  <c r="D1600" i="12"/>
  <c r="D1601" i="12"/>
  <c r="D1602" i="12"/>
  <c r="D1603" i="12"/>
  <c r="D1604" i="12"/>
  <c r="D1605" i="12"/>
  <c r="D1606" i="12"/>
  <c r="D1607" i="12"/>
  <c r="D1608" i="12"/>
  <c r="D1609" i="12"/>
  <c r="D1610" i="12"/>
  <c r="D1611" i="12"/>
  <c r="D1612" i="12"/>
  <c r="D1613" i="12"/>
  <c r="D1614" i="12"/>
  <c r="D1615" i="12"/>
  <c r="D1616" i="12"/>
  <c r="D1617" i="12"/>
  <c r="D1618" i="12"/>
  <c r="D1619" i="12"/>
  <c r="D1620" i="12"/>
  <c r="D1621" i="12"/>
  <c r="D1622" i="12"/>
  <c r="D1623" i="12"/>
  <c r="D1624" i="12"/>
  <c r="D1625" i="12"/>
  <c r="D1626" i="12"/>
  <c r="D1627" i="12"/>
  <c r="D1628" i="12"/>
  <c r="D1629" i="12"/>
  <c r="D1630" i="12"/>
  <c r="D1631" i="12"/>
  <c r="D1632" i="12"/>
  <c r="D1633" i="12"/>
  <c r="D1634" i="12"/>
  <c r="D1635" i="12"/>
  <c r="D1636" i="12"/>
  <c r="D1637" i="12"/>
  <c r="D1638" i="12"/>
  <c r="D1639" i="12"/>
  <c r="D1640" i="12"/>
  <c r="D1641" i="12"/>
  <c r="D1642" i="12"/>
  <c r="D1643" i="12"/>
  <c r="D1644" i="12"/>
  <c r="D1645" i="12"/>
  <c r="D1646" i="12"/>
  <c r="D1647" i="12"/>
  <c r="D1648" i="12"/>
  <c r="D1649" i="12"/>
  <c r="D1650" i="12"/>
  <c r="D1651" i="12"/>
  <c r="D1652" i="12"/>
  <c r="D1653" i="12"/>
  <c r="D1654" i="12"/>
  <c r="D1655" i="12"/>
  <c r="D1656" i="12"/>
  <c r="D1657" i="12"/>
  <c r="D1658" i="12"/>
  <c r="D1659" i="12"/>
  <c r="D1660" i="12"/>
  <c r="D1661" i="12"/>
  <c r="D1662" i="12"/>
  <c r="D1663" i="12"/>
  <c r="D1664" i="12"/>
  <c r="D1665" i="12"/>
  <c r="D1666" i="12"/>
  <c r="D1667" i="12"/>
  <c r="D1668" i="12"/>
  <c r="D1669" i="12"/>
  <c r="D1670" i="12"/>
  <c r="D1671" i="12"/>
  <c r="D1672" i="12"/>
  <c r="D1673" i="12"/>
  <c r="D1674" i="12"/>
  <c r="D1675" i="12"/>
  <c r="D1676" i="12"/>
  <c r="D1677" i="12"/>
  <c r="D1678" i="12"/>
  <c r="D1679" i="12"/>
  <c r="D1680" i="12"/>
  <c r="D1681" i="12"/>
  <c r="D1682" i="12"/>
  <c r="D1683" i="12"/>
  <c r="D1684" i="12"/>
  <c r="D1685" i="12"/>
  <c r="D1686" i="12"/>
  <c r="D1687" i="12"/>
  <c r="D1688" i="12"/>
  <c r="D1689" i="12"/>
  <c r="D1690" i="12"/>
  <c r="D1691" i="12"/>
  <c r="D1692" i="12"/>
  <c r="D1693" i="12"/>
  <c r="D1694" i="12"/>
  <c r="D1695" i="12"/>
  <c r="D1696" i="12"/>
  <c r="D1697" i="12"/>
  <c r="D1698" i="12"/>
  <c r="D1699" i="12"/>
  <c r="D1700" i="12"/>
  <c r="D1701" i="12"/>
  <c r="D1702" i="12"/>
  <c r="D1703" i="12"/>
  <c r="D1704" i="12"/>
  <c r="D1705" i="12"/>
  <c r="D1706" i="12"/>
  <c r="D1707" i="12"/>
  <c r="D1708" i="12"/>
  <c r="D1709" i="12"/>
  <c r="D1710" i="12"/>
  <c r="D1711" i="12"/>
  <c r="D1712" i="12"/>
  <c r="D1713" i="12"/>
  <c r="D1714" i="12"/>
  <c r="D1715" i="12"/>
  <c r="D1716" i="12"/>
  <c r="D1717" i="12"/>
  <c r="D1718" i="12"/>
  <c r="D1719" i="12"/>
  <c r="D1720" i="12"/>
  <c r="D1721" i="12"/>
  <c r="D1722" i="12"/>
  <c r="D1723" i="12"/>
  <c r="D1724" i="12"/>
  <c r="D1725" i="12"/>
  <c r="D1726" i="12"/>
  <c r="D1727" i="12"/>
  <c r="D1728" i="12"/>
  <c r="D1729" i="12"/>
  <c r="D1730" i="12"/>
  <c r="D1731" i="12"/>
  <c r="D1732" i="12"/>
  <c r="D1733" i="12"/>
  <c r="D1734" i="12"/>
  <c r="D1735" i="12"/>
  <c r="D1736" i="12"/>
  <c r="D1737" i="12"/>
  <c r="D1738" i="12"/>
  <c r="D1739" i="12"/>
  <c r="D1740" i="12"/>
  <c r="D1741" i="12"/>
  <c r="D1742" i="12"/>
  <c r="D1743" i="12"/>
  <c r="D1744" i="12"/>
  <c r="D1745" i="12"/>
  <c r="D1746" i="12"/>
  <c r="D1747" i="12"/>
  <c r="D1748" i="12"/>
  <c r="D1749" i="12"/>
  <c r="D1750" i="12"/>
  <c r="D1751" i="12"/>
  <c r="D1752" i="12"/>
  <c r="D1753" i="12"/>
  <c r="D1754" i="12"/>
  <c r="D1755" i="12"/>
  <c r="D1756" i="12"/>
  <c r="D1757" i="12"/>
  <c r="D1758" i="12"/>
  <c r="D1759" i="12"/>
  <c r="D1760" i="12"/>
  <c r="D1761" i="12"/>
  <c r="D1762" i="12"/>
  <c r="D1763" i="12"/>
  <c r="D1764" i="12"/>
  <c r="D1765" i="12"/>
  <c r="D1766" i="12"/>
  <c r="D1767" i="12"/>
  <c r="D1768" i="12"/>
  <c r="D1769" i="12"/>
  <c r="D1770" i="12"/>
  <c r="D1771" i="12"/>
  <c r="D1772" i="12"/>
  <c r="D1773" i="12"/>
  <c r="D1774" i="12"/>
  <c r="D1775" i="12"/>
  <c r="D1776" i="12"/>
  <c r="D1777" i="12"/>
  <c r="D1778" i="12"/>
  <c r="D1779" i="12"/>
  <c r="D1780" i="12"/>
  <c r="D1781" i="12"/>
  <c r="D1782" i="12"/>
  <c r="D1783" i="12"/>
  <c r="D1784" i="12"/>
  <c r="D1785" i="12"/>
  <c r="D1786" i="12"/>
  <c r="D1787" i="12"/>
  <c r="D1788" i="12"/>
  <c r="D1789" i="12"/>
  <c r="D1790" i="12"/>
  <c r="D1791" i="12"/>
  <c r="D1792" i="12"/>
  <c r="D1793" i="12"/>
  <c r="D1794" i="12"/>
  <c r="D1795" i="12"/>
  <c r="D1796" i="12"/>
  <c r="D1797" i="12"/>
  <c r="D1798" i="12"/>
  <c r="D1799" i="12"/>
  <c r="D1800" i="12"/>
  <c r="D1801" i="12"/>
  <c r="D1802" i="12"/>
  <c r="D1803" i="12"/>
  <c r="D1804" i="12"/>
  <c r="D1805" i="12"/>
  <c r="D1806" i="12"/>
  <c r="D1807" i="12"/>
  <c r="D1808" i="12"/>
  <c r="D1809" i="12"/>
  <c r="D1810" i="12"/>
  <c r="D1811" i="12"/>
  <c r="D1812" i="12"/>
  <c r="D1813" i="12"/>
  <c r="D1814" i="12"/>
  <c r="D1815" i="12"/>
  <c r="D1816" i="12"/>
  <c r="D1817" i="12"/>
  <c r="D1818" i="12"/>
  <c r="D1819" i="12"/>
  <c r="D1820" i="12"/>
  <c r="D1821" i="12"/>
  <c r="D1822" i="12"/>
  <c r="D1823" i="12"/>
  <c r="D1824" i="12"/>
  <c r="D1825" i="12"/>
  <c r="D1826" i="12"/>
  <c r="D1827" i="12"/>
  <c r="D1828" i="12"/>
  <c r="D1829" i="12"/>
  <c r="D1830" i="12"/>
  <c r="D1831" i="12"/>
  <c r="D1832" i="12"/>
  <c r="D1833" i="12"/>
  <c r="D1834" i="12"/>
  <c r="D1835" i="12"/>
  <c r="D1836" i="12"/>
  <c r="D1837" i="12"/>
  <c r="D1838" i="12"/>
  <c r="D1839" i="12"/>
  <c r="D1840" i="12"/>
  <c r="D1841" i="12"/>
  <c r="D1842" i="12"/>
  <c r="D1843" i="12"/>
  <c r="D1844" i="12"/>
  <c r="D1845" i="12"/>
  <c r="D1846" i="12"/>
  <c r="D1847" i="12"/>
  <c r="D1848" i="12"/>
  <c r="D1849" i="12"/>
  <c r="D1850" i="12"/>
  <c r="D1851" i="12"/>
  <c r="D1852" i="12"/>
  <c r="D1853" i="12"/>
  <c r="D1854" i="12"/>
  <c r="D1855" i="12"/>
  <c r="D1856" i="12"/>
  <c r="D1857" i="12"/>
  <c r="D1858" i="12"/>
  <c r="D1859" i="12"/>
  <c r="D1860" i="12"/>
  <c r="D1861" i="12"/>
  <c r="D1862" i="12"/>
  <c r="D1863" i="12"/>
  <c r="D1864" i="12"/>
  <c r="D1865" i="12"/>
  <c r="D1866" i="12"/>
  <c r="D1867" i="12"/>
  <c r="D1868" i="12"/>
  <c r="D1869" i="12"/>
  <c r="D1870" i="12"/>
  <c r="D1871" i="12"/>
  <c r="D1872" i="12"/>
  <c r="D1873" i="12"/>
  <c r="D1874" i="12"/>
  <c r="D1875" i="12"/>
  <c r="D1876" i="12"/>
  <c r="D1877" i="12"/>
  <c r="D1878" i="12"/>
  <c r="D1879" i="12"/>
  <c r="D1880" i="12"/>
  <c r="D1881" i="12"/>
  <c r="D1882" i="12"/>
  <c r="D1883" i="12"/>
  <c r="D1884" i="12"/>
  <c r="D1885" i="12"/>
  <c r="D1886" i="12"/>
  <c r="D1887" i="12"/>
  <c r="D1888" i="12"/>
  <c r="D1889" i="12"/>
  <c r="D1890" i="12"/>
  <c r="D1891" i="12"/>
  <c r="D1892" i="12"/>
  <c r="D1893" i="12"/>
  <c r="D1894" i="12"/>
  <c r="D1895" i="12"/>
  <c r="D1896" i="12"/>
  <c r="D1897" i="12"/>
  <c r="D1898" i="12"/>
  <c r="D1899" i="12"/>
  <c r="D1900" i="12"/>
  <c r="D1901" i="12"/>
  <c r="D1902" i="12"/>
  <c r="D1903" i="12"/>
  <c r="D1904" i="12"/>
  <c r="D1905" i="12"/>
  <c r="D1906" i="12"/>
  <c r="D1907" i="12"/>
  <c r="D1908" i="12"/>
  <c r="D1909" i="12"/>
  <c r="D1910" i="12"/>
  <c r="D1911" i="12"/>
  <c r="D1912" i="12"/>
  <c r="D1913" i="12"/>
  <c r="D1914" i="12"/>
  <c r="D1915" i="12"/>
  <c r="D1916" i="12"/>
  <c r="D1917" i="12"/>
  <c r="D1918" i="12"/>
  <c r="D1919" i="12"/>
  <c r="D1920" i="12"/>
  <c r="D1921" i="12"/>
  <c r="D1922" i="12"/>
  <c r="D1923" i="12"/>
  <c r="D1924" i="12"/>
  <c r="D1925" i="12"/>
  <c r="D1926" i="12"/>
  <c r="D1927" i="12"/>
  <c r="D1928" i="12"/>
  <c r="D1929" i="12"/>
  <c r="D1930" i="12"/>
  <c r="D1931" i="12"/>
  <c r="D1932" i="12"/>
  <c r="D1933" i="12"/>
  <c r="D1934" i="12"/>
  <c r="D1935" i="12"/>
  <c r="D1936" i="12"/>
  <c r="D1937" i="12"/>
  <c r="D1938" i="12"/>
  <c r="D1939" i="12"/>
  <c r="D1940" i="12"/>
  <c r="D1941" i="12"/>
  <c r="D1942" i="12"/>
  <c r="D1943" i="12"/>
  <c r="D1944" i="12"/>
  <c r="D1945" i="12"/>
  <c r="D1946" i="12"/>
  <c r="D1947" i="12"/>
  <c r="D1948" i="12"/>
  <c r="D1949" i="12"/>
  <c r="D1950" i="12"/>
  <c r="D1951" i="12"/>
  <c r="D1952" i="12"/>
  <c r="D1953" i="12"/>
  <c r="D1954" i="12"/>
  <c r="D1955" i="12"/>
  <c r="D1956" i="12"/>
  <c r="D1957" i="12"/>
  <c r="D1958" i="12"/>
  <c r="D1959" i="12"/>
  <c r="D1960" i="12"/>
  <c r="D1961" i="12"/>
  <c r="D1962" i="12"/>
  <c r="D1963" i="12"/>
  <c r="D1964" i="12"/>
  <c r="D1965" i="12"/>
  <c r="D1966" i="12"/>
  <c r="D1967" i="12"/>
  <c r="D1968" i="12"/>
  <c r="D1969" i="12"/>
  <c r="D1970" i="12"/>
  <c r="D1971" i="12"/>
  <c r="D1972" i="12"/>
  <c r="D1973" i="12"/>
  <c r="D1974" i="12"/>
  <c r="D1975" i="12"/>
  <c r="D1976" i="12"/>
  <c r="D1977" i="12"/>
  <c r="D1978" i="12"/>
  <c r="D1979" i="12"/>
  <c r="D1980" i="12"/>
  <c r="D1981" i="12"/>
  <c r="D1982" i="12"/>
  <c r="D1983" i="12"/>
  <c r="D1984" i="12"/>
  <c r="D1985" i="12"/>
  <c r="D1986" i="12"/>
  <c r="D1987" i="12"/>
  <c r="D1988" i="12"/>
  <c r="D1989" i="12"/>
  <c r="D1990" i="12"/>
  <c r="D1991" i="12"/>
  <c r="D1992" i="12"/>
  <c r="D1993" i="12"/>
  <c r="D1994" i="12"/>
  <c r="D1995" i="12"/>
  <c r="D1996" i="12"/>
  <c r="D1997" i="12"/>
  <c r="D1998" i="12"/>
  <c r="D1999" i="12"/>
  <c r="D2000" i="12"/>
  <c r="D2001" i="12"/>
  <c r="D2002" i="12"/>
  <c r="D2003" i="12"/>
  <c r="D2004" i="12"/>
  <c r="D2005" i="12"/>
  <c r="D2006" i="12"/>
  <c r="D2007" i="12"/>
  <c r="D2008" i="12"/>
  <c r="D2009" i="12"/>
  <c r="D2010" i="12"/>
  <c r="D2011" i="12"/>
  <c r="D2012" i="12"/>
  <c r="D2013" i="12"/>
  <c r="D2014" i="12"/>
  <c r="D2015" i="12"/>
  <c r="D2016" i="12"/>
  <c r="D2017" i="12"/>
  <c r="D2018" i="12"/>
  <c r="D2019" i="12"/>
  <c r="D2020" i="12"/>
  <c r="D2021" i="12"/>
  <c r="D2022" i="12"/>
  <c r="D2023" i="12"/>
  <c r="D2024" i="12"/>
  <c r="D2025" i="12"/>
  <c r="D2026" i="12"/>
  <c r="D2027" i="12"/>
  <c r="D2028" i="12"/>
  <c r="D2029" i="12"/>
  <c r="D2030" i="12"/>
  <c r="D2031" i="12"/>
  <c r="D2032" i="12"/>
  <c r="D2033" i="12"/>
  <c r="D2034" i="12"/>
  <c r="D2035" i="12"/>
  <c r="D2036" i="12"/>
  <c r="D2037" i="12"/>
  <c r="D2038" i="12"/>
  <c r="D2039" i="12"/>
  <c r="D2040" i="12"/>
  <c r="D2041" i="12"/>
  <c r="D2042" i="12"/>
  <c r="D2043" i="12"/>
  <c r="D2044" i="12"/>
  <c r="D2045" i="12"/>
  <c r="D2046" i="12"/>
  <c r="D2047" i="12"/>
  <c r="D2048" i="12"/>
  <c r="D2049" i="12"/>
  <c r="D2050" i="12"/>
  <c r="D2051" i="12"/>
  <c r="D2052" i="12"/>
  <c r="D2053" i="12"/>
  <c r="D2054" i="12"/>
  <c r="D2055" i="12"/>
  <c r="D2056" i="12"/>
  <c r="D2057" i="12"/>
  <c r="D2058" i="12"/>
  <c r="D2059" i="12"/>
  <c r="D2060" i="12"/>
  <c r="D2061" i="12"/>
  <c r="D2062" i="12"/>
  <c r="D2063" i="12"/>
  <c r="D2064" i="12"/>
  <c r="D2065" i="12"/>
  <c r="D2066" i="12"/>
  <c r="D2067" i="12"/>
  <c r="D2068" i="12"/>
  <c r="D2069" i="12"/>
  <c r="D2070" i="12"/>
  <c r="D2071" i="12"/>
  <c r="D2072" i="12"/>
  <c r="D2073" i="12"/>
  <c r="D2074" i="12"/>
  <c r="D2075" i="12"/>
  <c r="D2076" i="12"/>
  <c r="D2077" i="12"/>
  <c r="D2078" i="12"/>
  <c r="D2079" i="12"/>
  <c r="D2080" i="12"/>
  <c r="D2081" i="12"/>
  <c r="D2082" i="12"/>
  <c r="D2083" i="12"/>
  <c r="D2084" i="12"/>
  <c r="D2085" i="12"/>
  <c r="D2086" i="12"/>
  <c r="D2087" i="12"/>
  <c r="D2088" i="12"/>
  <c r="D2089" i="12"/>
  <c r="D2090" i="12"/>
  <c r="D2091" i="12"/>
  <c r="D2092" i="12"/>
  <c r="D2093" i="12"/>
  <c r="D2094" i="12"/>
  <c r="D2095" i="12"/>
  <c r="D2096" i="12"/>
  <c r="D2097" i="12"/>
  <c r="D2098" i="12"/>
  <c r="D2099" i="12"/>
  <c r="D2100" i="12"/>
  <c r="D2101" i="12"/>
  <c r="D2102" i="12"/>
  <c r="D2103" i="12"/>
  <c r="D2104" i="12"/>
  <c r="D2105" i="12"/>
  <c r="D2106" i="12"/>
  <c r="D2107" i="12"/>
  <c r="D2108" i="12"/>
  <c r="D2109" i="12"/>
  <c r="D2110" i="12"/>
  <c r="D2111" i="12"/>
  <c r="D2112" i="12"/>
  <c r="D2113" i="12"/>
  <c r="D2114" i="12"/>
  <c r="D2115" i="12"/>
  <c r="D2116" i="12"/>
  <c r="D2117" i="12"/>
  <c r="D2118" i="12"/>
  <c r="D2119" i="12"/>
  <c r="D2120" i="12"/>
  <c r="D2121" i="12"/>
  <c r="D2122" i="12"/>
  <c r="D2123" i="12"/>
  <c r="D2124" i="12"/>
  <c r="D2125" i="12"/>
  <c r="D2126" i="12"/>
  <c r="D2127" i="12"/>
  <c r="D2128" i="12"/>
  <c r="D2129" i="12"/>
  <c r="D2130" i="12"/>
  <c r="D2131" i="12"/>
  <c r="D2132" i="12"/>
  <c r="D2133" i="12"/>
  <c r="D2134" i="12"/>
  <c r="D2135" i="12"/>
  <c r="D2136" i="12"/>
  <c r="D2137" i="12"/>
  <c r="D2138" i="12"/>
  <c r="D2139" i="12"/>
  <c r="D2140" i="12"/>
  <c r="D2141" i="12"/>
  <c r="D2142" i="12"/>
  <c r="D2143" i="12"/>
  <c r="D2144" i="12"/>
  <c r="D2145" i="12"/>
  <c r="D2146" i="12"/>
  <c r="D2147" i="12"/>
  <c r="D2148" i="12"/>
  <c r="D2149" i="12"/>
  <c r="D2150" i="12"/>
  <c r="D2151" i="12"/>
  <c r="D2152" i="12"/>
  <c r="D2153" i="12"/>
  <c r="D2154" i="12"/>
  <c r="D2155" i="12"/>
  <c r="D2156" i="12"/>
  <c r="D2157" i="12"/>
  <c r="D2158" i="12"/>
  <c r="D2159" i="12"/>
  <c r="D2160" i="12"/>
  <c r="D2161" i="12"/>
  <c r="D2162" i="12"/>
  <c r="D2163" i="12"/>
  <c r="D2164" i="12"/>
  <c r="D2165" i="12"/>
  <c r="D2166" i="12"/>
  <c r="D2167" i="12"/>
  <c r="D2168" i="12"/>
  <c r="D2169" i="12"/>
  <c r="D2170" i="12"/>
  <c r="D2171" i="12"/>
  <c r="D2172" i="12"/>
  <c r="D2173" i="12"/>
  <c r="D2174" i="12"/>
  <c r="D2175" i="12"/>
  <c r="D2176" i="12"/>
  <c r="D2177" i="12"/>
  <c r="D2178" i="12"/>
  <c r="D2179" i="12"/>
  <c r="D2180" i="12"/>
  <c r="D2181" i="12"/>
  <c r="D2182" i="12"/>
  <c r="D2183" i="12"/>
  <c r="D2184" i="12"/>
  <c r="D2185" i="12"/>
  <c r="D2186" i="12"/>
  <c r="D2187" i="12"/>
  <c r="D2188" i="12"/>
  <c r="D2189" i="12"/>
  <c r="D2190" i="12"/>
  <c r="D2191" i="12"/>
  <c r="D2192" i="12"/>
  <c r="D2193" i="12"/>
  <c r="D2194" i="12"/>
  <c r="D2195" i="12"/>
  <c r="D2196" i="12"/>
  <c r="D2197" i="12"/>
  <c r="D2198" i="12"/>
  <c r="D2199" i="12"/>
  <c r="D2200" i="12"/>
  <c r="D2201" i="12"/>
  <c r="D2202" i="12"/>
  <c r="D2203" i="12"/>
  <c r="D2204" i="12"/>
  <c r="D2205" i="12"/>
  <c r="D2206" i="12"/>
  <c r="D2207" i="12"/>
  <c r="D2208" i="12"/>
  <c r="D2209" i="12"/>
  <c r="D2210" i="12"/>
  <c r="D2211" i="12"/>
  <c r="D2212" i="12"/>
  <c r="D2213" i="12"/>
  <c r="D2214" i="12"/>
  <c r="D2215" i="12"/>
  <c r="D2216" i="12"/>
  <c r="D2217" i="12"/>
  <c r="D2218" i="12"/>
  <c r="D2219" i="12"/>
  <c r="D2220" i="12"/>
  <c r="D2221" i="12"/>
  <c r="D2222" i="12"/>
  <c r="D2223" i="12"/>
  <c r="D2224" i="12"/>
  <c r="D2225" i="12"/>
  <c r="D2226" i="12"/>
  <c r="D2227" i="12"/>
  <c r="D2228" i="12"/>
  <c r="D2229" i="12"/>
  <c r="D2230" i="12"/>
  <c r="D2231" i="12"/>
  <c r="D2232" i="12"/>
  <c r="D2233" i="12"/>
  <c r="D2234" i="12"/>
  <c r="D2235" i="12"/>
  <c r="D2236" i="12"/>
  <c r="D2237" i="12"/>
  <c r="D2238" i="12"/>
  <c r="D2239" i="12"/>
  <c r="D2240" i="12"/>
  <c r="D2241" i="12"/>
  <c r="D2242" i="12"/>
  <c r="D2243" i="12"/>
  <c r="D2244" i="12"/>
  <c r="D2245" i="12"/>
  <c r="D2246" i="12"/>
  <c r="D2247" i="12"/>
  <c r="D2248" i="12"/>
  <c r="D2249" i="12"/>
  <c r="D2250" i="12"/>
  <c r="D2251" i="12"/>
  <c r="D2252" i="12"/>
  <c r="D2253" i="12"/>
  <c r="D2254" i="12"/>
  <c r="D2255" i="12"/>
  <c r="D2256" i="12"/>
  <c r="D2257" i="12"/>
  <c r="D2258" i="12"/>
  <c r="D2259" i="12"/>
  <c r="D2260" i="12"/>
  <c r="D2261" i="12"/>
  <c r="D2262" i="12"/>
  <c r="D2263" i="12"/>
  <c r="D2264" i="12"/>
  <c r="D2265" i="12"/>
  <c r="D2266" i="12"/>
  <c r="D2267" i="12"/>
  <c r="D2268" i="12"/>
  <c r="D2269" i="12"/>
  <c r="D2270" i="12"/>
  <c r="D2271" i="12"/>
  <c r="D2272" i="12"/>
  <c r="D2273" i="12"/>
  <c r="D2274" i="12"/>
  <c r="D2275" i="12"/>
  <c r="D2276" i="12"/>
  <c r="D2277" i="12"/>
  <c r="D2278" i="12"/>
  <c r="D2279" i="12"/>
  <c r="D2280" i="12"/>
  <c r="D2281" i="12"/>
  <c r="D2282" i="12"/>
  <c r="D2283" i="12"/>
  <c r="D2284" i="12"/>
  <c r="D2285" i="12"/>
  <c r="D2286" i="12"/>
  <c r="D2287" i="12"/>
  <c r="D2288" i="12"/>
  <c r="D2289" i="12"/>
  <c r="D2290" i="12"/>
  <c r="D2291" i="12"/>
  <c r="D2292" i="12"/>
  <c r="D2293" i="12"/>
  <c r="D2294" i="12"/>
  <c r="D2295" i="12"/>
  <c r="D2296" i="12"/>
  <c r="D2297" i="12"/>
  <c r="D2298" i="12"/>
  <c r="D2299" i="12"/>
  <c r="D2300" i="12"/>
  <c r="D2301" i="12"/>
  <c r="D2302" i="12"/>
  <c r="D2303" i="12"/>
  <c r="D2304" i="12"/>
  <c r="D2305" i="12"/>
  <c r="D2306" i="12"/>
  <c r="D2307" i="12"/>
  <c r="D2308" i="12"/>
  <c r="D2309" i="12"/>
  <c r="D2310" i="12"/>
  <c r="D2311" i="12"/>
  <c r="D2312" i="12"/>
  <c r="D2313" i="12"/>
  <c r="D2314" i="12"/>
  <c r="D2315" i="12"/>
  <c r="D2316" i="12"/>
  <c r="D2317" i="12"/>
  <c r="D2318" i="12"/>
  <c r="D2319" i="12"/>
  <c r="D2320" i="12"/>
  <c r="D2321" i="12"/>
  <c r="D2322" i="12"/>
  <c r="D2323" i="12"/>
  <c r="D2324" i="12"/>
  <c r="D2325" i="12"/>
  <c r="D2326" i="12"/>
  <c r="D2327" i="12"/>
  <c r="D2328" i="12"/>
  <c r="D2329" i="12"/>
  <c r="D2330" i="12"/>
  <c r="D2331" i="12"/>
  <c r="D2332" i="12"/>
  <c r="D2333" i="12"/>
  <c r="D2334" i="12"/>
  <c r="D2335" i="12"/>
  <c r="D2336" i="12"/>
  <c r="D2337" i="12"/>
  <c r="D2338" i="12"/>
  <c r="D2339" i="12"/>
  <c r="D2340" i="12"/>
  <c r="D2341" i="12"/>
  <c r="D2342" i="12"/>
  <c r="D2343" i="12"/>
  <c r="D2344" i="12"/>
  <c r="D2345" i="12"/>
  <c r="D2346" i="12"/>
  <c r="D2347" i="12"/>
  <c r="D2348" i="12"/>
  <c r="D2349" i="12"/>
  <c r="D2350" i="12"/>
  <c r="D2351" i="12"/>
  <c r="D2352" i="12"/>
  <c r="D2353" i="12"/>
  <c r="D2354" i="12"/>
  <c r="D2355" i="12"/>
  <c r="D2356" i="12"/>
  <c r="D2357" i="12"/>
  <c r="D2358" i="12"/>
  <c r="D2359" i="12"/>
  <c r="D2360" i="12"/>
  <c r="D2361" i="12"/>
  <c r="D2362" i="12"/>
  <c r="D2363" i="12"/>
  <c r="D2364" i="12"/>
  <c r="D2365" i="12"/>
  <c r="D2366" i="12"/>
  <c r="D2367" i="12"/>
  <c r="D2368" i="12"/>
  <c r="D2369" i="12"/>
  <c r="D2370" i="12"/>
  <c r="D2371" i="12"/>
  <c r="D2372" i="12"/>
  <c r="D2373" i="12"/>
  <c r="D2374" i="12"/>
  <c r="D2375" i="12"/>
  <c r="D2376" i="12"/>
  <c r="D2377" i="12"/>
  <c r="D2378" i="12"/>
  <c r="D2379" i="12"/>
  <c r="D2380" i="12"/>
  <c r="D2381" i="12"/>
  <c r="D2382" i="12"/>
  <c r="D2383" i="12"/>
  <c r="D2384" i="12"/>
  <c r="D2385" i="12"/>
  <c r="D2386" i="12"/>
  <c r="D2387" i="12"/>
  <c r="D2388" i="12"/>
  <c r="D2389" i="12"/>
  <c r="D2390" i="12"/>
  <c r="D2391" i="12"/>
  <c r="D2392" i="12"/>
  <c r="D2393" i="12"/>
  <c r="D2394" i="12"/>
  <c r="D2395" i="12"/>
  <c r="D2396" i="12"/>
  <c r="D2397" i="12"/>
  <c r="D2398" i="12"/>
  <c r="D2399" i="12"/>
  <c r="D2400" i="12"/>
  <c r="D2401" i="12"/>
  <c r="D2402" i="12"/>
  <c r="D2403" i="12"/>
  <c r="D2404" i="12"/>
  <c r="D2405" i="12"/>
  <c r="D2406" i="12"/>
  <c r="D2407" i="12"/>
  <c r="D2408" i="12"/>
  <c r="D2409" i="12"/>
  <c r="D2410" i="12"/>
  <c r="D2411" i="12"/>
  <c r="D2412" i="12"/>
  <c r="D2413" i="12"/>
  <c r="D2414" i="12"/>
  <c r="D2415" i="12"/>
  <c r="D2416" i="12"/>
  <c r="D2417" i="12"/>
  <c r="D2418" i="12"/>
  <c r="D2419" i="12"/>
  <c r="D2420" i="12"/>
  <c r="D2421" i="12"/>
  <c r="D2422" i="12"/>
  <c r="D2423" i="12"/>
  <c r="D2424" i="12"/>
  <c r="D2425" i="12"/>
  <c r="D2426" i="12"/>
  <c r="D2427" i="12"/>
  <c r="D2428" i="12"/>
  <c r="D2429" i="12"/>
  <c r="D2430" i="12"/>
  <c r="D2431" i="12"/>
  <c r="D2432" i="12"/>
  <c r="D2433" i="12"/>
  <c r="D2434" i="12"/>
  <c r="D2435" i="12"/>
  <c r="D2436" i="12"/>
  <c r="D2437" i="12"/>
  <c r="D2438" i="12"/>
  <c r="D2439" i="12"/>
  <c r="D2440" i="12"/>
  <c r="D2441" i="12"/>
  <c r="D2442" i="12"/>
  <c r="D2443" i="12"/>
  <c r="D2444" i="12"/>
  <c r="D2445" i="12"/>
  <c r="D2446" i="12"/>
  <c r="D2447" i="12"/>
  <c r="D2448" i="12"/>
  <c r="D2449" i="12"/>
  <c r="D2450" i="12"/>
  <c r="D2451" i="12"/>
  <c r="D2452" i="12"/>
  <c r="D2453" i="12"/>
  <c r="D2454" i="12"/>
  <c r="D2455" i="12"/>
  <c r="D2456" i="12"/>
  <c r="D2457" i="12"/>
  <c r="D2458" i="12"/>
  <c r="D2459" i="12"/>
  <c r="D2460" i="12"/>
  <c r="D2461" i="12"/>
  <c r="D2462" i="12"/>
  <c r="D2463" i="12"/>
  <c r="D2464" i="12"/>
  <c r="D2465" i="12"/>
  <c r="D2466" i="12"/>
  <c r="D2467" i="12"/>
  <c r="D2468" i="12"/>
  <c r="D2469" i="12"/>
  <c r="D2470" i="12"/>
  <c r="D2471" i="12"/>
  <c r="D2472" i="12"/>
  <c r="D2473" i="12"/>
  <c r="D2474" i="12"/>
  <c r="D2475" i="12"/>
  <c r="D2476" i="12"/>
  <c r="D2477" i="12"/>
  <c r="D2478" i="12"/>
  <c r="D2479" i="12"/>
  <c r="D2480" i="12"/>
  <c r="D2481" i="12"/>
  <c r="D2482" i="12"/>
  <c r="D2483" i="12"/>
  <c r="D2484" i="12"/>
  <c r="D2485" i="12"/>
  <c r="D2486" i="12"/>
  <c r="D2487" i="12"/>
  <c r="D2488" i="12"/>
  <c r="D2489" i="12"/>
  <c r="D2490" i="12"/>
  <c r="D2491" i="12"/>
  <c r="D2492" i="12"/>
  <c r="D2493" i="12"/>
  <c r="D2494" i="12"/>
  <c r="D2495" i="12"/>
  <c r="D2496" i="12"/>
  <c r="D2497" i="12"/>
  <c r="D2498" i="12"/>
  <c r="D2499" i="12"/>
  <c r="D2500" i="12"/>
  <c r="D2501" i="12"/>
  <c r="D2502" i="12"/>
  <c r="D2503" i="12"/>
  <c r="D2504" i="12"/>
  <c r="D2505" i="12"/>
  <c r="D2506" i="12"/>
  <c r="D2507" i="12"/>
  <c r="D2508" i="12"/>
  <c r="D2509" i="12"/>
  <c r="D2510" i="12"/>
  <c r="D2511" i="12"/>
  <c r="D2512" i="12"/>
  <c r="D2513" i="12"/>
  <c r="D2514" i="12"/>
  <c r="D2515" i="12"/>
  <c r="D2516" i="12"/>
  <c r="D2517" i="12"/>
  <c r="D2518" i="12"/>
  <c r="D2519" i="12"/>
  <c r="D2520" i="12"/>
  <c r="D2521" i="12"/>
  <c r="D2522" i="12"/>
  <c r="D2523" i="12"/>
  <c r="D2524" i="12"/>
  <c r="D2525" i="12"/>
  <c r="D2526" i="12"/>
  <c r="D2527" i="12"/>
  <c r="D2528" i="12"/>
  <c r="D2529" i="12"/>
  <c r="D2530" i="12"/>
  <c r="D2531" i="12"/>
  <c r="D2532" i="12"/>
  <c r="D2533" i="12"/>
  <c r="D2534" i="12"/>
  <c r="D2535" i="12"/>
  <c r="D2536" i="12"/>
  <c r="D2537" i="12"/>
  <c r="D2538" i="12"/>
  <c r="D2539" i="12"/>
  <c r="D2540" i="12"/>
  <c r="D2541" i="12"/>
  <c r="D2542" i="12"/>
  <c r="D2543" i="12"/>
  <c r="D2544" i="12"/>
  <c r="D2545" i="12"/>
  <c r="D2546" i="12"/>
  <c r="D2547" i="12"/>
  <c r="D2548" i="12"/>
  <c r="D2549" i="12"/>
  <c r="D2550" i="12"/>
  <c r="D2551" i="12"/>
  <c r="D2552" i="12"/>
  <c r="D2553" i="12"/>
  <c r="D2554" i="12"/>
  <c r="D2555" i="12"/>
  <c r="D2556" i="12"/>
  <c r="D2557" i="12"/>
  <c r="D2558" i="12"/>
  <c r="D2559" i="12"/>
  <c r="D2560" i="12"/>
  <c r="D2561" i="12"/>
  <c r="D2562" i="12"/>
  <c r="D2563" i="12"/>
  <c r="D2564" i="12"/>
  <c r="D2565" i="12"/>
  <c r="D2566" i="12"/>
  <c r="D2567" i="12"/>
  <c r="D2568" i="12"/>
  <c r="D2569" i="12"/>
  <c r="D2570" i="12"/>
  <c r="D2571" i="12"/>
  <c r="D2572" i="12"/>
  <c r="D2573" i="12"/>
  <c r="D2574" i="12"/>
  <c r="D2575" i="12"/>
  <c r="D2576" i="12"/>
  <c r="D2577" i="12"/>
  <c r="D2578" i="12"/>
  <c r="D2579" i="12"/>
  <c r="D2580" i="12"/>
  <c r="D2581" i="12"/>
  <c r="D2582" i="12"/>
  <c r="D2583" i="12"/>
  <c r="D2584" i="12"/>
  <c r="D2585" i="12"/>
  <c r="D2586" i="12"/>
  <c r="D2587" i="12"/>
  <c r="D2588" i="12"/>
  <c r="D2589" i="12"/>
  <c r="D2590" i="12"/>
  <c r="D2591" i="12"/>
  <c r="D2592" i="12"/>
  <c r="D2593" i="12"/>
  <c r="D2594" i="12"/>
  <c r="D2595" i="12"/>
  <c r="D2596" i="12"/>
  <c r="D2597" i="12"/>
  <c r="D2598" i="12"/>
  <c r="D2599" i="12"/>
  <c r="D2600" i="12"/>
  <c r="D2601" i="12"/>
  <c r="D2602" i="12"/>
  <c r="D2603" i="12"/>
  <c r="D2604" i="12"/>
  <c r="D2605" i="12"/>
  <c r="D2606" i="12"/>
  <c r="D2607" i="12"/>
  <c r="D2608" i="12"/>
  <c r="D2609" i="12"/>
  <c r="D2610" i="12"/>
  <c r="D2611" i="12"/>
  <c r="D2612" i="12"/>
  <c r="D2613" i="12"/>
  <c r="D2614" i="12"/>
  <c r="D2615" i="12"/>
  <c r="D2616" i="12"/>
  <c r="D2617" i="12"/>
  <c r="D2618" i="12"/>
  <c r="D2619" i="12"/>
  <c r="D2620" i="12"/>
  <c r="D2621" i="12"/>
  <c r="D2622" i="12"/>
  <c r="D2623" i="12"/>
  <c r="D2624" i="12"/>
  <c r="D2625" i="12"/>
  <c r="D2626" i="12"/>
  <c r="D2627" i="12"/>
  <c r="D2628" i="12"/>
  <c r="D2629" i="12"/>
  <c r="D2630" i="12"/>
  <c r="D2631" i="12"/>
  <c r="D2632" i="12"/>
  <c r="D2633" i="12"/>
  <c r="D2634" i="12"/>
  <c r="D2635" i="12"/>
  <c r="D2636" i="12"/>
  <c r="D2637" i="12"/>
  <c r="D2638" i="12"/>
  <c r="D2639" i="12"/>
  <c r="D2640" i="12"/>
  <c r="D2641" i="12"/>
  <c r="D2642" i="12"/>
  <c r="D2643" i="12"/>
  <c r="D2644" i="12"/>
  <c r="D2645" i="12"/>
  <c r="D2646" i="12"/>
  <c r="D2647" i="12"/>
  <c r="D2648" i="12"/>
  <c r="D2649" i="12"/>
  <c r="D2650" i="12"/>
  <c r="D2651" i="12"/>
  <c r="D2652" i="12"/>
  <c r="D2653" i="12"/>
  <c r="D2654" i="12"/>
  <c r="D2655" i="12"/>
  <c r="D2656" i="12"/>
  <c r="D2657" i="12"/>
  <c r="D2658" i="12"/>
  <c r="D2659" i="12"/>
  <c r="D2660" i="12"/>
  <c r="D2661" i="12"/>
  <c r="D2662" i="12"/>
  <c r="D2663" i="12"/>
  <c r="D2664" i="12"/>
  <c r="D2665" i="12"/>
  <c r="D2666" i="12"/>
  <c r="D2667" i="12"/>
  <c r="D2668" i="12"/>
  <c r="D2669" i="12"/>
  <c r="D2670" i="12"/>
  <c r="D2671" i="12"/>
  <c r="D2672" i="12"/>
  <c r="D2673" i="12"/>
  <c r="D2674" i="12"/>
  <c r="D2675" i="12"/>
  <c r="D2676" i="12"/>
  <c r="D2677" i="12"/>
  <c r="D2678" i="12"/>
  <c r="D2679" i="12"/>
  <c r="D2680" i="12"/>
  <c r="D2681" i="12"/>
  <c r="D2682" i="12"/>
  <c r="D2683" i="12"/>
  <c r="D2684" i="12"/>
  <c r="D2685" i="12"/>
  <c r="D2686" i="12"/>
  <c r="D2687" i="12"/>
  <c r="D2688" i="12"/>
  <c r="D2689" i="12"/>
  <c r="D2690" i="12"/>
  <c r="D2691" i="12"/>
  <c r="D2692" i="12"/>
  <c r="D2693" i="12"/>
  <c r="D2694" i="12"/>
  <c r="D2695" i="12"/>
  <c r="D2696" i="12"/>
  <c r="D2697" i="12"/>
  <c r="D2698" i="12"/>
  <c r="D2699" i="12"/>
  <c r="D2700" i="12"/>
  <c r="D2701" i="12"/>
  <c r="D2702" i="12"/>
  <c r="D2703" i="12"/>
  <c r="D2704" i="12"/>
  <c r="D2705" i="12"/>
  <c r="D2706" i="12"/>
  <c r="D2707" i="12"/>
  <c r="D2708" i="12"/>
  <c r="D2709" i="12"/>
  <c r="D2710" i="12"/>
  <c r="D2711" i="12"/>
  <c r="D2712" i="12"/>
  <c r="D2713" i="12"/>
  <c r="D2714" i="12"/>
  <c r="D2715" i="12"/>
  <c r="D2716" i="12"/>
  <c r="D2717" i="12"/>
  <c r="D2718" i="12"/>
  <c r="D2719" i="12"/>
  <c r="D2720" i="12"/>
  <c r="D2721" i="12"/>
  <c r="D2722" i="12"/>
  <c r="D2723" i="12"/>
  <c r="D2724" i="12"/>
  <c r="D2725" i="12"/>
  <c r="D2726" i="12"/>
  <c r="D2727" i="12"/>
  <c r="D2728" i="12"/>
  <c r="D2729" i="12"/>
  <c r="D2730" i="12"/>
  <c r="D2731" i="12"/>
  <c r="D2732" i="12"/>
  <c r="D2733" i="12"/>
  <c r="D2734" i="12"/>
  <c r="D2735" i="12"/>
  <c r="D2736" i="12"/>
  <c r="D2737" i="12"/>
  <c r="D2738" i="12"/>
  <c r="D2739" i="12"/>
  <c r="D2740" i="12"/>
  <c r="D2741" i="12"/>
  <c r="D2742" i="12"/>
  <c r="D2743" i="12"/>
  <c r="D2744" i="12"/>
  <c r="D2745" i="12"/>
  <c r="D2746" i="12"/>
  <c r="D2747" i="12"/>
  <c r="D2748" i="12"/>
  <c r="D2749" i="12"/>
  <c r="D2750" i="12"/>
  <c r="D2751" i="12"/>
  <c r="D2752" i="12"/>
  <c r="D2753" i="12"/>
  <c r="D2754" i="12"/>
  <c r="D2755" i="12"/>
  <c r="D2756" i="12"/>
  <c r="D2757" i="12"/>
  <c r="D2758" i="12"/>
  <c r="D2759" i="12"/>
  <c r="D2760" i="12"/>
  <c r="D2761" i="12"/>
  <c r="D2762" i="12"/>
  <c r="D2763" i="12"/>
  <c r="D2764" i="12"/>
  <c r="D2765" i="12"/>
  <c r="D2766" i="12"/>
  <c r="D2767" i="12"/>
  <c r="D2768" i="12"/>
  <c r="D2769" i="12"/>
  <c r="D2770" i="12"/>
  <c r="D2771" i="12"/>
  <c r="D2772" i="12"/>
  <c r="D2773" i="12"/>
  <c r="D2774" i="12"/>
  <c r="D2775" i="12"/>
  <c r="D2776" i="12"/>
  <c r="D2777" i="12"/>
  <c r="D2778" i="12"/>
  <c r="D2779" i="12"/>
  <c r="D2780" i="12"/>
  <c r="D2781" i="12"/>
  <c r="D2782" i="12"/>
  <c r="D2783" i="12"/>
  <c r="D2784" i="12"/>
  <c r="D2785" i="12"/>
  <c r="D2786" i="12"/>
  <c r="D2787" i="12"/>
  <c r="D2788" i="12"/>
  <c r="D2789" i="12"/>
  <c r="D2790" i="12"/>
  <c r="D2791" i="12"/>
  <c r="D2792" i="12"/>
  <c r="D2793" i="12"/>
  <c r="D2794" i="12"/>
  <c r="D2795" i="12"/>
  <c r="D2796" i="12"/>
  <c r="D2797" i="12"/>
  <c r="D2798" i="12"/>
  <c r="D2799" i="12"/>
  <c r="D2800" i="12"/>
  <c r="D2801" i="12"/>
  <c r="D2802" i="12"/>
  <c r="D2803" i="12"/>
  <c r="D2804" i="12"/>
  <c r="D2805" i="12"/>
  <c r="D2806" i="12"/>
  <c r="D2807" i="12"/>
  <c r="D2808" i="12"/>
  <c r="D2809" i="12"/>
  <c r="D2810" i="12"/>
  <c r="D2811" i="12"/>
  <c r="D2812" i="12"/>
  <c r="D2813" i="12"/>
  <c r="D2814" i="12"/>
  <c r="D2815" i="12"/>
  <c r="D2816" i="12"/>
  <c r="D2817" i="12"/>
  <c r="D2818" i="12"/>
  <c r="D2819" i="12"/>
  <c r="D2820" i="12"/>
  <c r="D2821" i="12"/>
  <c r="D2822" i="12"/>
  <c r="D2823" i="12"/>
  <c r="D2824" i="12"/>
  <c r="D2825" i="12"/>
  <c r="D2826" i="12"/>
  <c r="D2827" i="12"/>
  <c r="D2828" i="12"/>
  <c r="D2829" i="12"/>
  <c r="D2830" i="12"/>
  <c r="D2831" i="12"/>
  <c r="D2832" i="12"/>
  <c r="D2833" i="12"/>
  <c r="D2834" i="12"/>
  <c r="D2835" i="12"/>
  <c r="D2836" i="12"/>
  <c r="D2837" i="12"/>
  <c r="D2838" i="12"/>
  <c r="D2839" i="12"/>
  <c r="D2840" i="12"/>
  <c r="D2841" i="12"/>
  <c r="D2842" i="12"/>
  <c r="D2843" i="12"/>
  <c r="D2844" i="12"/>
  <c r="D2845" i="12"/>
  <c r="D2846" i="12"/>
  <c r="D2847" i="12"/>
  <c r="D2848" i="12"/>
  <c r="D2849" i="12"/>
  <c r="D2850" i="12"/>
  <c r="D2851" i="12"/>
  <c r="D2852" i="12"/>
  <c r="D2853" i="12"/>
  <c r="D2854" i="12"/>
  <c r="D2855" i="12"/>
  <c r="D2856" i="12"/>
  <c r="D2857" i="12"/>
  <c r="D2858" i="12"/>
  <c r="D2859" i="12"/>
  <c r="D2860" i="12"/>
  <c r="D2861" i="12"/>
  <c r="D2862" i="12"/>
  <c r="D2863" i="12"/>
  <c r="D2864" i="12"/>
  <c r="D2865" i="12"/>
  <c r="D2866" i="12"/>
  <c r="D2867" i="12"/>
  <c r="D2868" i="12"/>
  <c r="D2869" i="12"/>
  <c r="D2870" i="12"/>
  <c r="D2871" i="12"/>
  <c r="D2872" i="12"/>
  <c r="D2873" i="12"/>
  <c r="D2874" i="12"/>
  <c r="D2875" i="12"/>
  <c r="D2876" i="12"/>
  <c r="D2877" i="12"/>
  <c r="D2878" i="12"/>
  <c r="D2879" i="12"/>
  <c r="D2880" i="12"/>
  <c r="D2881" i="12"/>
  <c r="D2882" i="12"/>
  <c r="D2883" i="12"/>
  <c r="D2884" i="12"/>
  <c r="D2885" i="12"/>
  <c r="D2886" i="12"/>
  <c r="D2887" i="12"/>
  <c r="D2888" i="12"/>
  <c r="D2889" i="12"/>
  <c r="D2890" i="12"/>
  <c r="D2891" i="12"/>
  <c r="D2892" i="12"/>
  <c r="D2893" i="12"/>
  <c r="D2894" i="12"/>
  <c r="D2895" i="12"/>
  <c r="D2896" i="12"/>
  <c r="D2897" i="12"/>
  <c r="D2898" i="12"/>
  <c r="D2899" i="12"/>
  <c r="D2900" i="12"/>
  <c r="D2901" i="12"/>
  <c r="D2902" i="12"/>
  <c r="D2903" i="12"/>
  <c r="D2904" i="12"/>
  <c r="D2905" i="12"/>
  <c r="D2906" i="12"/>
  <c r="D2907" i="12"/>
  <c r="D2908" i="12"/>
  <c r="D2909" i="12"/>
  <c r="D2910" i="12"/>
  <c r="D2911" i="12"/>
  <c r="D2912" i="12"/>
  <c r="D2913" i="12"/>
  <c r="D2914" i="12"/>
  <c r="D2915" i="12"/>
  <c r="D2916" i="12"/>
  <c r="D2917" i="12"/>
  <c r="D2918" i="12"/>
  <c r="D2919" i="12"/>
  <c r="D2920" i="12"/>
  <c r="D2921" i="12"/>
  <c r="D2922" i="12"/>
  <c r="D2923" i="12"/>
  <c r="D2924" i="12"/>
  <c r="D2925" i="12"/>
  <c r="D2926" i="12"/>
  <c r="D2927" i="12"/>
  <c r="D2928" i="12"/>
  <c r="D2929" i="12"/>
  <c r="D2930" i="12"/>
  <c r="D2931" i="12"/>
  <c r="D2932" i="12"/>
  <c r="D2933" i="12"/>
  <c r="D2934" i="12"/>
  <c r="D2935" i="12"/>
  <c r="D2936" i="12"/>
  <c r="D2937" i="12"/>
  <c r="D2938" i="12"/>
  <c r="D2939" i="12"/>
  <c r="D2940" i="12"/>
  <c r="D2941" i="12"/>
  <c r="D2942" i="12"/>
  <c r="D2943" i="12"/>
  <c r="D2944" i="12"/>
  <c r="D2945" i="12"/>
  <c r="D2946" i="12"/>
  <c r="D2947" i="12"/>
  <c r="D2948" i="12"/>
  <c r="D2949" i="12"/>
  <c r="D2950" i="12"/>
  <c r="D2951" i="12"/>
  <c r="D2952" i="12"/>
  <c r="D2953" i="12"/>
  <c r="D2954" i="12"/>
  <c r="D2955" i="12"/>
  <c r="D2956" i="12"/>
  <c r="D2957" i="12"/>
  <c r="D2958" i="12"/>
  <c r="D2959" i="12"/>
  <c r="D2960" i="12"/>
  <c r="D2961" i="12"/>
  <c r="D2962" i="12"/>
  <c r="D2963" i="12"/>
  <c r="D2964" i="12"/>
  <c r="D2965" i="12"/>
  <c r="D2966" i="12"/>
  <c r="D2967" i="12"/>
  <c r="D2968" i="12"/>
  <c r="D2969" i="12"/>
  <c r="D2970" i="12"/>
  <c r="D2971" i="12"/>
  <c r="D2972" i="12"/>
  <c r="D2973" i="12"/>
  <c r="D2974" i="12"/>
  <c r="D2975" i="12"/>
  <c r="D2976" i="12"/>
  <c r="D2977" i="12"/>
  <c r="D2978" i="12"/>
  <c r="D2979" i="12"/>
  <c r="D2980" i="12"/>
  <c r="D2981" i="12"/>
  <c r="D2982" i="12"/>
  <c r="D2983" i="12"/>
  <c r="D2984" i="12"/>
  <c r="D2985" i="12"/>
  <c r="D2986" i="12"/>
  <c r="D2987" i="12"/>
  <c r="D2988" i="12"/>
  <c r="D2989" i="12"/>
  <c r="D2990" i="12"/>
  <c r="D2991" i="12"/>
  <c r="D2992" i="12"/>
  <c r="D2993" i="12"/>
  <c r="D2994" i="12"/>
  <c r="D2995" i="12"/>
  <c r="D2996" i="12"/>
  <c r="D2997" i="12"/>
  <c r="D2998" i="12"/>
  <c r="D2999" i="12"/>
  <c r="D3000" i="12"/>
  <c r="D3001" i="12"/>
  <c r="D3002" i="12"/>
  <c r="D3003" i="12"/>
  <c r="D3004" i="12"/>
  <c r="D3005" i="12"/>
  <c r="D3006" i="12"/>
  <c r="D3007" i="12"/>
  <c r="D3008" i="12"/>
  <c r="D3009" i="12"/>
  <c r="D3010" i="12"/>
  <c r="D3011" i="12"/>
  <c r="D3012" i="12"/>
  <c r="D3013" i="12"/>
  <c r="D3014" i="12"/>
  <c r="D3015" i="12"/>
  <c r="D3016" i="12"/>
  <c r="D3017" i="12"/>
  <c r="D3018" i="12"/>
  <c r="D3019" i="12"/>
  <c r="D3020" i="12"/>
  <c r="D3021" i="12"/>
  <c r="D3022" i="12"/>
  <c r="D3023" i="12"/>
  <c r="D3024" i="12"/>
  <c r="D3025" i="12"/>
  <c r="D3026" i="12"/>
  <c r="D3027" i="12"/>
  <c r="D3028" i="12"/>
  <c r="D3029" i="12"/>
  <c r="D3030" i="12"/>
  <c r="D3031" i="12"/>
  <c r="D3032" i="12"/>
  <c r="D3033" i="12"/>
  <c r="D3034" i="12"/>
  <c r="D3035" i="12"/>
  <c r="D3036" i="12"/>
  <c r="D3037" i="12"/>
  <c r="D3038" i="12"/>
  <c r="D3039" i="12"/>
  <c r="D3040" i="12"/>
  <c r="D3041" i="12"/>
  <c r="D3042" i="12"/>
  <c r="D3043" i="12"/>
  <c r="D3044" i="12"/>
  <c r="D3045" i="12"/>
  <c r="D3046" i="12"/>
  <c r="D3047" i="12"/>
  <c r="D3048" i="12"/>
  <c r="D3049" i="12"/>
  <c r="D3050" i="12"/>
  <c r="D3051" i="12"/>
  <c r="D3052" i="12"/>
  <c r="D3053" i="12"/>
  <c r="D3054" i="12"/>
  <c r="D3055" i="12"/>
  <c r="D3056" i="12"/>
  <c r="D3057" i="12"/>
  <c r="D3058" i="12"/>
  <c r="D3059" i="12"/>
  <c r="D3060" i="12"/>
  <c r="D3061" i="12"/>
  <c r="D3062" i="12"/>
  <c r="D3063" i="12"/>
  <c r="D3064" i="12"/>
  <c r="D3065" i="12"/>
  <c r="D3066" i="12"/>
  <c r="D3067" i="12"/>
  <c r="D3068" i="12"/>
  <c r="D3069" i="12"/>
  <c r="D3070" i="12"/>
  <c r="D3071" i="12"/>
  <c r="D3072" i="12"/>
  <c r="D3073" i="12"/>
  <c r="D3074" i="12"/>
  <c r="D3075" i="12"/>
  <c r="D3076" i="12"/>
  <c r="D3077" i="12"/>
  <c r="D3078" i="12"/>
  <c r="D3079" i="12"/>
  <c r="D3080" i="12"/>
  <c r="D3081" i="12"/>
  <c r="D3082" i="12"/>
  <c r="D3083" i="12"/>
  <c r="D3084" i="12"/>
  <c r="D3085" i="12"/>
  <c r="D3086" i="12"/>
  <c r="D3087" i="12"/>
  <c r="D3088" i="12"/>
  <c r="D3089" i="12"/>
  <c r="D3090" i="12"/>
  <c r="D3091" i="12"/>
  <c r="D3092" i="12"/>
  <c r="D3093" i="12"/>
  <c r="D3094" i="12"/>
  <c r="D3095" i="12"/>
  <c r="D3096" i="12"/>
  <c r="D3097" i="12"/>
  <c r="D3098" i="12"/>
  <c r="D3099" i="12"/>
  <c r="D3100" i="12"/>
  <c r="D3101" i="12"/>
  <c r="D3102" i="12"/>
  <c r="D3103" i="12"/>
  <c r="D3104" i="12"/>
  <c r="D3105" i="12"/>
  <c r="D3106" i="12"/>
  <c r="D3107" i="12"/>
  <c r="D3108" i="12"/>
  <c r="D3109" i="12"/>
  <c r="D3110" i="12"/>
  <c r="D3111" i="12"/>
  <c r="D3112" i="12"/>
  <c r="D3113" i="12"/>
  <c r="D3114" i="12"/>
  <c r="D3115" i="12"/>
  <c r="D3116" i="12"/>
  <c r="D3117" i="12"/>
  <c r="D3118" i="12"/>
  <c r="D3119" i="12"/>
  <c r="D3120" i="12"/>
  <c r="D3121" i="12"/>
  <c r="D3122" i="12"/>
  <c r="D3123" i="12"/>
  <c r="D3124" i="12"/>
  <c r="D3125" i="12"/>
  <c r="D3126" i="12"/>
  <c r="D3127" i="12"/>
  <c r="D3128" i="12"/>
  <c r="D3129" i="12"/>
  <c r="D3130" i="12"/>
  <c r="D3131" i="12"/>
  <c r="D3132" i="12"/>
  <c r="D3133" i="12"/>
  <c r="D3134" i="12"/>
  <c r="D3135" i="12"/>
  <c r="D3136" i="12"/>
  <c r="D3137" i="12"/>
  <c r="D3138" i="12"/>
  <c r="D3139" i="12"/>
  <c r="D3140" i="12"/>
  <c r="D3141" i="12"/>
  <c r="D3142" i="12"/>
  <c r="D3143" i="12"/>
  <c r="D3144" i="12"/>
  <c r="D3145" i="12"/>
  <c r="D3146" i="12"/>
  <c r="D3147" i="12"/>
  <c r="D3148" i="12"/>
  <c r="D3149" i="12"/>
  <c r="D3150" i="12"/>
  <c r="D3151" i="12"/>
  <c r="D3152" i="12"/>
  <c r="D3153" i="12"/>
  <c r="D3154" i="12"/>
  <c r="D3155" i="12"/>
  <c r="D3156" i="12"/>
  <c r="D3157" i="12"/>
  <c r="D3158" i="12"/>
  <c r="D3159" i="12"/>
  <c r="D3160" i="12"/>
  <c r="D3161" i="12"/>
  <c r="D3162" i="12"/>
  <c r="D3163" i="12"/>
  <c r="D3164" i="12"/>
  <c r="D3165" i="12"/>
  <c r="D3166" i="12"/>
  <c r="D3167" i="12"/>
  <c r="D3168" i="12"/>
  <c r="D3169" i="12"/>
  <c r="D3170" i="12"/>
  <c r="D3171" i="12"/>
  <c r="D3172" i="12"/>
  <c r="D3173" i="12"/>
  <c r="D3174" i="12"/>
  <c r="D3175" i="12"/>
  <c r="D3176" i="12"/>
  <c r="D3177" i="12"/>
  <c r="D3178" i="12"/>
  <c r="D3179" i="12"/>
  <c r="D3180" i="12"/>
  <c r="D3181" i="12"/>
  <c r="D3182" i="12"/>
  <c r="D3183" i="12"/>
  <c r="D3184" i="12"/>
  <c r="D3185" i="12"/>
  <c r="D3186" i="12"/>
  <c r="D3187" i="12"/>
  <c r="D3188" i="12"/>
  <c r="D3189" i="12"/>
  <c r="D3190" i="12"/>
  <c r="D3191" i="12"/>
  <c r="D3192" i="12"/>
  <c r="D3193" i="12"/>
  <c r="D3194" i="12"/>
  <c r="D3195" i="12"/>
  <c r="D3196" i="12"/>
  <c r="D3197" i="12"/>
  <c r="D3198" i="12"/>
  <c r="D3199" i="12"/>
  <c r="D3200" i="12"/>
  <c r="D3201" i="12"/>
  <c r="D3202" i="12"/>
  <c r="D3203" i="12"/>
  <c r="D3204" i="12"/>
  <c r="D3205" i="12"/>
  <c r="D3206" i="12"/>
  <c r="D3207" i="12"/>
  <c r="D3208" i="12"/>
  <c r="D3209" i="12"/>
  <c r="D3210" i="12"/>
  <c r="D3211" i="12"/>
  <c r="D3212" i="12"/>
  <c r="D3213" i="12"/>
  <c r="D3214" i="12"/>
  <c r="D3215" i="12"/>
  <c r="D3216" i="12"/>
  <c r="D3217" i="12"/>
  <c r="D3218" i="12"/>
  <c r="D3219" i="12"/>
  <c r="D3220" i="12"/>
  <c r="D3221" i="12"/>
  <c r="D3222" i="12"/>
  <c r="D3223" i="12"/>
  <c r="D3224" i="12"/>
  <c r="D3225" i="12"/>
  <c r="D3226" i="12"/>
  <c r="D3227" i="12"/>
  <c r="D3228" i="12"/>
  <c r="D3229" i="12"/>
  <c r="D3230" i="12"/>
  <c r="D3231" i="12"/>
  <c r="D3232" i="12"/>
  <c r="D3233" i="12"/>
  <c r="D3234" i="12"/>
  <c r="D3235" i="12"/>
  <c r="D3236" i="12"/>
  <c r="D3237" i="12"/>
  <c r="D3238" i="12"/>
  <c r="D3239" i="12"/>
  <c r="D3240" i="12"/>
  <c r="D3241" i="12"/>
  <c r="D3242" i="12"/>
  <c r="D3243" i="12"/>
  <c r="D3244" i="12"/>
  <c r="D3245" i="12"/>
  <c r="D3246" i="12"/>
  <c r="D3247" i="12"/>
  <c r="D3248" i="12"/>
  <c r="D3249" i="12"/>
  <c r="D3250" i="12"/>
  <c r="D3251" i="12"/>
  <c r="D3252" i="12"/>
  <c r="D3253" i="12"/>
  <c r="D3254" i="12"/>
  <c r="D3255" i="12"/>
  <c r="D3256" i="12"/>
  <c r="D3257" i="12"/>
  <c r="D3258" i="12"/>
  <c r="D3259" i="12"/>
  <c r="D3260" i="12"/>
  <c r="D3261" i="12"/>
  <c r="D3262" i="12"/>
  <c r="D3263" i="12"/>
  <c r="D3264" i="12"/>
  <c r="D3265" i="12"/>
  <c r="D3266" i="12"/>
  <c r="D3267" i="12"/>
  <c r="D3268" i="12"/>
  <c r="D3269" i="12"/>
  <c r="D3270" i="12"/>
  <c r="D3271" i="12"/>
  <c r="D3272" i="12"/>
  <c r="D3273" i="12"/>
  <c r="D3274" i="12"/>
  <c r="D3275" i="12"/>
  <c r="D3276" i="12"/>
  <c r="D3277" i="12"/>
  <c r="D3278" i="12"/>
  <c r="D3279" i="12"/>
  <c r="D3280" i="12"/>
  <c r="D3281" i="12"/>
  <c r="D3282" i="12"/>
  <c r="D3283" i="12"/>
  <c r="D3284" i="12"/>
  <c r="D3285" i="12"/>
  <c r="D3286" i="12"/>
  <c r="D3287" i="12"/>
  <c r="D3288" i="12"/>
  <c r="D3289" i="12"/>
  <c r="D3290" i="12"/>
  <c r="D3291" i="12"/>
  <c r="D3292" i="12"/>
  <c r="D3293" i="12"/>
  <c r="D3294" i="12"/>
  <c r="D3295" i="12"/>
  <c r="D3296" i="12"/>
  <c r="D3297" i="12"/>
  <c r="D3298" i="12"/>
  <c r="D3299" i="12"/>
  <c r="D3300" i="12"/>
  <c r="D3301" i="12"/>
  <c r="D3302" i="12"/>
  <c r="D3303" i="12"/>
  <c r="D3304" i="12"/>
  <c r="D3305" i="12"/>
  <c r="D3306" i="12"/>
  <c r="D3307" i="12"/>
  <c r="D3308" i="12"/>
  <c r="D3309" i="12"/>
  <c r="D3310" i="12"/>
  <c r="D3311" i="12"/>
  <c r="D3312" i="12"/>
  <c r="D3313" i="12"/>
  <c r="D3314" i="12"/>
  <c r="D3315" i="12"/>
  <c r="D3316" i="12"/>
  <c r="D3317" i="12"/>
  <c r="D3318" i="12"/>
  <c r="D3319" i="12"/>
  <c r="D3320" i="12"/>
  <c r="D3321" i="12"/>
  <c r="D3322" i="12"/>
  <c r="D3323" i="12"/>
  <c r="D3324" i="12"/>
  <c r="D3325" i="12"/>
  <c r="D3326" i="12"/>
  <c r="D3327" i="12"/>
  <c r="D3328" i="12"/>
  <c r="D3329" i="12"/>
  <c r="D3330" i="12"/>
  <c r="D3331" i="12"/>
  <c r="D3332" i="12"/>
  <c r="D3333" i="12"/>
  <c r="D3334" i="12"/>
  <c r="D3335" i="12"/>
  <c r="D3336" i="12"/>
  <c r="D3337" i="12"/>
  <c r="D3338" i="12"/>
  <c r="D3339" i="12"/>
  <c r="D3340" i="12"/>
  <c r="D3341" i="12"/>
  <c r="D3342" i="12"/>
  <c r="D3343" i="12"/>
  <c r="D3344" i="12"/>
  <c r="D3345" i="12"/>
  <c r="D3346" i="12"/>
  <c r="D3347" i="12"/>
  <c r="D3348" i="12"/>
  <c r="D3349" i="12"/>
  <c r="D3350" i="12"/>
  <c r="D3351" i="12"/>
  <c r="D3352" i="12"/>
  <c r="D3353" i="12"/>
  <c r="D3354" i="12"/>
  <c r="D3355" i="12"/>
  <c r="D3356" i="12"/>
  <c r="D3357" i="12"/>
  <c r="D3358" i="12"/>
  <c r="D3359" i="12"/>
  <c r="D3360" i="12"/>
  <c r="D3361" i="12"/>
  <c r="D3362" i="12"/>
  <c r="D3363" i="12"/>
  <c r="D3364" i="12"/>
  <c r="D3365" i="12"/>
  <c r="D3366" i="12"/>
  <c r="D3367" i="12"/>
  <c r="D3368" i="12"/>
  <c r="D3369" i="12"/>
  <c r="D3370" i="12"/>
  <c r="D3371" i="12"/>
  <c r="D3372" i="12"/>
  <c r="D3373" i="12"/>
  <c r="D3374" i="12"/>
  <c r="D3375" i="12"/>
  <c r="D3376" i="12"/>
  <c r="D3377" i="12"/>
  <c r="D3378" i="12"/>
  <c r="D3379" i="12"/>
  <c r="D3380" i="12"/>
  <c r="D3381" i="12"/>
  <c r="D3382" i="12"/>
  <c r="D3383" i="12"/>
  <c r="D3384" i="12"/>
  <c r="D3385" i="12"/>
  <c r="D3386" i="12"/>
  <c r="D3387" i="12"/>
  <c r="D3388" i="12"/>
  <c r="D3389" i="12"/>
  <c r="D3390" i="12"/>
  <c r="D3391" i="12"/>
  <c r="D3392" i="12"/>
  <c r="D3393" i="12"/>
  <c r="D3394" i="12"/>
  <c r="D3395" i="12"/>
  <c r="D3396" i="12"/>
  <c r="D3397" i="12"/>
  <c r="D3398" i="12"/>
  <c r="D3399" i="12"/>
  <c r="D3400" i="12"/>
  <c r="D3401" i="12"/>
  <c r="D3402" i="12"/>
  <c r="D3403" i="12"/>
  <c r="D3404" i="12"/>
  <c r="D3405" i="12"/>
  <c r="D3406" i="12"/>
  <c r="D3407" i="12"/>
  <c r="D3408" i="12"/>
  <c r="D3409" i="12"/>
  <c r="D3410" i="12"/>
  <c r="D3411" i="12"/>
  <c r="D3412" i="12"/>
  <c r="D3413" i="12"/>
  <c r="D3414" i="12"/>
  <c r="D3415" i="12"/>
  <c r="D3416" i="12"/>
  <c r="D3417" i="12"/>
  <c r="D3418" i="12"/>
  <c r="D3419" i="12"/>
  <c r="D3420" i="12"/>
  <c r="D3421" i="12"/>
  <c r="D3422" i="12"/>
  <c r="D3423" i="12"/>
  <c r="D3424" i="12"/>
  <c r="D3425" i="12"/>
  <c r="D3426" i="12"/>
  <c r="D3427" i="12"/>
  <c r="D3428" i="12"/>
  <c r="D3429" i="12"/>
  <c r="D3430" i="12"/>
  <c r="D3431" i="12"/>
  <c r="D3432" i="12"/>
  <c r="D3433" i="12"/>
  <c r="D3434" i="12"/>
  <c r="D3435" i="12"/>
  <c r="D3436" i="12"/>
  <c r="D3437" i="12"/>
  <c r="D3438" i="12"/>
  <c r="D3439" i="12"/>
  <c r="D3440" i="12"/>
  <c r="D3441" i="12"/>
  <c r="D3442" i="12"/>
  <c r="D3443" i="12"/>
  <c r="D3444" i="12"/>
  <c r="D3445" i="12"/>
  <c r="D3446" i="12"/>
  <c r="D3447" i="12"/>
  <c r="D3448" i="12"/>
  <c r="D3449" i="12"/>
  <c r="D3450" i="12"/>
  <c r="D3451" i="12"/>
  <c r="D3452" i="12"/>
  <c r="D3453" i="12"/>
  <c r="D3454" i="12"/>
  <c r="D3455" i="12"/>
  <c r="D3456" i="12"/>
  <c r="D3457" i="12"/>
  <c r="D3458" i="12"/>
  <c r="D3459" i="12"/>
  <c r="D3460" i="12"/>
  <c r="D3461" i="12"/>
  <c r="D3462" i="12"/>
  <c r="D3463" i="12"/>
  <c r="D3464" i="12"/>
  <c r="D3465" i="12"/>
  <c r="D3466" i="12"/>
  <c r="D3467" i="12"/>
  <c r="D3468" i="12"/>
  <c r="D3469" i="12"/>
  <c r="D3470" i="12"/>
  <c r="D3471" i="12"/>
  <c r="D3472" i="12"/>
  <c r="D3473" i="12"/>
  <c r="D3474" i="12"/>
  <c r="D3475" i="12"/>
  <c r="D3476" i="12"/>
  <c r="D3477" i="12"/>
  <c r="D3478" i="12"/>
  <c r="D3479" i="12"/>
  <c r="D3480" i="12"/>
  <c r="D3481" i="12"/>
  <c r="D3482" i="12"/>
  <c r="D3483" i="12"/>
  <c r="D3484" i="12"/>
  <c r="D3485" i="12"/>
  <c r="D3486" i="12"/>
  <c r="D3487" i="12"/>
  <c r="D3488" i="12"/>
  <c r="D3489" i="12"/>
  <c r="D3490" i="12"/>
  <c r="D3491" i="12"/>
  <c r="D3492" i="12"/>
  <c r="D3493" i="12"/>
  <c r="D3494" i="12"/>
  <c r="D3495" i="12"/>
  <c r="D3496" i="12"/>
  <c r="D3497" i="12"/>
  <c r="D3498" i="12"/>
  <c r="D3499" i="12"/>
  <c r="D3500" i="12"/>
  <c r="D3501" i="12"/>
  <c r="D3502" i="12"/>
  <c r="D3503" i="12"/>
  <c r="D3504" i="12"/>
  <c r="D3505" i="12"/>
  <c r="D3506" i="12"/>
  <c r="D3507" i="12"/>
  <c r="D3508" i="12"/>
  <c r="D3509" i="12"/>
  <c r="D3510" i="12"/>
  <c r="D3511" i="12"/>
  <c r="D3512" i="12"/>
  <c r="D3513" i="12"/>
  <c r="D3514" i="12"/>
  <c r="D3515" i="12"/>
  <c r="D3516" i="12"/>
  <c r="D3517" i="12"/>
  <c r="D3518" i="12"/>
  <c r="D3519" i="12"/>
  <c r="D3520" i="12"/>
  <c r="D3521" i="12"/>
  <c r="D3522" i="12"/>
  <c r="D3523" i="12"/>
  <c r="D3524" i="12"/>
  <c r="D3525" i="12"/>
  <c r="D3526" i="12"/>
  <c r="D3527" i="12"/>
  <c r="D3528" i="12"/>
  <c r="D3529" i="12"/>
  <c r="D3530" i="12"/>
  <c r="D3531" i="12"/>
  <c r="D3532" i="12"/>
  <c r="D3533" i="12"/>
  <c r="D3534" i="12"/>
  <c r="D3535" i="12"/>
  <c r="D3536" i="12"/>
  <c r="D3537" i="12"/>
  <c r="D3538" i="12"/>
  <c r="D3539" i="12"/>
  <c r="D3540" i="12"/>
  <c r="D3541" i="12"/>
  <c r="D3542" i="12"/>
  <c r="D3543" i="12"/>
  <c r="D3544" i="12"/>
  <c r="D3545" i="12"/>
  <c r="D3546" i="12"/>
  <c r="D3547" i="12"/>
  <c r="D3548" i="12"/>
  <c r="D3549" i="12"/>
  <c r="D3550" i="12"/>
  <c r="D3551" i="12"/>
  <c r="D3552" i="12"/>
  <c r="D3553" i="12"/>
  <c r="D3554" i="12"/>
  <c r="D3555" i="12"/>
  <c r="D3556" i="12"/>
  <c r="D3557" i="12"/>
  <c r="D3558" i="12"/>
  <c r="D3559" i="12"/>
  <c r="D3560" i="12"/>
  <c r="D3561" i="12"/>
  <c r="D3562" i="12"/>
  <c r="D3563" i="12"/>
  <c r="D3564" i="12"/>
  <c r="D3565" i="12"/>
  <c r="D3566" i="12"/>
  <c r="D3567" i="12"/>
  <c r="D3568" i="12"/>
  <c r="D3569" i="12"/>
  <c r="D3570" i="12"/>
  <c r="D3571" i="12"/>
  <c r="D3572" i="12"/>
  <c r="D3573" i="12"/>
  <c r="D3574" i="12"/>
  <c r="D3575" i="12"/>
  <c r="D3576" i="12"/>
  <c r="D3577" i="12"/>
  <c r="D3578" i="12"/>
  <c r="D3579" i="12"/>
  <c r="D3580" i="12"/>
  <c r="D3581" i="12"/>
  <c r="D3582" i="12"/>
  <c r="D3583" i="12"/>
  <c r="D3584" i="12"/>
  <c r="D3585" i="12"/>
  <c r="D3586" i="12"/>
  <c r="D3587" i="12"/>
  <c r="D3588" i="12"/>
  <c r="D3589" i="12"/>
  <c r="D3590" i="12"/>
  <c r="D3591" i="12"/>
  <c r="D3592" i="12"/>
  <c r="D3593" i="12"/>
  <c r="D3594" i="12"/>
  <c r="D3595" i="12"/>
  <c r="D3596" i="12"/>
  <c r="D3597" i="12"/>
  <c r="D3598" i="12"/>
  <c r="D3599" i="12"/>
  <c r="D3600" i="12"/>
  <c r="D3601" i="12"/>
  <c r="D3602" i="12"/>
  <c r="D3603" i="12"/>
  <c r="D3604" i="12"/>
  <c r="D3605" i="12"/>
  <c r="D3606" i="12"/>
  <c r="D3607" i="12"/>
  <c r="D3608" i="12"/>
  <c r="D3609" i="12"/>
  <c r="D3610" i="12"/>
  <c r="D3611" i="12"/>
  <c r="D3612" i="12"/>
  <c r="D3613" i="12"/>
  <c r="D3614" i="12"/>
  <c r="D3615" i="12"/>
  <c r="D3616" i="12"/>
  <c r="D3617" i="12"/>
  <c r="D3618" i="12"/>
  <c r="D3619" i="12"/>
  <c r="D3620" i="12"/>
  <c r="D3621" i="12"/>
  <c r="D3622" i="12"/>
  <c r="D3623" i="12"/>
  <c r="D3624" i="12"/>
  <c r="D3625" i="12"/>
  <c r="D3626" i="12"/>
  <c r="D3627" i="12"/>
  <c r="D3628" i="12"/>
  <c r="D3629" i="12"/>
  <c r="D3630" i="12"/>
  <c r="D3631" i="12"/>
  <c r="D3632" i="12"/>
  <c r="D3633" i="12"/>
  <c r="D3634" i="12"/>
  <c r="D3635" i="12"/>
  <c r="D3636" i="12"/>
  <c r="D3637" i="12"/>
  <c r="D3638" i="12"/>
  <c r="D3639" i="12"/>
  <c r="D3640" i="12"/>
  <c r="D3641" i="12"/>
  <c r="D3642" i="12"/>
  <c r="D3643" i="12"/>
  <c r="D3644" i="12"/>
  <c r="D3645" i="12"/>
  <c r="D3646" i="12"/>
  <c r="D3647" i="12"/>
  <c r="D3648" i="12"/>
  <c r="D3649" i="12"/>
  <c r="D3650" i="12"/>
  <c r="D3651" i="12"/>
  <c r="D3652" i="12"/>
  <c r="D3653" i="12"/>
  <c r="D3654" i="12"/>
  <c r="D3655" i="12"/>
  <c r="D3656" i="12"/>
  <c r="D3657" i="12"/>
  <c r="D3658" i="12"/>
  <c r="D3659" i="12"/>
  <c r="D3660" i="12"/>
  <c r="D3661" i="12"/>
  <c r="D3662" i="12"/>
  <c r="D3663" i="12"/>
  <c r="D3664" i="12"/>
  <c r="D3665" i="12"/>
  <c r="D3666" i="12"/>
  <c r="D3667" i="12"/>
  <c r="D3668" i="12"/>
  <c r="D3669" i="12"/>
  <c r="D3670" i="12"/>
  <c r="D3671" i="12"/>
  <c r="D3672" i="12"/>
  <c r="D3673" i="12"/>
  <c r="D3674" i="12"/>
  <c r="D3675" i="12"/>
  <c r="D3676" i="12"/>
  <c r="D3677" i="12"/>
  <c r="D3678" i="12"/>
  <c r="D3679" i="12"/>
  <c r="D3680" i="12"/>
  <c r="D3681" i="12"/>
  <c r="D3682" i="12"/>
  <c r="D3683" i="12"/>
  <c r="D3684" i="12"/>
  <c r="D3685" i="12"/>
  <c r="D3686" i="12"/>
  <c r="D3687" i="12"/>
  <c r="D3688" i="12"/>
  <c r="D3689" i="12"/>
  <c r="D3690" i="12"/>
  <c r="D3691" i="12"/>
  <c r="D3692" i="12"/>
  <c r="D3693" i="12"/>
  <c r="D3694" i="12"/>
  <c r="D3695" i="12"/>
  <c r="D3696" i="12"/>
  <c r="D3697" i="12"/>
  <c r="D3698" i="12"/>
  <c r="D3699" i="12"/>
  <c r="D3700" i="12"/>
  <c r="D3701" i="12"/>
  <c r="D3702" i="12"/>
  <c r="D3703" i="12"/>
  <c r="D3704" i="12"/>
  <c r="D3705" i="12"/>
  <c r="D3706" i="12"/>
  <c r="D3707" i="12"/>
  <c r="D3708" i="12"/>
  <c r="D3709" i="12"/>
  <c r="D3710" i="12"/>
  <c r="D3711" i="12"/>
  <c r="D3712" i="12"/>
  <c r="D3713" i="12"/>
  <c r="D3714" i="12"/>
  <c r="D3715" i="12"/>
  <c r="D3716" i="12"/>
  <c r="D3717" i="12"/>
  <c r="D3718" i="12"/>
  <c r="D3719" i="12"/>
  <c r="D3720" i="12"/>
  <c r="D3721" i="12"/>
  <c r="D3722" i="12"/>
  <c r="D3723" i="12"/>
  <c r="D3724" i="12"/>
  <c r="D3725" i="12"/>
  <c r="D3726" i="12"/>
  <c r="D3727" i="12"/>
  <c r="D3728" i="12"/>
  <c r="D3729" i="12"/>
  <c r="D3730" i="12"/>
  <c r="D3731" i="12"/>
  <c r="D3732" i="12"/>
  <c r="D3733" i="12"/>
  <c r="D3734" i="12"/>
  <c r="D3735" i="12"/>
  <c r="D3736" i="12"/>
  <c r="D3737" i="12"/>
  <c r="D3738" i="12"/>
  <c r="D3739" i="12"/>
  <c r="D3740" i="12"/>
  <c r="D3741" i="12"/>
  <c r="D3742" i="12"/>
  <c r="D3743" i="12"/>
  <c r="D3744" i="12"/>
  <c r="D3745" i="12"/>
  <c r="D3746" i="12"/>
  <c r="D3747" i="12"/>
  <c r="D3748" i="12"/>
  <c r="D3749" i="12"/>
  <c r="D3750" i="12"/>
  <c r="D3751" i="12"/>
  <c r="D3752" i="12"/>
  <c r="D3753" i="12"/>
  <c r="D3754" i="12"/>
  <c r="D3755" i="12"/>
  <c r="D3756" i="12"/>
  <c r="D3757" i="12"/>
  <c r="D3758" i="12"/>
  <c r="D3759" i="12"/>
  <c r="D3760" i="12"/>
  <c r="D3761" i="12"/>
  <c r="D3762" i="12"/>
  <c r="D3763" i="12"/>
  <c r="D3764" i="12"/>
  <c r="D3765" i="12"/>
  <c r="D3766" i="12"/>
  <c r="D3767" i="12"/>
  <c r="D3768" i="12"/>
  <c r="D3769" i="12"/>
  <c r="D3770" i="12"/>
  <c r="D3771" i="12"/>
  <c r="D3772" i="12"/>
  <c r="D3773" i="12"/>
  <c r="D3774" i="12"/>
  <c r="D3775" i="12"/>
  <c r="D3776" i="12"/>
  <c r="D3777" i="12"/>
  <c r="D3778" i="12"/>
  <c r="D3779" i="12"/>
  <c r="D3780" i="12"/>
  <c r="D3781" i="12"/>
  <c r="D3782" i="12"/>
  <c r="D3783" i="12"/>
  <c r="D3784" i="12"/>
  <c r="D3785" i="12"/>
  <c r="D3786" i="12"/>
  <c r="D3787" i="12"/>
  <c r="D3788" i="12"/>
  <c r="D3789" i="12"/>
  <c r="D3790" i="12"/>
  <c r="D3791" i="12"/>
  <c r="D3792" i="12"/>
  <c r="D3793" i="12"/>
  <c r="D3794" i="12"/>
  <c r="D3795" i="12"/>
  <c r="D3796" i="12"/>
  <c r="D3797" i="12"/>
  <c r="D3798" i="12"/>
  <c r="D3799" i="12"/>
  <c r="D3800" i="12"/>
  <c r="D3801" i="12"/>
  <c r="D3802" i="12"/>
  <c r="D3803" i="12"/>
  <c r="D3804" i="12"/>
  <c r="D3805" i="12"/>
  <c r="D3806" i="12"/>
  <c r="D3807" i="12"/>
  <c r="D3808" i="12"/>
  <c r="D3809" i="12"/>
  <c r="D3810" i="12"/>
  <c r="D3811" i="12"/>
  <c r="D3812" i="12"/>
  <c r="D3813" i="12"/>
  <c r="D3814" i="12"/>
  <c r="D3815" i="12"/>
  <c r="D3816" i="12"/>
  <c r="D3817" i="12"/>
  <c r="D3818" i="12"/>
  <c r="D3819" i="12"/>
  <c r="D3820" i="12"/>
  <c r="D3821" i="12"/>
  <c r="D3822" i="12"/>
  <c r="D3823" i="12"/>
  <c r="D3824" i="12"/>
  <c r="D3825" i="12"/>
  <c r="D3826" i="12"/>
  <c r="D3827" i="12"/>
  <c r="D3828" i="12"/>
  <c r="D3829" i="12"/>
  <c r="D3830" i="12"/>
  <c r="D3831" i="12"/>
  <c r="D3832" i="12"/>
  <c r="D3833" i="12"/>
  <c r="D3834" i="12"/>
  <c r="D3835" i="12"/>
  <c r="D3836" i="12"/>
  <c r="D3837" i="12"/>
  <c r="D3838" i="12"/>
  <c r="D3839" i="12"/>
  <c r="D3840" i="12"/>
  <c r="D3841" i="12"/>
  <c r="D3842" i="12"/>
  <c r="D3843" i="12"/>
  <c r="D3844" i="12"/>
  <c r="D3845" i="12"/>
  <c r="D3846" i="12"/>
  <c r="D3847" i="12"/>
  <c r="D3848" i="12"/>
  <c r="D3849" i="12"/>
  <c r="D3850" i="12"/>
  <c r="D3851" i="12"/>
  <c r="D3852" i="12"/>
  <c r="D3853" i="12"/>
  <c r="D3854" i="12"/>
  <c r="D3855" i="12"/>
  <c r="D3856" i="12"/>
  <c r="D3857" i="12"/>
  <c r="D3858" i="12"/>
  <c r="D3859" i="12"/>
  <c r="D3860" i="12"/>
  <c r="D3861" i="12"/>
  <c r="D3862" i="12"/>
  <c r="D3863" i="12"/>
  <c r="D3864" i="12"/>
  <c r="D3865" i="12"/>
  <c r="D3866" i="12"/>
  <c r="D3867" i="12"/>
  <c r="D3868" i="12"/>
  <c r="D3869" i="12"/>
  <c r="D3870" i="12"/>
  <c r="D3871" i="12"/>
  <c r="D3872" i="12"/>
  <c r="D3873" i="12"/>
  <c r="D3874" i="12"/>
  <c r="D3875" i="12"/>
  <c r="D3876" i="12"/>
  <c r="D3877" i="12"/>
  <c r="D3878" i="12"/>
  <c r="D3879" i="12"/>
  <c r="D3880" i="12"/>
  <c r="D3881" i="12"/>
  <c r="D3882" i="12"/>
  <c r="D3883" i="12"/>
  <c r="D3884" i="12"/>
  <c r="D3885" i="12"/>
  <c r="D3886" i="12"/>
  <c r="D3887" i="12"/>
  <c r="D3888" i="12"/>
  <c r="D3889" i="12"/>
  <c r="D3890" i="12"/>
  <c r="D3891" i="12"/>
  <c r="D3892" i="12"/>
  <c r="D3893" i="12"/>
  <c r="D3894" i="12"/>
  <c r="D3895" i="12"/>
  <c r="D3896" i="12"/>
  <c r="D3897" i="12"/>
  <c r="D3898" i="12"/>
  <c r="D3899" i="12"/>
  <c r="D3900" i="12"/>
  <c r="D3901" i="12"/>
  <c r="D3902" i="12"/>
  <c r="D3903" i="12"/>
  <c r="D3904" i="12"/>
  <c r="D3905" i="12"/>
  <c r="D3906" i="12"/>
  <c r="D3907" i="12"/>
  <c r="D3908" i="12"/>
  <c r="D3909" i="12"/>
  <c r="D3910" i="12"/>
  <c r="D3911" i="12"/>
  <c r="D3912" i="12"/>
  <c r="D3913" i="12"/>
  <c r="D3914" i="12"/>
  <c r="D3915" i="12"/>
  <c r="D3916" i="12"/>
  <c r="D3917" i="12"/>
  <c r="D3918" i="12"/>
  <c r="D3919" i="12"/>
  <c r="D3920" i="12"/>
  <c r="D3921" i="12"/>
  <c r="D3922" i="12"/>
  <c r="D3923" i="12"/>
  <c r="D3924" i="12"/>
  <c r="D3925" i="12"/>
  <c r="D3926" i="12"/>
  <c r="D3927" i="12"/>
  <c r="D3928" i="12"/>
  <c r="D3929" i="12"/>
  <c r="D3930" i="12"/>
  <c r="D3931" i="12"/>
  <c r="D3932" i="12"/>
  <c r="D3933" i="12"/>
  <c r="D3934" i="12"/>
  <c r="D3935" i="12"/>
  <c r="D3936" i="12"/>
  <c r="D3937" i="12"/>
  <c r="D3938" i="12"/>
  <c r="D3939" i="12"/>
  <c r="D3940" i="12"/>
  <c r="D3941" i="12"/>
  <c r="D3942" i="12"/>
  <c r="D3943" i="12"/>
  <c r="D3944" i="12"/>
  <c r="D3945" i="12"/>
  <c r="D3946" i="12"/>
  <c r="D3947" i="12"/>
  <c r="D3948" i="12"/>
  <c r="D3949" i="12"/>
  <c r="D3950" i="12"/>
  <c r="D3951" i="12"/>
  <c r="D3952" i="12"/>
  <c r="D3953" i="12"/>
  <c r="D3954" i="12"/>
  <c r="D3955" i="12"/>
  <c r="D3956" i="12"/>
  <c r="D3957" i="12"/>
  <c r="D3958" i="12"/>
  <c r="D3959" i="12"/>
  <c r="D3960" i="12"/>
  <c r="D3961" i="12"/>
  <c r="D3962" i="12"/>
  <c r="D3963" i="12"/>
  <c r="D3964" i="12"/>
  <c r="D3965" i="12"/>
  <c r="D3966" i="12"/>
  <c r="D3967" i="12"/>
  <c r="D3968" i="12"/>
  <c r="D3969" i="12"/>
  <c r="D3970" i="12"/>
  <c r="D3971" i="12"/>
  <c r="D3972" i="12"/>
  <c r="D3973" i="12"/>
  <c r="D3974" i="12"/>
  <c r="D3975" i="12"/>
  <c r="D3976" i="12"/>
  <c r="D3977" i="12"/>
  <c r="D3978" i="12"/>
  <c r="D3979" i="12"/>
  <c r="D3980" i="12"/>
  <c r="D3981" i="12"/>
  <c r="D3982" i="12"/>
  <c r="D3983" i="12"/>
  <c r="D3984" i="12"/>
  <c r="D3985" i="12"/>
  <c r="D3986" i="12"/>
  <c r="D3987" i="12"/>
  <c r="D3988" i="12"/>
  <c r="D3989" i="12"/>
  <c r="D3990" i="12"/>
  <c r="D3991" i="12"/>
  <c r="D3992" i="12"/>
  <c r="D3993" i="12"/>
  <c r="D3994" i="12"/>
  <c r="D3995" i="12"/>
  <c r="D3996" i="12"/>
  <c r="D3997" i="12"/>
  <c r="D3998" i="12"/>
  <c r="D3999" i="12"/>
  <c r="D4000" i="12"/>
  <c r="D4001" i="12"/>
  <c r="D4002" i="12"/>
  <c r="D4003" i="12"/>
  <c r="D4004" i="12"/>
  <c r="D4005" i="12"/>
  <c r="D4006" i="12"/>
  <c r="D4007" i="12"/>
  <c r="D4008" i="12"/>
  <c r="D4009" i="12"/>
  <c r="D4010" i="12"/>
  <c r="D4011" i="12"/>
  <c r="D4012" i="12"/>
  <c r="D4013" i="12"/>
  <c r="D4014" i="12"/>
  <c r="D4015" i="12"/>
  <c r="D4016" i="12"/>
  <c r="D4017" i="12"/>
  <c r="D4018" i="12"/>
  <c r="D4019" i="12"/>
  <c r="D4020" i="12"/>
  <c r="D4021" i="12"/>
  <c r="D4022" i="12"/>
  <c r="D4023" i="12"/>
  <c r="D4024" i="12"/>
  <c r="D4025" i="12"/>
  <c r="D4026" i="12"/>
  <c r="D4027" i="12"/>
  <c r="D4028" i="12"/>
  <c r="D4029" i="12"/>
  <c r="D4030" i="12"/>
  <c r="D4031" i="12"/>
  <c r="D4032" i="12"/>
  <c r="D4033" i="12"/>
  <c r="D4034" i="12"/>
  <c r="D4035" i="12"/>
  <c r="D4036" i="12"/>
  <c r="D4037" i="12"/>
  <c r="D4038" i="12"/>
  <c r="D4039" i="12"/>
  <c r="D4040" i="12"/>
  <c r="D4041" i="12"/>
  <c r="D4042" i="12"/>
  <c r="D4043" i="12"/>
  <c r="D4044" i="12"/>
  <c r="D4045" i="12"/>
  <c r="D4046" i="12"/>
  <c r="D4047" i="12"/>
  <c r="D4048" i="12"/>
  <c r="D4049" i="12"/>
  <c r="D4050" i="12"/>
  <c r="D4051" i="12"/>
  <c r="D4052" i="12"/>
  <c r="D4053" i="12"/>
  <c r="D4054" i="12"/>
  <c r="D4055" i="12"/>
  <c r="D4056" i="12"/>
  <c r="D4057" i="12"/>
  <c r="D4058" i="12"/>
  <c r="D4059" i="12"/>
  <c r="D4060" i="12"/>
  <c r="D4061" i="12"/>
  <c r="D4062" i="12"/>
  <c r="D4063" i="12"/>
  <c r="D4064" i="12"/>
  <c r="D4065" i="12"/>
  <c r="D4066" i="12"/>
  <c r="D4067" i="12"/>
  <c r="D4068" i="12"/>
  <c r="D4069" i="12"/>
  <c r="D4070" i="12"/>
  <c r="D4071" i="12"/>
  <c r="D4072" i="12"/>
  <c r="D4073" i="12"/>
  <c r="D4074" i="12"/>
  <c r="D4075" i="12"/>
  <c r="D4076" i="12"/>
  <c r="D4077" i="12"/>
  <c r="D4078" i="12"/>
  <c r="D4079" i="12"/>
  <c r="D4080" i="12"/>
  <c r="D4081" i="12"/>
  <c r="D4082" i="12"/>
  <c r="D4083" i="12"/>
  <c r="D4084" i="12"/>
  <c r="D4085" i="12"/>
  <c r="D4086" i="12"/>
  <c r="D4087" i="12"/>
  <c r="D4088" i="12"/>
  <c r="D4089" i="12"/>
  <c r="D4090" i="12"/>
  <c r="D4091" i="12"/>
  <c r="D4092" i="12"/>
  <c r="D4093" i="12"/>
  <c r="D4094" i="12"/>
  <c r="D4095" i="12"/>
  <c r="D4096" i="12"/>
  <c r="D4097" i="12"/>
  <c r="D4098" i="12"/>
  <c r="D4099" i="12"/>
  <c r="D4100" i="12"/>
  <c r="D4101" i="12"/>
  <c r="D4102" i="12"/>
  <c r="D4103" i="12"/>
  <c r="D4104" i="12"/>
  <c r="D4105" i="12"/>
  <c r="D4106" i="12"/>
  <c r="D4107" i="12"/>
  <c r="D4108" i="12"/>
  <c r="D4109" i="12"/>
  <c r="D4110" i="12"/>
  <c r="D4111" i="12"/>
  <c r="D4112" i="12"/>
  <c r="D4113" i="12"/>
  <c r="D4114" i="12"/>
  <c r="D4115" i="12"/>
  <c r="D4116" i="12"/>
  <c r="D4117" i="12"/>
  <c r="D4118" i="12"/>
  <c r="D4119" i="12"/>
  <c r="D4120" i="12"/>
  <c r="D4121" i="12"/>
  <c r="D4122" i="12"/>
  <c r="D4123" i="12"/>
  <c r="D4124" i="12"/>
  <c r="D4125" i="12"/>
  <c r="D4126" i="12"/>
  <c r="D4127" i="12"/>
  <c r="D4128" i="12"/>
  <c r="D4129" i="12"/>
  <c r="D4130" i="12"/>
  <c r="D4131" i="12"/>
  <c r="D4132" i="12"/>
  <c r="D4133" i="12"/>
  <c r="D4134" i="12"/>
  <c r="D4135" i="12"/>
  <c r="D4136" i="12"/>
  <c r="D4137" i="12"/>
  <c r="D4138" i="12"/>
  <c r="D4139" i="12"/>
  <c r="D4140" i="12"/>
  <c r="D4141" i="12"/>
  <c r="D4142" i="12"/>
  <c r="D4143" i="12"/>
  <c r="D4144" i="12"/>
  <c r="D4145" i="12"/>
  <c r="D4146" i="12"/>
  <c r="D4147" i="12"/>
  <c r="D4148" i="12"/>
  <c r="D4149" i="12"/>
  <c r="D4150" i="12"/>
  <c r="D4151" i="12"/>
  <c r="D4152" i="12"/>
  <c r="D4153" i="12"/>
  <c r="D4154" i="12"/>
  <c r="D4155" i="12"/>
  <c r="D4156" i="12"/>
  <c r="D4157" i="12"/>
  <c r="D4158" i="12"/>
  <c r="D4159" i="12"/>
  <c r="D4160" i="12"/>
  <c r="D4161" i="12"/>
  <c r="D4162" i="12"/>
  <c r="D4163" i="12"/>
  <c r="D4164" i="12"/>
  <c r="D4165" i="12"/>
  <c r="D4166" i="12"/>
  <c r="D4167" i="12"/>
  <c r="D4168" i="12"/>
  <c r="D4169" i="12"/>
  <c r="D4170" i="12"/>
  <c r="D4171" i="12"/>
  <c r="D4172" i="12"/>
  <c r="D4173" i="12"/>
  <c r="D4174" i="12"/>
  <c r="D4175" i="12"/>
  <c r="D4176" i="12"/>
  <c r="D4177" i="12"/>
  <c r="D4178" i="12"/>
  <c r="D4179" i="12"/>
  <c r="D4180" i="12"/>
  <c r="D4181" i="12"/>
  <c r="D4182" i="12"/>
  <c r="D4183" i="12"/>
  <c r="D4184" i="12"/>
  <c r="D4185" i="12"/>
  <c r="D4186" i="12"/>
  <c r="D4187" i="12"/>
  <c r="D4188" i="12"/>
  <c r="D4189" i="12"/>
  <c r="D4190" i="12"/>
  <c r="D4191" i="12"/>
  <c r="D4192" i="12"/>
  <c r="D4193" i="12"/>
  <c r="D4194" i="12"/>
  <c r="D4195" i="12"/>
  <c r="D4196" i="12"/>
  <c r="D4197" i="12"/>
  <c r="D4198" i="12"/>
  <c r="D4199" i="12"/>
  <c r="D4200" i="12"/>
  <c r="D4201" i="12"/>
  <c r="D4202" i="12"/>
  <c r="D4203" i="12"/>
  <c r="D4204" i="12"/>
  <c r="D4205" i="12"/>
  <c r="D4206" i="12"/>
  <c r="D4207" i="12"/>
  <c r="D4208" i="12"/>
  <c r="D4209" i="12"/>
  <c r="D4210" i="12"/>
  <c r="D4211" i="12"/>
  <c r="D4212" i="12"/>
  <c r="D4213" i="12"/>
  <c r="D4214" i="12"/>
  <c r="D4215" i="12"/>
  <c r="D4216" i="12"/>
  <c r="D4217" i="12"/>
  <c r="D4218" i="12"/>
  <c r="D4219" i="12"/>
  <c r="D4220" i="12"/>
  <c r="D4221" i="12"/>
  <c r="D4222" i="12"/>
  <c r="D4223" i="12"/>
  <c r="D4224" i="12"/>
  <c r="D4225" i="12"/>
  <c r="D4226" i="12"/>
  <c r="D4227" i="12"/>
  <c r="D4228" i="12"/>
  <c r="D4229" i="12"/>
  <c r="D4230" i="12"/>
  <c r="D4231" i="12"/>
  <c r="D4232" i="12"/>
  <c r="D4233" i="12"/>
  <c r="D4234" i="12"/>
  <c r="D4235" i="12"/>
  <c r="D4236" i="12"/>
  <c r="D4237" i="12"/>
  <c r="D4238" i="12"/>
  <c r="D4239" i="12"/>
  <c r="D4240" i="12"/>
  <c r="D4241" i="12"/>
  <c r="D4242" i="12"/>
  <c r="D4243" i="12"/>
  <c r="D4244" i="12"/>
  <c r="D4245" i="12"/>
  <c r="D4246" i="12"/>
  <c r="D4247" i="12"/>
  <c r="D4248" i="12"/>
  <c r="D4249" i="12"/>
  <c r="D4250" i="12"/>
  <c r="D4251" i="12"/>
  <c r="D4252" i="12"/>
  <c r="D4253" i="12"/>
  <c r="D4254" i="12"/>
  <c r="D4255" i="12"/>
  <c r="D4256" i="12"/>
  <c r="D4257" i="12"/>
  <c r="D4258" i="12"/>
  <c r="D4259" i="12"/>
  <c r="D4260" i="12"/>
  <c r="D4261" i="12"/>
  <c r="D4262" i="12"/>
  <c r="D4263" i="12"/>
  <c r="D4264" i="12"/>
  <c r="D4265" i="12"/>
  <c r="D4266" i="12"/>
  <c r="D4267" i="12"/>
  <c r="D4268" i="12"/>
  <c r="D4269" i="12"/>
  <c r="D4270" i="12"/>
  <c r="D4271" i="12"/>
  <c r="D4272" i="12"/>
  <c r="D4273" i="12"/>
  <c r="D4274" i="12"/>
  <c r="D4275" i="12"/>
  <c r="D4276" i="12"/>
  <c r="D4277" i="12"/>
  <c r="D4278" i="12"/>
  <c r="D4279" i="12"/>
  <c r="D4280" i="12"/>
  <c r="D4281" i="12"/>
  <c r="D4282" i="12"/>
  <c r="D4283" i="12"/>
  <c r="D4284" i="12"/>
  <c r="D4285" i="12"/>
  <c r="D4286" i="12"/>
  <c r="D4287" i="12"/>
  <c r="D4288" i="12"/>
  <c r="D4289" i="12"/>
  <c r="D4290" i="12"/>
  <c r="D4291" i="12"/>
  <c r="D4292" i="12"/>
  <c r="D4293" i="12"/>
  <c r="D4294" i="12"/>
  <c r="D4295" i="12"/>
  <c r="D4296" i="12"/>
  <c r="D4297" i="12"/>
  <c r="D4298" i="12"/>
  <c r="D4299" i="12"/>
  <c r="D4300" i="12"/>
  <c r="D4301" i="12"/>
  <c r="D4302" i="12"/>
  <c r="D4303" i="12"/>
  <c r="D4304" i="12"/>
  <c r="D4305" i="12"/>
  <c r="D4306" i="12"/>
  <c r="D4307" i="12"/>
  <c r="D4308" i="12"/>
  <c r="D4309" i="12"/>
  <c r="D4310" i="12"/>
  <c r="D4311" i="12"/>
  <c r="D4312" i="12"/>
  <c r="D4313" i="12"/>
  <c r="D4314" i="12"/>
  <c r="D4315" i="12"/>
  <c r="D4316" i="12"/>
  <c r="D4317" i="12"/>
  <c r="D4318" i="12"/>
  <c r="D4319" i="12"/>
  <c r="D4320" i="12"/>
  <c r="D4321" i="12"/>
  <c r="D4322" i="12"/>
  <c r="D4323" i="12"/>
  <c r="D4324" i="12"/>
  <c r="D4325" i="12"/>
  <c r="D4326" i="12"/>
  <c r="D4327" i="12"/>
  <c r="D4328" i="12"/>
  <c r="D4329" i="12"/>
  <c r="D4330" i="12"/>
  <c r="D4331" i="12"/>
  <c r="D4332" i="12"/>
  <c r="D4333" i="12"/>
  <c r="D4334" i="12"/>
  <c r="D4335" i="12"/>
  <c r="D4336" i="12"/>
  <c r="D4337" i="12"/>
  <c r="D4338" i="12"/>
  <c r="D4339" i="12"/>
  <c r="D4340" i="12"/>
  <c r="D4341" i="12"/>
  <c r="D4342" i="12"/>
  <c r="D4343" i="12"/>
  <c r="D4344" i="12"/>
  <c r="D4345" i="12"/>
  <c r="D4346" i="12"/>
  <c r="D4347" i="12"/>
  <c r="D4348" i="12"/>
  <c r="D4349" i="12"/>
  <c r="D4350" i="12"/>
  <c r="D4351" i="12"/>
  <c r="D4352" i="12"/>
  <c r="D4353" i="12"/>
  <c r="D4354" i="12"/>
  <c r="D4355" i="12"/>
  <c r="D4356" i="12"/>
  <c r="D4357" i="12"/>
  <c r="D4358" i="12"/>
  <c r="D4359" i="12"/>
  <c r="D4360" i="12"/>
  <c r="D4361" i="12"/>
  <c r="D4362" i="12"/>
  <c r="D4363" i="12"/>
  <c r="D4364" i="12"/>
  <c r="D4365" i="12"/>
  <c r="D4366" i="12"/>
  <c r="D4367" i="12"/>
  <c r="D4368" i="12"/>
  <c r="D4369" i="12"/>
  <c r="D4370" i="12"/>
  <c r="D4371" i="12"/>
  <c r="D4372" i="12"/>
  <c r="D4373" i="12"/>
  <c r="D4374" i="12"/>
  <c r="D4375" i="12"/>
  <c r="D4376" i="12"/>
  <c r="D4377" i="12"/>
  <c r="D4378" i="12"/>
  <c r="D4379" i="12"/>
  <c r="D4380" i="12"/>
  <c r="D4381" i="12"/>
  <c r="D4382" i="12"/>
  <c r="D4383" i="12"/>
  <c r="D4384" i="12"/>
  <c r="D4385" i="12"/>
  <c r="D4386" i="12"/>
  <c r="D4387" i="12"/>
  <c r="D4388" i="12"/>
  <c r="D4389" i="12"/>
  <c r="D4390" i="12"/>
  <c r="D4391" i="12"/>
  <c r="D4392" i="12"/>
  <c r="D4393" i="12"/>
  <c r="D4394" i="12"/>
  <c r="D4395" i="12"/>
  <c r="D4396" i="12"/>
  <c r="D4397" i="12"/>
  <c r="D4398" i="12"/>
  <c r="D4399" i="12"/>
  <c r="D4400" i="12"/>
  <c r="D4401" i="12"/>
  <c r="D4402" i="12"/>
  <c r="D4403" i="12"/>
  <c r="D4404" i="12"/>
  <c r="D4405" i="12"/>
  <c r="D4406" i="12"/>
  <c r="D4407" i="12"/>
  <c r="D4408" i="12"/>
  <c r="D4409" i="12"/>
  <c r="D4410" i="12"/>
  <c r="D4411" i="12"/>
  <c r="D4412" i="12"/>
  <c r="D4413" i="12"/>
  <c r="D4414" i="12"/>
  <c r="D4415" i="12"/>
  <c r="D4416" i="12"/>
  <c r="D4417" i="12"/>
  <c r="D4418" i="12"/>
  <c r="D4419" i="12"/>
  <c r="D4420" i="12"/>
  <c r="D4421" i="12"/>
  <c r="D4422" i="12"/>
  <c r="D4423" i="12"/>
  <c r="D4424" i="12"/>
  <c r="D4425" i="12"/>
  <c r="D4426" i="12"/>
  <c r="D4427" i="12"/>
  <c r="D4428" i="12"/>
  <c r="D4429" i="12"/>
  <c r="D4430" i="12"/>
  <c r="D4431" i="12"/>
  <c r="D4432" i="12"/>
  <c r="D4433" i="12"/>
  <c r="D4434" i="12"/>
  <c r="D4435" i="12"/>
  <c r="D4436" i="12"/>
  <c r="D4437" i="12"/>
  <c r="D4438" i="12"/>
  <c r="D4439" i="12"/>
  <c r="D4440" i="12"/>
  <c r="D4441" i="12"/>
  <c r="D4442" i="12"/>
  <c r="D4443" i="12"/>
  <c r="D4444" i="12"/>
  <c r="D4445" i="12"/>
  <c r="D4446" i="12"/>
  <c r="D4447" i="12"/>
  <c r="D4448" i="12"/>
  <c r="D4449" i="12"/>
  <c r="D4450" i="12"/>
  <c r="D4451" i="12"/>
  <c r="D4452" i="12"/>
  <c r="D4453" i="12"/>
  <c r="D4454" i="12"/>
  <c r="D4455" i="12"/>
  <c r="D4456" i="12"/>
  <c r="D4457" i="12"/>
  <c r="D4458" i="12"/>
  <c r="D4459" i="12"/>
  <c r="D4460" i="12"/>
  <c r="D4461" i="12"/>
  <c r="D4462" i="12"/>
  <c r="D4463" i="12"/>
  <c r="D4464" i="12"/>
  <c r="D4465" i="12"/>
  <c r="D4466" i="12"/>
  <c r="D4467" i="12"/>
  <c r="D4468" i="12"/>
  <c r="D4469" i="12"/>
  <c r="D4470" i="12"/>
  <c r="D4471" i="12"/>
  <c r="D4472" i="12"/>
  <c r="D4473" i="12"/>
  <c r="D4474" i="12"/>
  <c r="D4475" i="12"/>
  <c r="D4476" i="12"/>
  <c r="D4477" i="12"/>
  <c r="D4478" i="12"/>
  <c r="D4479" i="12"/>
  <c r="D4480" i="12"/>
  <c r="D4481" i="12"/>
  <c r="D4482" i="12"/>
  <c r="D4483" i="12"/>
  <c r="D4484" i="12"/>
  <c r="D4485" i="12"/>
  <c r="D4486" i="12"/>
  <c r="D4487" i="12"/>
  <c r="D4488" i="12"/>
  <c r="D4489" i="12"/>
  <c r="D4490" i="12"/>
  <c r="D4491" i="12"/>
  <c r="D4492" i="12"/>
  <c r="D4493" i="12"/>
  <c r="D4494" i="12"/>
  <c r="D4495" i="12"/>
  <c r="D4496" i="12"/>
  <c r="D4497" i="12"/>
  <c r="D4498" i="12"/>
  <c r="D4499" i="12"/>
  <c r="D4500" i="12"/>
  <c r="D4501" i="12"/>
  <c r="D4502" i="12"/>
  <c r="D4503" i="12"/>
  <c r="D4504" i="12"/>
  <c r="D4505" i="12"/>
  <c r="D4506" i="12"/>
  <c r="D4507" i="12"/>
  <c r="D4508" i="12"/>
  <c r="D4509" i="12"/>
  <c r="D4510" i="12"/>
  <c r="D4511" i="12"/>
  <c r="D4512" i="12"/>
  <c r="D4513" i="12"/>
  <c r="D4514" i="12"/>
  <c r="D4515" i="12"/>
  <c r="D4516" i="12"/>
  <c r="D4517" i="12"/>
  <c r="D4518" i="12"/>
  <c r="D4519" i="12"/>
  <c r="D4520" i="12"/>
  <c r="D4521" i="12"/>
  <c r="D4522" i="12"/>
  <c r="D4523" i="12"/>
  <c r="D4524" i="12"/>
  <c r="D4525" i="12"/>
  <c r="D4526" i="12"/>
  <c r="D4527" i="12"/>
  <c r="D4528" i="12"/>
  <c r="D4529" i="12"/>
  <c r="D4530" i="12"/>
  <c r="D4531" i="12"/>
  <c r="D4532" i="12"/>
  <c r="D4533" i="12"/>
  <c r="D4534" i="12"/>
  <c r="D4535" i="12"/>
  <c r="D4536" i="12"/>
  <c r="D4537" i="12"/>
  <c r="D4538" i="12"/>
  <c r="D4539" i="12"/>
  <c r="D4540" i="12"/>
  <c r="D4541" i="12"/>
  <c r="D4542" i="12"/>
  <c r="D4543" i="12"/>
  <c r="D4544" i="12"/>
  <c r="D4545" i="12"/>
  <c r="D4546" i="12"/>
  <c r="D4547" i="12"/>
  <c r="D4548" i="12"/>
  <c r="D4549" i="12"/>
  <c r="D4550" i="12"/>
  <c r="D4551" i="12"/>
  <c r="D4552" i="12"/>
  <c r="D4553" i="12"/>
  <c r="D4554" i="12"/>
  <c r="D4555" i="12"/>
  <c r="D4556" i="12"/>
  <c r="D4557" i="12"/>
  <c r="D4558" i="12"/>
  <c r="D4559" i="12"/>
  <c r="D4560" i="12"/>
  <c r="D4561" i="12"/>
  <c r="D4562" i="12"/>
  <c r="D4563" i="12"/>
  <c r="D4564" i="12"/>
  <c r="D4565" i="12"/>
  <c r="D4566" i="12"/>
  <c r="D4567" i="12"/>
  <c r="D4568" i="12"/>
  <c r="D4569" i="12"/>
  <c r="D4570" i="12"/>
  <c r="D4571" i="12"/>
  <c r="D4572" i="12"/>
  <c r="D4573" i="12"/>
  <c r="D4574" i="12"/>
  <c r="D4575" i="12"/>
  <c r="D4576" i="12"/>
  <c r="D4577" i="12"/>
  <c r="D4578" i="12"/>
  <c r="D4579" i="12"/>
  <c r="D4580" i="12"/>
  <c r="D4581" i="12"/>
  <c r="D4582" i="12"/>
  <c r="D4583" i="12"/>
  <c r="D4584" i="12"/>
  <c r="D4585" i="12"/>
  <c r="D4586" i="12"/>
  <c r="D4587" i="12"/>
  <c r="D4588" i="12"/>
  <c r="D4589" i="12"/>
  <c r="D4590" i="12"/>
  <c r="D4591" i="12"/>
  <c r="D4592" i="12"/>
  <c r="D4593" i="12"/>
  <c r="D4594" i="12"/>
  <c r="D4595" i="12"/>
  <c r="D4596" i="12"/>
  <c r="D4597" i="12"/>
  <c r="D4598" i="12"/>
  <c r="D4599" i="12"/>
  <c r="D4600" i="12"/>
  <c r="D4601" i="12"/>
  <c r="D4602" i="12"/>
  <c r="D4603" i="12"/>
  <c r="D4604" i="12"/>
  <c r="D4605" i="12"/>
  <c r="D4606" i="12"/>
  <c r="D4607" i="12"/>
  <c r="D4608" i="12"/>
  <c r="D4609" i="12"/>
  <c r="D4610" i="12"/>
  <c r="D4611" i="12"/>
  <c r="D4612" i="12"/>
  <c r="D4613" i="12"/>
  <c r="D4614" i="12"/>
  <c r="D4615" i="12"/>
  <c r="D4616" i="12"/>
  <c r="D4617" i="12"/>
  <c r="D4618" i="12"/>
  <c r="D4619" i="12"/>
  <c r="D4620" i="12"/>
  <c r="D4621" i="12"/>
  <c r="D4622" i="12"/>
  <c r="D4623" i="12"/>
  <c r="D4624" i="12"/>
  <c r="D4625" i="12"/>
  <c r="D4626" i="12"/>
  <c r="D4627" i="12"/>
  <c r="D4628" i="12"/>
  <c r="D4629" i="12"/>
  <c r="D4630" i="12"/>
  <c r="D4631" i="12"/>
  <c r="D4632" i="12"/>
  <c r="D4633" i="12"/>
  <c r="D4634" i="12"/>
  <c r="D4635" i="12"/>
  <c r="D4636" i="12"/>
  <c r="D4637" i="12"/>
  <c r="D4638" i="12"/>
  <c r="D4639" i="12"/>
  <c r="D4640" i="12"/>
  <c r="D4641" i="12"/>
  <c r="D4642" i="12"/>
  <c r="D4643" i="12"/>
  <c r="D4644" i="12"/>
  <c r="D4645" i="12"/>
  <c r="D4646" i="12"/>
  <c r="D4647" i="12"/>
  <c r="D4648" i="12"/>
  <c r="D4649" i="12"/>
  <c r="D4650" i="12"/>
  <c r="D4651" i="12"/>
  <c r="D4652" i="12"/>
  <c r="D4653" i="12"/>
  <c r="D4654" i="12"/>
  <c r="D4655" i="12"/>
  <c r="D4656" i="12"/>
  <c r="D4657" i="12"/>
  <c r="D4658" i="12"/>
  <c r="D4659" i="12"/>
  <c r="D4660" i="12"/>
  <c r="D4661" i="12"/>
  <c r="D4662" i="12"/>
  <c r="D4663" i="12"/>
  <c r="D4664" i="12"/>
  <c r="D4665" i="12"/>
  <c r="D4666" i="12"/>
  <c r="D4667" i="12"/>
  <c r="D4668" i="12"/>
  <c r="D4669" i="12"/>
  <c r="D4670" i="12"/>
  <c r="D4671" i="12"/>
  <c r="D4672" i="12"/>
  <c r="D4673" i="12"/>
  <c r="D4674" i="12"/>
  <c r="D4675" i="12"/>
  <c r="D4676" i="12"/>
  <c r="D4677" i="12"/>
  <c r="D4678" i="12"/>
  <c r="D4679" i="12"/>
  <c r="D4680" i="12"/>
  <c r="D4681" i="12"/>
  <c r="D4682" i="12"/>
  <c r="D4683" i="12"/>
  <c r="D4684" i="12"/>
  <c r="D4685" i="12"/>
  <c r="D4686" i="12"/>
  <c r="D4687" i="12"/>
  <c r="D4688" i="12"/>
  <c r="D4689" i="12"/>
  <c r="D4690" i="12"/>
  <c r="D4691" i="12"/>
  <c r="D4692" i="12"/>
  <c r="D4693" i="12"/>
  <c r="D4694" i="12"/>
  <c r="D4695" i="12"/>
  <c r="D4696" i="12"/>
  <c r="D4697" i="12"/>
  <c r="D4698" i="12"/>
  <c r="D4699" i="12"/>
  <c r="D4700" i="12"/>
  <c r="D4701" i="12"/>
  <c r="D4702" i="12"/>
  <c r="D4703" i="12"/>
  <c r="D4704" i="12"/>
  <c r="D4705" i="12"/>
  <c r="D4706" i="12"/>
  <c r="D4707" i="12"/>
  <c r="D4708" i="12"/>
  <c r="D4709" i="12"/>
  <c r="D4710" i="12"/>
  <c r="D4711" i="12"/>
  <c r="D4712" i="12"/>
  <c r="D4713" i="12"/>
  <c r="D4714" i="12"/>
  <c r="D4715" i="12"/>
  <c r="D4716" i="12"/>
  <c r="D4717" i="12"/>
  <c r="D4718" i="12"/>
  <c r="D4719" i="12"/>
  <c r="D4720" i="12"/>
  <c r="D4721" i="12"/>
  <c r="D4722" i="12"/>
  <c r="D4723" i="12"/>
  <c r="D4724" i="12"/>
  <c r="D4725" i="12"/>
  <c r="D4726" i="12"/>
  <c r="D4727" i="12"/>
  <c r="D4728" i="12"/>
  <c r="D4729" i="12"/>
  <c r="D4730" i="12"/>
  <c r="D4731" i="12"/>
  <c r="D4732" i="12"/>
  <c r="D4733" i="12"/>
  <c r="D4734" i="12"/>
  <c r="D4735" i="12"/>
  <c r="D4736" i="12"/>
  <c r="D4737" i="12"/>
  <c r="D4738" i="12"/>
  <c r="D4739" i="12"/>
  <c r="D4740" i="12"/>
  <c r="D4741" i="12"/>
  <c r="D4742" i="12"/>
  <c r="D4743" i="12"/>
  <c r="D4744" i="12"/>
  <c r="D4745" i="12"/>
  <c r="D4746" i="12"/>
  <c r="D4747" i="12"/>
  <c r="D4748" i="12"/>
  <c r="D4749" i="12"/>
  <c r="D4750" i="12"/>
  <c r="D4751" i="12"/>
  <c r="D4752" i="12"/>
  <c r="D4753" i="12"/>
  <c r="D4754" i="12"/>
  <c r="D4755" i="12"/>
  <c r="D4756" i="12"/>
  <c r="D4757" i="12"/>
  <c r="D4758" i="12"/>
  <c r="D4759" i="12"/>
  <c r="D4760" i="12"/>
  <c r="D4761" i="12"/>
  <c r="D4762" i="12"/>
  <c r="D4763" i="12"/>
  <c r="D4764" i="12"/>
  <c r="D4765" i="12"/>
  <c r="D4766" i="12"/>
  <c r="D4767" i="12"/>
  <c r="D4768" i="12"/>
  <c r="D4769" i="12"/>
  <c r="D4770" i="12"/>
  <c r="D4771" i="12"/>
  <c r="D4772" i="12"/>
  <c r="D4773" i="12"/>
  <c r="D4774" i="12"/>
  <c r="D4775" i="12"/>
  <c r="D4776" i="12"/>
  <c r="D4777" i="12"/>
  <c r="D4778" i="12"/>
  <c r="D4779" i="12"/>
  <c r="D4780" i="12"/>
  <c r="D4781" i="12"/>
  <c r="D4782" i="12"/>
  <c r="D4783" i="12"/>
  <c r="D4784" i="12"/>
  <c r="D4785" i="12"/>
  <c r="D4786" i="12"/>
  <c r="D4787" i="12"/>
  <c r="D4788" i="12"/>
  <c r="D4789" i="12"/>
  <c r="D4790" i="12"/>
  <c r="D4791" i="12"/>
  <c r="D4792" i="12"/>
  <c r="D4793" i="12"/>
  <c r="D4794" i="12"/>
  <c r="D4795" i="12"/>
  <c r="D4796" i="12"/>
  <c r="D4797" i="12"/>
  <c r="D4798" i="12"/>
  <c r="D4799" i="12"/>
  <c r="D4800" i="12"/>
  <c r="D4801" i="12"/>
  <c r="D4802" i="12"/>
  <c r="D4803" i="12"/>
  <c r="D4804" i="12"/>
  <c r="D4805" i="12"/>
  <c r="D4806" i="12"/>
  <c r="D4807" i="12"/>
  <c r="D4808" i="12"/>
  <c r="D4809" i="12"/>
  <c r="D4810" i="12"/>
  <c r="D4811" i="12"/>
  <c r="D4812" i="12"/>
  <c r="D4813" i="12"/>
  <c r="D4814" i="12"/>
  <c r="D4815" i="12"/>
  <c r="D4816" i="12"/>
  <c r="D4817" i="12"/>
  <c r="D4818" i="12"/>
  <c r="D4819" i="12"/>
  <c r="D4820" i="12"/>
  <c r="D4821" i="12"/>
  <c r="D4822" i="12"/>
  <c r="D4823" i="12"/>
  <c r="D4824" i="12"/>
  <c r="D4825" i="12"/>
  <c r="D4826" i="12"/>
  <c r="D4827" i="12"/>
  <c r="D4828" i="12"/>
  <c r="D4829" i="12"/>
  <c r="D4830" i="12"/>
  <c r="D4831" i="12"/>
  <c r="D4832" i="12"/>
  <c r="D4833" i="12"/>
  <c r="D4834" i="12"/>
  <c r="D4835" i="12"/>
  <c r="D4836" i="12"/>
  <c r="D4837" i="12"/>
  <c r="D4838" i="12"/>
  <c r="D4839" i="12"/>
  <c r="D4840" i="12"/>
  <c r="D4841" i="12"/>
  <c r="D4842" i="12"/>
  <c r="D4843" i="12"/>
  <c r="D4844" i="12"/>
  <c r="D4845" i="12"/>
  <c r="D4846" i="12"/>
  <c r="D4847" i="12"/>
  <c r="D4848" i="12"/>
  <c r="D4849" i="12"/>
  <c r="D4850" i="12"/>
  <c r="D4851" i="12"/>
  <c r="D4852" i="12"/>
  <c r="D4853" i="12"/>
  <c r="D4854" i="12"/>
  <c r="D4855" i="12"/>
  <c r="D4856" i="12"/>
  <c r="D4857" i="12"/>
  <c r="D4858" i="12"/>
  <c r="D4859" i="12"/>
  <c r="D4860" i="12"/>
  <c r="D4861" i="12"/>
  <c r="D4862" i="12"/>
  <c r="D4863" i="12"/>
  <c r="D4864" i="12"/>
  <c r="D4865" i="12"/>
  <c r="D4866" i="12"/>
  <c r="D4867" i="12"/>
  <c r="D4868" i="12"/>
  <c r="D4869" i="12"/>
  <c r="D4870" i="12"/>
  <c r="D4871" i="12"/>
  <c r="D4872" i="12"/>
  <c r="D4873" i="12"/>
  <c r="D4874" i="12"/>
  <c r="D4875" i="12"/>
  <c r="D4876" i="12"/>
  <c r="D4877" i="12"/>
  <c r="D4878" i="12"/>
  <c r="D4879" i="12"/>
  <c r="D4880" i="12"/>
  <c r="D4881" i="12"/>
  <c r="D4882" i="12"/>
  <c r="D4883" i="12"/>
  <c r="D4884" i="12"/>
  <c r="D4885" i="12"/>
  <c r="D4886" i="12"/>
  <c r="D4887" i="12"/>
  <c r="D4888" i="12"/>
  <c r="D4889" i="12"/>
  <c r="D4890" i="12"/>
  <c r="D4891" i="12"/>
  <c r="D4892" i="12"/>
  <c r="D4893" i="12"/>
  <c r="D4894" i="12"/>
  <c r="D4895" i="12"/>
  <c r="D4896" i="12"/>
  <c r="D4897" i="12"/>
  <c r="D4898" i="12"/>
  <c r="D4899" i="12"/>
  <c r="D4900" i="12"/>
  <c r="D4901" i="12"/>
  <c r="D4902" i="12"/>
  <c r="D4903" i="12"/>
  <c r="D4904" i="12"/>
  <c r="D4905" i="12"/>
  <c r="D4906" i="12"/>
  <c r="D4907" i="12"/>
  <c r="D4908" i="12"/>
  <c r="D4909" i="12"/>
  <c r="D4910" i="12"/>
  <c r="D4911" i="12"/>
  <c r="D4912" i="12"/>
  <c r="D4913" i="12"/>
  <c r="D4914" i="12"/>
  <c r="D4915" i="12"/>
  <c r="D4916" i="12"/>
  <c r="D4917" i="12"/>
  <c r="D4918" i="12"/>
  <c r="D4919" i="12"/>
  <c r="D4920" i="12"/>
  <c r="D4921" i="12"/>
  <c r="D4922" i="12"/>
  <c r="D4923" i="12"/>
  <c r="D4924" i="12"/>
  <c r="D4925" i="12"/>
  <c r="D4926" i="12"/>
  <c r="D4927" i="12"/>
  <c r="D4928" i="12"/>
  <c r="D4929" i="12"/>
  <c r="D4930" i="12"/>
  <c r="D4931" i="12"/>
  <c r="D4932" i="12"/>
  <c r="D4933" i="12"/>
  <c r="D4934" i="12"/>
  <c r="D4935" i="12"/>
  <c r="D4936" i="12"/>
  <c r="D4937" i="12"/>
  <c r="D4938" i="12"/>
  <c r="D4939" i="12"/>
  <c r="D4940" i="12"/>
  <c r="D4941" i="12"/>
  <c r="D4942" i="12"/>
  <c r="D4943" i="12"/>
  <c r="D4944" i="12"/>
  <c r="D4945" i="12"/>
  <c r="D4946" i="12"/>
  <c r="D4947" i="12"/>
  <c r="D4948" i="12"/>
  <c r="D4949" i="12"/>
  <c r="D4950" i="12"/>
  <c r="D4951" i="12"/>
  <c r="D4952" i="12"/>
  <c r="D4953" i="12"/>
  <c r="D4954" i="12"/>
  <c r="D4955" i="12"/>
  <c r="D55" i="12"/>
  <c r="D40"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9" i="10"/>
  <c r="E39" i="9"/>
  <c r="E37" i="9"/>
  <c r="E35" i="9"/>
  <c r="E33" i="9"/>
  <c r="E31" i="9"/>
  <c r="F29" i="9"/>
  <c r="E29" i="9"/>
  <c r="T1486" i="12" l="1"/>
  <c r="U1486" i="12"/>
  <c r="T1500" i="12"/>
  <c r="U1500" i="12"/>
  <c r="U4916" i="12"/>
  <c r="T4916" i="12"/>
  <c r="U4860" i="12"/>
  <c r="T4860" i="12"/>
  <c r="U4804" i="12"/>
  <c r="T4804" i="12"/>
  <c r="U4748" i="12"/>
  <c r="T4748" i="12"/>
  <c r="U4692" i="12"/>
  <c r="T4692" i="12"/>
  <c r="U4636" i="12"/>
  <c r="T4636" i="12"/>
  <c r="T4580" i="12"/>
  <c r="U4580" i="12"/>
  <c r="T4482" i="12"/>
  <c r="U4482" i="12"/>
  <c r="U4398" i="12"/>
  <c r="T4398" i="12"/>
  <c r="U4314" i="12"/>
  <c r="T4314" i="12"/>
  <c r="T4258" i="12"/>
  <c r="U4258" i="12"/>
  <c r="T4188" i="12"/>
  <c r="U4188" i="12"/>
  <c r="T4132" i="12"/>
  <c r="U4132" i="12"/>
  <c r="T4076" i="12"/>
  <c r="U4076" i="12"/>
  <c r="T4020" i="12"/>
  <c r="U4020" i="12"/>
  <c r="T3978" i="12"/>
  <c r="U3978" i="12"/>
  <c r="T3908" i="12"/>
  <c r="U3908" i="12"/>
  <c r="T3852" i="12"/>
  <c r="U3852" i="12"/>
  <c r="T3768" i="12"/>
  <c r="U3768" i="12"/>
  <c r="T3642" i="12"/>
  <c r="U3642" i="12"/>
  <c r="T3558" i="12"/>
  <c r="U3558" i="12"/>
  <c r="T3502" i="12"/>
  <c r="U3502" i="12"/>
  <c r="T3432" i="12"/>
  <c r="U3432" i="12"/>
  <c r="T3376" i="12"/>
  <c r="U3376" i="12"/>
  <c r="T3334" i="12"/>
  <c r="U3334" i="12"/>
  <c r="T3278" i="12"/>
  <c r="U3278" i="12"/>
  <c r="T3222" i="12"/>
  <c r="U3222" i="12"/>
  <c r="T3166" i="12"/>
  <c r="U3166" i="12"/>
  <c r="T3110" i="12"/>
  <c r="U3110" i="12"/>
  <c r="T3040" i="12"/>
  <c r="U3040" i="12"/>
  <c r="T2956" i="12"/>
  <c r="U2956" i="12"/>
  <c r="T2886" i="12"/>
  <c r="U2886" i="12"/>
  <c r="T2816" i="12"/>
  <c r="U2816" i="12"/>
  <c r="T2718" i="12"/>
  <c r="U2718" i="12"/>
  <c r="T2634" i="12"/>
  <c r="U2634" i="12"/>
  <c r="T2564" i="12"/>
  <c r="U2564" i="12"/>
  <c r="T2522" i="12"/>
  <c r="U2522" i="12"/>
  <c r="T2466" i="12"/>
  <c r="U2466" i="12"/>
  <c r="T2410" i="12"/>
  <c r="U2410" i="12"/>
  <c r="T2354" i="12"/>
  <c r="U2354" i="12"/>
  <c r="T2298" i="12"/>
  <c r="U2298" i="12"/>
  <c r="T2256" i="12"/>
  <c r="U2256" i="12"/>
  <c r="T2200" i="12"/>
  <c r="U2200" i="12"/>
  <c r="T2144" i="12"/>
  <c r="U2144" i="12"/>
  <c r="T2074" i="12"/>
  <c r="U2074" i="12"/>
  <c r="T1962" i="12"/>
  <c r="U1962" i="12"/>
  <c r="T1416" i="12"/>
  <c r="U1416" i="12"/>
  <c r="T4944" i="12"/>
  <c r="U4944" i="12"/>
  <c r="T4888" i="12"/>
  <c r="U4888" i="12"/>
  <c r="U4832" i="12"/>
  <c r="T4832" i="12"/>
  <c r="T4776" i="12"/>
  <c r="U4776" i="12"/>
  <c r="U4720" i="12"/>
  <c r="T4720" i="12"/>
  <c r="U4664" i="12"/>
  <c r="T4664" i="12"/>
  <c r="U4608" i="12"/>
  <c r="T4608" i="12"/>
  <c r="U4524" i="12"/>
  <c r="T4524" i="12"/>
  <c r="U4440" i="12"/>
  <c r="T4440" i="12"/>
  <c r="U4356" i="12"/>
  <c r="T4356" i="12"/>
  <c r="T4272" i="12"/>
  <c r="U4272" i="12"/>
  <c r="T4216" i="12"/>
  <c r="U4216" i="12"/>
  <c r="T4160" i="12"/>
  <c r="U4160" i="12"/>
  <c r="U4104" i="12"/>
  <c r="T4104" i="12"/>
  <c r="T4062" i="12"/>
  <c r="U4062" i="12"/>
  <c r="U4006" i="12"/>
  <c r="T4006" i="12"/>
  <c r="T3950" i="12"/>
  <c r="U3950" i="12"/>
  <c r="T3894" i="12"/>
  <c r="U3894" i="12"/>
  <c r="T3838" i="12"/>
  <c r="U3838" i="12"/>
  <c r="T3740" i="12"/>
  <c r="U3740" i="12"/>
  <c r="T3628" i="12"/>
  <c r="U3628" i="12"/>
  <c r="T3544" i="12"/>
  <c r="U3544" i="12"/>
  <c r="T3488" i="12"/>
  <c r="U3488" i="12"/>
  <c r="T3446" i="12"/>
  <c r="U3446" i="12"/>
  <c r="T3390" i="12"/>
  <c r="U3390" i="12"/>
  <c r="T3320" i="12"/>
  <c r="U3320" i="12"/>
  <c r="T3264" i="12"/>
  <c r="U3264" i="12"/>
  <c r="T3208" i="12"/>
  <c r="U3208" i="12"/>
  <c r="T3138" i="12"/>
  <c r="U3138" i="12"/>
  <c r="T3082" i="12"/>
  <c r="U3082" i="12"/>
  <c r="T3026" i="12"/>
  <c r="U3026" i="12"/>
  <c r="T2984" i="12"/>
  <c r="U2984" i="12"/>
  <c r="T2914" i="12"/>
  <c r="U2914" i="12"/>
  <c r="T2844" i="12"/>
  <c r="U2844" i="12"/>
  <c r="T2746" i="12"/>
  <c r="U2746" i="12"/>
  <c r="T2662" i="12"/>
  <c r="U2662" i="12"/>
  <c r="T2606" i="12"/>
  <c r="U2606" i="12"/>
  <c r="T2550" i="12"/>
  <c r="U2550" i="12"/>
  <c r="T2480" i="12"/>
  <c r="U2480" i="12"/>
  <c r="T2424" i="12"/>
  <c r="U2424" i="12"/>
  <c r="T2368" i="12"/>
  <c r="U2368" i="12"/>
  <c r="T2326" i="12"/>
  <c r="U2326" i="12"/>
  <c r="T2270" i="12"/>
  <c r="U2270" i="12"/>
  <c r="T2214" i="12"/>
  <c r="U2214" i="12"/>
  <c r="T2158" i="12"/>
  <c r="U2158" i="12"/>
  <c r="T2088" i="12"/>
  <c r="U2088" i="12"/>
  <c r="T2032" i="12"/>
  <c r="U2032" i="12"/>
  <c r="T1990" i="12"/>
  <c r="U1990" i="12"/>
  <c r="T1878" i="12"/>
  <c r="U1878" i="12"/>
  <c r="T1444" i="12"/>
  <c r="U1444" i="12"/>
  <c r="T4930" i="12"/>
  <c r="U4930" i="12"/>
  <c r="T4874" i="12"/>
  <c r="U4874" i="12"/>
  <c r="U4818" i="12"/>
  <c r="T4818" i="12"/>
  <c r="U4762" i="12"/>
  <c r="T4762" i="12"/>
  <c r="U4706" i="12"/>
  <c r="T4706" i="12"/>
  <c r="U4650" i="12"/>
  <c r="T4650" i="12"/>
  <c r="U4594" i="12"/>
  <c r="T4594" i="12"/>
  <c r="U4468" i="12"/>
  <c r="T4468" i="12"/>
  <c r="U4370" i="12"/>
  <c r="T4370" i="12"/>
  <c r="U4300" i="12"/>
  <c r="T4300" i="12"/>
  <c r="T4244" i="12"/>
  <c r="U4244" i="12"/>
  <c r="T4202" i="12"/>
  <c r="U4202" i="12"/>
  <c r="T4146" i="12"/>
  <c r="U4146" i="12"/>
  <c r="T4090" i="12"/>
  <c r="U4090" i="12"/>
  <c r="T4034" i="12"/>
  <c r="U4034" i="12"/>
  <c r="T3964" i="12"/>
  <c r="U3964" i="12"/>
  <c r="T3922" i="12"/>
  <c r="U3922" i="12"/>
  <c r="T3866" i="12"/>
  <c r="U3866" i="12"/>
  <c r="T3810" i="12"/>
  <c r="U3810" i="12"/>
  <c r="T3754" i="12"/>
  <c r="U3754" i="12"/>
  <c r="T3684" i="12"/>
  <c r="U3684" i="12"/>
  <c r="T3600" i="12"/>
  <c r="U3600" i="12"/>
  <c r="T3516" i="12"/>
  <c r="U3516" i="12"/>
  <c r="T3460" i="12"/>
  <c r="U3460" i="12"/>
  <c r="T3404" i="12"/>
  <c r="U3404" i="12"/>
  <c r="T3348" i="12"/>
  <c r="U3348" i="12"/>
  <c r="T3292" i="12"/>
  <c r="U3292" i="12"/>
  <c r="T3236" i="12"/>
  <c r="U3236" i="12"/>
  <c r="T3180" i="12"/>
  <c r="U3180" i="12"/>
  <c r="T3124" i="12"/>
  <c r="U3124" i="12"/>
  <c r="T3068" i="12"/>
  <c r="U3068" i="12"/>
  <c r="T3012" i="12"/>
  <c r="U3012" i="12"/>
  <c r="T2970" i="12"/>
  <c r="U2970" i="12"/>
  <c r="T2900" i="12"/>
  <c r="U2900" i="12"/>
  <c r="T2830" i="12"/>
  <c r="U2830" i="12"/>
  <c r="T2704" i="12"/>
  <c r="U2704" i="12"/>
  <c r="T2620" i="12"/>
  <c r="U2620" i="12"/>
  <c r="T2578" i="12"/>
  <c r="U2578" i="12"/>
  <c r="T2508" i="12"/>
  <c r="U2508" i="12"/>
  <c r="T2452" i="12"/>
  <c r="U2452" i="12"/>
  <c r="T2396" i="12"/>
  <c r="U2396" i="12"/>
  <c r="T2340" i="12"/>
  <c r="U2340" i="12"/>
  <c r="T2284" i="12"/>
  <c r="U2284" i="12"/>
  <c r="T2228" i="12"/>
  <c r="U2228" i="12"/>
  <c r="T2172" i="12"/>
  <c r="U2172" i="12"/>
  <c r="T2116" i="12"/>
  <c r="U2116" i="12"/>
  <c r="T2060" i="12"/>
  <c r="U2060" i="12"/>
  <c r="T2018" i="12"/>
  <c r="U2018" i="12"/>
  <c r="T1948" i="12"/>
  <c r="U1948" i="12"/>
  <c r="T1822" i="12"/>
  <c r="U1822" i="12"/>
  <c r="T1458" i="12"/>
  <c r="U1458" i="12"/>
  <c r="U4552" i="12"/>
  <c r="T4552" i="12"/>
  <c r="T3796" i="12"/>
  <c r="U3796" i="12"/>
  <c r="T2942" i="12"/>
  <c r="U2942" i="12"/>
  <c r="T1892" i="12"/>
  <c r="U1892" i="12"/>
  <c r="U4566" i="12"/>
  <c r="T4566" i="12"/>
  <c r="T3782" i="12"/>
  <c r="U3782" i="12"/>
  <c r="T2858" i="12"/>
  <c r="U2858" i="12"/>
  <c r="T1836" i="12"/>
  <c r="U1836" i="12"/>
  <c r="U4412" i="12"/>
  <c r="T4412" i="12"/>
  <c r="T3656" i="12"/>
  <c r="U3656" i="12"/>
  <c r="T2760" i="12"/>
  <c r="U2760" i="12"/>
  <c r="T1766" i="12"/>
  <c r="U1766" i="12"/>
  <c r="U4426" i="12"/>
  <c r="T4426" i="12"/>
  <c r="T3670" i="12"/>
  <c r="U3670" i="12"/>
  <c r="T2774" i="12"/>
  <c r="U2774" i="12"/>
  <c r="T1780" i="12"/>
  <c r="U1780" i="12"/>
  <c r="U4510" i="12"/>
  <c r="T4510" i="12"/>
  <c r="T3712" i="12"/>
  <c r="U3712" i="12"/>
  <c r="T2788" i="12"/>
  <c r="U2788" i="12"/>
  <c r="T1710" i="12"/>
  <c r="U1710" i="12"/>
  <c r="U4496" i="12"/>
  <c r="T4496" i="12"/>
  <c r="T3698" i="12"/>
  <c r="U3698" i="12"/>
  <c r="T2802" i="12"/>
  <c r="U2802" i="12"/>
  <c r="T1668" i="12"/>
  <c r="U1668" i="12"/>
  <c r="U4342" i="12"/>
  <c r="T4342" i="12"/>
  <c r="T3586" i="12"/>
  <c r="U3586" i="12"/>
  <c r="T2690" i="12"/>
  <c r="U2690" i="12"/>
  <c r="T1626" i="12"/>
  <c r="U1626" i="12"/>
  <c r="U4328" i="12"/>
  <c r="T4328" i="12"/>
  <c r="T3572" i="12"/>
  <c r="U3572" i="12"/>
  <c r="T2676" i="12"/>
  <c r="U2676" i="12"/>
  <c r="T1584" i="12"/>
  <c r="U1584" i="12"/>
  <c r="U4902" i="12"/>
  <c r="T4902" i="12"/>
  <c r="U4846" i="12"/>
  <c r="T4846" i="12"/>
  <c r="U4790" i="12"/>
  <c r="T4790" i="12"/>
  <c r="U4734" i="12"/>
  <c r="T4734" i="12"/>
  <c r="T4678" i="12"/>
  <c r="U4678" i="12"/>
  <c r="U4622" i="12"/>
  <c r="T4622" i="12"/>
  <c r="U4538" i="12"/>
  <c r="T4538" i="12"/>
  <c r="U4454" i="12"/>
  <c r="T4454" i="12"/>
  <c r="T4384" i="12"/>
  <c r="U4384" i="12"/>
  <c r="T4286" i="12"/>
  <c r="U4286" i="12"/>
  <c r="T4230" i="12"/>
  <c r="U4230" i="12"/>
  <c r="T4174" i="12"/>
  <c r="U4174" i="12"/>
  <c r="T4118" i="12"/>
  <c r="U4118" i="12"/>
  <c r="T4048" i="12"/>
  <c r="U4048" i="12"/>
  <c r="T3992" i="12"/>
  <c r="U3992" i="12"/>
  <c r="T3936" i="12"/>
  <c r="U3936" i="12"/>
  <c r="T3880" i="12"/>
  <c r="U3880" i="12"/>
  <c r="T3824" i="12"/>
  <c r="U3824" i="12"/>
  <c r="T3726" i="12"/>
  <c r="U3726" i="12"/>
  <c r="T3614" i="12"/>
  <c r="U3614" i="12"/>
  <c r="T3530" i="12"/>
  <c r="U3530" i="12"/>
  <c r="T3474" i="12"/>
  <c r="U3474" i="12"/>
  <c r="T3418" i="12"/>
  <c r="U3418" i="12"/>
  <c r="T3362" i="12"/>
  <c r="U3362" i="12"/>
  <c r="T3306" i="12"/>
  <c r="U3306" i="12"/>
  <c r="T3250" i="12"/>
  <c r="U3250" i="12"/>
  <c r="T3194" i="12"/>
  <c r="U3194" i="12"/>
  <c r="T3152" i="12"/>
  <c r="U3152" i="12"/>
  <c r="T3096" i="12"/>
  <c r="U3096" i="12"/>
  <c r="T3054" i="12"/>
  <c r="U3054" i="12"/>
  <c r="T2998" i="12"/>
  <c r="U2998" i="12"/>
  <c r="T2928" i="12"/>
  <c r="U2928" i="12"/>
  <c r="T2872" i="12"/>
  <c r="U2872" i="12"/>
  <c r="T2732" i="12"/>
  <c r="U2732" i="12"/>
  <c r="T2648" i="12"/>
  <c r="U2648" i="12"/>
  <c r="T2592" i="12"/>
  <c r="U2592" i="12"/>
  <c r="T2536" i="12"/>
  <c r="U2536" i="12"/>
  <c r="T2494" i="12"/>
  <c r="U2494" i="12"/>
  <c r="T2438" i="12"/>
  <c r="U2438" i="12"/>
  <c r="T2382" i="12"/>
  <c r="U2382" i="12"/>
  <c r="T2312" i="12"/>
  <c r="U2312" i="12"/>
  <c r="T2242" i="12"/>
  <c r="U2242" i="12"/>
  <c r="T2186" i="12"/>
  <c r="U2186" i="12"/>
  <c r="T2130" i="12"/>
  <c r="U2130" i="12"/>
  <c r="T2102" i="12"/>
  <c r="U2102" i="12"/>
  <c r="T2046" i="12"/>
  <c r="U2046" i="12"/>
  <c r="T2004" i="12"/>
  <c r="U2004" i="12"/>
  <c r="T1976" i="12"/>
  <c r="U1976" i="12"/>
  <c r="T1934" i="12"/>
  <c r="U1934" i="12"/>
  <c r="T1920" i="12"/>
  <c r="U1920" i="12"/>
  <c r="T1906" i="12"/>
  <c r="U1906" i="12"/>
  <c r="T1864" i="12"/>
  <c r="U1864" i="12"/>
  <c r="T1850" i="12"/>
  <c r="U1850" i="12"/>
  <c r="T1808" i="12"/>
  <c r="U1808" i="12"/>
  <c r="T1794" i="12"/>
  <c r="U1794" i="12"/>
  <c r="T1752" i="12"/>
  <c r="U1752" i="12"/>
  <c r="T1738" i="12"/>
  <c r="U1738" i="12"/>
  <c r="T1724" i="12"/>
  <c r="U1724" i="12"/>
  <c r="T1696" i="12"/>
  <c r="U1696" i="12"/>
  <c r="T1682" i="12"/>
  <c r="U1682" i="12"/>
  <c r="T1654" i="12"/>
  <c r="U1654" i="12"/>
  <c r="T1640" i="12"/>
  <c r="U1640" i="12"/>
  <c r="T1612" i="12"/>
  <c r="U1612" i="12"/>
  <c r="T1598" i="12"/>
  <c r="U1598" i="12"/>
  <c r="T1570" i="12"/>
  <c r="U1570" i="12"/>
  <c r="T1556" i="12"/>
  <c r="U1556" i="12"/>
  <c r="T1542" i="12"/>
  <c r="U1542" i="12"/>
  <c r="T1528" i="12"/>
  <c r="U1528" i="12"/>
  <c r="T1514" i="12"/>
  <c r="U1514" i="12"/>
  <c r="T1472" i="12"/>
  <c r="U1472" i="12"/>
  <c r="T1360" i="12"/>
  <c r="U1360" i="12"/>
  <c r="T1304" i="12"/>
  <c r="U1304" i="12"/>
  <c r="T1262" i="12"/>
  <c r="U1262" i="12"/>
  <c r="T1206" i="12"/>
  <c r="U1206" i="12"/>
  <c r="T1136" i="12"/>
  <c r="U1136" i="12"/>
  <c r="T1080" i="12"/>
  <c r="U1080" i="12"/>
  <c r="T1038" i="12"/>
  <c r="U1038" i="12"/>
  <c r="T982" i="12"/>
  <c r="U982" i="12"/>
  <c r="T926" i="12"/>
  <c r="U926" i="12"/>
  <c r="T870" i="12"/>
  <c r="U870" i="12"/>
  <c r="T814" i="12"/>
  <c r="U814" i="12"/>
  <c r="T744" i="12"/>
  <c r="U744" i="12"/>
  <c r="T688" i="12"/>
  <c r="U688" i="12"/>
  <c r="T632" i="12"/>
  <c r="U632" i="12"/>
  <c r="T576" i="12"/>
  <c r="U576" i="12"/>
  <c r="I4531" i="12"/>
  <c r="I4363" i="12"/>
  <c r="I4251" i="12"/>
  <c r="I4139" i="12"/>
  <c r="I3747" i="12"/>
  <c r="I3635" i="12"/>
  <c r="I3579" i="12"/>
  <c r="I3411" i="12"/>
  <c r="I3187" i="12"/>
  <c r="I2963" i="12"/>
  <c r="I2907" i="12"/>
  <c r="I2795" i="12"/>
  <c r="I2683" i="12"/>
  <c r="I2627" i="12"/>
  <c r="I2571" i="12"/>
  <c r="I2375" i="12"/>
  <c r="I2207" i="12"/>
  <c r="I2095" i="12"/>
  <c r="I2039" i="12"/>
  <c r="I1955" i="12"/>
  <c r="I1899" i="12"/>
  <c r="I1843" i="12"/>
  <c r="I1731" i="12"/>
  <c r="I1619" i="12"/>
  <c r="I1507" i="12"/>
  <c r="I1395" i="12"/>
  <c r="I1283" i="12"/>
  <c r="I1171" i="12"/>
  <c r="I1087" i="12"/>
  <c r="I1031" i="12"/>
  <c r="I975" i="12"/>
  <c r="I891" i="12"/>
  <c r="I807" i="12"/>
  <c r="I723" i="12"/>
  <c r="I695" i="12"/>
  <c r="I555" i="12"/>
  <c r="I443" i="12"/>
  <c r="I331" i="12"/>
  <c r="I275" i="12"/>
  <c r="I163" i="12"/>
  <c r="I107" i="12"/>
  <c r="T4929" i="12"/>
  <c r="U4929" i="12"/>
  <c r="T4887" i="12"/>
  <c r="U4887" i="12"/>
  <c r="T4859" i="12"/>
  <c r="U4859" i="12"/>
  <c r="T4817" i="12"/>
  <c r="U4817" i="12"/>
  <c r="T4775" i="12"/>
  <c r="U4775" i="12"/>
  <c r="T4733" i="12"/>
  <c r="U4733" i="12"/>
  <c r="T4691" i="12"/>
  <c r="U4691" i="12"/>
  <c r="T4649" i="12"/>
  <c r="U4649" i="12"/>
  <c r="T4607" i="12"/>
  <c r="U4607" i="12"/>
  <c r="T4565" i="12"/>
  <c r="U4565" i="12"/>
  <c r="T4537" i="12"/>
  <c r="U4537" i="12"/>
  <c r="T4495" i="12"/>
  <c r="U4495" i="12"/>
  <c r="T4467" i="12"/>
  <c r="U4467" i="12"/>
  <c r="T4425" i="12"/>
  <c r="U4425" i="12"/>
  <c r="T4383" i="12"/>
  <c r="U4383" i="12"/>
  <c r="T4341" i="12"/>
  <c r="U4341" i="12"/>
  <c r="T4299" i="12"/>
  <c r="U4299" i="12"/>
  <c r="T4271" i="12"/>
  <c r="U4271" i="12"/>
  <c r="T4229" i="12"/>
  <c r="U4229" i="12"/>
  <c r="T4187" i="12"/>
  <c r="U4187" i="12"/>
  <c r="T4145" i="12"/>
  <c r="U4145" i="12"/>
  <c r="T4117" i="12"/>
  <c r="U4117" i="12"/>
  <c r="T4075" i="12"/>
  <c r="U4075" i="12"/>
  <c r="T4033" i="12"/>
  <c r="U4033" i="12"/>
  <c r="T3991" i="12"/>
  <c r="U3991" i="12"/>
  <c r="T3935" i="12"/>
  <c r="U3935" i="12"/>
  <c r="T3893" i="12"/>
  <c r="U3893" i="12"/>
  <c r="T3851" i="12"/>
  <c r="U3851" i="12"/>
  <c r="T3809" i="12"/>
  <c r="U3809" i="12"/>
  <c r="T3767" i="12"/>
  <c r="U3767" i="12"/>
  <c r="T3725" i="12"/>
  <c r="U3725" i="12"/>
  <c r="T3683" i="12"/>
  <c r="U3683" i="12"/>
  <c r="T3641" i="12"/>
  <c r="U3641" i="12"/>
  <c r="T3599" i="12"/>
  <c r="U3599" i="12"/>
  <c r="T3557" i="12"/>
  <c r="U3557" i="12"/>
  <c r="T3515" i="12"/>
  <c r="U3515" i="12"/>
  <c r="T3473" i="12"/>
  <c r="U3473" i="12"/>
  <c r="T3431" i="12"/>
  <c r="U3431" i="12"/>
  <c r="T3389" i="12"/>
  <c r="U3389" i="12"/>
  <c r="T3333" i="12"/>
  <c r="U3333" i="12"/>
  <c r="T3291" i="12"/>
  <c r="U3291" i="12"/>
  <c r="T3263" i="12"/>
  <c r="U3263" i="12"/>
  <c r="T3221" i="12"/>
  <c r="U3221" i="12"/>
  <c r="T3179" i="12"/>
  <c r="U3179" i="12"/>
  <c r="T3137" i="12"/>
  <c r="U3137" i="12"/>
  <c r="T3095" i="12"/>
  <c r="U3095" i="12"/>
  <c r="T3053" i="12"/>
  <c r="U3053" i="12"/>
  <c r="T2997" i="12"/>
  <c r="U2997" i="12"/>
  <c r="T2941" i="12"/>
  <c r="U2941" i="12"/>
  <c r="T2899" i="12"/>
  <c r="U2899" i="12"/>
  <c r="T2871" i="12"/>
  <c r="U2871" i="12"/>
  <c r="T2829" i="12"/>
  <c r="U2829" i="12"/>
  <c r="T2787" i="12"/>
  <c r="U2787" i="12"/>
  <c r="T2745" i="12"/>
  <c r="U2745" i="12"/>
  <c r="T2703" i="12"/>
  <c r="U2703" i="12"/>
  <c r="T2675" i="12"/>
  <c r="U2675" i="12"/>
  <c r="T2633" i="12"/>
  <c r="U2633" i="12"/>
  <c r="T2591" i="12"/>
  <c r="U2591" i="12"/>
  <c r="T2549" i="12"/>
  <c r="U2549" i="12"/>
  <c r="T2507" i="12"/>
  <c r="U2507" i="12"/>
  <c r="T2465" i="12"/>
  <c r="U2465" i="12"/>
  <c r="T2423" i="12"/>
  <c r="U2423" i="12"/>
  <c r="T2381" i="12"/>
  <c r="U2381" i="12"/>
  <c r="T2339" i="12"/>
  <c r="U2339" i="12"/>
  <c r="T2297" i="12"/>
  <c r="U2297" i="12"/>
  <c r="T2255" i="12"/>
  <c r="U2255" i="12"/>
  <c r="T2227" i="12"/>
  <c r="U2227" i="12"/>
  <c r="T2185" i="12"/>
  <c r="U2185" i="12"/>
  <c r="T2143" i="12"/>
  <c r="U2143" i="12"/>
  <c r="T2101" i="12"/>
  <c r="U2101" i="12"/>
  <c r="T2073" i="12"/>
  <c r="U2073" i="12"/>
  <c r="T2031" i="12"/>
  <c r="U2031" i="12"/>
  <c r="T1989" i="12"/>
  <c r="U1989" i="12"/>
  <c r="T1961" i="12"/>
  <c r="U1961" i="12"/>
  <c r="T1933" i="12"/>
  <c r="U1933" i="12"/>
  <c r="T1891" i="12"/>
  <c r="U1891" i="12"/>
  <c r="T1863" i="12"/>
  <c r="U1863" i="12"/>
  <c r="T1821" i="12"/>
  <c r="U1821" i="12"/>
  <c r="T1779" i="12"/>
  <c r="U1779" i="12"/>
  <c r="T1737" i="12"/>
  <c r="U1737" i="12"/>
  <c r="T1709" i="12"/>
  <c r="U1709" i="12"/>
  <c r="T1681" i="12"/>
  <c r="U1681" i="12"/>
  <c r="T1639" i="12"/>
  <c r="U1639" i="12"/>
  <c r="T1597" i="12"/>
  <c r="U1597" i="12"/>
  <c r="T1555" i="12"/>
  <c r="U1555" i="12"/>
  <c r="T1513" i="12"/>
  <c r="U1513" i="12"/>
  <c r="T1471" i="12"/>
  <c r="U1471" i="12"/>
  <c r="T1443" i="12"/>
  <c r="U1443" i="12"/>
  <c r="T1415" i="12"/>
  <c r="U1415" i="12"/>
  <c r="T1373" i="12"/>
  <c r="U1373" i="12"/>
  <c r="T1345" i="12"/>
  <c r="U1345" i="12"/>
  <c r="T1303" i="12"/>
  <c r="U1303" i="12"/>
  <c r="T1275" i="12"/>
  <c r="U1275" i="12"/>
  <c r="T1233" i="12"/>
  <c r="U1233" i="12"/>
  <c r="T1191" i="12"/>
  <c r="U1191" i="12"/>
  <c r="T1149" i="12"/>
  <c r="U1149" i="12"/>
  <c r="T1107" i="12"/>
  <c r="U1107" i="12"/>
  <c r="T1065" i="12"/>
  <c r="U1065" i="12"/>
  <c r="T1023" i="12"/>
  <c r="U1023" i="12"/>
  <c r="T981" i="12"/>
  <c r="U981" i="12"/>
  <c r="T939" i="12"/>
  <c r="U939" i="12"/>
  <c r="T911" i="12"/>
  <c r="U911" i="12"/>
  <c r="T869" i="12"/>
  <c r="U869" i="12"/>
  <c r="T827" i="12"/>
  <c r="U827" i="12"/>
  <c r="T785" i="12"/>
  <c r="U785" i="12"/>
  <c r="T743" i="12"/>
  <c r="U743" i="12"/>
  <c r="T715" i="12"/>
  <c r="U715" i="12"/>
  <c r="T687" i="12"/>
  <c r="U687" i="12"/>
  <c r="T645" i="12"/>
  <c r="U645" i="12"/>
  <c r="T617" i="12"/>
  <c r="U617" i="12"/>
  <c r="T589" i="12"/>
  <c r="U589" i="12"/>
  <c r="T561" i="12"/>
  <c r="U561" i="12"/>
  <c r="T533" i="12"/>
  <c r="U533" i="12"/>
  <c r="T519" i="12"/>
  <c r="U519" i="12"/>
  <c r="I4950" i="12"/>
  <c r="I4894" i="12"/>
  <c r="I4838" i="12"/>
  <c r="I4782" i="12"/>
  <c r="I4670" i="12"/>
  <c r="I4614" i="12"/>
  <c r="I4558" i="12"/>
  <c r="I4502" i="12"/>
  <c r="I4446" i="12"/>
  <c r="I4390" i="12"/>
  <c r="I4334" i="12"/>
  <c r="I4278" i="12"/>
  <c r="I4222" i="12"/>
  <c r="I4166" i="12"/>
  <c r="I4110" i="12"/>
  <c r="I4054" i="12"/>
  <c r="I3998" i="12"/>
  <c r="I3942" i="12"/>
  <c r="I3886" i="12"/>
  <c r="I3830" i="12"/>
  <c r="I3774" i="12"/>
  <c r="I3718" i="12"/>
  <c r="I3662" i="12"/>
  <c r="I3606" i="12"/>
  <c r="I3550" i="12"/>
  <c r="I3494" i="12"/>
  <c r="I3438" i="12"/>
  <c r="I3382" i="12"/>
  <c r="I3326" i="12"/>
  <c r="I3270" i="12"/>
  <c r="I3214" i="12"/>
  <c r="I3158" i="12"/>
  <c r="I3102" i="12"/>
  <c r="I3046" i="12"/>
  <c r="I2990" i="12"/>
  <c r="I2934" i="12"/>
  <c r="I2878" i="12"/>
  <c r="I2822" i="12"/>
  <c r="I2766" i="12"/>
  <c r="I2710" i="12"/>
  <c r="I2654" i="12"/>
  <c r="I2598" i="12"/>
  <c r="I2542" i="12"/>
  <c r="I2486" i="12"/>
  <c r="I2430" i="12"/>
  <c r="I2374" i="12"/>
  <c r="I2318" i="12"/>
  <c r="I2262" i="12"/>
  <c r="I2206" i="12"/>
  <c r="I2150" i="12"/>
  <c r="I2094" i="12"/>
  <c r="I2038" i="12"/>
  <c r="I1982" i="12"/>
  <c r="I1926" i="12"/>
  <c r="I1870" i="12"/>
  <c r="I1814" i="12"/>
  <c r="I1758" i="12"/>
  <c r="I1702" i="12"/>
  <c r="I1646" i="12"/>
  <c r="I1590" i="12"/>
  <c r="I1534" i="12"/>
  <c r="I1478" i="12"/>
  <c r="I1422" i="12"/>
  <c r="I1366" i="12"/>
  <c r="I1310" i="12"/>
  <c r="I1254" i="12"/>
  <c r="I1198" i="12"/>
  <c r="I1142" i="12"/>
  <c r="I1086" i="12"/>
  <c r="I1030" i="12"/>
  <c r="I974" i="12"/>
  <c r="I918" i="12"/>
  <c r="I862" i="12"/>
  <c r="I806" i="12"/>
  <c r="I750" i="12"/>
  <c r="I694" i="12"/>
  <c r="I638" i="12"/>
  <c r="I582" i="12"/>
  <c r="I526" i="12"/>
  <c r="I470" i="12"/>
  <c r="I414" i="12"/>
  <c r="I358" i="12"/>
  <c r="I302" i="12"/>
  <c r="I246" i="12"/>
  <c r="I190" i="12"/>
  <c r="I134" i="12"/>
  <c r="T1430" i="12"/>
  <c r="U1430" i="12"/>
  <c r="T1374" i="12"/>
  <c r="U1374" i="12"/>
  <c r="T1318" i="12"/>
  <c r="U1318" i="12"/>
  <c r="T1248" i="12"/>
  <c r="U1248" i="12"/>
  <c r="T1192" i="12"/>
  <c r="U1192" i="12"/>
  <c r="T1150" i="12"/>
  <c r="U1150" i="12"/>
  <c r="T1094" i="12"/>
  <c r="U1094" i="12"/>
  <c r="T1024" i="12"/>
  <c r="U1024" i="12"/>
  <c r="T968" i="12"/>
  <c r="U968" i="12"/>
  <c r="T912" i="12"/>
  <c r="U912" i="12"/>
  <c r="T856" i="12"/>
  <c r="U856" i="12"/>
  <c r="T800" i="12"/>
  <c r="U800" i="12"/>
  <c r="T758" i="12"/>
  <c r="U758" i="12"/>
  <c r="T702" i="12"/>
  <c r="U702" i="12"/>
  <c r="T674" i="12"/>
  <c r="U674" i="12"/>
  <c r="T618" i="12"/>
  <c r="U618" i="12"/>
  <c r="T562" i="12"/>
  <c r="U562" i="12"/>
  <c r="I4923" i="12"/>
  <c r="I4755" i="12"/>
  <c r="I4699" i="12"/>
  <c r="I4643" i="12"/>
  <c r="I4587" i="12"/>
  <c r="I4419" i="12"/>
  <c r="I4195" i="12"/>
  <c r="I4027" i="12"/>
  <c r="I3915" i="12"/>
  <c r="I3803" i="12"/>
  <c r="I3523" i="12"/>
  <c r="I3355" i="12"/>
  <c r="I3299" i="12"/>
  <c r="I3243" i="12"/>
  <c r="I3131" i="12"/>
  <c r="I3019" i="12"/>
  <c r="I2851" i="12"/>
  <c r="I2739" i="12"/>
  <c r="I2655" i="12"/>
  <c r="I2487" i="12"/>
  <c r="I2431" i="12"/>
  <c r="I2347" i="12"/>
  <c r="I2263" i="12"/>
  <c r="I2151" i="12"/>
  <c r="I1983" i="12"/>
  <c r="I1927" i="12"/>
  <c r="I1787" i="12"/>
  <c r="I1675" i="12"/>
  <c r="I1563" i="12"/>
  <c r="I1451" i="12"/>
  <c r="I1339" i="12"/>
  <c r="I1227" i="12"/>
  <c r="I1115" i="12"/>
  <c r="I947" i="12"/>
  <c r="I863" i="12"/>
  <c r="I751" i="12"/>
  <c r="I639" i="12"/>
  <c r="I583" i="12"/>
  <c r="I499" i="12"/>
  <c r="I387" i="12"/>
  <c r="T4943" i="12"/>
  <c r="U4943" i="12"/>
  <c r="T4901" i="12"/>
  <c r="U4901" i="12"/>
  <c r="T4845" i="12"/>
  <c r="U4845" i="12"/>
  <c r="T4803" i="12"/>
  <c r="U4803" i="12"/>
  <c r="T4761" i="12"/>
  <c r="U4761" i="12"/>
  <c r="T4719" i="12"/>
  <c r="U4719" i="12"/>
  <c r="T4677" i="12"/>
  <c r="U4677" i="12"/>
  <c r="T4635" i="12"/>
  <c r="U4635" i="12"/>
  <c r="T4593" i="12"/>
  <c r="U4593" i="12"/>
  <c r="T4551" i="12"/>
  <c r="U4551" i="12"/>
  <c r="T4509" i="12"/>
  <c r="U4509" i="12"/>
  <c r="T4453" i="12"/>
  <c r="U4453" i="12"/>
  <c r="T4411" i="12"/>
  <c r="U4411" i="12"/>
  <c r="T4369" i="12"/>
  <c r="U4369" i="12"/>
  <c r="T4327" i="12"/>
  <c r="U4327" i="12"/>
  <c r="T4285" i="12"/>
  <c r="U4285" i="12"/>
  <c r="T4257" i="12"/>
  <c r="U4257" i="12"/>
  <c r="T4215" i="12"/>
  <c r="U4215" i="12"/>
  <c r="T4173" i="12"/>
  <c r="U4173" i="12"/>
  <c r="T4131" i="12"/>
  <c r="U4131" i="12"/>
  <c r="T4089" i="12"/>
  <c r="U4089" i="12"/>
  <c r="U4047" i="12"/>
  <c r="T4047" i="12"/>
  <c r="U4005" i="12"/>
  <c r="T4005" i="12"/>
  <c r="T3963" i="12"/>
  <c r="U3963" i="12"/>
  <c r="T3949" i="12"/>
  <c r="U3949" i="12"/>
  <c r="T3907" i="12"/>
  <c r="U3907" i="12"/>
  <c r="T3865" i="12"/>
  <c r="U3865" i="12"/>
  <c r="T3823" i="12"/>
  <c r="U3823" i="12"/>
  <c r="T3781" i="12"/>
  <c r="U3781" i="12"/>
  <c r="T3739" i="12"/>
  <c r="U3739" i="12"/>
  <c r="T3697" i="12"/>
  <c r="U3697" i="12"/>
  <c r="T3655" i="12"/>
  <c r="U3655" i="12"/>
  <c r="T3627" i="12"/>
  <c r="U3627" i="12"/>
  <c r="T3585" i="12"/>
  <c r="U3585" i="12"/>
  <c r="T3543" i="12"/>
  <c r="U3543" i="12"/>
  <c r="T3501" i="12"/>
  <c r="U3501" i="12"/>
  <c r="T3459" i="12"/>
  <c r="U3459" i="12"/>
  <c r="T3417" i="12"/>
  <c r="U3417" i="12"/>
  <c r="T3375" i="12"/>
  <c r="U3375" i="12"/>
  <c r="T3347" i="12"/>
  <c r="U3347" i="12"/>
  <c r="T3305" i="12"/>
  <c r="U3305" i="12"/>
  <c r="T3249" i="12"/>
  <c r="U3249" i="12"/>
  <c r="T3207" i="12"/>
  <c r="U3207" i="12"/>
  <c r="T3165" i="12"/>
  <c r="U3165" i="12"/>
  <c r="T3123" i="12"/>
  <c r="U3123" i="12"/>
  <c r="T3081" i="12"/>
  <c r="U3081" i="12"/>
  <c r="T3039" i="12"/>
  <c r="U3039" i="12"/>
  <c r="T3011" i="12"/>
  <c r="U3011" i="12"/>
  <c r="T2969" i="12"/>
  <c r="U2969" i="12"/>
  <c r="T2955" i="12"/>
  <c r="U2955" i="12"/>
  <c r="T2913" i="12"/>
  <c r="U2913" i="12"/>
  <c r="T2857" i="12"/>
  <c r="U2857" i="12"/>
  <c r="T2815" i="12"/>
  <c r="U2815" i="12"/>
  <c r="T2759" i="12"/>
  <c r="U2759" i="12"/>
  <c r="T2731" i="12"/>
  <c r="U2731" i="12"/>
  <c r="T2689" i="12"/>
  <c r="U2689" i="12"/>
  <c r="T2647" i="12"/>
  <c r="U2647" i="12"/>
  <c r="T2605" i="12"/>
  <c r="U2605" i="12"/>
  <c r="T2563" i="12"/>
  <c r="U2563" i="12"/>
  <c r="T2521" i="12"/>
  <c r="U2521" i="12"/>
  <c r="T2479" i="12"/>
  <c r="U2479" i="12"/>
  <c r="T2437" i="12"/>
  <c r="U2437" i="12"/>
  <c r="T2395" i="12"/>
  <c r="U2395" i="12"/>
  <c r="T2353" i="12"/>
  <c r="U2353" i="12"/>
  <c r="T2325" i="12"/>
  <c r="U2325" i="12"/>
  <c r="T2283" i="12"/>
  <c r="U2283" i="12"/>
  <c r="T2241" i="12"/>
  <c r="U2241" i="12"/>
  <c r="T2199" i="12"/>
  <c r="U2199" i="12"/>
  <c r="T2157" i="12"/>
  <c r="U2157" i="12"/>
  <c r="T2129" i="12"/>
  <c r="U2129" i="12"/>
  <c r="T2087" i="12"/>
  <c r="U2087" i="12"/>
  <c r="T2045" i="12"/>
  <c r="U2045" i="12"/>
  <c r="T2017" i="12"/>
  <c r="U2017" i="12"/>
  <c r="T1975" i="12"/>
  <c r="U1975" i="12"/>
  <c r="T1919" i="12"/>
  <c r="U1919" i="12"/>
  <c r="T1877" i="12"/>
  <c r="U1877" i="12"/>
  <c r="T1835" i="12"/>
  <c r="U1835" i="12"/>
  <c r="T1807" i="12"/>
  <c r="U1807" i="12"/>
  <c r="T1765" i="12"/>
  <c r="U1765" i="12"/>
  <c r="T1723" i="12"/>
  <c r="U1723" i="12"/>
  <c r="T1667" i="12"/>
  <c r="U1667" i="12"/>
  <c r="T1625" i="12"/>
  <c r="U1625" i="12"/>
  <c r="T1611" i="12"/>
  <c r="U1611" i="12"/>
  <c r="T1569" i="12"/>
  <c r="U1569" i="12"/>
  <c r="T1527" i="12"/>
  <c r="U1527" i="12"/>
  <c r="T1499" i="12"/>
  <c r="U1499" i="12"/>
  <c r="T1457" i="12"/>
  <c r="U1457" i="12"/>
  <c r="T1401" i="12"/>
  <c r="U1401" i="12"/>
  <c r="T1359" i="12"/>
  <c r="U1359" i="12"/>
  <c r="T1317" i="12"/>
  <c r="U1317" i="12"/>
  <c r="T1261" i="12"/>
  <c r="U1261" i="12"/>
  <c r="T1219" i="12"/>
  <c r="U1219" i="12"/>
  <c r="T1177" i="12"/>
  <c r="U1177" i="12"/>
  <c r="T1135" i="12"/>
  <c r="U1135" i="12"/>
  <c r="T1093" i="12"/>
  <c r="U1093" i="12"/>
  <c r="T1051" i="12"/>
  <c r="U1051" i="12"/>
  <c r="T1009" i="12"/>
  <c r="U1009" i="12"/>
  <c r="T967" i="12"/>
  <c r="U967" i="12"/>
  <c r="T925" i="12"/>
  <c r="U925" i="12"/>
  <c r="T883" i="12"/>
  <c r="U883" i="12"/>
  <c r="T841" i="12"/>
  <c r="U841" i="12"/>
  <c r="T799" i="12"/>
  <c r="U799" i="12"/>
  <c r="T771" i="12"/>
  <c r="U771" i="12"/>
  <c r="T729" i="12"/>
  <c r="U729" i="12"/>
  <c r="T701" i="12"/>
  <c r="U701" i="12"/>
  <c r="T659" i="12"/>
  <c r="U659" i="12"/>
  <c r="T631" i="12"/>
  <c r="U631" i="12"/>
  <c r="T603" i="12"/>
  <c r="U603" i="12"/>
  <c r="T575" i="12"/>
  <c r="U575" i="12"/>
  <c r="T547" i="12"/>
  <c r="U547" i="12"/>
  <c r="T505" i="12"/>
  <c r="U505" i="12"/>
  <c r="I4907" i="12"/>
  <c r="I4851" i="12"/>
  <c r="I4795" i="12"/>
  <c r="I4739" i="12"/>
  <c r="I4683" i="12"/>
  <c r="I4627" i="12"/>
  <c r="I4571" i="12"/>
  <c r="I4515" i="12"/>
  <c r="I4459" i="12"/>
  <c r="I4403" i="12"/>
  <c r="I4347" i="12"/>
  <c r="I4291" i="12"/>
  <c r="I4235" i="12"/>
  <c r="I4179" i="12"/>
  <c r="I4123" i="12"/>
  <c r="I4067" i="12"/>
  <c r="I4011" i="12"/>
  <c r="I3955" i="12"/>
  <c r="I3899" i="12"/>
  <c r="I3843" i="12"/>
  <c r="I3787" i="12"/>
  <c r="I3731" i="12"/>
  <c r="I3675" i="12"/>
  <c r="I3619" i="12"/>
  <c r="I3563" i="12"/>
  <c r="I3507" i="12"/>
  <c r="I3451" i="12"/>
  <c r="I3395" i="12"/>
  <c r="T1388" i="12"/>
  <c r="U1388" i="12"/>
  <c r="T1332" i="12"/>
  <c r="U1332" i="12"/>
  <c r="T1276" i="12"/>
  <c r="U1276" i="12"/>
  <c r="T1220" i="12"/>
  <c r="U1220" i="12"/>
  <c r="T1164" i="12"/>
  <c r="U1164" i="12"/>
  <c r="T1108" i="12"/>
  <c r="U1108" i="12"/>
  <c r="T1052" i="12"/>
  <c r="U1052" i="12"/>
  <c r="T996" i="12"/>
  <c r="U996" i="12"/>
  <c r="T940" i="12"/>
  <c r="U940" i="12"/>
  <c r="T884" i="12"/>
  <c r="U884" i="12"/>
  <c r="T828" i="12"/>
  <c r="U828" i="12"/>
  <c r="T772" i="12"/>
  <c r="U772" i="12"/>
  <c r="T730" i="12"/>
  <c r="U730" i="12"/>
  <c r="T646" i="12"/>
  <c r="U646" i="12"/>
  <c r="T590" i="12"/>
  <c r="U590" i="12"/>
  <c r="I4867" i="12"/>
  <c r="I4811" i="12"/>
  <c r="I4475" i="12"/>
  <c r="I4307" i="12"/>
  <c r="I4083" i="12"/>
  <c r="I3971" i="12"/>
  <c r="I3859" i="12"/>
  <c r="I3691" i="12"/>
  <c r="I3467" i="12"/>
  <c r="I3075" i="12"/>
  <c r="I2823" i="12"/>
  <c r="I2767" i="12"/>
  <c r="I2711" i="12"/>
  <c r="I2599" i="12"/>
  <c r="I2515" i="12"/>
  <c r="I2459" i="12"/>
  <c r="I2403" i="12"/>
  <c r="I2291" i="12"/>
  <c r="I2179" i="12"/>
  <c r="I2123" i="12"/>
  <c r="I2067" i="12"/>
  <c r="I2011" i="12"/>
  <c r="I1871" i="12"/>
  <c r="I1815" i="12"/>
  <c r="I1759" i="12"/>
  <c r="I1703" i="12"/>
  <c r="I1647" i="12"/>
  <c r="I1591" i="12"/>
  <c r="I1535" i="12"/>
  <c r="I1479" i="12"/>
  <c r="I1423" i="12"/>
  <c r="I1367" i="12"/>
  <c r="I1311" i="12"/>
  <c r="I1255" i="12"/>
  <c r="I1199" i="12"/>
  <c r="I1143" i="12"/>
  <c r="I1059" i="12"/>
  <c r="I1003" i="12"/>
  <c r="I919" i="12"/>
  <c r="I835" i="12"/>
  <c r="I779" i="12"/>
  <c r="I667" i="12"/>
  <c r="I611" i="12"/>
  <c r="I219" i="12"/>
  <c r="T4915" i="12"/>
  <c r="U4915" i="12"/>
  <c r="T4873" i="12"/>
  <c r="U4873" i="12"/>
  <c r="T4831" i="12"/>
  <c r="U4831" i="12"/>
  <c r="T4789" i="12"/>
  <c r="U4789" i="12"/>
  <c r="T4747" i="12"/>
  <c r="U4747" i="12"/>
  <c r="T4705" i="12"/>
  <c r="U4705" i="12"/>
  <c r="T4663" i="12"/>
  <c r="U4663" i="12"/>
  <c r="T4621" i="12"/>
  <c r="U4621" i="12"/>
  <c r="T4579" i="12"/>
  <c r="U4579" i="12"/>
  <c r="T4523" i="12"/>
  <c r="U4523" i="12"/>
  <c r="T4481" i="12"/>
  <c r="U4481" i="12"/>
  <c r="T4439" i="12"/>
  <c r="U4439" i="12"/>
  <c r="T4397" i="12"/>
  <c r="U4397" i="12"/>
  <c r="T4355" i="12"/>
  <c r="U4355" i="12"/>
  <c r="T4313" i="12"/>
  <c r="U4313" i="12"/>
  <c r="T4243" i="12"/>
  <c r="U4243" i="12"/>
  <c r="T4201" i="12"/>
  <c r="U4201" i="12"/>
  <c r="T4159" i="12"/>
  <c r="U4159" i="12"/>
  <c r="U4103" i="12"/>
  <c r="T4103" i="12"/>
  <c r="T4061" i="12"/>
  <c r="U4061" i="12"/>
  <c r="T4019" i="12"/>
  <c r="U4019" i="12"/>
  <c r="T3977" i="12"/>
  <c r="U3977" i="12"/>
  <c r="T3921" i="12"/>
  <c r="U3921" i="12"/>
  <c r="T3879" i="12"/>
  <c r="U3879" i="12"/>
  <c r="T3837" i="12"/>
  <c r="U3837" i="12"/>
  <c r="T3795" i="12"/>
  <c r="U3795" i="12"/>
  <c r="T3753" i="12"/>
  <c r="U3753" i="12"/>
  <c r="T3711" i="12"/>
  <c r="U3711" i="12"/>
  <c r="T3669" i="12"/>
  <c r="U3669" i="12"/>
  <c r="T3613" i="12"/>
  <c r="U3613" i="12"/>
  <c r="T3571" i="12"/>
  <c r="U3571" i="12"/>
  <c r="T3529" i="12"/>
  <c r="U3529" i="12"/>
  <c r="T3487" i="12"/>
  <c r="U3487" i="12"/>
  <c r="T3445" i="12"/>
  <c r="U3445" i="12"/>
  <c r="T3403" i="12"/>
  <c r="U3403" i="12"/>
  <c r="T3361" i="12"/>
  <c r="U3361" i="12"/>
  <c r="T3319" i="12"/>
  <c r="U3319" i="12"/>
  <c r="T3277" i="12"/>
  <c r="U3277" i="12"/>
  <c r="T3235" i="12"/>
  <c r="U3235" i="12"/>
  <c r="T3193" i="12"/>
  <c r="U3193" i="12"/>
  <c r="T3151" i="12"/>
  <c r="U3151" i="12"/>
  <c r="T3109" i="12"/>
  <c r="U3109" i="12"/>
  <c r="T3067" i="12"/>
  <c r="U3067" i="12"/>
  <c r="T3025" i="12"/>
  <c r="U3025" i="12"/>
  <c r="T2983" i="12"/>
  <c r="U2983" i="12"/>
  <c r="T2927" i="12"/>
  <c r="U2927" i="12"/>
  <c r="T2885" i="12"/>
  <c r="U2885" i="12"/>
  <c r="T2843" i="12"/>
  <c r="U2843" i="12"/>
  <c r="T2801" i="12"/>
  <c r="U2801" i="12"/>
  <c r="T2773" i="12"/>
  <c r="U2773" i="12"/>
  <c r="T2717" i="12"/>
  <c r="U2717" i="12"/>
  <c r="T2661" i="12"/>
  <c r="U2661" i="12"/>
  <c r="T2619" i="12"/>
  <c r="U2619" i="12"/>
  <c r="T2577" i="12"/>
  <c r="U2577" i="12"/>
  <c r="T2535" i="12"/>
  <c r="U2535" i="12"/>
  <c r="T2493" i="12"/>
  <c r="U2493" i="12"/>
  <c r="T2451" i="12"/>
  <c r="U2451" i="12"/>
  <c r="T2409" i="12"/>
  <c r="U2409" i="12"/>
  <c r="T2367" i="12"/>
  <c r="U2367" i="12"/>
  <c r="T2311" i="12"/>
  <c r="U2311" i="12"/>
  <c r="T2269" i="12"/>
  <c r="U2269" i="12"/>
  <c r="T2213" i="12"/>
  <c r="U2213" i="12"/>
  <c r="T2171" i="12"/>
  <c r="U2171" i="12"/>
  <c r="T2115" i="12"/>
  <c r="U2115" i="12"/>
  <c r="T2059" i="12"/>
  <c r="U2059" i="12"/>
  <c r="T2003" i="12"/>
  <c r="U2003" i="12"/>
  <c r="T1947" i="12"/>
  <c r="U1947" i="12"/>
  <c r="T1905" i="12"/>
  <c r="U1905" i="12"/>
  <c r="T1849" i="12"/>
  <c r="U1849" i="12"/>
  <c r="T1793" i="12"/>
  <c r="U1793" i="12"/>
  <c r="T1751" i="12"/>
  <c r="U1751" i="12"/>
  <c r="T1695" i="12"/>
  <c r="U1695" i="12"/>
  <c r="T1653" i="12"/>
  <c r="U1653" i="12"/>
  <c r="T1583" i="12"/>
  <c r="U1583" i="12"/>
  <c r="T1541" i="12"/>
  <c r="U1541" i="12"/>
  <c r="T1485" i="12"/>
  <c r="U1485" i="12"/>
  <c r="T1429" i="12"/>
  <c r="U1429" i="12"/>
  <c r="T1387" i="12"/>
  <c r="U1387" i="12"/>
  <c r="T1331" i="12"/>
  <c r="U1331" i="12"/>
  <c r="T1289" i="12"/>
  <c r="U1289" i="12"/>
  <c r="T1247" i="12"/>
  <c r="U1247" i="12"/>
  <c r="T1205" i="12"/>
  <c r="U1205" i="12"/>
  <c r="T1163" i="12"/>
  <c r="U1163" i="12"/>
  <c r="T1121" i="12"/>
  <c r="U1121" i="12"/>
  <c r="T1079" i="12"/>
  <c r="U1079" i="12"/>
  <c r="T1037" i="12"/>
  <c r="U1037" i="12"/>
  <c r="T995" i="12"/>
  <c r="U995" i="12"/>
  <c r="T953" i="12"/>
  <c r="U953" i="12"/>
  <c r="T897" i="12"/>
  <c r="U897" i="12"/>
  <c r="T855" i="12"/>
  <c r="U855" i="12"/>
  <c r="T813" i="12"/>
  <c r="U813" i="12"/>
  <c r="T757" i="12"/>
  <c r="U757" i="12"/>
  <c r="T673" i="12"/>
  <c r="U673" i="12"/>
  <c r="T491" i="12"/>
  <c r="U491" i="12"/>
  <c r="I4726" i="12"/>
  <c r="I4934" i="12"/>
  <c r="I4878" i="12"/>
  <c r="I4822" i="12"/>
  <c r="I4766" i="12"/>
  <c r="I4710" i="12"/>
  <c r="I4654" i="12"/>
  <c r="I4598" i="12"/>
  <c r="I4542" i="12"/>
  <c r="I4486" i="12"/>
  <c r="I4430" i="12"/>
  <c r="I4374" i="12"/>
  <c r="I4318" i="12"/>
  <c r="I4262" i="12"/>
  <c r="I4206" i="12"/>
  <c r="I4150" i="12"/>
  <c r="I4094" i="12"/>
  <c r="I4038" i="12"/>
  <c r="I3982" i="12"/>
  <c r="I3926" i="12"/>
  <c r="I3870" i="12"/>
  <c r="I3814" i="12"/>
  <c r="I3758" i="12"/>
  <c r="I2235" i="12"/>
  <c r="I4918" i="12"/>
  <c r="I4862" i="12"/>
  <c r="I4806" i="12"/>
  <c r="I4750" i="12"/>
  <c r="I4694" i="12"/>
  <c r="I4638" i="12"/>
  <c r="I4582" i="12"/>
  <c r="I4526" i="12"/>
  <c r="I4470" i="12"/>
  <c r="I4414" i="12"/>
  <c r="I4358" i="12"/>
  <c r="I4302" i="12"/>
  <c r="I4246" i="12"/>
  <c r="I4190" i="12"/>
  <c r="I4134" i="12"/>
  <c r="I4078" i="12"/>
  <c r="I4022" i="12"/>
  <c r="I3966" i="12"/>
  <c r="I3910" i="12"/>
  <c r="I3854" i="12"/>
  <c r="I3798" i="12"/>
  <c r="I3742" i="12"/>
  <c r="I3686" i="12"/>
  <c r="I3630" i="12"/>
  <c r="I3574" i="12"/>
  <c r="I3518" i="12"/>
  <c r="I3462" i="12"/>
  <c r="I3406" i="12"/>
  <c r="I3350" i="12"/>
  <c r="I3294" i="12"/>
  <c r="I3238" i="12"/>
  <c r="I3182" i="12"/>
  <c r="I3126" i="12"/>
  <c r="I3070" i="12"/>
  <c r="I3014" i="12"/>
  <c r="I2958" i="12"/>
  <c r="I2902" i="12"/>
  <c r="I2846" i="12"/>
  <c r="I2790" i="12"/>
  <c r="I2734" i="12"/>
  <c r="I2678" i="12"/>
  <c r="I2622" i="12"/>
  <c r="I2566" i="12"/>
  <c r="I2510" i="12"/>
  <c r="I2454" i="12"/>
  <c r="I2398" i="12"/>
  <c r="I2342" i="12"/>
  <c r="I2286" i="12"/>
  <c r="I2230" i="12"/>
  <c r="I2174" i="12"/>
  <c r="I2118" i="12"/>
  <c r="I2062" i="12"/>
  <c r="I2006" i="12"/>
  <c r="I1950" i="12"/>
  <c r="I1894" i="12"/>
  <c r="I1838" i="12"/>
  <c r="I1782" i="12"/>
  <c r="I1726" i="12"/>
  <c r="I1698" i="12"/>
  <c r="I1670" i="12"/>
  <c r="I1614" i="12"/>
  <c r="I1558" i="12"/>
  <c r="I1502" i="12"/>
  <c r="I1446" i="12"/>
  <c r="I1390" i="12"/>
  <c r="I1334" i="12"/>
  <c r="I1278" i="12"/>
  <c r="I1222" i="12"/>
  <c r="I1166" i="12"/>
  <c r="I1110" i="12"/>
  <c r="I1054" i="12"/>
  <c r="I998" i="12"/>
  <c r="I942" i="12"/>
  <c r="I886" i="12"/>
  <c r="I830" i="12"/>
  <c r="I774" i="12"/>
  <c r="I718" i="12"/>
  <c r="I662" i="12"/>
  <c r="I606" i="12"/>
  <c r="I550" i="12"/>
  <c r="I494" i="12"/>
  <c r="I438" i="12"/>
  <c r="I2319" i="12"/>
  <c r="I4902" i="12"/>
  <c r="I4846" i="12"/>
  <c r="I4790" i="12"/>
  <c r="I4734" i="12"/>
  <c r="I4678" i="12"/>
  <c r="I4622" i="12"/>
  <c r="I4566" i="12"/>
  <c r="I4510" i="12"/>
  <c r="I4454" i="12"/>
  <c r="I4398" i="12"/>
  <c r="I4342" i="12"/>
  <c r="I4286" i="12"/>
  <c r="I4230" i="12"/>
  <c r="I4174" i="12"/>
  <c r="I4118" i="12"/>
  <c r="I4062" i="12"/>
  <c r="I4006" i="12"/>
  <c r="I3950" i="12"/>
  <c r="I3894" i="12"/>
  <c r="I3838" i="12"/>
  <c r="I3782" i="12"/>
  <c r="I3726" i="12"/>
  <c r="I3670" i="12"/>
  <c r="I3614" i="12"/>
  <c r="I3558" i="12"/>
  <c r="I3502" i="12"/>
  <c r="I3446" i="12"/>
  <c r="I3390" i="12"/>
  <c r="I3334" i="12"/>
  <c r="I3278" i="12"/>
  <c r="I3222" i="12"/>
  <c r="I3166" i="12"/>
  <c r="I3110" i="12"/>
  <c r="I3054" i="12"/>
  <c r="I2998" i="12"/>
  <c r="I2942" i="12"/>
  <c r="I2886" i="12"/>
  <c r="I2830" i="12"/>
  <c r="I2774" i="12"/>
  <c r="I2718" i="12"/>
  <c r="I2662" i="12"/>
  <c r="I2606" i="12"/>
  <c r="I2550" i="12"/>
  <c r="I2494" i="12"/>
  <c r="I2438" i="12"/>
  <c r="I2382" i="12"/>
  <c r="I2326" i="12"/>
  <c r="I2270" i="12"/>
  <c r="I2214" i="12"/>
  <c r="I2158" i="12"/>
  <c r="I2102" i="12"/>
  <c r="I2046" i="12"/>
  <c r="I1990" i="12"/>
  <c r="I1934" i="12"/>
  <c r="I1878" i="12"/>
  <c r="I1822" i="12"/>
  <c r="I1766" i="12"/>
  <c r="I1710" i="12"/>
  <c r="I1654" i="12"/>
  <c r="I1598" i="12"/>
  <c r="I1542" i="12"/>
  <c r="I1486" i="12"/>
  <c r="I1430" i="12"/>
  <c r="I1374" i="12"/>
  <c r="I1318" i="12"/>
  <c r="I1262" i="12"/>
  <c r="I1206" i="12"/>
  <c r="I1150" i="12"/>
  <c r="I1094" i="12"/>
  <c r="I1038" i="12"/>
  <c r="I982" i="12"/>
  <c r="I926" i="12"/>
  <c r="I870" i="12"/>
  <c r="I814" i="12"/>
  <c r="I758" i="12"/>
  <c r="I702" i="12"/>
  <c r="I646" i="12"/>
  <c r="I590" i="12"/>
  <c r="I534" i="12"/>
  <c r="I478" i="12"/>
  <c r="I4915" i="12"/>
  <c r="I4859" i="12"/>
  <c r="I4803" i="12"/>
  <c r="I4747" i="12"/>
  <c r="I4691" i="12"/>
  <c r="I4635" i="12"/>
  <c r="I4579" i="12"/>
  <c r="I4523" i="12"/>
  <c r="I4467" i="12"/>
  <c r="I4411" i="12"/>
  <c r="I4355" i="12"/>
  <c r="I4299" i="12"/>
  <c r="I4243" i="12"/>
  <c r="I4187" i="12"/>
  <c r="I4131" i="12"/>
  <c r="I4075" i="12"/>
  <c r="I4019" i="12"/>
  <c r="I3963" i="12"/>
  <c r="I3907" i="12"/>
  <c r="I3851" i="12"/>
  <c r="I3795" i="12"/>
  <c r="I3739" i="12"/>
  <c r="I3683" i="12"/>
  <c r="I3627" i="12"/>
  <c r="I3571" i="12"/>
  <c r="I3515" i="12"/>
  <c r="I3459" i="12"/>
  <c r="I3403" i="12"/>
  <c r="I3347" i="12"/>
  <c r="I3291" i="12"/>
  <c r="I3235" i="12"/>
  <c r="I3179" i="12"/>
  <c r="I3123" i="12"/>
  <c r="I3067" i="12"/>
  <c r="I3011" i="12"/>
  <c r="I2955" i="12"/>
  <c r="I2899" i="12"/>
  <c r="I2843" i="12"/>
  <c r="I2815" i="12"/>
  <c r="I2787" i="12"/>
  <c r="I2759" i="12"/>
  <c r="I2731" i="12"/>
  <c r="I2703" i="12"/>
  <c r="I2675" i="12"/>
  <c r="I2647" i="12"/>
  <c r="I2619" i="12"/>
  <c r="I2591" i="12"/>
  <c r="I2563" i="12"/>
  <c r="I2535" i="12"/>
  <c r="I2507" i="12"/>
  <c r="I2479" i="12"/>
  <c r="I2451" i="12"/>
  <c r="I2423" i="12"/>
  <c r="I2395" i="12"/>
  <c r="I2367" i="12"/>
  <c r="I2339" i="12"/>
  <c r="I2311" i="12"/>
  <c r="I2283" i="12"/>
  <c r="I2255" i="12"/>
  <c r="I2227" i="12"/>
  <c r="I2199" i="12"/>
  <c r="I2171" i="12"/>
  <c r="I2143" i="12"/>
  <c r="I2115" i="12"/>
  <c r="I2087" i="12"/>
  <c r="I2059" i="12"/>
  <c r="I2031" i="12"/>
  <c r="I2003" i="12"/>
  <c r="I1975" i="12"/>
  <c r="I1947" i="12"/>
  <c r="I1919" i="12"/>
  <c r="I1891" i="12"/>
  <c r="I1863" i="12"/>
  <c r="I1835" i="12"/>
  <c r="I1807" i="12"/>
  <c r="I1779" i="12"/>
  <c r="I1751" i="12"/>
  <c r="I1723" i="12"/>
  <c r="I1695" i="12"/>
  <c r="I1667" i="12"/>
  <c r="I1639" i="12"/>
  <c r="I1611" i="12"/>
  <c r="I1583" i="12"/>
  <c r="I1555" i="12"/>
  <c r="I1527" i="12"/>
  <c r="I1499" i="12"/>
  <c r="I1471" i="12"/>
  <c r="I1443" i="12"/>
  <c r="I1415" i="12"/>
  <c r="I1387" i="12"/>
  <c r="I1359" i="12"/>
  <c r="I1331" i="12"/>
  <c r="I1303" i="12"/>
  <c r="I1275" i="12"/>
  <c r="I1247" i="12"/>
  <c r="I1219" i="12"/>
  <c r="I1191" i="12"/>
  <c r="I1163" i="12"/>
  <c r="I1135" i="12"/>
  <c r="I1107" i="12"/>
  <c r="I1079" i="12"/>
  <c r="I1051" i="12"/>
  <c r="I1023" i="12"/>
  <c r="I995" i="12"/>
  <c r="I967" i="12"/>
  <c r="I939" i="12"/>
  <c r="I911" i="12"/>
  <c r="I883" i="12"/>
  <c r="I855" i="12"/>
  <c r="I827" i="12"/>
  <c r="I799" i="12"/>
  <c r="I771" i="12"/>
  <c r="I4214" i="12"/>
  <c r="I4158" i="12"/>
  <c r="I4102" i="12"/>
  <c r="I4046" i="12"/>
  <c r="I3990" i="12"/>
  <c r="I3934" i="12"/>
  <c r="I3878" i="12"/>
  <c r="I3822" i="12"/>
  <c r="I3766" i="12"/>
  <c r="I3710" i="12"/>
  <c r="I3654" i="12"/>
  <c r="I3598" i="12"/>
  <c r="I3542" i="12"/>
  <c r="I3486" i="12"/>
  <c r="I3430" i="12"/>
  <c r="I3374" i="12"/>
  <c r="I3318" i="12"/>
  <c r="I2870" i="12"/>
  <c r="I2814" i="12"/>
  <c r="I2758" i="12"/>
  <c r="I2534" i="12"/>
  <c r="I2422" i="12"/>
  <c r="I2366" i="12"/>
  <c r="I2310" i="12"/>
  <c r="I2198" i="12"/>
  <c r="I2030" i="12"/>
  <c r="I1918" i="12"/>
  <c r="I1862" i="12"/>
  <c r="I1806" i="12"/>
  <c r="I1750" i="12"/>
  <c r="I1694" i="12"/>
  <c r="I1582" i="12"/>
  <c r="I1414" i="12"/>
  <c r="I1302" i="12"/>
  <c r="I1246" i="12"/>
  <c r="I1190" i="12"/>
  <c r="I1078" i="12"/>
  <c r="I966" i="12"/>
  <c r="I910" i="12"/>
  <c r="I854" i="12"/>
  <c r="I798" i="12"/>
  <c r="I2543" i="12"/>
  <c r="I4675" i="12"/>
  <c r="G22" i="12"/>
  <c r="I4926" i="12"/>
  <c r="I4870" i="12"/>
  <c r="I4814" i="12"/>
  <c r="I4758" i="12"/>
  <c r="I4702" i="12"/>
  <c r="I4646" i="12"/>
  <c r="I4590" i="12"/>
  <c r="I4534" i="12"/>
  <c r="I4478" i="12"/>
  <c r="I4422" i="12"/>
  <c r="I4366" i="12"/>
  <c r="I4310" i="12"/>
  <c r="I4254" i="12"/>
  <c r="I4198" i="12"/>
  <c r="I4142" i="12"/>
  <c r="I4086" i="12"/>
  <c r="I4030" i="12"/>
  <c r="I3974" i="12"/>
  <c r="I3918" i="12"/>
  <c r="I3862" i="12"/>
  <c r="I3806" i="12"/>
  <c r="I3750" i="12"/>
  <c r="T1402" i="12"/>
  <c r="U1402" i="12"/>
  <c r="T1346" i="12"/>
  <c r="U1346" i="12"/>
  <c r="T1290" i="12"/>
  <c r="U1290" i="12"/>
  <c r="T1234" i="12"/>
  <c r="U1234" i="12"/>
  <c r="T1178" i="12"/>
  <c r="U1178" i="12"/>
  <c r="T1122" i="12"/>
  <c r="U1122" i="12"/>
  <c r="T1066" i="12"/>
  <c r="U1066" i="12"/>
  <c r="T1010" i="12"/>
  <c r="U1010" i="12"/>
  <c r="T954" i="12"/>
  <c r="U954" i="12"/>
  <c r="T898" i="12"/>
  <c r="U898" i="12"/>
  <c r="T842" i="12"/>
  <c r="U842" i="12"/>
  <c r="T786" i="12"/>
  <c r="U786" i="12"/>
  <c r="T716" i="12"/>
  <c r="U716" i="12"/>
  <c r="T660" i="12"/>
  <c r="U660" i="12"/>
  <c r="T604" i="12"/>
  <c r="U604" i="12"/>
  <c r="I4899" i="12"/>
  <c r="I4843" i="12"/>
  <c r="I4787" i="12"/>
  <c r="I4731" i="12"/>
  <c r="I4619" i="12"/>
  <c r="I4563" i="12"/>
  <c r="I4939" i="12"/>
  <c r="I4883" i="12"/>
  <c r="I4827" i="12"/>
  <c r="I4771" i="12"/>
  <c r="I4715" i="12"/>
  <c r="I4659" i="12"/>
  <c r="I4603" i="12"/>
  <c r="I4547" i="12"/>
  <c r="I4491" i="12"/>
  <c r="I4435" i="12"/>
  <c r="I4379" i="12"/>
  <c r="I4323" i="12"/>
  <c r="I4267" i="12"/>
  <c r="I4211" i="12"/>
  <c r="I4155" i="12"/>
  <c r="I4099" i="12"/>
  <c r="I4043" i="12"/>
  <c r="I3987" i="12"/>
  <c r="I78" i="12"/>
  <c r="T4942" i="12"/>
  <c r="U4942" i="12"/>
  <c r="T4928" i="12"/>
  <c r="U4928" i="12"/>
  <c r="T4914" i="12"/>
  <c r="U4914" i="12"/>
  <c r="T4900" i="12"/>
  <c r="U4900" i="12"/>
  <c r="T4886" i="12"/>
  <c r="U4886" i="12"/>
  <c r="T4872" i="12"/>
  <c r="U4872" i="12"/>
  <c r="T4858" i="12"/>
  <c r="U4858" i="12"/>
  <c r="T4844" i="12"/>
  <c r="U4844" i="12"/>
  <c r="T4830" i="12"/>
  <c r="U4830" i="12"/>
  <c r="T4816" i="12"/>
  <c r="U4816" i="12"/>
  <c r="T4802" i="12"/>
  <c r="U4802" i="12"/>
  <c r="T4788" i="12"/>
  <c r="U4788" i="12"/>
  <c r="T4774" i="12"/>
  <c r="U4774" i="12"/>
  <c r="T4760" i="12"/>
  <c r="U4760" i="12"/>
  <c r="T4746" i="12"/>
  <c r="U4746" i="12"/>
  <c r="T4732" i="12"/>
  <c r="U4732" i="12"/>
  <c r="T4718" i="12"/>
  <c r="U4718" i="12"/>
  <c r="T4704" i="12"/>
  <c r="U4704" i="12"/>
  <c r="T4690" i="12"/>
  <c r="U4690" i="12"/>
  <c r="T4676" i="12"/>
  <c r="U4676" i="12"/>
  <c r="T4662" i="12"/>
  <c r="U4662" i="12"/>
  <c r="T4648" i="12"/>
  <c r="U4648" i="12"/>
  <c r="T4634" i="12"/>
  <c r="U4634" i="12"/>
  <c r="T4620" i="12"/>
  <c r="U4620" i="12"/>
  <c r="T4606" i="12"/>
  <c r="U4606" i="12"/>
  <c r="T4592" i="12"/>
  <c r="U4592" i="12"/>
  <c r="T4578" i="12"/>
  <c r="U4578" i="12"/>
  <c r="T4564" i="12"/>
  <c r="U4564" i="12"/>
  <c r="T4550" i="12"/>
  <c r="U4550" i="12"/>
  <c r="T4536" i="12"/>
  <c r="U4536" i="12"/>
  <c r="T4522" i="12"/>
  <c r="U4522" i="12"/>
  <c r="T4508" i="12"/>
  <c r="U4508" i="12"/>
  <c r="T4494" i="12"/>
  <c r="U4494" i="12"/>
  <c r="T4480" i="12"/>
  <c r="U4480" i="12"/>
  <c r="T4466" i="12"/>
  <c r="U4466" i="12"/>
  <c r="T4452" i="12"/>
  <c r="U4452" i="12"/>
  <c r="T4438" i="12"/>
  <c r="U4438" i="12"/>
  <c r="T4424" i="12"/>
  <c r="U4424" i="12"/>
  <c r="T4410" i="12"/>
  <c r="U4410" i="12"/>
  <c r="T4396" i="12"/>
  <c r="U4396" i="12"/>
  <c r="T4382" i="12"/>
  <c r="U4382" i="12"/>
  <c r="T4368" i="12"/>
  <c r="U4368" i="12"/>
  <c r="T4354" i="12"/>
  <c r="U4354" i="12"/>
  <c r="T4340" i="12"/>
  <c r="U4340" i="12"/>
  <c r="T4326" i="12"/>
  <c r="U4326" i="12"/>
  <c r="T4312" i="12"/>
  <c r="U4312" i="12"/>
  <c r="T4298" i="12"/>
  <c r="U4298" i="12"/>
  <c r="T4284" i="12"/>
  <c r="U4284" i="12"/>
  <c r="T4270" i="12"/>
  <c r="U4270" i="12"/>
  <c r="T4256" i="12"/>
  <c r="U4256" i="12"/>
  <c r="T4242" i="12"/>
  <c r="U4242" i="12"/>
  <c r="T4228" i="12"/>
  <c r="U4228" i="12"/>
  <c r="T4214" i="12"/>
  <c r="U4214" i="12"/>
  <c r="T4200" i="12"/>
  <c r="U4200" i="12"/>
  <c r="T4186" i="12"/>
  <c r="U4186" i="12"/>
  <c r="T4172" i="12"/>
  <c r="U4172" i="12"/>
  <c r="T4158" i="12"/>
  <c r="U4158" i="12"/>
  <c r="T4144" i="12"/>
  <c r="U4144" i="12"/>
  <c r="T4130" i="12"/>
  <c r="U4130" i="12"/>
  <c r="T4116" i="12"/>
  <c r="U4116" i="12"/>
  <c r="T4102" i="12"/>
  <c r="U4102" i="12"/>
  <c r="T4088" i="12"/>
  <c r="U4088" i="12"/>
  <c r="T4074" i="12"/>
  <c r="U4074" i="12"/>
  <c r="T4060" i="12"/>
  <c r="U4060" i="12"/>
  <c r="U4046" i="12"/>
  <c r="T4046" i="12"/>
  <c r="T4032" i="12"/>
  <c r="U4032" i="12"/>
  <c r="T4018" i="12"/>
  <c r="U4018" i="12"/>
  <c r="T4004" i="12"/>
  <c r="U4004" i="12"/>
  <c r="T3990" i="12"/>
  <c r="U3990" i="12"/>
  <c r="T3976" i="12"/>
  <c r="U3976" i="12"/>
  <c r="T3962" i="12"/>
  <c r="U3962" i="12"/>
  <c r="T3948" i="12"/>
  <c r="U3948" i="12"/>
  <c r="T3934" i="12"/>
  <c r="U3934" i="12"/>
  <c r="T3920" i="12"/>
  <c r="U3920" i="12"/>
  <c r="T3906" i="12"/>
  <c r="U3906" i="12"/>
  <c r="T3892" i="12"/>
  <c r="U3892" i="12"/>
  <c r="T3878" i="12"/>
  <c r="U3878" i="12"/>
  <c r="T3864" i="12"/>
  <c r="U3864" i="12"/>
  <c r="T3850" i="12"/>
  <c r="U3850" i="12"/>
  <c r="T3836" i="12"/>
  <c r="U3836" i="12"/>
  <c r="T3822" i="12"/>
  <c r="U3822" i="12"/>
  <c r="T3808" i="12"/>
  <c r="U3808" i="12"/>
  <c r="T3794" i="12"/>
  <c r="U3794" i="12"/>
  <c r="T3780" i="12"/>
  <c r="U3780" i="12"/>
  <c r="T3766" i="12"/>
  <c r="U3766" i="12"/>
  <c r="T3752" i="12"/>
  <c r="U3752" i="12"/>
  <c r="T3738" i="12"/>
  <c r="U3738" i="12"/>
  <c r="T3724" i="12"/>
  <c r="U3724" i="12"/>
  <c r="T3710" i="12"/>
  <c r="U3710" i="12"/>
  <c r="T3696" i="12"/>
  <c r="U3696" i="12"/>
  <c r="T3682" i="12"/>
  <c r="U3682" i="12"/>
  <c r="T3668" i="12"/>
  <c r="U3668" i="12"/>
  <c r="T3654" i="12"/>
  <c r="U3654" i="12"/>
  <c r="T3640" i="12"/>
  <c r="U3640" i="12"/>
  <c r="T3626" i="12"/>
  <c r="U3626" i="12"/>
  <c r="T3612" i="12"/>
  <c r="U3612" i="12"/>
  <c r="T3598" i="12"/>
  <c r="U3598" i="12"/>
  <c r="T3584" i="12"/>
  <c r="U3584" i="12"/>
  <c r="T3570" i="12"/>
  <c r="U3570" i="12"/>
  <c r="T3556" i="12"/>
  <c r="U3556" i="12"/>
  <c r="T3542" i="12"/>
  <c r="U3542" i="12"/>
  <c r="T3528" i="12"/>
  <c r="U3528" i="12"/>
  <c r="T3514" i="12"/>
  <c r="U3514" i="12"/>
  <c r="T3500" i="12"/>
  <c r="U3500" i="12"/>
  <c r="T3486" i="12"/>
  <c r="U3486" i="12"/>
  <c r="T3472" i="12"/>
  <c r="U3472" i="12"/>
  <c r="T3458" i="12"/>
  <c r="U3458" i="12"/>
  <c r="T3444" i="12"/>
  <c r="U3444" i="12"/>
  <c r="T3430" i="12"/>
  <c r="U3430" i="12"/>
  <c r="T3416" i="12"/>
  <c r="U3416" i="12"/>
  <c r="T3402" i="12"/>
  <c r="U3402" i="12"/>
  <c r="T3388" i="12"/>
  <c r="U3388" i="12"/>
  <c r="T3374" i="12"/>
  <c r="U3374" i="12"/>
  <c r="T3360" i="12"/>
  <c r="U3360" i="12"/>
  <c r="T3346" i="12"/>
  <c r="U3346" i="12"/>
  <c r="T3332" i="12"/>
  <c r="U3332" i="12"/>
  <c r="T3318" i="12"/>
  <c r="U3318" i="12"/>
  <c r="T3304" i="12"/>
  <c r="U3304" i="12"/>
  <c r="T3290" i="12"/>
  <c r="U3290" i="12"/>
  <c r="T3276" i="12"/>
  <c r="U3276" i="12"/>
  <c r="T3262" i="12"/>
  <c r="U3262" i="12"/>
  <c r="T3248" i="12"/>
  <c r="U3248" i="12"/>
  <c r="T3234" i="12"/>
  <c r="U3234" i="12"/>
  <c r="T3220" i="12"/>
  <c r="U3220" i="12"/>
  <c r="T3206" i="12"/>
  <c r="U3206" i="12"/>
  <c r="T3192" i="12"/>
  <c r="U3192" i="12"/>
  <c r="T3178" i="12"/>
  <c r="U3178" i="12"/>
  <c r="T3164" i="12"/>
  <c r="U3164" i="12"/>
  <c r="T3150" i="12"/>
  <c r="U3150" i="12"/>
  <c r="T3136" i="12"/>
  <c r="U3136" i="12"/>
  <c r="T3122" i="12"/>
  <c r="U3122" i="12"/>
  <c r="T3108" i="12"/>
  <c r="U3108" i="12"/>
  <c r="T3094" i="12"/>
  <c r="U3094" i="12"/>
  <c r="T3080" i="12"/>
  <c r="U3080" i="12"/>
  <c r="T3066" i="12"/>
  <c r="U3066" i="12"/>
  <c r="T3052" i="12"/>
  <c r="U3052" i="12"/>
  <c r="T3038" i="12"/>
  <c r="U3038" i="12"/>
  <c r="T3024" i="12"/>
  <c r="U3024" i="12"/>
  <c r="T3010" i="12"/>
  <c r="U3010" i="12"/>
  <c r="T2996" i="12"/>
  <c r="U2996" i="12"/>
  <c r="T2982" i="12"/>
  <c r="U2982" i="12"/>
  <c r="T2968" i="12"/>
  <c r="U2968" i="12"/>
  <c r="T2954" i="12"/>
  <c r="U2954" i="12"/>
  <c r="T2940" i="12"/>
  <c r="U2940" i="12"/>
  <c r="T2926" i="12"/>
  <c r="U2926" i="12"/>
  <c r="T2912" i="12"/>
  <c r="U2912" i="12"/>
  <c r="T2898" i="12"/>
  <c r="U2898" i="12"/>
  <c r="T2884" i="12"/>
  <c r="U2884" i="12"/>
  <c r="T2870" i="12"/>
  <c r="U2870" i="12"/>
  <c r="T2856" i="12"/>
  <c r="U2856" i="12"/>
  <c r="T2842" i="12"/>
  <c r="U2842" i="12"/>
  <c r="T2828" i="12"/>
  <c r="U2828" i="12"/>
  <c r="T2814" i="12"/>
  <c r="U2814" i="12"/>
  <c r="T2800" i="12"/>
  <c r="U2800" i="12"/>
  <c r="T2786" i="12"/>
  <c r="U2786" i="12"/>
  <c r="T2772" i="12"/>
  <c r="U2772" i="12"/>
  <c r="T2758" i="12"/>
  <c r="U2758" i="12"/>
  <c r="T2744" i="12"/>
  <c r="U2744" i="12"/>
  <c r="T2730" i="12"/>
  <c r="U2730" i="12"/>
  <c r="T2716" i="12"/>
  <c r="U2716" i="12"/>
  <c r="T2702" i="12"/>
  <c r="U2702" i="12"/>
  <c r="T2688" i="12"/>
  <c r="U2688" i="12"/>
  <c r="T2674" i="12"/>
  <c r="U2674" i="12"/>
  <c r="T2660" i="12"/>
  <c r="U2660" i="12"/>
  <c r="T2646" i="12"/>
  <c r="U2646" i="12"/>
  <c r="T2632" i="12"/>
  <c r="U2632" i="12"/>
  <c r="T2618" i="12"/>
  <c r="U2618" i="12"/>
  <c r="T2604" i="12"/>
  <c r="U2604" i="12"/>
  <c r="T2590" i="12"/>
  <c r="U2590" i="12"/>
  <c r="T2576" i="12"/>
  <c r="U2576" i="12"/>
  <c r="T2562" i="12"/>
  <c r="U2562" i="12"/>
  <c r="T2548" i="12"/>
  <c r="U2548" i="12"/>
  <c r="T2534" i="12"/>
  <c r="U2534" i="12"/>
  <c r="T2520" i="12"/>
  <c r="U2520" i="12"/>
  <c r="T2506" i="12"/>
  <c r="U2506" i="12"/>
  <c r="T2492" i="12"/>
  <c r="U2492" i="12"/>
  <c r="T2478" i="12"/>
  <c r="U2478" i="12"/>
  <c r="T2464" i="12"/>
  <c r="U2464" i="12"/>
  <c r="T2450" i="12"/>
  <c r="U2450" i="12"/>
  <c r="T2436" i="12"/>
  <c r="U2436" i="12"/>
  <c r="T2422" i="12"/>
  <c r="U2422" i="12"/>
  <c r="T2408" i="12"/>
  <c r="U2408" i="12"/>
  <c r="T2394" i="12"/>
  <c r="U2394" i="12"/>
  <c r="T2380" i="12"/>
  <c r="U2380" i="12"/>
  <c r="T2366" i="12"/>
  <c r="U2366" i="12"/>
  <c r="T2352" i="12"/>
  <c r="U2352" i="12"/>
  <c r="T2338" i="12"/>
  <c r="U2338" i="12"/>
  <c r="T2324" i="12"/>
  <c r="U2324" i="12"/>
  <c r="T2310" i="12"/>
  <c r="U2310" i="12"/>
  <c r="T2296" i="12"/>
  <c r="U2296" i="12"/>
  <c r="T2282" i="12"/>
  <c r="U2282" i="12"/>
  <c r="T2268" i="12"/>
  <c r="U2268" i="12"/>
  <c r="T2254" i="12"/>
  <c r="U2254" i="12"/>
  <c r="T2240" i="12"/>
  <c r="U2240" i="12"/>
  <c r="T2226" i="12"/>
  <c r="U2226" i="12"/>
  <c r="T2212" i="12"/>
  <c r="U2212" i="12"/>
  <c r="T2198" i="12"/>
  <c r="U2198" i="12"/>
  <c r="T2184" i="12"/>
  <c r="U2184" i="12"/>
  <c r="T2170" i="12"/>
  <c r="U2170" i="12"/>
  <c r="T2156" i="12"/>
  <c r="U2156" i="12"/>
  <c r="T2142" i="12"/>
  <c r="U2142" i="12"/>
  <c r="T2128" i="12"/>
  <c r="U2128" i="12"/>
  <c r="T2114" i="12"/>
  <c r="U2114" i="12"/>
  <c r="T2100" i="12"/>
  <c r="U2100" i="12"/>
  <c r="T2086" i="12"/>
  <c r="U2086" i="12"/>
  <c r="T2072" i="12"/>
  <c r="U2072" i="12"/>
  <c r="T2058" i="12"/>
  <c r="U2058" i="12"/>
  <c r="T2044" i="12"/>
  <c r="U2044" i="12"/>
  <c r="T2030" i="12"/>
  <c r="U2030" i="12"/>
  <c r="T2016" i="12"/>
  <c r="U2016" i="12"/>
  <c r="T2002" i="12"/>
  <c r="U2002" i="12"/>
  <c r="T1988" i="12"/>
  <c r="U1988" i="12"/>
  <c r="T1974" i="12"/>
  <c r="U1974" i="12"/>
  <c r="T1960" i="12"/>
  <c r="U1960" i="12"/>
  <c r="T1946" i="12"/>
  <c r="U1946" i="12"/>
  <c r="T1932" i="12"/>
  <c r="U1932" i="12"/>
  <c r="T1918" i="12"/>
  <c r="U1918" i="12"/>
  <c r="T1904" i="12"/>
  <c r="U1904" i="12"/>
  <c r="T1890" i="12"/>
  <c r="U1890" i="12"/>
  <c r="T1876" i="12"/>
  <c r="U1876" i="12"/>
  <c r="T1862" i="12"/>
  <c r="U1862" i="12"/>
  <c r="T1848" i="12"/>
  <c r="U1848" i="12"/>
  <c r="T1834" i="12"/>
  <c r="U1834" i="12"/>
  <c r="T1820" i="12"/>
  <c r="U1820" i="12"/>
  <c r="T1806" i="12"/>
  <c r="U1806" i="12"/>
  <c r="T1792" i="12"/>
  <c r="U1792" i="12"/>
  <c r="T1778" i="12"/>
  <c r="U1778" i="12"/>
  <c r="T1764" i="12"/>
  <c r="U1764" i="12"/>
  <c r="T1750" i="12"/>
  <c r="U1750" i="12"/>
  <c r="T1736" i="12"/>
  <c r="U1736" i="12"/>
  <c r="T1722" i="12"/>
  <c r="U1722" i="12"/>
  <c r="T1708" i="12"/>
  <c r="U1708" i="12"/>
  <c r="T1694" i="12"/>
  <c r="U1694" i="12"/>
  <c r="T1680" i="12"/>
  <c r="U1680" i="12"/>
  <c r="T1666" i="12"/>
  <c r="U1666" i="12"/>
  <c r="T1652" i="12"/>
  <c r="U1652" i="12"/>
  <c r="T1638" i="12"/>
  <c r="U1638" i="12"/>
  <c r="T1624" i="12"/>
  <c r="U1624" i="12"/>
  <c r="T1610" i="12"/>
  <c r="U1610" i="12"/>
  <c r="T1596" i="12"/>
  <c r="U1596" i="12"/>
  <c r="T1582" i="12"/>
  <c r="U1582" i="12"/>
  <c r="T1568" i="12"/>
  <c r="U1568" i="12"/>
  <c r="T1554" i="12"/>
  <c r="U1554" i="12"/>
  <c r="T1540" i="12"/>
  <c r="U1540" i="12"/>
  <c r="T1526" i="12"/>
  <c r="U1526" i="12"/>
  <c r="T1512" i="12"/>
  <c r="U1512" i="12"/>
  <c r="T1498" i="12"/>
  <c r="U1498" i="12"/>
  <c r="T1484" i="12"/>
  <c r="U1484" i="12"/>
  <c r="T1470" i="12"/>
  <c r="U1470" i="12"/>
  <c r="T1456" i="12"/>
  <c r="U1456" i="12"/>
  <c r="T1442" i="12"/>
  <c r="U1442" i="12"/>
  <c r="T1428" i="12"/>
  <c r="U1428" i="12"/>
  <c r="T1414" i="12"/>
  <c r="U1414" i="12"/>
  <c r="T1400" i="12"/>
  <c r="U1400" i="12"/>
  <c r="T1386" i="12"/>
  <c r="U1386" i="12"/>
  <c r="T1372" i="12"/>
  <c r="U1372" i="12"/>
  <c r="T1358" i="12"/>
  <c r="U1358" i="12"/>
  <c r="T1344" i="12"/>
  <c r="U1344" i="12"/>
  <c r="T1330" i="12"/>
  <c r="U1330" i="12"/>
  <c r="T1316" i="12"/>
  <c r="U1316" i="12"/>
  <c r="T1302" i="12"/>
  <c r="U1302" i="12"/>
  <c r="T1288" i="12"/>
  <c r="U1288" i="12"/>
  <c r="T1274" i="12"/>
  <c r="U1274" i="12"/>
  <c r="T1260" i="12"/>
  <c r="U1260" i="12"/>
  <c r="T1246" i="12"/>
  <c r="U1246" i="12"/>
  <c r="T1232" i="12"/>
  <c r="U1232" i="12"/>
  <c r="T1218" i="12"/>
  <c r="U1218" i="12"/>
  <c r="T1204" i="12"/>
  <c r="U1204" i="12"/>
  <c r="T1190" i="12"/>
  <c r="U1190" i="12"/>
  <c r="T1176" i="12"/>
  <c r="U1176" i="12"/>
  <c r="T1162" i="12"/>
  <c r="U1162" i="12"/>
  <c r="T1148" i="12"/>
  <c r="U1148" i="12"/>
  <c r="T1134" i="12"/>
  <c r="U1134" i="12"/>
  <c r="T1120" i="12"/>
  <c r="U1120" i="12"/>
  <c r="T1106" i="12"/>
  <c r="U1106" i="12"/>
  <c r="T1092" i="12"/>
  <c r="U1092" i="12"/>
  <c r="T1078" i="12"/>
  <c r="U1078" i="12"/>
  <c r="T1064" i="12"/>
  <c r="U1064" i="12"/>
  <c r="T1050" i="12"/>
  <c r="U1050" i="12"/>
  <c r="T1036" i="12"/>
  <c r="U1036" i="12"/>
  <c r="T1022" i="12"/>
  <c r="U1022" i="12"/>
  <c r="T1008" i="12"/>
  <c r="U1008" i="12"/>
  <c r="T994" i="12"/>
  <c r="U994" i="12"/>
  <c r="T980" i="12"/>
  <c r="U980" i="12"/>
  <c r="T966" i="12"/>
  <c r="U966" i="12"/>
  <c r="T952" i="12"/>
  <c r="U952" i="12"/>
  <c r="T938" i="12"/>
  <c r="U938" i="12"/>
  <c r="T924" i="12"/>
  <c r="U924" i="12"/>
  <c r="T910" i="12"/>
  <c r="U910" i="12"/>
  <c r="T896" i="12"/>
  <c r="U896" i="12"/>
  <c r="T882" i="12"/>
  <c r="U882" i="12"/>
  <c r="T868" i="12"/>
  <c r="U868" i="12"/>
  <c r="T854" i="12"/>
  <c r="U854" i="12"/>
  <c r="T840" i="12"/>
  <c r="U840" i="12"/>
  <c r="T826" i="12"/>
  <c r="U826" i="12"/>
  <c r="T812" i="12"/>
  <c r="U812" i="12"/>
  <c r="T798" i="12"/>
  <c r="U798" i="12"/>
  <c r="T784" i="12"/>
  <c r="U784" i="12"/>
  <c r="T770" i="12"/>
  <c r="U770" i="12"/>
  <c r="T756" i="12"/>
  <c r="U756" i="12"/>
  <c r="T742" i="12"/>
  <c r="U742" i="12"/>
  <c r="T728" i="12"/>
  <c r="U728" i="12"/>
  <c r="T714" i="12"/>
  <c r="U714" i="12"/>
  <c r="T700" i="12"/>
  <c r="U700" i="12"/>
  <c r="T686" i="12"/>
  <c r="U686" i="12"/>
  <c r="T672" i="12"/>
  <c r="U672" i="12"/>
  <c r="T658" i="12"/>
  <c r="U658" i="12"/>
  <c r="T644" i="12"/>
  <c r="U644" i="12"/>
  <c r="T630" i="12"/>
  <c r="U630" i="12"/>
  <c r="T616" i="12"/>
  <c r="U616" i="12"/>
  <c r="T602" i="12"/>
  <c r="U602" i="12"/>
  <c r="T588" i="12"/>
  <c r="U588" i="12"/>
  <c r="T574" i="12"/>
  <c r="U574" i="12"/>
  <c r="T560" i="12"/>
  <c r="U560" i="12"/>
  <c r="T546" i="12"/>
  <c r="U546" i="12"/>
  <c r="T532" i="12"/>
  <c r="U532" i="12"/>
  <c r="T518" i="12"/>
  <c r="U518" i="12"/>
  <c r="T504" i="12"/>
  <c r="U504" i="12"/>
  <c r="T490" i="12"/>
  <c r="U490" i="12"/>
  <c r="T476" i="12"/>
  <c r="U476" i="12"/>
  <c r="T462" i="12"/>
  <c r="U462" i="12"/>
  <c r="T448" i="12"/>
  <c r="U448" i="12"/>
  <c r="T434" i="12"/>
  <c r="U434" i="12"/>
  <c r="T420" i="12"/>
  <c r="U420" i="12"/>
  <c r="T406" i="12"/>
  <c r="U406" i="12"/>
  <c r="T392" i="12"/>
  <c r="U392" i="12"/>
  <c r="T378" i="12"/>
  <c r="U378" i="12"/>
  <c r="T364" i="12"/>
  <c r="U364" i="12"/>
  <c r="T350" i="12"/>
  <c r="U350" i="12"/>
  <c r="T336" i="12"/>
  <c r="U336" i="12"/>
  <c r="T322" i="12"/>
  <c r="U322" i="12"/>
  <c r="T308" i="12"/>
  <c r="U308" i="12"/>
  <c r="T294" i="12"/>
  <c r="U294" i="12"/>
  <c r="T280" i="12"/>
  <c r="U280" i="12"/>
  <c r="T266" i="12"/>
  <c r="U266" i="12"/>
  <c r="T252" i="12"/>
  <c r="U252" i="12"/>
  <c r="T238" i="12"/>
  <c r="U238" i="12"/>
  <c r="T224" i="12"/>
  <c r="U224" i="12"/>
  <c r="T210" i="12"/>
  <c r="U210" i="12"/>
  <c r="T196" i="12"/>
  <c r="U196" i="12"/>
  <c r="T182" i="12"/>
  <c r="U182" i="12"/>
  <c r="T168" i="12"/>
  <c r="U168" i="12"/>
  <c r="T154" i="12"/>
  <c r="U154" i="12"/>
  <c r="T140" i="12"/>
  <c r="U140" i="12"/>
  <c r="T126" i="12"/>
  <c r="U126" i="12"/>
  <c r="T112" i="12"/>
  <c r="U112" i="12"/>
  <c r="T98" i="12"/>
  <c r="U98" i="12"/>
  <c r="T84" i="12"/>
  <c r="U84" i="12"/>
  <c r="T70" i="12"/>
  <c r="U70" i="12"/>
  <c r="T56" i="12"/>
  <c r="U56" i="12"/>
  <c r="I3339" i="12"/>
  <c r="I3283" i="12"/>
  <c r="I3227" i="12"/>
  <c r="I3171" i="12"/>
  <c r="I3115" i="12"/>
  <c r="I3059" i="12"/>
  <c r="I3003" i="12"/>
  <c r="I2947" i="12"/>
  <c r="I2891" i="12"/>
  <c r="I2835" i="12"/>
  <c r="I2807" i="12"/>
  <c r="I2779" i="12"/>
  <c r="I2751" i="12"/>
  <c r="I2723" i="12"/>
  <c r="I2695" i="12"/>
  <c r="I2667" i="12"/>
  <c r="I2639" i="12"/>
  <c r="I2611" i="12"/>
  <c r="I2583" i="12"/>
  <c r="I2555" i="12"/>
  <c r="I2527" i="12"/>
  <c r="I2499" i="12"/>
  <c r="I2471" i="12"/>
  <c r="I2443" i="12"/>
  <c r="I2415" i="12"/>
  <c r="I2387" i="12"/>
  <c r="I2359" i="12"/>
  <c r="I2331" i="12"/>
  <c r="I2303" i="12"/>
  <c r="I2275" i="12"/>
  <c r="I2247" i="12"/>
  <c r="I2219" i="12"/>
  <c r="I2191" i="12"/>
  <c r="I2163" i="12"/>
  <c r="I2135" i="12"/>
  <c r="I2107" i="12"/>
  <c r="I2079" i="12"/>
  <c r="I2051" i="12"/>
  <c r="I2023" i="12"/>
  <c r="I1995" i="12"/>
  <c r="I1967" i="12"/>
  <c r="I1939" i="12"/>
  <c r="I1911" i="12"/>
  <c r="I1883" i="12"/>
  <c r="I1855" i="12"/>
  <c r="I1827" i="12"/>
  <c r="I1799" i="12"/>
  <c r="I1771" i="12"/>
  <c r="I1743" i="12"/>
  <c r="I1715" i="12"/>
  <c r="I1687" i="12"/>
  <c r="I1659" i="12"/>
  <c r="I1631" i="12"/>
  <c r="I1603" i="12"/>
  <c r="I1575" i="12"/>
  <c r="I1547" i="12"/>
  <c r="I1519" i="12"/>
  <c r="I1491" i="12"/>
  <c r="I1463" i="12"/>
  <c r="I1435" i="12"/>
  <c r="I1407" i="12"/>
  <c r="I1379" i="12"/>
  <c r="I1351" i="12"/>
  <c r="I1323" i="12"/>
  <c r="I1295" i="12"/>
  <c r="I1267" i="12"/>
  <c r="I1239" i="12"/>
  <c r="I1211" i="12"/>
  <c r="I1183" i="12"/>
  <c r="I1155" i="12"/>
  <c r="I1127" i="12"/>
  <c r="I1099" i="12"/>
  <c r="I1071" i="12"/>
  <c r="I1043" i="12"/>
  <c r="I1015" i="12"/>
  <c r="I987" i="12"/>
  <c r="I959" i="12"/>
  <c r="I931" i="12"/>
  <c r="I903" i="12"/>
  <c r="I875" i="12"/>
  <c r="I847" i="12"/>
  <c r="I819" i="12"/>
  <c r="I791" i="12"/>
  <c r="I763" i="12"/>
  <c r="I735" i="12"/>
  <c r="I707" i="12"/>
  <c r="I679" i="12"/>
  <c r="I651" i="12"/>
  <c r="I623" i="12"/>
  <c r="I595" i="12"/>
  <c r="I567" i="12"/>
  <c r="I539" i="12"/>
  <c r="I483" i="12"/>
  <c r="I427" i="12"/>
  <c r="I371" i="12"/>
  <c r="I315" i="12"/>
  <c r="I259" i="12"/>
  <c r="I203" i="12"/>
  <c r="I147" i="12"/>
  <c r="I91" i="12"/>
  <c r="T4941" i="12"/>
  <c r="U4941" i="12"/>
  <c r="T4927" i="12"/>
  <c r="U4927" i="12"/>
  <c r="T4913" i="12"/>
  <c r="U4913" i="12"/>
  <c r="T4899" i="12"/>
  <c r="U4899" i="12"/>
  <c r="T4885" i="12"/>
  <c r="U4885" i="12"/>
  <c r="T4871" i="12"/>
  <c r="U4871" i="12"/>
  <c r="T4857" i="12"/>
  <c r="U4857" i="12"/>
  <c r="T4843" i="12"/>
  <c r="U4843" i="12"/>
  <c r="T4829" i="12"/>
  <c r="U4829" i="12"/>
  <c r="T4815" i="12"/>
  <c r="U4815" i="12"/>
  <c r="T4801" i="12"/>
  <c r="U4801" i="12"/>
  <c r="T4787" i="12"/>
  <c r="U4787" i="12"/>
  <c r="T4773" i="12"/>
  <c r="U4773" i="12"/>
  <c r="T4759" i="12"/>
  <c r="U4759" i="12"/>
  <c r="T4745" i="12"/>
  <c r="U4745" i="12"/>
  <c r="T4731" i="12"/>
  <c r="U4731" i="12"/>
  <c r="T4717" i="12"/>
  <c r="U4717" i="12"/>
  <c r="T4703" i="12"/>
  <c r="U4703" i="12"/>
  <c r="T4689" i="12"/>
  <c r="U4689" i="12"/>
  <c r="T4675" i="12"/>
  <c r="U4675" i="12"/>
  <c r="T4661" i="12"/>
  <c r="U4661" i="12"/>
  <c r="T4647" i="12"/>
  <c r="U4647" i="12"/>
  <c r="T4633" i="12"/>
  <c r="U4633" i="12"/>
  <c r="T4619" i="12"/>
  <c r="U4619" i="12"/>
  <c r="T4605" i="12"/>
  <c r="U4605" i="12"/>
  <c r="T4591" i="12"/>
  <c r="U4591" i="12"/>
  <c r="T4577" i="12"/>
  <c r="U4577" i="12"/>
  <c r="T4563" i="12"/>
  <c r="U4563" i="12"/>
  <c r="T4549" i="12"/>
  <c r="U4549" i="12"/>
  <c r="T4535" i="12"/>
  <c r="U4535" i="12"/>
  <c r="T4521" i="12"/>
  <c r="U4521" i="12"/>
  <c r="T4507" i="12"/>
  <c r="U4507" i="12"/>
  <c r="T4493" i="12"/>
  <c r="U4493" i="12"/>
  <c r="T4479" i="12"/>
  <c r="U4479" i="12"/>
  <c r="T4465" i="12"/>
  <c r="U4465" i="12"/>
  <c r="T4451" i="12"/>
  <c r="U4451" i="12"/>
  <c r="T4437" i="12"/>
  <c r="U4437" i="12"/>
  <c r="T4423" i="12"/>
  <c r="U4423" i="12"/>
  <c r="T4409" i="12"/>
  <c r="U4409" i="12"/>
  <c r="T4395" i="12"/>
  <c r="U4395" i="12"/>
  <c r="T4381" i="12"/>
  <c r="U4381" i="12"/>
  <c r="T4367" i="12"/>
  <c r="U4367" i="12"/>
  <c r="T4353" i="12"/>
  <c r="U4353" i="12"/>
  <c r="T4339" i="12"/>
  <c r="U4339" i="12"/>
  <c r="T4325" i="12"/>
  <c r="U4325" i="12"/>
  <c r="T4311" i="12"/>
  <c r="U4311" i="12"/>
  <c r="T4297" i="12"/>
  <c r="U4297" i="12"/>
  <c r="T4283" i="12"/>
  <c r="U4283" i="12"/>
  <c r="T4269" i="12"/>
  <c r="U4269" i="12"/>
  <c r="T4255" i="12"/>
  <c r="U4255" i="12"/>
  <c r="T4241" i="12"/>
  <c r="U4241" i="12"/>
  <c r="T4227" i="12"/>
  <c r="U4227" i="12"/>
  <c r="T4213" i="12"/>
  <c r="U4213" i="12"/>
  <c r="T4199" i="12"/>
  <c r="U4199" i="12"/>
  <c r="T4185" i="12"/>
  <c r="U4185" i="12"/>
  <c r="T4171" i="12"/>
  <c r="U4171" i="12"/>
  <c r="T4157" i="12"/>
  <c r="U4157" i="12"/>
  <c r="T4143" i="12"/>
  <c r="U4143" i="12"/>
  <c r="T4129" i="12"/>
  <c r="U4129" i="12"/>
  <c r="T4115" i="12"/>
  <c r="U4115" i="12"/>
  <c r="T4101" i="12"/>
  <c r="U4101" i="12"/>
  <c r="T4087" i="12"/>
  <c r="U4087" i="12"/>
  <c r="T4073" i="12"/>
  <c r="U4073" i="12"/>
  <c r="T4059" i="12"/>
  <c r="U4059" i="12"/>
  <c r="U4045" i="12"/>
  <c r="T4045" i="12"/>
  <c r="T4031" i="12"/>
  <c r="U4031" i="12"/>
  <c r="T4017" i="12"/>
  <c r="U4017" i="12"/>
  <c r="T4003" i="12"/>
  <c r="U4003" i="12"/>
  <c r="T3989" i="12"/>
  <c r="U3989" i="12"/>
  <c r="T3975" i="12"/>
  <c r="U3975" i="12"/>
  <c r="T3961" i="12"/>
  <c r="U3961" i="12"/>
  <c r="U3947" i="12"/>
  <c r="T3947" i="12"/>
  <c r="T3933" i="12"/>
  <c r="U3933" i="12"/>
  <c r="T3919" i="12"/>
  <c r="U3919" i="12"/>
  <c r="T3905" i="12"/>
  <c r="U3905" i="12"/>
  <c r="T3891" i="12"/>
  <c r="U3891" i="12"/>
  <c r="T3877" i="12"/>
  <c r="U3877" i="12"/>
  <c r="T3863" i="12"/>
  <c r="U3863" i="12"/>
  <c r="T3849" i="12"/>
  <c r="U3849" i="12"/>
  <c r="T3835" i="12"/>
  <c r="U3835" i="12"/>
  <c r="T3821" i="12"/>
  <c r="U3821" i="12"/>
  <c r="T3807" i="12"/>
  <c r="U3807" i="12"/>
  <c r="T3793" i="12"/>
  <c r="U3793" i="12"/>
  <c r="T3779" i="12"/>
  <c r="U3779" i="12"/>
  <c r="T3765" i="12"/>
  <c r="U3765" i="12"/>
  <c r="T3751" i="12"/>
  <c r="U3751" i="12"/>
  <c r="T3737" i="12"/>
  <c r="U3737" i="12"/>
  <c r="T3723" i="12"/>
  <c r="U3723" i="12"/>
  <c r="T3709" i="12"/>
  <c r="U3709" i="12"/>
  <c r="T3695" i="12"/>
  <c r="U3695" i="12"/>
  <c r="T3681" i="12"/>
  <c r="U3681" i="12"/>
  <c r="T3667" i="12"/>
  <c r="U3667" i="12"/>
  <c r="T3653" i="12"/>
  <c r="U3653" i="12"/>
  <c r="T3639" i="12"/>
  <c r="U3639" i="12"/>
  <c r="T3625" i="12"/>
  <c r="U3625" i="12"/>
  <c r="T3611" i="12"/>
  <c r="U3611" i="12"/>
  <c r="T3597" i="12"/>
  <c r="U3597" i="12"/>
  <c r="T3583" i="12"/>
  <c r="U3583" i="12"/>
  <c r="T3569" i="12"/>
  <c r="U3569" i="12"/>
  <c r="T3555" i="12"/>
  <c r="U3555" i="12"/>
  <c r="T3541" i="12"/>
  <c r="U3541" i="12"/>
  <c r="T3527" i="12"/>
  <c r="U3527" i="12"/>
  <c r="T3513" i="12"/>
  <c r="U3513" i="12"/>
  <c r="T3499" i="12"/>
  <c r="U3499" i="12"/>
  <c r="T3485" i="12"/>
  <c r="U3485" i="12"/>
  <c r="T3471" i="12"/>
  <c r="U3471" i="12"/>
  <c r="T3457" i="12"/>
  <c r="U3457" i="12"/>
  <c r="T3443" i="12"/>
  <c r="U3443" i="12"/>
  <c r="T3429" i="12"/>
  <c r="U3429" i="12"/>
  <c r="T3415" i="12"/>
  <c r="U3415" i="12"/>
  <c r="T3401" i="12"/>
  <c r="U3401" i="12"/>
  <c r="T3387" i="12"/>
  <c r="U3387" i="12"/>
  <c r="T3373" i="12"/>
  <c r="U3373" i="12"/>
  <c r="T3359" i="12"/>
  <c r="U3359" i="12"/>
  <c r="T3345" i="12"/>
  <c r="U3345" i="12"/>
  <c r="T3331" i="12"/>
  <c r="U3331" i="12"/>
  <c r="T3317" i="12"/>
  <c r="U3317" i="12"/>
  <c r="T3303" i="12"/>
  <c r="U3303" i="12"/>
  <c r="T3289" i="12"/>
  <c r="U3289" i="12"/>
  <c r="T3275" i="12"/>
  <c r="U3275" i="12"/>
  <c r="T3261" i="12"/>
  <c r="U3261" i="12"/>
  <c r="T3247" i="12"/>
  <c r="U3247" i="12"/>
  <c r="T3233" i="12"/>
  <c r="U3233" i="12"/>
  <c r="T3219" i="12"/>
  <c r="U3219" i="12"/>
  <c r="T3205" i="12"/>
  <c r="U3205" i="12"/>
  <c r="T3191" i="12"/>
  <c r="U3191" i="12"/>
  <c r="T3177" i="12"/>
  <c r="U3177" i="12"/>
  <c r="T3163" i="12"/>
  <c r="U3163" i="12"/>
  <c r="T3149" i="12"/>
  <c r="U3149" i="12"/>
  <c r="T3135" i="12"/>
  <c r="U3135" i="12"/>
  <c r="T3121" i="12"/>
  <c r="U3121" i="12"/>
  <c r="T3107" i="12"/>
  <c r="U3107" i="12"/>
  <c r="T3093" i="12"/>
  <c r="U3093" i="12"/>
  <c r="T3079" i="12"/>
  <c r="U3079" i="12"/>
  <c r="T3065" i="12"/>
  <c r="U3065" i="12"/>
  <c r="T3051" i="12"/>
  <c r="U3051" i="12"/>
  <c r="T3037" i="12"/>
  <c r="U3037" i="12"/>
  <c r="T3023" i="12"/>
  <c r="U3023" i="12"/>
  <c r="T3009" i="12"/>
  <c r="U3009" i="12"/>
  <c r="T2995" i="12"/>
  <c r="U2995" i="12"/>
  <c r="T2981" i="12"/>
  <c r="U2981" i="12"/>
  <c r="T2967" i="12"/>
  <c r="U2967" i="12"/>
  <c r="T2953" i="12"/>
  <c r="U2953" i="12"/>
  <c r="T2939" i="12"/>
  <c r="U2939" i="12"/>
  <c r="T2925" i="12"/>
  <c r="U2925" i="12"/>
  <c r="T2911" i="12"/>
  <c r="U2911" i="12"/>
  <c r="T2897" i="12"/>
  <c r="U2897" i="12"/>
  <c r="T2883" i="12"/>
  <c r="U2883" i="12"/>
  <c r="T2869" i="12"/>
  <c r="U2869" i="12"/>
  <c r="T2855" i="12"/>
  <c r="U2855" i="12"/>
  <c r="T2841" i="12"/>
  <c r="U2841" i="12"/>
  <c r="T2827" i="12"/>
  <c r="U2827" i="12"/>
  <c r="T2813" i="12"/>
  <c r="U2813" i="12"/>
  <c r="T2799" i="12"/>
  <c r="U2799" i="12"/>
  <c r="T2785" i="12"/>
  <c r="U2785" i="12"/>
  <c r="T2771" i="12"/>
  <c r="U2771" i="12"/>
  <c r="T2757" i="12"/>
  <c r="U2757" i="12"/>
  <c r="T2743" i="12"/>
  <c r="U2743" i="12"/>
  <c r="T2729" i="12"/>
  <c r="U2729" i="12"/>
  <c r="T2715" i="12"/>
  <c r="U2715" i="12"/>
  <c r="T2701" i="12"/>
  <c r="U2701" i="12"/>
  <c r="T2687" i="12"/>
  <c r="U2687" i="12"/>
  <c r="T2673" i="12"/>
  <c r="U2673" i="12"/>
  <c r="T2659" i="12"/>
  <c r="U2659" i="12"/>
  <c r="T2645" i="12"/>
  <c r="U2645" i="12"/>
  <c r="T2631" i="12"/>
  <c r="U2631" i="12"/>
  <c r="T2617" i="12"/>
  <c r="U2617" i="12"/>
  <c r="T2603" i="12"/>
  <c r="U2603" i="12"/>
  <c r="T2589" i="12"/>
  <c r="U2589" i="12"/>
  <c r="T2575" i="12"/>
  <c r="U2575" i="12"/>
  <c r="T2561" i="12"/>
  <c r="U2561" i="12"/>
  <c r="T2547" i="12"/>
  <c r="U2547" i="12"/>
  <c r="T2533" i="12"/>
  <c r="U2533" i="12"/>
  <c r="T2519" i="12"/>
  <c r="U2519" i="12"/>
  <c r="T2505" i="12"/>
  <c r="U2505" i="12"/>
  <c r="T2491" i="12"/>
  <c r="U2491" i="12"/>
  <c r="T2477" i="12"/>
  <c r="U2477" i="12"/>
  <c r="T2463" i="12"/>
  <c r="U2463" i="12"/>
  <c r="T2449" i="12"/>
  <c r="U2449" i="12"/>
  <c r="T2435" i="12"/>
  <c r="U2435" i="12"/>
  <c r="T2421" i="12"/>
  <c r="U2421" i="12"/>
  <c r="T2407" i="12"/>
  <c r="U2407" i="12"/>
  <c r="T2393" i="12"/>
  <c r="U2393" i="12"/>
  <c r="T2379" i="12"/>
  <c r="U2379" i="12"/>
  <c r="T2365" i="12"/>
  <c r="U2365" i="12"/>
  <c r="T2351" i="12"/>
  <c r="U2351" i="12"/>
  <c r="T2337" i="12"/>
  <c r="U2337" i="12"/>
  <c r="T2323" i="12"/>
  <c r="U2323" i="12"/>
  <c r="T2309" i="12"/>
  <c r="U2309" i="12"/>
  <c r="T2295" i="12"/>
  <c r="U2295" i="12"/>
  <c r="T2281" i="12"/>
  <c r="U2281" i="12"/>
  <c r="T2267" i="12"/>
  <c r="U2267" i="12"/>
  <c r="T2253" i="12"/>
  <c r="U2253" i="12"/>
  <c r="T2239" i="12"/>
  <c r="U2239" i="12"/>
  <c r="T2225" i="12"/>
  <c r="U2225" i="12"/>
  <c r="T2211" i="12"/>
  <c r="U2211" i="12"/>
  <c r="T2197" i="12"/>
  <c r="U2197" i="12"/>
  <c r="T2183" i="12"/>
  <c r="U2183" i="12"/>
  <c r="T2169" i="12"/>
  <c r="U2169" i="12"/>
  <c r="T2155" i="12"/>
  <c r="U2155" i="12"/>
  <c r="T2141" i="12"/>
  <c r="U2141" i="12"/>
  <c r="T2127" i="12"/>
  <c r="U2127" i="12"/>
  <c r="T2113" i="12"/>
  <c r="U2113" i="12"/>
  <c r="T2099" i="12"/>
  <c r="U2099" i="12"/>
  <c r="T2085" i="12"/>
  <c r="U2085" i="12"/>
  <c r="T2071" i="12"/>
  <c r="U2071" i="12"/>
  <c r="T2057" i="12"/>
  <c r="U2057" i="12"/>
  <c r="T2043" i="12"/>
  <c r="U2043" i="12"/>
  <c r="T2029" i="12"/>
  <c r="U2029" i="12"/>
  <c r="T2015" i="12"/>
  <c r="U2015" i="12"/>
  <c r="T2001" i="12"/>
  <c r="U2001" i="12"/>
  <c r="T1987" i="12"/>
  <c r="U1987" i="12"/>
  <c r="T1973" i="12"/>
  <c r="U1973" i="12"/>
  <c r="T1959" i="12"/>
  <c r="U1959" i="12"/>
  <c r="T1945" i="12"/>
  <c r="U1945" i="12"/>
  <c r="T1931" i="12"/>
  <c r="U1931" i="12"/>
  <c r="T1917" i="12"/>
  <c r="U1917" i="12"/>
  <c r="T1903" i="12"/>
  <c r="U1903" i="12"/>
  <c r="T1889" i="12"/>
  <c r="U1889" i="12"/>
  <c r="T1875" i="12"/>
  <c r="U1875" i="12"/>
  <c r="T1861" i="12"/>
  <c r="U1861" i="12"/>
  <c r="T1847" i="12"/>
  <c r="U1847" i="12"/>
  <c r="T1833" i="12"/>
  <c r="U1833" i="12"/>
  <c r="T1819" i="12"/>
  <c r="U1819" i="12"/>
  <c r="T1805" i="12"/>
  <c r="U1805" i="12"/>
  <c r="T1791" i="12"/>
  <c r="U1791" i="12"/>
  <c r="T1777" i="12"/>
  <c r="U1777" i="12"/>
  <c r="T1763" i="12"/>
  <c r="U1763" i="12"/>
  <c r="T1749" i="12"/>
  <c r="U1749" i="12"/>
  <c r="T1735" i="12"/>
  <c r="U1735" i="12"/>
  <c r="T1721" i="12"/>
  <c r="U1721" i="12"/>
  <c r="T1707" i="12"/>
  <c r="U1707" i="12"/>
  <c r="T1693" i="12"/>
  <c r="U1693" i="12"/>
  <c r="T1679" i="12"/>
  <c r="U1679" i="12"/>
  <c r="T1665" i="12"/>
  <c r="U1665" i="12"/>
  <c r="T1651" i="12"/>
  <c r="U1651" i="12"/>
  <c r="T1637" i="12"/>
  <c r="U1637" i="12"/>
  <c r="T1623" i="12"/>
  <c r="U1623" i="12"/>
  <c r="T1609" i="12"/>
  <c r="U1609" i="12"/>
  <c r="T1595" i="12"/>
  <c r="U1595" i="12"/>
  <c r="T1581" i="12"/>
  <c r="U1581" i="12"/>
  <c r="T1567" i="12"/>
  <c r="U1567" i="12"/>
  <c r="T1553" i="12"/>
  <c r="U1553" i="12"/>
  <c r="T1539" i="12"/>
  <c r="U1539" i="12"/>
  <c r="T1525" i="12"/>
  <c r="U1525" i="12"/>
  <c r="T1511" i="12"/>
  <c r="U1511" i="12"/>
  <c r="T1497" i="12"/>
  <c r="U1497" i="12"/>
  <c r="T1483" i="12"/>
  <c r="U1483" i="12"/>
  <c r="T1469" i="12"/>
  <c r="U1469" i="12"/>
  <c r="T1455" i="12"/>
  <c r="U1455" i="12"/>
  <c r="T1441" i="12"/>
  <c r="U1441" i="12"/>
  <c r="T1427" i="12"/>
  <c r="U1427" i="12"/>
  <c r="T1413" i="12"/>
  <c r="U1413" i="12"/>
  <c r="T1399" i="12"/>
  <c r="U1399" i="12"/>
  <c r="T1385" i="12"/>
  <c r="U1385" i="12"/>
  <c r="T1371" i="12"/>
  <c r="U1371" i="12"/>
  <c r="T1357" i="12"/>
  <c r="U1357" i="12"/>
  <c r="T1343" i="12"/>
  <c r="U1343" i="12"/>
  <c r="T1329" i="12"/>
  <c r="U1329" i="12"/>
  <c r="T1315" i="12"/>
  <c r="U1315" i="12"/>
  <c r="T1301" i="12"/>
  <c r="U1301" i="12"/>
  <c r="T1287" i="12"/>
  <c r="U1287" i="12"/>
  <c r="T1273" i="12"/>
  <c r="U1273" i="12"/>
  <c r="T1259" i="12"/>
  <c r="U1259" i="12"/>
  <c r="T1245" i="12"/>
  <c r="U1245" i="12"/>
  <c r="T1231" i="12"/>
  <c r="U1231" i="12"/>
  <c r="I3702" i="12"/>
  <c r="I3646" i="12"/>
  <c r="I3590" i="12"/>
  <c r="I3534" i="12"/>
  <c r="I3478" i="12"/>
  <c r="I3422" i="12"/>
  <c r="I3366" i="12"/>
  <c r="I3310" i="12"/>
  <c r="I3254" i="12"/>
  <c r="I3198" i="12"/>
  <c r="I3142" i="12"/>
  <c r="I3086" i="12"/>
  <c r="I3030" i="12"/>
  <c r="I2974" i="12"/>
  <c r="I2918" i="12"/>
  <c r="I2862" i="12"/>
  <c r="I2806" i="12"/>
  <c r="I2750" i="12"/>
  <c r="I2694" i="12"/>
  <c r="I2638" i="12"/>
  <c r="I2582" i="12"/>
  <c r="I2526" i="12"/>
  <c r="I2470" i="12"/>
  <c r="I2414" i="12"/>
  <c r="I2358" i="12"/>
  <c r="I2302" i="12"/>
  <c r="I2246" i="12"/>
  <c r="I2190" i="12"/>
  <c r="I2134" i="12"/>
  <c r="I2078" i="12"/>
  <c r="I2022" i="12"/>
  <c r="I1966" i="12"/>
  <c r="I1910" i="12"/>
  <c r="I1854" i="12"/>
  <c r="I1798" i="12"/>
  <c r="I1742" i="12"/>
  <c r="I1686" i="12"/>
  <c r="I1630" i="12"/>
  <c r="I1574" i="12"/>
  <c r="I1518" i="12"/>
  <c r="I1462" i="12"/>
  <c r="I1406" i="12"/>
  <c r="I1350" i="12"/>
  <c r="I1294" i="12"/>
  <c r="I1238" i="12"/>
  <c r="I1182" i="12"/>
  <c r="I1126" i="12"/>
  <c r="I1070" i="12"/>
  <c r="I1014" i="12"/>
  <c r="I958" i="12"/>
  <c r="I902" i="12"/>
  <c r="I846" i="12"/>
  <c r="I790" i="12"/>
  <c r="I734" i="12"/>
  <c r="I678" i="12"/>
  <c r="I622" i="12"/>
  <c r="I566" i="12"/>
  <c r="I510" i="12"/>
  <c r="I454" i="12"/>
  <c r="I398" i="12"/>
  <c r="I342" i="12"/>
  <c r="I286" i="12"/>
  <c r="I230" i="12"/>
  <c r="I174" i="12"/>
  <c r="I118" i="12"/>
  <c r="I62" i="12"/>
  <c r="U4954" i="12"/>
  <c r="T4954" i="12"/>
  <c r="T4955" i="12"/>
  <c r="U4955" i="12"/>
  <c r="U4940" i="12"/>
  <c r="T4940" i="12"/>
  <c r="U4926" i="12"/>
  <c r="T4926" i="12"/>
  <c r="U4912" i="12"/>
  <c r="T4912" i="12"/>
  <c r="T4898" i="12"/>
  <c r="U4898" i="12"/>
  <c r="T4884" i="12"/>
  <c r="U4884" i="12"/>
  <c r="T4870" i="12"/>
  <c r="U4870" i="12"/>
  <c r="T4856" i="12"/>
  <c r="U4856" i="12"/>
  <c r="T4842" i="12"/>
  <c r="U4842" i="12"/>
  <c r="T4828" i="12"/>
  <c r="U4828" i="12"/>
  <c r="T4814" i="12"/>
  <c r="U4814" i="12"/>
  <c r="T4800" i="12"/>
  <c r="U4800" i="12"/>
  <c r="T4786" i="12"/>
  <c r="U4786" i="12"/>
  <c r="T4772" i="12"/>
  <c r="U4772" i="12"/>
  <c r="T4758" i="12"/>
  <c r="U4758" i="12"/>
  <c r="T4744" i="12"/>
  <c r="U4744" i="12"/>
  <c r="T4730" i="12"/>
  <c r="U4730" i="12"/>
  <c r="T4716" i="12"/>
  <c r="U4716" i="12"/>
  <c r="T4702" i="12"/>
  <c r="U4702" i="12"/>
  <c r="T4688" i="12"/>
  <c r="U4688" i="12"/>
  <c r="T4674" i="12"/>
  <c r="U4674" i="12"/>
  <c r="T4660" i="12"/>
  <c r="U4660" i="12"/>
  <c r="T4646" i="12"/>
  <c r="U4646" i="12"/>
  <c r="T4632" i="12"/>
  <c r="U4632" i="12"/>
  <c r="T4618" i="12"/>
  <c r="U4618" i="12"/>
  <c r="T4604" i="12"/>
  <c r="U4604" i="12"/>
  <c r="T4590" i="12"/>
  <c r="U4590" i="12"/>
  <c r="T4576" i="12"/>
  <c r="U4576" i="12"/>
  <c r="T4562" i="12"/>
  <c r="U4562" i="12"/>
  <c r="T4548" i="12"/>
  <c r="U4548" i="12"/>
  <c r="T4534" i="12"/>
  <c r="U4534" i="12"/>
  <c r="T4520" i="12"/>
  <c r="U4520" i="12"/>
  <c r="T4506" i="12"/>
  <c r="U4506" i="12"/>
  <c r="T4492" i="12"/>
  <c r="U4492" i="12"/>
  <c r="T4478" i="12"/>
  <c r="U4478" i="12"/>
  <c r="T4464" i="12"/>
  <c r="U4464" i="12"/>
  <c r="T4450" i="12"/>
  <c r="U4450" i="12"/>
  <c r="T4436" i="12"/>
  <c r="U4436" i="12"/>
  <c r="T4422" i="12"/>
  <c r="U4422" i="12"/>
  <c r="T4408" i="12"/>
  <c r="U4408" i="12"/>
  <c r="T4394" i="12"/>
  <c r="U4394" i="12"/>
  <c r="T4380" i="12"/>
  <c r="U4380" i="12"/>
  <c r="T4366" i="12"/>
  <c r="U4366" i="12"/>
  <c r="T4352" i="12"/>
  <c r="U4352" i="12"/>
  <c r="T4338" i="12"/>
  <c r="U4338" i="12"/>
  <c r="T4324" i="12"/>
  <c r="U4324" i="12"/>
  <c r="T4310" i="12"/>
  <c r="U4310" i="12"/>
  <c r="T4296" i="12"/>
  <c r="U4296" i="12"/>
  <c r="T4282" i="12"/>
  <c r="U4282" i="12"/>
  <c r="T4268" i="12"/>
  <c r="U4268" i="12"/>
  <c r="T4254" i="12"/>
  <c r="U4254" i="12"/>
  <c r="T4240" i="12"/>
  <c r="U4240" i="12"/>
  <c r="T4226" i="12"/>
  <c r="U4226" i="12"/>
  <c r="T4212" i="12"/>
  <c r="U4212" i="12"/>
  <c r="T4198" i="12"/>
  <c r="U4198" i="12"/>
  <c r="T4184" i="12"/>
  <c r="U4184" i="12"/>
  <c r="T4170" i="12"/>
  <c r="U4170" i="12"/>
  <c r="T4156" i="12"/>
  <c r="U4156" i="12"/>
  <c r="T4142" i="12"/>
  <c r="U4142" i="12"/>
  <c r="T4128" i="12"/>
  <c r="U4128" i="12"/>
  <c r="T4114" i="12"/>
  <c r="U4114" i="12"/>
  <c r="T4100" i="12"/>
  <c r="U4100" i="12"/>
  <c r="T4086" i="12"/>
  <c r="U4086" i="12"/>
  <c r="T4072" i="12"/>
  <c r="U4072" i="12"/>
  <c r="T4058" i="12"/>
  <c r="U4058" i="12"/>
  <c r="T4044" i="12"/>
  <c r="U4044" i="12"/>
  <c r="T4030" i="12"/>
  <c r="U4030" i="12"/>
  <c r="T4016" i="12"/>
  <c r="U4016" i="12"/>
  <c r="T4002" i="12"/>
  <c r="U4002" i="12"/>
  <c r="T3988" i="12"/>
  <c r="U3988" i="12"/>
  <c r="T3974" i="12"/>
  <c r="U3974" i="12"/>
  <c r="T3960" i="12"/>
  <c r="U3960" i="12"/>
  <c r="U3946" i="12"/>
  <c r="T3946" i="12"/>
  <c r="T3932" i="12"/>
  <c r="U3932" i="12"/>
  <c r="T3918" i="12"/>
  <c r="U3918" i="12"/>
  <c r="T3904" i="12"/>
  <c r="U3904" i="12"/>
  <c r="U3890" i="12"/>
  <c r="T3890" i="12"/>
  <c r="T3876" i="12"/>
  <c r="U3876" i="12"/>
  <c r="T3862" i="12"/>
  <c r="U3862" i="12"/>
  <c r="T3848" i="12"/>
  <c r="U3848" i="12"/>
  <c r="T3834" i="12"/>
  <c r="U3834" i="12"/>
  <c r="U3820" i="12"/>
  <c r="T3820" i="12"/>
  <c r="T3806" i="12"/>
  <c r="U3806" i="12"/>
  <c r="T3792" i="12"/>
  <c r="U3792" i="12"/>
  <c r="T3778" i="12"/>
  <c r="U3778" i="12"/>
  <c r="T3764" i="12"/>
  <c r="U3764" i="12"/>
  <c r="T3750" i="12"/>
  <c r="U3750" i="12"/>
  <c r="T3736" i="12"/>
  <c r="U3736" i="12"/>
  <c r="T3722" i="12"/>
  <c r="U3722" i="12"/>
  <c r="T3708" i="12"/>
  <c r="U3708" i="12"/>
  <c r="T3694" i="12"/>
  <c r="U3694" i="12"/>
  <c r="T3680" i="12"/>
  <c r="U3680" i="12"/>
  <c r="T3666" i="12"/>
  <c r="U3666" i="12"/>
  <c r="T3652" i="12"/>
  <c r="U3652" i="12"/>
  <c r="T3638" i="12"/>
  <c r="U3638" i="12"/>
  <c r="T3624" i="12"/>
  <c r="U3624" i="12"/>
  <c r="T3610" i="12"/>
  <c r="U3610" i="12"/>
  <c r="T3596" i="12"/>
  <c r="U3596" i="12"/>
  <c r="T3582" i="12"/>
  <c r="U3582" i="12"/>
  <c r="T3568" i="12"/>
  <c r="U3568" i="12"/>
  <c r="T3554" i="12"/>
  <c r="U3554" i="12"/>
  <c r="T3540" i="12"/>
  <c r="U3540" i="12"/>
  <c r="T3526" i="12"/>
  <c r="U3526" i="12"/>
  <c r="T3512" i="12"/>
  <c r="U3512" i="12"/>
  <c r="T3498" i="12"/>
  <c r="U3498" i="12"/>
  <c r="T3484" i="12"/>
  <c r="U3484" i="12"/>
  <c r="T3470" i="12"/>
  <c r="U3470" i="12"/>
  <c r="T3456" i="12"/>
  <c r="U3456" i="12"/>
  <c r="T3442" i="12"/>
  <c r="U3442" i="12"/>
  <c r="T3428" i="12"/>
  <c r="U3428" i="12"/>
  <c r="T3414" i="12"/>
  <c r="U3414" i="12"/>
  <c r="T3400" i="12"/>
  <c r="U3400" i="12"/>
  <c r="T3386" i="12"/>
  <c r="U3386" i="12"/>
  <c r="T3372" i="12"/>
  <c r="U3372" i="12"/>
  <c r="T3358" i="12"/>
  <c r="U3358" i="12"/>
  <c r="T3344" i="12"/>
  <c r="U3344" i="12"/>
  <c r="T3330" i="12"/>
  <c r="U3330" i="12"/>
  <c r="T3316" i="12"/>
  <c r="U3316" i="12"/>
  <c r="T3302" i="12"/>
  <c r="U3302" i="12"/>
  <c r="T3288" i="12"/>
  <c r="U3288" i="12"/>
  <c r="T3274" i="12"/>
  <c r="U3274" i="12"/>
  <c r="T3260" i="12"/>
  <c r="U3260" i="12"/>
  <c r="T3246" i="12"/>
  <c r="U3246" i="12"/>
  <c r="T3232" i="12"/>
  <c r="U3232" i="12"/>
  <c r="T3218" i="12"/>
  <c r="U3218" i="12"/>
  <c r="T3204" i="12"/>
  <c r="U3204" i="12"/>
  <c r="T3190" i="12"/>
  <c r="U3190" i="12"/>
  <c r="T3176" i="12"/>
  <c r="U3176" i="12"/>
  <c r="T3162" i="12"/>
  <c r="U3162" i="12"/>
  <c r="T3148" i="12"/>
  <c r="U3148" i="12"/>
  <c r="T3134" i="12"/>
  <c r="U3134" i="12"/>
  <c r="T3120" i="12"/>
  <c r="U3120" i="12"/>
  <c r="T3106" i="12"/>
  <c r="U3106" i="12"/>
  <c r="T3092" i="12"/>
  <c r="U3092" i="12"/>
  <c r="T3078" i="12"/>
  <c r="U3078" i="12"/>
  <c r="T3064" i="12"/>
  <c r="U3064" i="12"/>
  <c r="T3050" i="12"/>
  <c r="U3050" i="12"/>
  <c r="T3036" i="12"/>
  <c r="U3036" i="12"/>
  <c r="T3022" i="12"/>
  <c r="U3022" i="12"/>
  <c r="T3008" i="12"/>
  <c r="U3008" i="12"/>
  <c r="T2994" i="12"/>
  <c r="U2994" i="12"/>
  <c r="T2980" i="12"/>
  <c r="U2980" i="12"/>
  <c r="T2966" i="12"/>
  <c r="U2966" i="12"/>
  <c r="T2952" i="12"/>
  <c r="U2952" i="12"/>
  <c r="T2938" i="12"/>
  <c r="U2938" i="12"/>
  <c r="T2924" i="12"/>
  <c r="U2924" i="12"/>
  <c r="T2910" i="12"/>
  <c r="U2910" i="12"/>
  <c r="T2896" i="12"/>
  <c r="U2896" i="12"/>
  <c r="T2882" i="12"/>
  <c r="U2882" i="12"/>
  <c r="T2868" i="12"/>
  <c r="U2868" i="12"/>
  <c r="T2854" i="12"/>
  <c r="U2854" i="12"/>
  <c r="T2840" i="12"/>
  <c r="U2840" i="12"/>
  <c r="T2826" i="12"/>
  <c r="U2826" i="12"/>
  <c r="T2812" i="12"/>
  <c r="U2812" i="12"/>
  <c r="T2798" i="12"/>
  <c r="U2798" i="12"/>
  <c r="T2784" i="12"/>
  <c r="U2784" i="12"/>
  <c r="T2770" i="12"/>
  <c r="U2770" i="12"/>
  <c r="T2756" i="12"/>
  <c r="U2756" i="12"/>
  <c r="T2742" i="12"/>
  <c r="U2742" i="12"/>
  <c r="T2728" i="12"/>
  <c r="U2728" i="12"/>
  <c r="T2714" i="12"/>
  <c r="U2714" i="12"/>
  <c r="T2700" i="12"/>
  <c r="U2700" i="12"/>
  <c r="T2686" i="12"/>
  <c r="U2686" i="12"/>
  <c r="T2672" i="12"/>
  <c r="U2672" i="12"/>
  <c r="T2658" i="12"/>
  <c r="U2658" i="12"/>
  <c r="T2644" i="12"/>
  <c r="U2644" i="12"/>
  <c r="T2630" i="12"/>
  <c r="U2630" i="12"/>
  <c r="T2616" i="12"/>
  <c r="U2616" i="12"/>
  <c r="T2602" i="12"/>
  <c r="U2602" i="12"/>
  <c r="T2588" i="12"/>
  <c r="U2588" i="12"/>
  <c r="T2574" i="12"/>
  <c r="U2574" i="12"/>
  <c r="T2560" i="12"/>
  <c r="U2560" i="12"/>
  <c r="T2546" i="12"/>
  <c r="U2546" i="12"/>
  <c r="T2532" i="12"/>
  <c r="U2532" i="12"/>
  <c r="T2518" i="12"/>
  <c r="U2518" i="12"/>
  <c r="T2504" i="12"/>
  <c r="U2504" i="12"/>
  <c r="T2490" i="12"/>
  <c r="U2490" i="12"/>
  <c r="T2476" i="12"/>
  <c r="U2476" i="12"/>
  <c r="T2462" i="12"/>
  <c r="U2462" i="12"/>
  <c r="T2448" i="12"/>
  <c r="U2448" i="12"/>
  <c r="T2434" i="12"/>
  <c r="U2434" i="12"/>
  <c r="T2420" i="12"/>
  <c r="U2420" i="12"/>
  <c r="T2406" i="12"/>
  <c r="U2406" i="12"/>
  <c r="T2392" i="12"/>
  <c r="U2392" i="12"/>
  <c r="T2378" i="12"/>
  <c r="U2378" i="12"/>
  <c r="T2364" i="12"/>
  <c r="U2364" i="12"/>
  <c r="T2350" i="12"/>
  <c r="U2350" i="12"/>
  <c r="T2336" i="12"/>
  <c r="U2336" i="12"/>
  <c r="T2322" i="12"/>
  <c r="U2322" i="12"/>
  <c r="T2308" i="12"/>
  <c r="U2308" i="12"/>
  <c r="T2294" i="12"/>
  <c r="U2294" i="12"/>
  <c r="T2280" i="12"/>
  <c r="U2280" i="12"/>
  <c r="T2266" i="12"/>
  <c r="U2266" i="12"/>
  <c r="T2252" i="12"/>
  <c r="U2252" i="12"/>
  <c r="T2238" i="12"/>
  <c r="U2238" i="12"/>
  <c r="T2224" i="12"/>
  <c r="U2224" i="12"/>
  <c r="T2210" i="12"/>
  <c r="U2210" i="12"/>
  <c r="T2196" i="12"/>
  <c r="U2196" i="12"/>
  <c r="T2182" i="12"/>
  <c r="U2182" i="12"/>
  <c r="T2168" i="12"/>
  <c r="U2168" i="12"/>
  <c r="T2154" i="12"/>
  <c r="U2154" i="12"/>
  <c r="T2140" i="12"/>
  <c r="U2140" i="12"/>
  <c r="T2126" i="12"/>
  <c r="U2126" i="12"/>
  <c r="T2112" i="12"/>
  <c r="U2112" i="12"/>
  <c r="T2098" i="12"/>
  <c r="U2098" i="12"/>
  <c r="T2084" i="12"/>
  <c r="U2084" i="12"/>
  <c r="T2070" i="12"/>
  <c r="U2070" i="12"/>
  <c r="T2056" i="12"/>
  <c r="U2056" i="12"/>
  <c r="T2042" i="12"/>
  <c r="U2042" i="12"/>
  <c r="T2028" i="12"/>
  <c r="U2028" i="12"/>
  <c r="T2014" i="12"/>
  <c r="U2014" i="12"/>
  <c r="T2000" i="12"/>
  <c r="U2000" i="12"/>
  <c r="T1986" i="12"/>
  <c r="U1986" i="12"/>
  <c r="T1972" i="12"/>
  <c r="U1972" i="12"/>
  <c r="T1958" i="12"/>
  <c r="U1958" i="12"/>
  <c r="T1944" i="12"/>
  <c r="U1944" i="12"/>
  <c r="T1930" i="12"/>
  <c r="U1930" i="12"/>
  <c r="T1916" i="12"/>
  <c r="U1916" i="12"/>
  <c r="T1902" i="12"/>
  <c r="U1902" i="12"/>
  <c r="T1888" i="12"/>
  <c r="U1888" i="12"/>
  <c r="T1874" i="12"/>
  <c r="U1874" i="12"/>
  <c r="T1860" i="12"/>
  <c r="U1860" i="12"/>
  <c r="T1846" i="12"/>
  <c r="U1846" i="12"/>
  <c r="T1832" i="12"/>
  <c r="U1832" i="12"/>
  <c r="T1818" i="12"/>
  <c r="U1818" i="12"/>
  <c r="T1804" i="12"/>
  <c r="U1804" i="12"/>
  <c r="T1790" i="12"/>
  <c r="U1790" i="12"/>
  <c r="T1776" i="12"/>
  <c r="U1776" i="12"/>
  <c r="T1762" i="12"/>
  <c r="U1762" i="12"/>
  <c r="T1748" i="12"/>
  <c r="U1748" i="12"/>
  <c r="T1734" i="12"/>
  <c r="U1734" i="12"/>
  <c r="T1720" i="12"/>
  <c r="U1720" i="12"/>
  <c r="T1706" i="12"/>
  <c r="U1706" i="12"/>
  <c r="T1692" i="12"/>
  <c r="U1692" i="12"/>
  <c r="T1678" i="12"/>
  <c r="U1678" i="12"/>
  <c r="T1664" i="12"/>
  <c r="U1664" i="12"/>
  <c r="T1650" i="12"/>
  <c r="U1650" i="12"/>
  <c r="T1636" i="12"/>
  <c r="U1636" i="12"/>
  <c r="T1622" i="12"/>
  <c r="U1622" i="12"/>
  <c r="T1608" i="12"/>
  <c r="U1608" i="12"/>
  <c r="T1594" i="12"/>
  <c r="U1594" i="12"/>
  <c r="T1580" i="12"/>
  <c r="U1580" i="12"/>
  <c r="T1566" i="12"/>
  <c r="U1566" i="12"/>
  <c r="T1552" i="12"/>
  <c r="U1552" i="12"/>
  <c r="T1538" i="12"/>
  <c r="U1538" i="12"/>
  <c r="T1524" i="12"/>
  <c r="U1524" i="12"/>
  <c r="T1510" i="12"/>
  <c r="U1510" i="12"/>
  <c r="T1496" i="12"/>
  <c r="U1496" i="12"/>
  <c r="T1482" i="12"/>
  <c r="U1482" i="12"/>
  <c r="T1468" i="12"/>
  <c r="U1468" i="12"/>
  <c r="T1454" i="12"/>
  <c r="U1454" i="12"/>
  <c r="T1440" i="12"/>
  <c r="U1440" i="12"/>
  <c r="T1426" i="12"/>
  <c r="U1426" i="12"/>
  <c r="T1412" i="12"/>
  <c r="U1412" i="12"/>
  <c r="T1398" i="12"/>
  <c r="U1398" i="12"/>
  <c r="T1384" i="12"/>
  <c r="U1384" i="12"/>
  <c r="T1370" i="12"/>
  <c r="U1370" i="12"/>
  <c r="T1356" i="12"/>
  <c r="U1356" i="12"/>
  <c r="T1342" i="12"/>
  <c r="U1342" i="12"/>
  <c r="T1328" i="12"/>
  <c r="U1328" i="12"/>
  <c r="T1314" i="12"/>
  <c r="U1314" i="12"/>
  <c r="T1300" i="12"/>
  <c r="U1300" i="12"/>
  <c r="T1286" i="12"/>
  <c r="U1286" i="12"/>
  <c r="T1272" i="12"/>
  <c r="U1272" i="12"/>
  <c r="T1258" i="12"/>
  <c r="U1258" i="12"/>
  <c r="T1244" i="12"/>
  <c r="U1244" i="12"/>
  <c r="T1230" i="12"/>
  <c r="U1230" i="12"/>
  <c r="T1216" i="12"/>
  <c r="U1216" i="12"/>
  <c r="T1202" i="12"/>
  <c r="U1202" i="12"/>
  <c r="T1188" i="12"/>
  <c r="U1188" i="12"/>
  <c r="T1174" i="12"/>
  <c r="U1174" i="12"/>
  <c r="T1160" i="12"/>
  <c r="U1160" i="12"/>
  <c r="T1146" i="12"/>
  <c r="U1146" i="12"/>
  <c r="T1132" i="12"/>
  <c r="U1132" i="12"/>
  <c r="T1118" i="12"/>
  <c r="U1118" i="12"/>
  <c r="T1104" i="12"/>
  <c r="U1104" i="12"/>
  <c r="T1090" i="12"/>
  <c r="U1090" i="12"/>
  <c r="T1076" i="12"/>
  <c r="U1076" i="12"/>
  <c r="T1062" i="12"/>
  <c r="U1062" i="12"/>
  <c r="T1048" i="12"/>
  <c r="U1048" i="12"/>
  <c r="T1034" i="12"/>
  <c r="U1034" i="12"/>
  <c r="T1020" i="12"/>
  <c r="U1020" i="12"/>
  <c r="T1006" i="12"/>
  <c r="U1006" i="12"/>
  <c r="T992" i="12"/>
  <c r="U992" i="12"/>
  <c r="T978" i="12"/>
  <c r="U978" i="12"/>
  <c r="T964" i="12"/>
  <c r="U964" i="12"/>
  <c r="T950" i="12"/>
  <c r="U950" i="12"/>
  <c r="T936" i="12"/>
  <c r="U936" i="12"/>
  <c r="T922" i="12"/>
  <c r="U922" i="12"/>
  <c r="T908" i="12"/>
  <c r="U908" i="12"/>
  <c r="T894" i="12"/>
  <c r="U894" i="12"/>
  <c r="T880" i="12"/>
  <c r="U880" i="12"/>
  <c r="T866" i="12"/>
  <c r="U866" i="12"/>
  <c r="T852" i="12"/>
  <c r="U852" i="12"/>
  <c r="T838" i="12"/>
  <c r="U838" i="12"/>
  <c r="T824" i="12"/>
  <c r="U824" i="12"/>
  <c r="T810" i="12"/>
  <c r="U810" i="12"/>
  <c r="T796" i="12"/>
  <c r="U796" i="12"/>
  <c r="T782" i="12"/>
  <c r="U782" i="12"/>
  <c r="T768" i="12"/>
  <c r="U768" i="12"/>
  <c r="T754" i="12"/>
  <c r="U754" i="12"/>
  <c r="T740" i="12"/>
  <c r="U740" i="12"/>
  <c r="T726" i="12"/>
  <c r="U726" i="12"/>
  <c r="T712" i="12"/>
  <c r="U712" i="12"/>
  <c r="T698" i="12"/>
  <c r="U698" i="12"/>
  <c r="T684" i="12"/>
  <c r="U684" i="12"/>
  <c r="T670" i="12"/>
  <c r="U670" i="12"/>
  <c r="T656" i="12"/>
  <c r="U656" i="12"/>
  <c r="T642" i="12"/>
  <c r="U642" i="12"/>
  <c r="T628" i="12"/>
  <c r="U628" i="12"/>
  <c r="T614" i="12"/>
  <c r="U614" i="12"/>
  <c r="T600" i="12"/>
  <c r="U600" i="12"/>
  <c r="U4953" i="12"/>
  <c r="T4953" i="12"/>
  <c r="U4939" i="12"/>
  <c r="T4939" i="12"/>
  <c r="U4925" i="12"/>
  <c r="T4925" i="12"/>
  <c r="U4911" i="12"/>
  <c r="T4911" i="12"/>
  <c r="T4897" i="12"/>
  <c r="U4897" i="12"/>
  <c r="T4883" i="12"/>
  <c r="U4883" i="12"/>
  <c r="T4869" i="12"/>
  <c r="U4869" i="12"/>
  <c r="T4855" i="12"/>
  <c r="U4855" i="12"/>
  <c r="T4841" i="12"/>
  <c r="U4841" i="12"/>
  <c r="T4827" i="12"/>
  <c r="U4827" i="12"/>
  <c r="T4813" i="12"/>
  <c r="U4813" i="12"/>
  <c r="T4799" i="12"/>
  <c r="U4799" i="12"/>
  <c r="T4785" i="12"/>
  <c r="U4785" i="12"/>
  <c r="T4771" i="12"/>
  <c r="U4771" i="12"/>
  <c r="T4757" i="12"/>
  <c r="U4757" i="12"/>
  <c r="T4743" i="12"/>
  <c r="U4743" i="12"/>
  <c r="T4729" i="12"/>
  <c r="U4729" i="12"/>
  <c r="T4715" i="12"/>
  <c r="U4715" i="12"/>
  <c r="T4701" i="12"/>
  <c r="U4701" i="12"/>
  <c r="T4687" i="12"/>
  <c r="U4687" i="12"/>
  <c r="T4673" i="12"/>
  <c r="U4673" i="12"/>
  <c r="T4659" i="12"/>
  <c r="U4659" i="12"/>
  <c r="T4645" i="12"/>
  <c r="U4645" i="12"/>
  <c r="T4631" i="12"/>
  <c r="U4631" i="12"/>
  <c r="T4617" i="12"/>
  <c r="U4617" i="12"/>
  <c r="T4603" i="12"/>
  <c r="U4603" i="12"/>
  <c r="T4589" i="12"/>
  <c r="U4589" i="12"/>
  <c r="T4575" i="12"/>
  <c r="U4575" i="12"/>
  <c r="T4561" i="12"/>
  <c r="U4561" i="12"/>
  <c r="T4547" i="12"/>
  <c r="U4547" i="12"/>
  <c r="T4533" i="12"/>
  <c r="U4533" i="12"/>
  <c r="T4519" i="12"/>
  <c r="U4519" i="12"/>
  <c r="T4505" i="12"/>
  <c r="U4505" i="12"/>
  <c r="T4491" i="12"/>
  <c r="U4491" i="12"/>
  <c r="T4477" i="12"/>
  <c r="U4477" i="12"/>
  <c r="T4463" i="12"/>
  <c r="U4463" i="12"/>
  <c r="T4449" i="12"/>
  <c r="U4449" i="12"/>
  <c r="T4435" i="12"/>
  <c r="U4435" i="12"/>
  <c r="T4421" i="12"/>
  <c r="U4421" i="12"/>
  <c r="T4407" i="12"/>
  <c r="U4407" i="12"/>
  <c r="T4393" i="12"/>
  <c r="U4393" i="12"/>
  <c r="T4379" i="12"/>
  <c r="U4379" i="12"/>
  <c r="T4365" i="12"/>
  <c r="U4365" i="12"/>
  <c r="T4351" i="12"/>
  <c r="U4351" i="12"/>
  <c r="T4337" i="12"/>
  <c r="U4337" i="12"/>
  <c r="T4323" i="12"/>
  <c r="U4323" i="12"/>
  <c r="T4309" i="12"/>
  <c r="U4309" i="12"/>
  <c r="T4295" i="12"/>
  <c r="U4295" i="12"/>
  <c r="T4281" i="12"/>
  <c r="U4281" i="12"/>
  <c r="T4267" i="12"/>
  <c r="U4267" i="12"/>
  <c r="T4253" i="12"/>
  <c r="U4253" i="12"/>
  <c r="T4239" i="12"/>
  <c r="U4239" i="12"/>
  <c r="T4225" i="12"/>
  <c r="U4225" i="12"/>
  <c r="T4211" i="12"/>
  <c r="U4211" i="12"/>
  <c r="T4197" i="12"/>
  <c r="U4197" i="12"/>
  <c r="T4183" i="12"/>
  <c r="U4183" i="12"/>
  <c r="T4169" i="12"/>
  <c r="U4169" i="12"/>
  <c r="T4155" i="12"/>
  <c r="U4155" i="12"/>
  <c r="T4141" i="12"/>
  <c r="U4141" i="12"/>
  <c r="T4127" i="12"/>
  <c r="U4127" i="12"/>
  <c r="T4113" i="12"/>
  <c r="U4113" i="12"/>
  <c r="T4099" i="12"/>
  <c r="U4099" i="12"/>
  <c r="T4085" i="12"/>
  <c r="U4085" i="12"/>
  <c r="T4071" i="12"/>
  <c r="U4071" i="12"/>
  <c r="T4057" i="12"/>
  <c r="U4057" i="12"/>
  <c r="T4043" i="12"/>
  <c r="U4043" i="12"/>
  <c r="U4029" i="12"/>
  <c r="T4029" i="12"/>
  <c r="T4015" i="12"/>
  <c r="U4015" i="12"/>
  <c r="T4001" i="12"/>
  <c r="U4001" i="12"/>
  <c r="T3987" i="12"/>
  <c r="U3987" i="12"/>
  <c r="T3973" i="12"/>
  <c r="U3973" i="12"/>
  <c r="T3959" i="12"/>
  <c r="U3959" i="12"/>
  <c r="T3945" i="12"/>
  <c r="U3945" i="12"/>
  <c r="T3931" i="12"/>
  <c r="U3931" i="12"/>
  <c r="T3917" i="12"/>
  <c r="U3917" i="12"/>
  <c r="T3903" i="12"/>
  <c r="U3903" i="12"/>
  <c r="U3889" i="12"/>
  <c r="T3889" i="12"/>
  <c r="T3875" i="12"/>
  <c r="U3875" i="12"/>
  <c r="T3861" i="12"/>
  <c r="U3861" i="12"/>
  <c r="T3847" i="12"/>
  <c r="U3847" i="12"/>
  <c r="T3833" i="12"/>
  <c r="U3833" i="12"/>
  <c r="T3819" i="12"/>
  <c r="U3819" i="12"/>
  <c r="T3805" i="12"/>
  <c r="U3805" i="12"/>
  <c r="T3791" i="12"/>
  <c r="U3791" i="12"/>
  <c r="T3777" i="12"/>
  <c r="U3777" i="12"/>
  <c r="T3763" i="12"/>
  <c r="U3763" i="12"/>
  <c r="T3749" i="12"/>
  <c r="U3749" i="12"/>
  <c r="T3735" i="12"/>
  <c r="U3735" i="12"/>
  <c r="T3721" i="12"/>
  <c r="U3721" i="12"/>
  <c r="T3707" i="12"/>
  <c r="U3707" i="12"/>
  <c r="T3693" i="12"/>
  <c r="U3693" i="12"/>
  <c r="T3679" i="12"/>
  <c r="U3679" i="12"/>
  <c r="T3665" i="12"/>
  <c r="U3665" i="12"/>
  <c r="T3651" i="12"/>
  <c r="U3651" i="12"/>
  <c r="T3637" i="12"/>
  <c r="U3637" i="12"/>
  <c r="T3623" i="12"/>
  <c r="U3623" i="12"/>
  <c r="T3609" i="12"/>
  <c r="U3609" i="12"/>
  <c r="T3595" i="12"/>
  <c r="U3595" i="12"/>
  <c r="T3581" i="12"/>
  <c r="U3581" i="12"/>
  <c r="T3567" i="12"/>
  <c r="U3567" i="12"/>
  <c r="T3553" i="12"/>
  <c r="U3553" i="12"/>
  <c r="T3539" i="12"/>
  <c r="U3539" i="12"/>
  <c r="T3525" i="12"/>
  <c r="U3525" i="12"/>
  <c r="T3511" i="12"/>
  <c r="U3511" i="12"/>
  <c r="T3497" i="12"/>
  <c r="U3497" i="12"/>
  <c r="T3483" i="12"/>
  <c r="U3483" i="12"/>
  <c r="T3469" i="12"/>
  <c r="U3469" i="12"/>
  <c r="T3455" i="12"/>
  <c r="U3455" i="12"/>
  <c r="T3441" i="12"/>
  <c r="U3441" i="12"/>
  <c r="T3427" i="12"/>
  <c r="U3427" i="12"/>
  <c r="T3413" i="12"/>
  <c r="U3413" i="12"/>
  <c r="T3399" i="12"/>
  <c r="U3399" i="12"/>
  <c r="T3385" i="12"/>
  <c r="U3385" i="12"/>
  <c r="T3371" i="12"/>
  <c r="U3371" i="12"/>
  <c r="T3357" i="12"/>
  <c r="U3357" i="12"/>
  <c r="T3343" i="12"/>
  <c r="U3343" i="12"/>
  <c r="T3329" i="12"/>
  <c r="U3329" i="12"/>
  <c r="T3315" i="12"/>
  <c r="U3315" i="12"/>
  <c r="T3301" i="12"/>
  <c r="U3301" i="12"/>
  <c r="T3287" i="12"/>
  <c r="U3287" i="12"/>
  <c r="T3273" i="12"/>
  <c r="U3273" i="12"/>
  <c r="T3259" i="12"/>
  <c r="U3259" i="12"/>
  <c r="T3245" i="12"/>
  <c r="U3245" i="12"/>
  <c r="T3231" i="12"/>
  <c r="U3231" i="12"/>
  <c r="T3217" i="12"/>
  <c r="U3217" i="12"/>
  <c r="T3203" i="12"/>
  <c r="U3203" i="12"/>
  <c r="T3189" i="12"/>
  <c r="U3189" i="12"/>
  <c r="T3175" i="12"/>
  <c r="U3175" i="12"/>
  <c r="T3161" i="12"/>
  <c r="U3161" i="12"/>
  <c r="T3147" i="12"/>
  <c r="U3147" i="12"/>
  <c r="T3133" i="12"/>
  <c r="U3133" i="12"/>
  <c r="T3119" i="12"/>
  <c r="U3119" i="12"/>
  <c r="T3105" i="12"/>
  <c r="U3105" i="12"/>
  <c r="T3091" i="12"/>
  <c r="U3091" i="12"/>
  <c r="T3077" i="12"/>
  <c r="U3077" i="12"/>
  <c r="T3063" i="12"/>
  <c r="U3063" i="12"/>
  <c r="T3049" i="12"/>
  <c r="U3049" i="12"/>
  <c r="T3035" i="12"/>
  <c r="U3035" i="12"/>
  <c r="T3021" i="12"/>
  <c r="U3021" i="12"/>
  <c r="T3007" i="12"/>
  <c r="U3007" i="12"/>
  <c r="T2993" i="12"/>
  <c r="U2993" i="12"/>
  <c r="T2979" i="12"/>
  <c r="U2979" i="12"/>
  <c r="T2965" i="12"/>
  <c r="U2965" i="12"/>
  <c r="T2951" i="12"/>
  <c r="U2951" i="12"/>
  <c r="T2937" i="12"/>
  <c r="U2937" i="12"/>
  <c r="T2923" i="12"/>
  <c r="U2923" i="12"/>
  <c r="T2909" i="12"/>
  <c r="U2909" i="12"/>
  <c r="T2895" i="12"/>
  <c r="U2895" i="12"/>
  <c r="T2881" i="12"/>
  <c r="U2881" i="12"/>
  <c r="T2867" i="12"/>
  <c r="U2867" i="12"/>
  <c r="T2853" i="12"/>
  <c r="U2853" i="12"/>
  <c r="T2839" i="12"/>
  <c r="U2839" i="12"/>
  <c r="T2825" i="12"/>
  <c r="U2825" i="12"/>
  <c r="T2811" i="12"/>
  <c r="U2811" i="12"/>
  <c r="T2797" i="12"/>
  <c r="U2797" i="12"/>
  <c r="T2783" i="12"/>
  <c r="U2783" i="12"/>
  <c r="T2769" i="12"/>
  <c r="U2769" i="12"/>
  <c r="T2755" i="12"/>
  <c r="U2755" i="12"/>
  <c r="T2741" i="12"/>
  <c r="U2741" i="12"/>
  <c r="T2727" i="12"/>
  <c r="U2727" i="12"/>
  <c r="T2713" i="12"/>
  <c r="U2713" i="12"/>
  <c r="T2699" i="12"/>
  <c r="U2699" i="12"/>
  <c r="T2685" i="12"/>
  <c r="U2685" i="12"/>
  <c r="T2671" i="12"/>
  <c r="U2671" i="12"/>
  <c r="T2657" i="12"/>
  <c r="U2657" i="12"/>
  <c r="T2643" i="12"/>
  <c r="U2643" i="12"/>
  <c r="T2629" i="12"/>
  <c r="U2629" i="12"/>
  <c r="T2615" i="12"/>
  <c r="U2615" i="12"/>
  <c r="T2601" i="12"/>
  <c r="U2601" i="12"/>
  <c r="T2587" i="12"/>
  <c r="U2587" i="12"/>
  <c r="T2573" i="12"/>
  <c r="U2573" i="12"/>
  <c r="T2559" i="12"/>
  <c r="U2559" i="12"/>
  <c r="T2545" i="12"/>
  <c r="U2545" i="12"/>
  <c r="T2531" i="12"/>
  <c r="U2531" i="12"/>
  <c r="T2517" i="12"/>
  <c r="U2517" i="12"/>
  <c r="T2503" i="12"/>
  <c r="U2503" i="12"/>
  <c r="T2489" i="12"/>
  <c r="U2489" i="12"/>
  <c r="T2475" i="12"/>
  <c r="U2475" i="12"/>
  <c r="T2461" i="12"/>
  <c r="U2461" i="12"/>
  <c r="T2447" i="12"/>
  <c r="U2447" i="12"/>
  <c r="T2433" i="12"/>
  <c r="U2433" i="12"/>
  <c r="T2419" i="12"/>
  <c r="U2419" i="12"/>
  <c r="T2405" i="12"/>
  <c r="U2405" i="12"/>
  <c r="T2391" i="12"/>
  <c r="U2391" i="12"/>
  <c r="T2377" i="12"/>
  <c r="U2377" i="12"/>
  <c r="T2363" i="12"/>
  <c r="U2363" i="12"/>
  <c r="T2349" i="12"/>
  <c r="U2349" i="12"/>
  <c r="T2335" i="12"/>
  <c r="U2335" i="12"/>
  <c r="T2321" i="12"/>
  <c r="U2321" i="12"/>
  <c r="T2307" i="12"/>
  <c r="U2307" i="12"/>
  <c r="T2293" i="12"/>
  <c r="U2293" i="12"/>
  <c r="T2279" i="12"/>
  <c r="U2279" i="12"/>
  <c r="T2265" i="12"/>
  <c r="U2265" i="12"/>
  <c r="T2251" i="12"/>
  <c r="U2251" i="12"/>
  <c r="T2237" i="12"/>
  <c r="U2237" i="12"/>
  <c r="T2223" i="12"/>
  <c r="U2223" i="12"/>
  <c r="T2209" i="12"/>
  <c r="U2209" i="12"/>
  <c r="T2195" i="12"/>
  <c r="U2195" i="12"/>
  <c r="T2181" i="12"/>
  <c r="U2181" i="12"/>
  <c r="T2167" i="12"/>
  <c r="U2167" i="12"/>
  <c r="T2153" i="12"/>
  <c r="U2153" i="12"/>
  <c r="T2139" i="12"/>
  <c r="U2139" i="12"/>
  <c r="T2125" i="12"/>
  <c r="U2125" i="12"/>
  <c r="T2111" i="12"/>
  <c r="U2111" i="12"/>
  <c r="T2097" i="12"/>
  <c r="U2097" i="12"/>
  <c r="T2083" i="12"/>
  <c r="U2083" i="12"/>
  <c r="T2069" i="12"/>
  <c r="U2069" i="12"/>
  <c r="T2055" i="12"/>
  <c r="U2055" i="12"/>
  <c r="T2041" i="12"/>
  <c r="U2041" i="12"/>
  <c r="T2027" i="12"/>
  <c r="U2027" i="12"/>
  <c r="T2013" i="12"/>
  <c r="U2013" i="12"/>
  <c r="T1999" i="12"/>
  <c r="U1999" i="12"/>
  <c r="T1985" i="12"/>
  <c r="U1985" i="12"/>
  <c r="T1971" i="12"/>
  <c r="U1971" i="12"/>
  <c r="T1957" i="12"/>
  <c r="U1957" i="12"/>
  <c r="T1943" i="12"/>
  <c r="U1943" i="12"/>
  <c r="T1929" i="12"/>
  <c r="U1929" i="12"/>
  <c r="T1915" i="12"/>
  <c r="U1915" i="12"/>
  <c r="T1901" i="12"/>
  <c r="U1901" i="12"/>
  <c r="T1887" i="12"/>
  <c r="U1887" i="12"/>
  <c r="T1873" i="12"/>
  <c r="U1873" i="12"/>
  <c r="T1859" i="12"/>
  <c r="U1859" i="12"/>
  <c r="T1845" i="12"/>
  <c r="U1845" i="12"/>
  <c r="T1831" i="12"/>
  <c r="U1831" i="12"/>
  <c r="T1817" i="12"/>
  <c r="U1817" i="12"/>
  <c r="T1803" i="12"/>
  <c r="U1803" i="12"/>
  <c r="T1789" i="12"/>
  <c r="U1789" i="12"/>
  <c r="T1775" i="12"/>
  <c r="U1775" i="12"/>
  <c r="T1761" i="12"/>
  <c r="U1761" i="12"/>
  <c r="T1747" i="12"/>
  <c r="U1747" i="12"/>
  <c r="T1733" i="12"/>
  <c r="U1733" i="12"/>
  <c r="T1719" i="12"/>
  <c r="U1719" i="12"/>
  <c r="T1705" i="12"/>
  <c r="U1705" i="12"/>
  <c r="T1691" i="12"/>
  <c r="U1691" i="12"/>
  <c r="T1677" i="12"/>
  <c r="U1677" i="12"/>
  <c r="T1663" i="12"/>
  <c r="U1663" i="12"/>
  <c r="T1649" i="12"/>
  <c r="U1649" i="12"/>
  <c r="T1635" i="12"/>
  <c r="U1635" i="12"/>
  <c r="T1621" i="12"/>
  <c r="U1621" i="12"/>
  <c r="T1607" i="12"/>
  <c r="U1607" i="12"/>
  <c r="T1593" i="12"/>
  <c r="U1593" i="12"/>
  <c r="T1579" i="12"/>
  <c r="U1579" i="12"/>
  <c r="T1565" i="12"/>
  <c r="U1565" i="12"/>
  <c r="T1551" i="12"/>
  <c r="U1551" i="12"/>
  <c r="T1537" i="12"/>
  <c r="U1537" i="12"/>
  <c r="T1523" i="12"/>
  <c r="U1523" i="12"/>
  <c r="T1509" i="12"/>
  <c r="U1509" i="12"/>
  <c r="T1495" i="12"/>
  <c r="U1495" i="12"/>
  <c r="T1481" i="12"/>
  <c r="U1481" i="12"/>
  <c r="T1467" i="12"/>
  <c r="U1467" i="12"/>
  <c r="T1453" i="12"/>
  <c r="U1453" i="12"/>
  <c r="T1439" i="12"/>
  <c r="U1439" i="12"/>
  <c r="T1425" i="12"/>
  <c r="U1425" i="12"/>
  <c r="T1411" i="12"/>
  <c r="U1411" i="12"/>
  <c r="T1397" i="12"/>
  <c r="U1397" i="12"/>
  <c r="T1383" i="12"/>
  <c r="U1383" i="12"/>
  <c r="T1369" i="12"/>
  <c r="U1369" i="12"/>
  <c r="T1355" i="12"/>
  <c r="U1355" i="12"/>
  <c r="T1341" i="12"/>
  <c r="U1341" i="12"/>
  <c r="T1327" i="12"/>
  <c r="U1327" i="12"/>
  <c r="T1313" i="12"/>
  <c r="U1313" i="12"/>
  <c r="T1299" i="12"/>
  <c r="U1299" i="12"/>
  <c r="T1285" i="12"/>
  <c r="U1285" i="12"/>
  <c r="T1271" i="12"/>
  <c r="U1271" i="12"/>
  <c r="T1257" i="12"/>
  <c r="U1257" i="12"/>
  <c r="T1243" i="12"/>
  <c r="U1243" i="12"/>
  <c r="T1229" i="12"/>
  <c r="U1229" i="12"/>
  <c r="T1215" i="12"/>
  <c r="U1215" i="12"/>
  <c r="T1201" i="12"/>
  <c r="U1201" i="12"/>
  <c r="T1187" i="12"/>
  <c r="U1187" i="12"/>
  <c r="T1173" i="12"/>
  <c r="U1173" i="12"/>
  <c r="T1159" i="12"/>
  <c r="U1159" i="12"/>
  <c r="T1145" i="12"/>
  <c r="U1145" i="12"/>
  <c r="T1131" i="12"/>
  <c r="U1131" i="12"/>
  <c r="T1117" i="12"/>
  <c r="U1117" i="12"/>
  <c r="T1103" i="12"/>
  <c r="U1103" i="12"/>
  <c r="T1089" i="12"/>
  <c r="U1089" i="12"/>
  <c r="T1075" i="12"/>
  <c r="U1075" i="12"/>
  <c r="T1061" i="12"/>
  <c r="U1061" i="12"/>
  <c r="T1047" i="12"/>
  <c r="U1047" i="12"/>
  <c r="T1033" i="12"/>
  <c r="U1033" i="12"/>
  <c r="T1019" i="12"/>
  <c r="U1019" i="12"/>
  <c r="T1005" i="12"/>
  <c r="U1005" i="12"/>
  <c r="T991" i="12"/>
  <c r="U991" i="12"/>
  <c r="T977" i="12"/>
  <c r="U977" i="12"/>
  <c r="T963" i="12"/>
  <c r="U963" i="12"/>
  <c r="T949" i="12"/>
  <c r="U949" i="12"/>
  <c r="T935" i="12"/>
  <c r="U935" i="12"/>
  <c r="T921" i="12"/>
  <c r="U921" i="12"/>
  <c r="T907" i="12"/>
  <c r="U907" i="12"/>
  <c r="T893" i="12"/>
  <c r="U893" i="12"/>
  <c r="T879" i="12"/>
  <c r="U879" i="12"/>
  <c r="T865" i="12"/>
  <c r="U865" i="12"/>
  <c r="T851" i="12"/>
  <c r="U851" i="12"/>
  <c r="T837" i="12"/>
  <c r="U837" i="12"/>
  <c r="T823" i="12"/>
  <c r="U823" i="12"/>
  <c r="T809" i="12"/>
  <c r="U809" i="12"/>
  <c r="T795" i="12"/>
  <c r="U795" i="12"/>
  <c r="T781" i="12"/>
  <c r="U781" i="12"/>
  <c r="T767" i="12"/>
  <c r="U767" i="12"/>
  <c r="T753" i="12"/>
  <c r="U753" i="12"/>
  <c r="T739" i="12"/>
  <c r="U739" i="12"/>
  <c r="T725" i="12"/>
  <c r="U725" i="12"/>
  <c r="T711" i="12"/>
  <c r="U711" i="12"/>
  <c r="T697" i="12"/>
  <c r="U697" i="12"/>
  <c r="T683" i="12"/>
  <c r="U683" i="12"/>
  <c r="T669" i="12"/>
  <c r="U669" i="12"/>
  <c r="T655" i="12"/>
  <c r="U655" i="12"/>
  <c r="T641" i="12"/>
  <c r="U641" i="12"/>
  <c r="T627" i="12"/>
  <c r="U627" i="12"/>
  <c r="T613" i="12"/>
  <c r="U613" i="12"/>
  <c r="T599" i="12"/>
  <c r="U599" i="12"/>
  <c r="T585" i="12"/>
  <c r="U585" i="12"/>
  <c r="T571" i="12"/>
  <c r="U571" i="12"/>
  <c r="T557" i="12"/>
  <c r="U557" i="12"/>
  <c r="T543" i="12"/>
  <c r="U543" i="12"/>
  <c r="T529" i="12"/>
  <c r="U529" i="12"/>
  <c r="T515" i="12"/>
  <c r="U515" i="12"/>
  <c r="T501" i="12"/>
  <c r="U501" i="12"/>
  <c r="T487" i="12"/>
  <c r="U487" i="12"/>
  <c r="T473" i="12"/>
  <c r="U473" i="12"/>
  <c r="T459" i="12"/>
  <c r="U459" i="12"/>
  <c r="T445" i="12"/>
  <c r="U445" i="12"/>
  <c r="T431" i="12"/>
  <c r="U431" i="12"/>
  <c r="T417" i="12"/>
  <c r="U417" i="12"/>
  <c r="T403" i="12"/>
  <c r="U403" i="12"/>
  <c r="T389" i="12"/>
  <c r="U389" i="12"/>
  <c r="T375" i="12"/>
  <c r="U375" i="12"/>
  <c r="I382" i="12"/>
  <c r="I326" i="12"/>
  <c r="I270" i="12"/>
  <c r="I214" i="12"/>
  <c r="I158" i="12"/>
  <c r="I102" i="12"/>
  <c r="U4952" i="12"/>
  <c r="T4952" i="12"/>
  <c r="U4938" i="12"/>
  <c r="T4938" i="12"/>
  <c r="U4924" i="12"/>
  <c r="T4924" i="12"/>
  <c r="T4910" i="12"/>
  <c r="U4910" i="12"/>
  <c r="T4896" i="12"/>
  <c r="U4896" i="12"/>
  <c r="T4882" i="12"/>
  <c r="U4882" i="12"/>
  <c r="T4868" i="12"/>
  <c r="U4868" i="12"/>
  <c r="T4854" i="12"/>
  <c r="U4854" i="12"/>
  <c r="T4840" i="12"/>
  <c r="U4840" i="12"/>
  <c r="T4826" i="12"/>
  <c r="U4826" i="12"/>
  <c r="T4812" i="12"/>
  <c r="U4812" i="12"/>
  <c r="T4798" i="12"/>
  <c r="U4798" i="12"/>
  <c r="T4784" i="12"/>
  <c r="U4784" i="12"/>
  <c r="T4770" i="12"/>
  <c r="U4770" i="12"/>
  <c r="T4756" i="12"/>
  <c r="U4756" i="12"/>
  <c r="T4742" i="12"/>
  <c r="U4742" i="12"/>
  <c r="T4728" i="12"/>
  <c r="U4728" i="12"/>
  <c r="T4714" i="12"/>
  <c r="U4714" i="12"/>
  <c r="T4700" i="12"/>
  <c r="U4700" i="12"/>
  <c r="T4686" i="12"/>
  <c r="U4686" i="12"/>
  <c r="T4672" i="12"/>
  <c r="U4672" i="12"/>
  <c r="T4658" i="12"/>
  <c r="U4658" i="12"/>
  <c r="T4644" i="12"/>
  <c r="U4644" i="12"/>
  <c r="T4630" i="12"/>
  <c r="U4630" i="12"/>
  <c r="T4616" i="12"/>
  <c r="U4616" i="12"/>
  <c r="T4602" i="12"/>
  <c r="U4602" i="12"/>
  <c r="T4588" i="12"/>
  <c r="U4588" i="12"/>
  <c r="T4574" i="12"/>
  <c r="U4574" i="12"/>
  <c r="T4560" i="12"/>
  <c r="U4560" i="12"/>
  <c r="T4546" i="12"/>
  <c r="U4546" i="12"/>
  <c r="T4532" i="12"/>
  <c r="U4532" i="12"/>
  <c r="T4518" i="12"/>
  <c r="U4518" i="12"/>
  <c r="T4504" i="12"/>
  <c r="U4504" i="12"/>
  <c r="T4490" i="12"/>
  <c r="U4490" i="12"/>
  <c r="T4476" i="12"/>
  <c r="U4476" i="12"/>
  <c r="T4462" i="12"/>
  <c r="U4462" i="12"/>
  <c r="T4448" i="12"/>
  <c r="U4448" i="12"/>
  <c r="T4434" i="12"/>
  <c r="U4434" i="12"/>
  <c r="T4420" i="12"/>
  <c r="U4420" i="12"/>
  <c r="T4406" i="12"/>
  <c r="U4406" i="12"/>
  <c r="T4392" i="12"/>
  <c r="U4392" i="12"/>
  <c r="T4378" i="12"/>
  <c r="U4378" i="12"/>
  <c r="T4364" i="12"/>
  <c r="U4364" i="12"/>
  <c r="T4350" i="12"/>
  <c r="U4350" i="12"/>
  <c r="T4336" i="12"/>
  <c r="U4336" i="12"/>
  <c r="T4322" i="12"/>
  <c r="U4322" i="12"/>
  <c r="T4308" i="12"/>
  <c r="U4308" i="12"/>
  <c r="T4294" i="12"/>
  <c r="U4294" i="12"/>
  <c r="T4280" i="12"/>
  <c r="U4280" i="12"/>
  <c r="T4266" i="12"/>
  <c r="U4266" i="12"/>
  <c r="T4252" i="12"/>
  <c r="U4252" i="12"/>
  <c r="T4238" i="12"/>
  <c r="U4238" i="12"/>
  <c r="T4224" i="12"/>
  <c r="U4224" i="12"/>
  <c r="T4210" i="12"/>
  <c r="U4210" i="12"/>
  <c r="T4196" i="12"/>
  <c r="U4196" i="12"/>
  <c r="T4182" i="12"/>
  <c r="U4182" i="12"/>
  <c r="T4168" i="12"/>
  <c r="U4168" i="12"/>
  <c r="T4154" i="12"/>
  <c r="U4154" i="12"/>
  <c r="T4140" i="12"/>
  <c r="U4140" i="12"/>
  <c r="T4126" i="12"/>
  <c r="U4126" i="12"/>
  <c r="T4112" i="12"/>
  <c r="U4112" i="12"/>
  <c r="T4098" i="12"/>
  <c r="U4098" i="12"/>
  <c r="T4084" i="12"/>
  <c r="U4084" i="12"/>
  <c r="T4070" i="12"/>
  <c r="U4070" i="12"/>
  <c r="T4056" i="12"/>
  <c r="U4056" i="12"/>
  <c r="T4042" i="12"/>
  <c r="U4042" i="12"/>
  <c r="T4028" i="12"/>
  <c r="U4028" i="12"/>
  <c r="T4014" i="12"/>
  <c r="U4014" i="12"/>
  <c r="T4000" i="12"/>
  <c r="U4000" i="12"/>
  <c r="U3986" i="12"/>
  <c r="T3986" i="12"/>
  <c r="T3972" i="12"/>
  <c r="U3972" i="12"/>
  <c r="T3958" i="12"/>
  <c r="U3958" i="12"/>
  <c r="T3944" i="12"/>
  <c r="U3944" i="12"/>
  <c r="T3930" i="12"/>
  <c r="U3930" i="12"/>
  <c r="T3916" i="12"/>
  <c r="U3916" i="12"/>
  <c r="T3902" i="12"/>
  <c r="U3902" i="12"/>
  <c r="U3888" i="12"/>
  <c r="T3888" i="12"/>
  <c r="T3874" i="12"/>
  <c r="U3874" i="12"/>
  <c r="T3860" i="12"/>
  <c r="U3860" i="12"/>
  <c r="T3846" i="12"/>
  <c r="U3846" i="12"/>
  <c r="T3832" i="12"/>
  <c r="U3832" i="12"/>
  <c r="T3818" i="12"/>
  <c r="U3818" i="12"/>
  <c r="T3804" i="12"/>
  <c r="U3804" i="12"/>
  <c r="T3790" i="12"/>
  <c r="U3790" i="12"/>
  <c r="T3776" i="12"/>
  <c r="U3776" i="12"/>
  <c r="T3762" i="12"/>
  <c r="U3762" i="12"/>
  <c r="T3748" i="12"/>
  <c r="U3748" i="12"/>
  <c r="T3734" i="12"/>
  <c r="U3734" i="12"/>
  <c r="T3720" i="12"/>
  <c r="U3720" i="12"/>
  <c r="T3706" i="12"/>
  <c r="U3706" i="12"/>
  <c r="T3692" i="12"/>
  <c r="U3692" i="12"/>
  <c r="T3678" i="12"/>
  <c r="U3678" i="12"/>
  <c r="T3664" i="12"/>
  <c r="U3664" i="12"/>
  <c r="T3650" i="12"/>
  <c r="U3650" i="12"/>
  <c r="T3636" i="12"/>
  <c r="U3636" i="12"/>
  <c r="T3622" i="12"/>
  <c r="U3622" i="12"/>
  <c r="T3608" i="12"/>
  <c r="U3608" i="12"/>
  <c r="T3594" i="12"/>
  <c r="U3594" i="12"/>
  <c r="T3580" i="12"/>
  <c r="U3580" i="12"/>
  <c r="T3566" i="12"/>
  <c r="U3566" i="12"/>
  <c r="T3552" i="12"/>
  <c r="U3552" i="12"/>
  <c r="T3538" i="12"/>
  <c r="U3538" i="12"/>
  <c r="T3524" i="12"/>
  <c r="U3524" i="12"/>
  <c r="T3510" i="12"/>
  <c r="U3510" i="12"/>
  <c r="T3496" i="12"/>
  <c r="U3496" i="12"/>
  <c r="T3482" i="12"/>
  <c r="U3482" i="12"/>
  <c r="T3468" i="12"/>
  <c r="U3468" i="12"/>
  <c r="T3454" i="12"/>
  <c r="U3454" i="12"/>
  <c r="T3440" i="12"/>
  <c r="U3440" i="12"/>
  <c r="T3426" i="12"/>
  <c r="U3426" i="12"/>
  <c r="T3412" i="12"/>
  <c r="U3412" i="12"/>
  <c r="T3398" i="12"/>
  <c r="U3398" i="12"/>
  <c r="T3384" i="12"/>
  <c r="U3384" i="12"/>
  <c r="T3370" i="12"/>
  <c r="U3370" i="12"/>
  <c r="T3356" i="12"/>
  <c r="U3356" i="12"/>
  <c r="T3342" i="12"/>
  <c r="U3342" i="12"/>
  <c r="T3328" i="12"/>
  <c r="U3328" i="12"/>
  <c r="T3314" i="12"/>
  <c r="U3314" i="12"/>
  <c r="T3300" i="12"/>
  <c r="U3300" i="12"/>
  <c r="T3286" i="12"/>
  <c r="U3286" i="12"/>
  <c r="T3272" i="12"/>
  <c r="U3272" i="12"/>
  <c r="T3258" i="12"/>
  <c r="U3258" i="12"/>
  <c r="T3244" i="12"/>
  <c r="U3244" i="12"/>
  <c r="T3230" i="12"/>
  <c r="U3230" i="12"/>
  <c r="T3216" i="12"/>
  <c r="U3216" i="12"/>
  <c r="T3202" i="12"/>
  <c r="U3202" i="12"/>
  <c r="T3188" i="12"/>
  <c r="U3188" i="12"/>
  <c r="T3174" i="12"/>
  <c r="U3174" i="12"/>
  <c r="T3160" i="12"/>
  <c r="U3160" i="12"/>
  <c r="T3146" i="12"/>
  <c r="U3146" i="12"/>
  <c r="T3132" i="12"/>
  <c r="U3132" i="12"/>
  <c r="T3118" i="12"/>
  <c r="U3118" i="12"/>
  <c r="T3104" i="12"/>
  <c r="U3104" i="12"/>
  <c r="T3090" i="12"/>
  <c r="U3090" i="12"/>
  <c r="T3076" i="12"/>
  <c r="U3076" i="12"/>
  <c r="T3062" i="12"/>
  <c r="U3062" i="12"/>
  <c r="T3048" i="12"/>
  <c r="U3048" i="12"/>
  <c r="T3034" i="12"/>
  <c r="U3034" i="12"/>
  <c r="T3020" i="12"/>
  <c r="U3020" i="12"/>
  <c r="T3006" i="12"/>
  <c r="U3006" i="12"/>
  <c r="T2992" i="12"/>
  <c r="U2992" i="12"/>
  <c r="T2978" i="12"/>
  <c r="U2978" i="12"/>
  <c r="T2964" i="12"/>
  <c r="U2964" i="12"/>
  <c r="T2950" i="12"/>
  <c r="U2950" i="12"/>
  <c r="T2936" i="12"/>
  <c r="U2936" i="12"/>
  <c r="T2922" i="12"/>
  <c r="U2922" i="12"/>
  <c r="T2908" i="12"/>
  <c r="U2908" i="12"/>
  <c r="T2894" i="12"/>
  <c r="U2894" i="12"/>
  <c r="T2880" i="12"/>
  <c r="U2880" i="12"/>
  <c r="T2866" i="12"/>
  <c r="U2866" i="12"/>
  <c r="T2852" i="12"/>
  <c r="U2852" i="12"/>
  <c r="T2838" i="12"/>
  <c r="U2838" i="12"/>
  <c r="T2824" i="12"/>
  <c r="U2824" i="12"/>
  <c r="T2810" i="12"/>
  <c r="U2810" i="12"/>
  <c r="T2796" i="12"/>
  <c r="U2796" i="12"/>
  <c r="T2782" i="12"/>
  <c r="U2782" i="12"/>
  <c r="T2768" i="12"/>
  <c r="U2768" i="12"/>
  <c r="T2754" i="12"/>
  <c r="U2754" i="12"/>
  <c r="T2740" i="12"/>
  <c r="U2740" i="12"/>
  <c r="T2726" i="12"/>
  <c r="U2726" i="12"/>
  <c r="T2712" i="12"/>
  <c r="U2712" i="12"/>
  <c r="T2698" i="12"/>
  <c r="U2698" i="12"/>
  <c r="T2684" i="12"/>
  <c r="U2684" i="12"/>
  <c r="T2670" i="12"/>
  <c r="U2670" i="12"/>
  <c r="T2656" i="12"/>
  <c r="U2656" i="12"/>
  <c r="T2642" i="12"/>
  <c r="U2642" i="12"/>
  <c r="T2628" i="12"/>
  <c r="U2628" i="12"/>
  <c r="T2614" i="12"/>
  <c r="U2614" i="12"/>
  <c r="T2600" i="12"/>
  <c r="U2600" i="12"/>
  <c r="T2586" i="12"/>
  <c r="U2586" i="12"/>
  <c r="T2572" i="12"/>
  <c r="U2572" i="12"/>
  <c r="T2558" i="12"/>
  <c r="U2558" i="12"/>
  <c r="T2544" i="12"/>
  <c r="U2544" i="12"/>
  <c r="T2530" i="12"/>
  <c r="U2530" i="12"/>
  <c r="T2516" i="12"/>
  <c r="U2516" i="12"/>
  <c r="T2502" i="12"/>
  <c r="U2502" i="12"/>
  <c r="T2488" i="12"/>
  <c r="U2488" i="12"/>
  <c r="T2474" i="12"/>
  <c r="U2474" i="12"/>
  <c r="T2460" i="12"/>
  <c r="U2460" i="12"/>
  <c r="T2446" i="12"/>
  <c r="U2446" i="12"/>
  <c r="T2432" i="12"/>
  <c r="U2432" i="12"/>
  <c r="T2418" i="12"/>
  <c r="U2418" i="12"/>
  <c r="T2404" i="12"/>
  <c r="U2404" i="12"/>
  <c r="T2390" i="12"/>
  <c r="U2390" i="12"/>
  <c r="T2376" i="12"/>
  <c r="U2376" i="12"/>
  <c r="T2362" i="12"/>
  <c r="U2362" i="12"/>
  <c r="T2348" i="12"/>
  <c r="U2348" i="12"/>
  <c r="T2334" i="12"/>
  <c r="U2334" i="12"/>
  <c r="T2320" i="12"/>
  <c r="U2320" i="12"/>
  <c r="T2306" i="12"/>
  <c r="U2306" i="12"/>
  <c r="T2292" i="12"/>
  <c r="U2292" i="12"/>
  <c r="T2278" i="12"/>
  <c r="U2278" i="12"/>
  <c r="T2264" i="12"/>
  <c r="U2264" i="12"/>
  <c r="T2250" i="12"/>
  <c r="U2250" i="12"/>
  <c r="T2236" i="12"/>
  <c r="U2236" i="12"/>
  <c r="T2222" i="12"/>
  <c r="U2222" i="12"/>
  <c r="T2208" i="12"/>
  <c r="U2208" i="12"/>
  <c r="T2194" i="12"/>
  <c r="U2194" i="12"/>
  <c r="T2180" i="12"/>
  <c r="U2180" i="12"/>
  <c r="T2166" i="12"/>
  <c r="U2166" i="12"/>
  <c r="T2152" i="12"/>
  <c r="U2152" i="12"/>
  <c r="T2138" i="12"/>
  <c r="U2138" i="12"/>
  <c r="T2124" i="12"/>
  <c r="U2124" i="12"/>
  <c r="T2110" i="12"/>
  <c r="U2110" i="12"/>
  <c r="T2096" i="12"/>
  <c r="U2096" i="12"/>
  <c r="T2082" i="12"/>
  <c r="U2082" i="12"/>
  <c r="T2068" i="12"/>
  <c r="U2068" i="12"/>
  <c r="T2054" i="12"/>
  <c r="U2054" i="12"/>
  <c r="T2040" i="12"/>
  <c r="U2040" i="12"/>
  <c r="T2026" i="12"/>
  <c r="U2026" i="12"/>
  <c r="T2012" i="12"/>
  <c r="U2012" i="12"/>
  <c r="T1998" i="12"/>
  <c r="U1998" i="12"/>
  <c r="T1984" i="12"/>
  <c r="U1984" i="12"/>
  <c r="T1970" i="12"/>
  <c r="U1970" i="12"/>
  <c r="T1956" i="12"/>
  <c r="U1956" i="12"/>
  <c r="T1942" i="12"/>
  <c r="U1942" i="12"/>
  <c r="T1928" i="12"/>
  <c r="U1928" i="12"/>
  <c r="T1914" i="12"/>
  <c r="U1914" i="12"/>
  <c r="T1900" i="12"/>
  <c r="U1900" i="12"/>
  <c r="T1886" i="12"/>
  <c r="U1886" i="12"/>
  <c r="T1872" i="12"/>
  <c r="U1872" i="12"/>
  <c r="T1858" i="12"/>
  <c r="U1858" i="12"/>
  <c r="T1844" i="12"/>
  <c r="U1844" i="12"/>
  <c r="T1830" i="12"/>
  <c r="U1830" i="12"/>
  <c r="T1816" i="12"/>
  <c r="U1816" i="12"/>
  <c r="T1802" i="12"/>
  <c r="U1802" i="12"/>
  <c r="T1788" i="12"/>
  <c r="U1788" i="12"/>
  <c r="T1774" i="12"/>
  <c r="U1774" i="12"/>
  <c r="T1760" i="12"/>
  <c r="U1760" i="12"/>
  <c r="T1746" i="12"/>
  <c r="U1746" i="12"/>
  <c r="T1732" i="12"/>
  <c r="U1732" i="12"/>
  <c r="T1718" i="12"/>
  <c r="U1718" i="12"/>
  <c r="T1704" i="12"/>
  <c r="U1704" i="12"/>
  <c r="T1690" i="12"/>
  <c r="U1690" i="12"/>
  <c r="T1676" i="12"/>
  <c r="U1676" i="12"/>
  <c r="T1662" i="12"/>
  <c r="U1662" i="12"/>
  <c r="T1648" i="12"/>
  <c r="U1648" i="12"/>
  <c r="T1634" i="12"/>
  <c r="U1634" i="12"/>
  <c r="T1620" i="12"/>
  <c r="U1620" i="12"/>
  <c r="T1606" i="12"/>
  <c r="U1606" i="12"/>
  <c r="T1592" i="12"/>
  <c r="U1592" i="12"/>
  <c r="T1578" i="12"/>
  <c r="U1578" i="12"/>
  <c r="T1564" i="12"/>
  <c r="U1564" i="12"/>
  <c r="T1550" i="12"/>
  <c r="U1550" i="12"/>
  <c r="T1536" i="12"/>
  <c r="U1536" i="12"/>
  <c r="T1522" i="12"/>
  <c r="U1522" i="12"/>
  <c r="T1508" i="12"/>
  <c r="U1508" i="12"/>
  <c r="T1494" i="12"/>
  <c r="U1494" i="12"/>
  <c r="T1480" i="12"/>
  <c r="U1480" i="12"/>
  <c r="T1466" i="12"/>
  <c r="U1466" i="12"/>
  <c r="T1452" i="12"/>
  <c r="U1452" i="12"/>
  <c r="T1438" i="12"/>
  <c r="U1438" i="12"/>
  <c r="T1424" i="12"/>
  <c r="U1424" i="12"/>
  <c r="T1410" i="12"/>
  <c r="U1410" i="12"/>
  <c r="T1396" i="12"/>
  <c r="U1396" i="12"/>
  <c r="T1382" i="12"/>
  <c r="U1382" i="12"/>
  <c r="T1368" i="12"/>
  <c r="U1368" i="12"/>
  <c r="T1354" i="12"/>
  <c r="U1354" i="12"/>
  <c r="T1340" i="12"/>
  <c r="U1340" i="12"/>
  <c r="T1326" i="12"/>
  <c r="U1326" i="12"/>
  <c r="T1312" i="12"/>
  <c r="U1312" i="12"/>
  <c r="T1298" i="12"/>
  <c r="U1298" i="12"/>
  <c r="T1284" i="12"/>
  <c r="U1284" i="12"/>
  <c r="T1270" i="12"/>
  <c r="U1270" i="12"/>
  <c r="T1256" i="12"/>
  <c r="U1256" i="12"/>
  <c r="T1242" i="12"/>
  <c r="U1242" i="12"/>
  <c r="T1228" i="12"/>
  <c r="U1228" i="12"/>
  <c r="T1214" i="12"/>
  <c r="U1214" i="12"/>
  <c r="T1200" i="12"/>
  <c r="U1200" i="12"/>
  <c r="T1186" i="12"/>
  <c r="U1186" i="12"/>
  <c r="T1172" i="12"/>
  <c r="U1172" i="12"/>
  <c r="T1158" i="12"/>
  <c r="U1158" i="12"/>
  <c r="T1144" i="12"/>
  <c r="U1144" i="12"/>
  <c r="T1130" i="12"/>
  <c r="U1130" i="12"/>
  <c r="T1116" i="12"/>
  <c r="U1116" i="12"/>
  <c r="T1102" i="12"/>
  <c r="U1102" i="12"/>
  <c r="T1088" i="12"/>
  <c r="U1088" i="12"/>
  <c r="T1074" i="12"/>
  <c r="U1074" i="12"/>
  <c r="T1060" i="12"/>
  <c r="U1060" i="12"/>
  <c r="T1046" i="12"/>
  <c r="U1046" i="12"/>
  <c r="T1032" i="12"/>
  <c r="U1032" i="12"/>
  <c r="T1018" i="12"/>
  <c r="U1018" i="12"/>
  <c r="T1004" i="12"/>
  <c r="U1004" i="12"/>
  <c r="T990" i="12"/>
  <c r="U990" i="12"/>
  <c r="T976" i="12"/>
  <c r="U976" i="12"/>
  <c r="T962" i="12"/>
  <c r="U962" i="12"/>
  <c r="T948" i="12"/>
  <c r="U948" i="12"/>
  <c r="T934" i="12"/>
  <c r="U934" i="12"/>
  <c r="T920" i="12"/>
  <c r="U920" i="12"/>
  <c r="T906" i="12"/>
  <c r="U906" i="12"/>
  <c r="T892" i="12"/>
  <c r="U892" i="12"/>
  <c r="T878" i="12"/>
  <c r="U878" i="12"/>
  <c r="T864" i="12"/>
  <c r="U864" i="12"/>
  <c r="T850" i="12"/>
  <c r="U850" i="12"/>
  <c r="T836" i="12"/>
  <c r="U836" i="12"/>
  <c r="T822" i="12"/>
  <c r="U822" i="12"/>
  <c r="T808" i="12"/>
  <c r="U808" i="12"/>
  <c r="T794" i="12"/>
  <c r="U794" i="12"/>
  <c r="T780" i="12"/>
  <c r="U780" i="12"/>
  <c r="T766" i="12"/>
  <c r="U766" i="12"/>
  <c r="T752" i="12"/>
  <c r="U752" i="12"/>
  <c r="T738" i="12"/>
  <c r="U738" i="12"/>
  <c r="T724" i="12"/>
  <c r="U724" i="12"/>
  <c r="T710" i="12"/>
  <c r="U710" i="12"/>
  <c r="T696" i="12"/>
  <c r="U696" i="12"/>
  <c r="T682" i="12"/>
  <c r="U682" i="12"/>
  <c r="T668" i="12"/>
  <c r="U668" i="12"/>
  <c r="T654" i="12"/>
  <c r="U654" i="12"/>
  <c r="T640" i="12"/>
  <c r="U640" i="12"/>
  <c r="T626" i="12"/>
  <c r="U626" i="12"/>
  <c r="T612" i="12"/>
  <c r="U612" i="12"/>
  <c r="T598" i="12"/>
  <c r="U598" i="12"/>
  <c r="T584" i="12"/>
  <c r="U584" i="12"/>
  <c r="T570" i="12"/>
  <c r="U570" i="12"/>
  <c r="T556" i="12"/>
  <c r="U556" i="12"/>
  <c r="T542" i="12"/>
  <c r="U542" i="12"/>
  <c r="T528" i="12"/>
  <c r="U528" i="12"/>
  <c r="T514" i="12"/>
  <c r="U514" i="12"/>
  <c r="T500" i="12"/>
  <c r="U500" i="12"/>
  <c r="T486" i="12"/>
  <c r="U486" i="12"/>
  <c r="T472" i="12"/>
  <c r="U472" i="12"/>
  <c r="T458" i="12"/>
  <c r="U458" i="12"/>
  <c r="T444" i="12"/>
  <c r="U444" i="12"/>
  <c r="T430" i="12"/>
  <c r="U430" i="12"/>
  <c r="T416" i="12"/>
  <c r="U416" i="12"/>
  <c r="T402" i="12"/>
  <c r="U318" i="12"/>
  <c r="U220" i="12"/>
  <c r="U164" i="12"/>
  <c r="U150" i="12"/>
  <c r="U136" i="12"/>
  <c r="U122" i="12"/>
  <c r="U108" i="12"/>
  <c r="U94" i="12"/>
  <c r="T4951" i="12"/>
  <c r="U4951" i="12"/>
  <c r="T4937" i="12"/>
  <c r="U4937" i="12"/>
  <c r="T4923" i="12"/>
  <c r="U4923" i="12"/>
  <c r="T4909" i="12"/>
  <c r="U4909" i="12"/>
  <c r="T4895" i="12"/>
  <c r="U4895" i="12"/>
  <c r="T4881" i="12"/>
  <c r="U4881" i="12"/>
  <c r="T4867" i="12"/>
  <c r="U4867" i="12"/>
  <c r="T4853" i="12"/>
  <c r="U4853" i="12"/>
  <c r="T4839" i="12"/>
  <c r="U4839" i="12"/>
  <c r="T4825" i="12"/>
  <c r="U4825" i="12"/>
  <c r="T4811" i="12"/>
  <c r="U4811" i="12"/>
  <c r="T4797" i="12"/>
  <c r="U4797" i="12"/>
  <c r="T4783" i="12"/>
  <c r="U4783" i="12"/>
  <c r="T4769" i="12"/>
  <c r="U4769" i="12"/>
  <c r="T4755" i="12"/>
  <c r="U4755" i="12"/>
  <c r="T4741" i="12"/>
  <c r="U4741" i="12"/>
  <c r="T4727" i="12"/>
  <c r="U4727" i="12"/>
  <c r="T4713" i="12"/>
  <c r="U4713" i="12"/>
  <c r="T4699" i="12"/>
  <c r="U4699" i="12"/>
  <c r="T4685" i="12"/>
  <c r="U4685" i="12"/>
  <c r="T4671" i="12"/>
  <c r="U4671" i="12"/>
  <c r="T4657" i="12"/>
  <c r="U4657" i="12"/>
  <c r="T4643" i="12"/>
  <c r="U4643" i="12"/>
  <c r="T4629" i="12"/>
  <c r="U4629" i="12"/>
  <c r="T4615" i="12"/>
  <c r="U4615" i="12"/>
  <c r="T4601" i="12"/>
  <c r="U4601" i="12"/>
  <c r="T4587" i="12"/>
  <c r="U4587" i="12"/>
  <c r="T4573" i="12"/>
  <c r="U4573" i="12"/>
  <c r="T4559" i="12"/>
  <c r="U4559" i="12"/>
  <c r="T4545" i="12"/>
  <c r="U4545" i="12"/>
  <c r="T4531" i="12"/>
  <c r="U4531" i="12"/>
  <c r="T4517" i="12"/>
  <c r="U4517" i="12"/>
  <c r="T4503" i="12"/>
  <c r="U4503" i="12"/>
  <c r="T4489" i="12"/>
  <c r="U4489" i="12"/>
  <c r="T4475" i="12"/>
  <c r="U4475" i="12"/>
  <c r="T4461" i="12"/>
  <c r="U4461" i="12"/>
  <c r="T4447" i="12"/>
  <c r="U4447" i="12"/>
  <c r="T4433" i="12"/>
  <c r="U4433" i="12"/>
  <c r="T4419" i="12"/>
  <c r="U4419" i="12"/>
  <c r="T4405" i="12"/>
  <c r="U4405" i="12"/>
  <c r="T4391" i="12"/>
  <c r="U4391" i="12"/>
  <c r="T4377" i="12"/>
  <c r="U4377" i="12"/>
  <c r="T4363" i="12"/>
  <c r="U4363" i="12"/>
  <c r="T4349" i="12"/>
  <c r="U4349" i="12"/>
  <c r="T4335" i="12"/>
  <c r="U4335" i="12"/>
  <c r="T4321" i="12"/>
  <c r="U4321" i="12"/>
  <c r="T4307" i="12"/>
  <c r="U4307" i="12"/>
  <c r="T4293" i="12"/>
  <c r="U4293" i="12"/>
  <c r="T4279" i="12"/>
  <c r="U4279" i="12"/>
  <c r="T4265" i="12"/>
  <c r="U4265" i="12"/>
  <c r="T4251" i="12"/>
  <c r="U4251" i="12"/>
  <c r="T4237" i="12"/>
  <c r="U4237" i="12"/>
  <c r="T4223" i="12"/>
  <c r="U4223" i="12"/>
  <c r="T4209" i="12"/>
  <c r="U4209" i="12"/>
  <c r="T4195" i="12"/>
  <c r="U4195" i="12"/>
  <c r="T4181" i="12"/>
  <c r="U4181" i="12"/>
  <c r="T4167" i="12"/>
  <c r="U4167" i="12"/>
  <c r="T4153" i="12"/>
  <c r="U4153" i="12"/>
  <c r="T4139" i="12"/>
  <c r="U4139" i="12"/>
  <c r="T4125" i="12"/>
  <c r="U4125" i="12"/>
  <c r="T4111" i="12"/>
  <c r="U4111" i="12"/>
  <c r="T4097" i="12"/>
  <c r="U4097" i="12"/>
  <c r="T4083" i="12"/>
  <c r="U4083" i="12"/>
  <c r="T4069" i="12"/>
  <c r="U4069" i="12"/>
  <c r="T4055" i="12"/>
  <c r="U4055" i="12"/>
  <c r="T4041" i="12"/>
  <c r="U4041" i="12"/>
  <c r="T4027" i="12"/>
  <c r="U4027" i="12"/>
  <c r="T4013" i="12"/>
  <c r="U4013" i="12"/>
  <c r="T3999" i="12"/>
  <c r="U3999" i="12"/>
  <c r="T3985" i="12"/>
  <c r="U3985" i="12"/>
  <c r="T3971" i="12"/>
  <c r="U3971" i="12"/>
  <c r="T3957" i="12"/>
  <c r="U3957" i="12"/>
  <c r="T3943" i="12"/>
  <c r="U3943" i="12"/>
  <c r="T3929" i="12"/>
  <c r="U3929" i="12"/>
  <c r="T3915" i="12"/>
  <c r="U3915" i="12"/>
  <c r="T3901" i="12"/>
  <c r="U3901" i="12"/>
  <c r="T3887" i="12"/>
  <c r="U3887" i="12"/>
  <c r="T3873" i="12"/>
  <c r="U3873" i="12"/>
  <c r="T3859" i="12"/>
  <c r="U3859" i="12"/>
  <c r="T3845" i="12"/>
  <c r="U3845" i="12"/>
  <c r="T3831" i="12"/>
  <c r="U3831" i="12"/>
  <c r="T3817" i="12"/>
  <c r="U3817" i="12"/>
  <c r="T3803" i="12"/>
  <c r="U3803" i="12"/>
  <c r="T3789" i="12"/>
  <c r="U3789" i="12"/>
  <c r="T3775" i="12"/>
  <c r="U3775" i="12"/>
  <c r="T3761" i="12"/>
  <c r="U3761" i="12"/>
  <c r="T3747" i="12"/>
  <c r="U3747" i="12"/>
  <c r="T3733" i="12"/>
  <c r="U3733" i="12"/>
  <c r="T3719" i="12"/>
  <c r="U3719" i="12"/>
  <c r="T3705" i="12"/>
  <c r="U3705" i="12"/>
  <c r="T3691" i="12"/>
  <c r="U3691" i="12"/>
  <c r="T3677" i="12"/>
  <c r="U3677" i="12"/>
  <c r="T3663" i="12"/>
  <c r="U3663" i="12"/>
  <c r="T3649" i="12"/>
  <c r="U3649" i="12"/>
  <c r="T3635" i="12"/>
  <c r="U3635" i="12"/>
  <c r="T3621" i="12"/>
  <c r="U3621" i="12"/>
  <c r="T3607" i="12"/>
  <c r="U3607" i="12"/>
  <c r="T3593" i="12"/>
  <c r="U3593" i="12"/>
  <c r="T3579" i="12"/>
  <c r="U3579" i="12"/>
  <c r="T3565" i="12"/>
  <c r="U3565" i="12"/>
  <c r="T3551" i="12"/>
  <c r="U3551" i="12"/>
  <c r="T3537" i="12"/>
  <c r="U3537" i="12"/>
  <c r="T3523" i="12"/>
  <c r="U3523" i="12"/>
  <c r="T3509" i="12"/>
  <c r="U3509" i="12"/>
  <c r="T3495" i="12"/>
  <c r="U3495" i="12"/>
  <c r="T3481" i="12"/>
  <c r="U3481" i="12"/>
  <c r="T3467" i="12"/>
  <c r="U3467" i="12"/>
  <c r="T3453" i="12"/>
  <c r="U3453" i="12"/>
  <c r="T3439" i="12"/>
  <c r="U3439" i="12"/>
  <c r="T3425" i="12"/>
  <c r="U3425" i="12"/>
  <c r="T3411" i="12"/>
  <c r="U3411" i="12"/>
  <c r="T3397" i="12"/>
  <c r="U3397" i="12"/>
  <c r="T3383" i="12"/>
  <c r="U3383" i="12"/>
  <c r="T3369" i="12"/>
  <c r="U3369" i="12"/>
  <c r="T3355" i="12"/>
  <c r="U3355" i="12"/>
  <c r="T3341" i="12"/>
  <c r="U3341" i="12"/>
  <c r="T3327" i="12"/>
  <c r="U3327" i="12"/>
  <c r="T3313" i="12"/>
  <c r="U3313" i="12"/>
  <c r="T3299" i="12"/>
  <c r="U3299" i="12"/>
  <c r="T3285" i="12"/>
  <c r="U3285" i="12"/>
  <c r="T3271" i="12"/>
  <c r="U3271" i="12"/>
  <c r="T3257" i="12"/>
  <c r="U3257" i="12"/>
  <c r="T3243" i="12"/>
  <c r="U3243" i="12"/>
  <c r="T3229" i="12"/>
  <c r="U3229" i="12"/>
  <c r="T3215" i="12"/>
  <c r="U3215" i="12"/>
  <c r="T3201" i="12"/>
  <c r="U3201" i="12"/>
  <c r="T3187" i="12"/>
  <c r="U3187" i="12"/>
  <c r="T3173" i="12"/>
  <c r="U3173" i="12"/>
  <c r="T3159" i="12"/>
  <c r="U3159" i="12"/>
  <c r="T3145" i="12"/>
  <c r="U3145" i="12"/>
  <c r="T3131" i="12"/>
  <c r="U3131" i="12"/>
  <c r="T3117" i="12"/>
  <c r="U3117" i="12"/>
  <c r="T3103" i="12"/>
  <c r="U3103" i="12"/>
  <c r="T3089" i="12"/>
  <c r="U3089" i="12"/>
  <c r="T3075" i="12"/>
  <c r="U3075" i="12"/>
  <c r="T3061" i="12"/>
  <c r="U3061" i="12"/>
  <c r="T3047" i="12"/>
  <c r="U3047" i="12"/>
  <c r="T3033" i="12"/>
  <c r="U3033" i="12"/>
  <c r="T3019" i="12"/>
  <c r="U3019" i="12"/>
  <c r="T3005" i="12"/>
  <c r="U3005" i="12"/>
  <c r="T2991" i="12"/>
  <c r="U2991" i="12"/>
  <c r="T2977" i="12"/>
  <c r="U2977" i="12"/>
  <c r="T2963" i="12"/>
  <c r="U2963" i="12"/>
  <c r="T2949" i="12"/>
  <c r="U2949" i="12"/>
  <c r="T2935" i="12"/>
  <c r="U2935" i="12"/>
  <c r="T2921" i="12"/>
  <c r="U2921" i="12"/>
  <c r="T2907" i="12"/>
  <c r="U2907" i="12"/>
  <c r="T2893" i="12"/>
  <c r="U2893" i="12"/>
  <c r="T2879" i="12"/>
  <c r="U2879" i="12"/>
  <c r="T2865" i="12"/>
  <c r="U2865" i="12"/>
  <c r="T2851" i="12"/>
  <c r="U2851" i="12"/>
  <c r="T2837" i="12"/>
  <c r="U2837" i="12"/>
  <c r="T2823" i="12"/>
  <c r="U2823" i="12"/>
  <c r="T2809" i="12"/>
  <c r="U2809" i="12"/>
  <c r="T2795" i="12"/>
  <c r="U2795" i="12"/>
  <c r="T2781" i="12"/>
  <c r="U2781" i="12"/>
  <c r="T2767" i="12"/>
  <c r="U2767" i="12"/>
  <c r="T2753" i="12"/>
  <c r="U2753" i="12"/>
  <c r="T2739" i="12"/>
  <c r="U2739" i="12"/>
  <c r="T2725" i="12"/>
  <c r="U2725" i="12"/>
  <c r="T2711" i="12"/>
  <c r="U2711" i="12"/>
  <c r="T2697" i="12"/>
  <c r="U2697" i="12"/>
  <c r="T2683" i="12"/>
  <c r="U2683" i="12"/>
  <c r="T2669" i="12"/>
  <c r="U2669" i="12"/>
  <c r="T2655" i="12"/>
  <c r="U2655" i="12"/>
  <c r="T2641" i="12"/>
  <c r="U2641" i="12"/>
  <c r="T2627" i="12"/>
  <c r="U2627" i="12"/>
  <c r="T2613" i="12"/>
  <c r="U2613" i="12"/>
  <c r="T2599" i="12"/>
  <c r="U2599" i="12"/>
  <c r="T2585" i="12"/>
  <c r="U2585" i="12"/>
  <c r="T2571" i="12"/>
  <c r="U2571" i="12"/>
  <c r="T2557" i="12"/>
  <c r="U2557" i="12"/>
  <c r="T2543" i="12"/>
  <c r="U2543" i="12"/>
  <c r="T2529" i="12"/>
  <c r="U2529" i="12"/>
  <c r="T2515" i="12"/>
  <c r="U2515" i="12"/>
  <c r="T2501" i="12"/>
  <c r="U2501" i="12"/>
  <c r="T2487" i="12"/>
  <c r="U2487" i="12"/>
  <c r="T2473" i="12"/>
  <c r="U2473" i="12"/>
  <c r="T2459" i="12"/>
  <c r="U2459" i="12"/>
  <c r="T2445" i="12"/>
  <c r="U2445" i="12"/>
  <c r="T2431" i="12"/>
  <c r="U2431" i="12"/>
  <c r="T2417" i="12"/>
  <c r="U2417" i="12"/>
  <c r="T2403" i="12"/>
  <c r="U2403" i="12"/>
  <c r="T2389" i="12"/>
  <c r="U2389" i="12"/>
  <c r="T2375" i="12"/>
  <c r="U2375" i="12"/>
  <c r="T2361" i="12"/>
  <c r="U2361" i="12"/>
  <c r="T2347" i="12"/>
  <c r="U2347" i="12"/>
  <c r="T2333" i="12"/>
  <c r="U2333" i="12"/>
  <c r="T2319" i="12"/>
  <c r="U2319" i="12"/>
  <c r="T2305" i="12"/>
  <c r="U2305" i="12"/>
  <c r="T2291" i="12"/>
  <c r="U2291" i="12"/>
  <c r="T2277" i="12"/>
  <c r="U2277" i="12"/>
  <c r="T2263" i="12"/>
  <c r="U2263" i="12"/>
  <c r="T2249" i="12"/>
  <c r="U2249" i="12"/>
  <c r="T2235" i="12"/>
  <c r="U2235" i="12"/>
  <c r="T2221" i="12"/>
  <c r="U2221" i="12"/>
  <c r="T2207" i="12"/>
  <c r="U2207" i="12"/>
  <c r="T2193" i="12"/>
  <c r="U2193" i="12"/>
  <c r="T2179" i="12"/>
  <c r="U2179" i="12"/>
  <c r="T2165" i="12"/>
  <c r="U2165" i="12"/>
  <c r="T2151" i="12"/>
  <c r="U2151" i="12"/>
  <c r="T2137" i="12"/>
  <c r="U2137" i="12"/>
  <c r="T2123" i="12"/>
  <c r="U2123" i="12"/>
  <c r="T2109" i="12"/>
  <c r="U2109" i="12"/>
  <c r="T2095" i="12"/>
  <c r="U2095" i="12"/>
  <c r="T2081" i="12"/>
  <c r="U2081" i="12"/>
  <c r="T2067" i="12"/>
  <c r="U2067" i="12"/>
  <c r="T2053" i="12"/>
  <c r="U2053" i="12"/>
  <c r="T2039" i="12"/>
  <c r="U2039" i="12"/>
  <c r="T2025" i="12"/>
  <c r="U2025" i="12"/>
  <c r="T2011" i="12"/>
  <c r="U2011" i="12"/>
  <c r="T1997" i="12"/>
  <c r="U1997" i="12"/>
  <c r="T1983" i="12"/>
  <c r="U1983" i="12"/>
  <c r="T1969" i="12"/>
  <c r="U1969" i="12"/>
  <c r="T1955" i="12"/>
  <c r="U1955" i="12"/>
  <c r="T1941" i="12"/>
  <c r="U1941" i="12"/>
  <c r="T1927" i="12"/>
  <c r="U1927" i="12"/>
  <c r="T1913" i="12"/>
  <c r="U1913" i="12"/>
  <c r="T1899" i="12"/>
  <c r="U1899" i="12"/>
  <c r="T1885" i="12"/>
  <c r="U1885" i="12"/>
  <c r="T1871" i="12"/>
  <c r="U1871" i="12"/>
  <c r="T1857" i="12"/>
  <c r="U1857" i="12"/>
  <c r="T1843" i="12"/>
  <c r="U1843" i="12"/>
  <c r="T1829" i="12"/>
  <c r="U1829" i="12"/>
  <c r="T1815" i="12"/>
  <c r="U1815" i="12"/>
  <c r="T1801" i="12"/>
  <c r="U1801" i="12"/>
  <c r="T1787" i="12"/>
  <c r="U1787" i="12"/>
  <c r="T1773" i="12"/>
  <c r="U1773" i="12"/>
  <c r="T1759" i="12"/>
  <c r="U1759" i="12"/>
  <c r="T1745" i="12"/>
  <c r="U1745" i="12"/>
  <c r="T1731" i="12"/>
  <c r="U1731" i="12"/>
  <c r="T1717" i="12"/>
  <c r="U1717" i="12"/>
  <c r="T1703" i="12"/>
  <c r="U1703" i="12"/>
  <c r="T1689" i="12"/>
  <c r="U1689" i="12"/>
  <c r="T1675" i="12"/>
  <c r="U1675" i="12"/>
  <c r="T1661" i="12"/>
  <c r="U1661" i="12"/>
  <c r="T1647" i="12"/>
  <c r="U1647" i="12"/>
  <c r="T1633" i="12"/>
  <c r="U1633" i="12"/>
  <c r="T1619" i="12"/>
  <c r="U1619" i="12"/>
  <c r="T1605" i="12"/>
  <c r="U1605" i="12"/>
  <c r="T1591" i="12"/>
  <c r="U1591" i="12"/>
  <c r="T1577" i="12"/>
  <c r="U1577" i="12"/>
  <c r="T1563" i="12"/>
  <c r="U1563" i="12"/>
  <c r="T1549" i="12"/>
  <c r="U1549" i="12"/>
  <c r="T1535" i="12"/>
  <c r="U1535" i="12"/>
  <c r="T1521" i="12"/>
  <c r="U1521" i="12"/>
  <c r="T1507" i="12"/>
  <c r="U1507" i="12"/>
  <c r="T1493" i="12"/>
  <c r="U1493" i="12"/>
  <c r="T1479" i="12"/>
  <c r="U1479" i="12"/>
  <c r="T1465" i="12"/>
  <c r="U1465" i="12"/>
  <c r="T1451" i="12"/>
  <c r="U1451" i="12"/>
  <c r="T1437" i="12"/>
  <c r="U1437" i="12"/>
  <c r="T1423" i="12"/>
  <c r="U1423" i="12"/>
  <c r="T1409" i="12"/>
  <c r="U1409" i="12"/>
  <c r="T1395" i="12"/>
  <c r="U1395" i="12"/>
  <c r="T1381" i="12"/>
  <c r="U1381" i="12"/>
  <c r="T1367" i="12"/>
  <c r="U1367" i="12"/>
  <c r="T1353" i="12"/>
  <c r="U1353" i="12"/>
  <c r="T1339" i="12"/>
  <c r="U1339" i="12"/>
  <c r="T1325" i="12"/>
  <c r="U1325" i="12"/>
  <c r="T1311" i="12"/>
  <c r="U1311" i="12"/>
  <c r="T1297" i="12"/>
  <c r="U1297" i="12"/>
  <c r="T1283" i="12"/>
  <c r="U1283" i="12"/>
  <c r="T1269" i="12"/>
  <c r="U1269" i="12"/>
  <c r="T1255" i="12"/>
  <c r="U1255" i="12"/>
  <c r="T1241" i="12"/>
  <c r="U1241" i="12"/>
  <c r="T1227" i="12"/>
  <c r="U1227" i="12"/>
  <c r="T1213" i="12"/>
  <c r="U1213" i="12"/>
  <c r="T1199" i="12"/>
  <c r="U1199" i="12"/>
  <c r="T1185" i="12"/>
  <c r="U1185" i="12"/>
  <c r="T1171" i="12"/>
  <c r="U1171" i="12"/>
  <c r="T1157" i="12"/>
  <c r="U1157" i="12"/>
  <c r="T1143" i="12"/>
  <c r="U1143" i="12"/>
  <c r="T1129" i="12"/>
  <c r="U1129" i="12"/>
  <c r="T1115" i="12"/>
  <c r="U1115" i="12"/>
  <c r="T1101" i="12"/>
  <c r="U1101" i="12"/>
  <c r="T1087" i="12"/>
  <c r="U1087" i="12"/>
  <c r="T1073" i="12"/>
  <c r="U1073" i="12"/>
  <c r="T1059" i="12"/>
  <c r="U1059" i="12"/>
  <c r="T1045" i="12"/>
  <c r="U1045" i="12"/>
  <c r="T1031" i="12"/>
  <c r="U1031" i="12"/>
  <c r="T1017" i="12"/>
  <c r="U1017" i="12"/>
  <c r="T1003" i="12"/>
  <c r="U1003" i="12"/>
  <c r="T989" i="12"/>
  <c r="U989" i="12"/>
  <c r="T975" i="12"/>
  <c r="U975" i="12"/>
  <c r="T961" i="12"/>
  <c r="U961" i="12"/>
  <c r="T947" i="12"/>
  <c r="U947" i="12"/>
  <c r="T933" i="12"/>
  <c r="U933" i="12"/>
  <c r="T919" i="12"/>
  <c r="U919" i="12"/>
  <c r="T905" i="12"/>
  <c r="U905" i="12"/>
  <c r="T891" i="12"/>
  <c r="U891" i="12"/>
  <c r="T877" i="12"/>
  <c r="U877" i="12"/>
  <c r="T863" i="12"/>
  <c r="U863" i="12"/>
  <c r="T849" i="12"/>
  <c r="U849" i="12"/>
  <c r="T835" i="12"/>
  <c r="U835" i="12"/>
  <c r="T821" i="12"/>
  <c r="U821" i="12"/>
  <c r="T807" i="12"/>
  <c r="U807" i="12"/>
  <c r="T793" i="12"/>
  <c r="U793" i="12"/>
  <c r="T779" i="12"/>
  <c r="U779" i="12"/>
  <c r="T765" i="12"/>
  <c r="U765" i="12"/>
  <c r="T751" i="12"/>
  <c r="U751" i="12"/>
  <c r="T737" i="12"/>
  <c r="U737" i="12"/>
  <c r="T723" i="12"/>
  <c r="U723" i="12"/>
  <c r="T709" i="12"/>
  <c r="U709" i="12"/>
  <c r="T695" i="12"/>
  <c r="U695" i="12"/>
  <c r="T681" i="12"/>
  <c r="U681" i="12"/>
  <c r="T667" i="12"/>
  <c r="U667" i="12"/>
  <c r="T653" i="12"/>
  <c r="U653" i="12"/>
  <c r="T639" i="12"/>
  <c r="U639" i="12"/>
  <c r="T625" i="12"/>
  <c r="U625" i="12"/>
  <c r="T611" i="12"/>
  <c r="U611" i="12"/>
  <c r="T597" i="12"/>
  <c r="U597" i="12"/>
  <c r="T583" i="12"/>
  <c r="U583" i="12"/>
  <c r="T569" i="12"/>
  <c r="U569" i="12"/>
  <c r="T555" i="12"/>
  <c r="U555" i="12"/>
  <c r="T541" i="12"/>
  <c r="U541" i="12"/>
  <c r="T527" i="12"/>
  <c r="U527" i="12"/>
  <c r="T513" i="12"/>
  <c r="U513" i="12"/>
  <c r="T499" i="12"/>
  <c r="U499" i="12"/>
  <c r="T485" i="12"/>
  <c r="U485" i="12"/>
  <c r="T471" i="12"/>
  <c r="U471" i="12"/>
  <c r="T457" i="12"/>
  <c r="U457" i="12"/>
  <c r="T443" i="12"/>
  <c r="U443" i="12"/>
  <c r="T429" i="12"/>
  <c r="U429" i="12"/>
  <c r="T415" i="12"/>
  <c r="U415" i="12"/>
  <c r="T401" i="12"/>
  <c r="U401" i="12"/>
  <c r="T387" i="12"/>
  <c r="U387" i="12"/>
  <c r="T373" i="12"/>
  <c r="U373" i="12"/>
  <c r="T359" i="12"/>
  <c r="U359" i="12"/>
  <c r="T345" i="12"/>
  <c r="U345" i="12"/>
  <c r="T331" i="12"/>
  <c r="U331" i="12"/>
  <c r="T317" i="12"/>
  <c r="U317" i="12"/>
  <c r="T303" i="12"/>
  <c r="U303" i="12"/>
  <c r="T289" i="12"/>
  <c r="U289" i="12"/>
  <c r="T275" i="12"/>
  <c r="U275" i="12"/>
  <c r="T261" i="12"/>
  <c r="U261" i="12"/>
  <c r="T247" i="12"/>
  <c r="U247" i="12"/>
  <c r="T233" i="12"/>
  <c r="U233" i="12"/>
  <c r="T219" i="12"/>
  <c r="U219" i="12"/>
  <c r="T205" i="12"/>
  <c r="U205" i="12"/>
  <c r="T191" i="12"/>
  <c r="U191" i="12"/>
  <c r="T177" i="12"/>
  <c r="U177" i="12"/>
  <c r="T163" i="12"/>
  <c r="U163" i="12"/>
  <c r="T149" i="12"/>
  <c r="U149" i="12"/>
  <c r="T135" i="12"/>
  <c r="U135" i="12"/>
  <c r="T121" i="12"/>
  <c r="U121" i="12"/>
  <c r="T107" i="12"/>
  <c r="U107" i="12"/>
  <c r="T93" i="12"/>
  <c r="U93" i="12"/>
  <c r="T79" i="12"/>
  <c r="U79" i="12"/>
  <c r="T65" i="12"/>
  <c r="U65" i="12"/>
  <c r="I422" i="12"/>
  <c r="I366" i="12"/>
  <c r="I310" i="12"/>
  <c r="I254" i="12"/>
  <c r="I198" i="12"/>
  <c r="I142" i="12"/>
  <c r="I86" i="12"/>
  <c r="T4950" i="12"/>
  <c r="U4950" i="12"/>
  <c r="T4936" i="12"/>
  <c r="U4936" i="12"/>
  <c r="T4922" i="12"/>
  <c r="U4922" i="12"/>
  <c r="T4908" i="12"/>
  <c r="U4908" i="12"/>
  <c r="T4894" i="12"/>
  <c r="U4894" i="12"/>
  <c r="T4880" i="12"/>
  <c r="U4880" i="12"/>
  <c r="T4866" i="12"/>
  <c r="U4866" i="12"/>
  <c r="T4852" i="12"/>
  <c r="U4852" i="12"/>
  <c r="T4838" i="12"/>
  <c r="U4838" i="12"/>
  <c r="T4824" i="12"/>
  <c r="U4824" i="12"/>
  <c r="T4810" i="12"/>
  <c r="U4810" i="12"/>
  <c r="T4796" i="12"/>
  <c r="U4796" i="12"/>
  <c r="T4782" i="12"/>
  <c r="U4782" i="12"/>
  <c r="T4768" i="12"/>
  <c r="U4768" i="12"/>
  <c r="T4754" i="12"/>
  <c r="U4754" i="12"/>
  <c r="T4740" i="12"/>
  <c r="U4740" i="12"/>
  <c r="T4726" i="12"/>
  <c r="U4726" i="12"/>
  <c r="T4712" i="12"/>
  <c r="U4712" i="12"/>
  <c r="T4698" i="12"/>
  <c r="U4698" i="12"/>
  <c r="T4684" i="12"/>
  <c r="U4684" i="12"/>
  <c r="T4670" i="12"/>
  <c r="U4670" i="12"/>
  <c r="T4656" i="12"/>
  <c r="U4656" i="12"/>
  <c r="T4642" i="12"/>
  <c r="U4642" i="12"/>
  <c r="T4628" i="12"/>
  <c r="U4628" i="12"/>
  <c r="T4614" i="12"/>
  <c r="U4614" i="12"/>
  <c r="T4600" i="12"/>
  <c r="U4600" i="12"/>
  <c r="T4586" i="12"/>
  <c r="U4586" i="12"/>
  <c r="T4572" i="12"/>
  <c r="U4572" i="12"/>
  <c r="T4558" i="12"/>
  <c r="U4558" i="12"/>
  <c r="T4544" i="12"/>
  <c r="U4544" i="12"/>
  <c r="T4530" i="12"/>
  <c r="U4530" i="12"/>
  <c r="T4516" i="12"/>
  <c r="U4516" i="12"/>
  <c r="T4502" i="12"/>
  <c r="U4502" i="12"/>
  <c r="T4488" i="12"/>
  <c r="U4488" i="12"/>
  <c r="T4474" i="12"/>
  <c r="U4474" i="12"/>
  <c r="T4460" i="12"/>
  <c r="U4460" i="12"/>
  <c r="T4446" i="12"/>
  <c r="U4446" i="12"/>
  <c r="T4432" i="12"/>
  <c r="U4432" i="12"/>
  <c r="T4418" i="12"/>
  <c r="U4418" i="12"/>
  <c r="T4404" i="12"/>
  <c r="U4404" i="12"/>
  <c r="T4390" i="12"/>
  <c r="U4390" i="12"/>
  <c r="T4376" i="12"/>
  <c r="U4376" i="12"/>
  <c r="T4362" i="12"/>
  <c r="U4362" i="12"/>
  <c r="T4348" i="12"/>
  <c r="U4348" i="12"/>
  <c r="T4334" i="12"/>
  <c r="U4334" i="12"/>
  <c r="T4320" i="12"/>
  <c r="U4320" i="12"/>
  <c r="T4306" i="12"/>
  <c r="U4306" i="12"/>
  <c r="T4292" i="12"/>
  <c r="U4292" i="12"/>
  <c r="T4278" i="12"/>
  <c r="U4278" i="12"/>
  <c r="T4264" i="12"/>
  <c r="U4264" i="12"/>
  <c r="T4250" i="12"/>
  <c r="U4250" i="12"/>
  <c r="T4236" i="12"/>
  <c r="U4236" i="12"/>
  <c r="T4222" i="12"/>
  <c r="U4222" i="12"/>
  <c r="T4208" i="12"/>
  <c r="U4208" i="12"/>
  <c r="T4194" i="12"/>
  <c r="U4194" i="12"/>
  <c r="T4180" i="12"/>
  <c r="U4180" i="12"/>
  <c r="T4166" i="12"/>
  <c r="U4166" i="12"/>
  <c r="T4152" i="12"/>
  <c r="U4152" i="12"/>
  <c r="T4138" i="12"/>
  <c r="U4138" i="12"/>
  <c r="T4124" i="12"/>
  <c r="U4124" i="12"/>
  <c r="T4110" i="12"/>
  <c r="U4110" i="12"/>
  <c r="T4096" i="12"/>
  <c r="U4096" i="12"/>
  <c r="T4082" i="12"/>
  <c r="U4082" i="12"/>
  <c r="T4068" i="12"/>
  <c r="U4068" i="12"/>
  <c r="T4054" i="12"/>
  <c r="U4054" i="12"/>
  <c r="T4040" i="12"/>
  <c r="U4040" i="12"/>
  <c r="T4026" i="12"/>
  <c r="U4026" i="12"/>
  <c r="T4012" i="12"/>
  <c r="U4012" i="12"/>
  <c r="T3998" i="12"/>
  <c r="U3998" i="12"/>
  <c r="T3984" i="12"/>
  <c r="U3984" i="12"/>
  <c r="T3970" i="12"/>
  <c r="U3970" i="12"/>
  <c r="T3956" i="12"/>
  <c r="U3956" i="12"/>
  <c r="T3942" i="12"/>
  <c r="U3942" i="12"/>
  <c r="T3928" i="12"/>
  <c r="U3928" i="12"/>
  <c r="T3914" i="12"/>
  <c r="U3914" i="12"/>
  <c r="T3900" i="12"/>
  <c r="U3900" i="12"/>
  <c r="T3886" i="12"/>
  <c r="U3886" i="12"/>
  <c r="T3872" i="12"/>
  <c r="U3872" i="12"/>
  <c r="T3858" i="12"/>
  <c r="U3858" i="12"/>
  <c r="T3844" i="12"/>
  <c r="U3844" i="12"/>
  <c r="T3830" i="12"/>
  <c r="U3830" i="12"/>
  <c r="T3816" i="12"/>
  <c r="U3816" i="12"/>
  <c r="T3802" i="12"/>
  <c r="U3802" i="12"/>
  <c r="T3788" i="12"/>
  <c r="U3788" i="12"/>
  <c r="T3774" i="12"/>
  <c r="U3774" i="12"/>
  <c r="T3760" i="12"/>
  <c r="U3760" i="12"/>
  <c r="T3746" i="12"/>
  <c r="U3746" i="12"/>
  <c r="T3732" i="12"/>
  <c r="U3732" i="12"/>
  <c r="T3718" i="12"/>
  <c r="U3718" i="12"/>
  <c r="T3704" i="12"/>
  <c r="U3704" i="12"/>
  <c r="T3690" i="12"/>
  <c r="U3690" i="12"/>
  <c r="T3676" i="12"/>
  <c r="U3676" i="12"/>
  <c r="T3662" i="12"/>
  <c r="U3662" i="12"/>
  <c r="T3648" i="12"/>
  <c r="U3648" i="12"/>
  <c r="T3634" i="12"/>
  <c r="U3634" i="12"/>
  <c r="T3620" i="12"/>
  <c r="U3620" i="12"/>
  <c r="T3606" i="12"/>
  <c r="U3606" i="12"/>
  <c r="T3592" i="12"/>
  <c r="U3592" i="12"/>
  <c r="T3578" i="12"/>
  <c r="U3578" i="12"/>
  <c r="T3564" i="12"/>
  <c r="U3564" i="12"/>
  <c r="T3550" i="12"/>
  <c r="U3550" i="12"/>
  <c r="T3536" i="12"/>
  <c r="U3536" i="12"/>
  <c r="T3522" i="12"/>
  <c r="U3522" i="12"/>
  <c r="T3508" i="12"/>
  <c r="U3508" i="12"/>
  <c r="T3494" i="12"/>
  <c r="U3494" i="12"/>
  <c r="T3480" i="12"/>
  <c r="U3480" i="12"/>
  <c r="T3466" i="12"/>
  <c r="U3466" i="12"/>
  <c r="T3452" i="12"/>
  <c r="U3452" i="12"/>
  <c r="T3438" i="12"/>
  <c r="U3438" i="12"/>
  <c r="T3424" i="12"/>
  <c r="U3424" i="12"/>
  <c r="T3410" i="12"/>
  <c r="U3410" i="12"/>
  <c r="T3396" i="12"/>
  <c r="U3396" i="12"/>
  <c r="T3382" i="12"/>
  <c r="U3382" i="12"/>
  <c r="T3368" i="12"/>
  <c r="U3368" i="12"/>
  <c r="T3354" i="12"/>
  <c r="U3354" i="12"/>
  <c r="T3340" i="12"/>
  <c r="U3340" i="12"/>
  <c r="T3326" i="12"/>
  <c r="U3326" i="12"/>
  <c r="T3312" i="12"/>
  <c r="U3312" i="12"/>
  <c r="T3298" i="12"/>
  <c r="U3298" i="12"/>
  <c r="T3284" i="12"/>
  <c r="U3284" i="12"/>
  <c r="T3270" i="12"/>
  <c r="U3270" i="12"/>
  <c r="T3256" i="12"/>
  <c r="U3256" i="12"/>
  <c r="T3242" i="12"/>
  <c r="U3242" i="12"/>
  <c r="T3228" i="12"/>
  <c r="U3228" i="12"/>
  <c r="T3214" i="12"/>
  <c r="U3214" i="12"/>
  <c r="T3200" i="12"/>
  <c r="U3200" i="12"/>
  <c r="T3186" i="12"/>
  <c r="U3186" i="12"/>
  <c r="T3172" i="12"/>
  <c r="U3172" i="12"/>
  <c r="T3158" i="12"/>
  <c r="U3158" i="12"/>
  <c r="T3144" i="12"/>
  <c r="U3144" i="12"/>
  <c r="T3130" i="12"/>
  <c r="U3130" i="12"/>
  <c r="T3116" i="12"/>
  <c r="U3116" i="12"/>
  <c r="T3102" i="12"/>
  <c r="U3102" i="12"/>
  <c r="T3088" i="12"/>
  <c r="U3088" i="12"/>
  <c r="T3074" i="12"/>
  <c r="U3074" i="12"/>
  <c r="T3060" i="12"/>
  <c r="U3060" i="12"/>
  <c r="T3046" i="12"/>
  <c r="U3046" i="12"/>
  <c r="T3032" i="12"/>
  <c r="U3032" i="12"/>
  <c r="T3018" i="12"/>
  <c r="U3018" i="12"/>
  <c r="T3004" i="12"/>
  <c r="U3004" i="12"/>
  <c r="T2990" i="12"/>
  <c r="U2990" i="12"/>
  <c r="T2976" i="12"/>
  <c r="U2976" i="12"/>
  <c r="T2962" i="12"/>
  <c r="U2962" i="12"/>
  <c r="T2948" i="12"/>
  <c r="U2948" i="12"/>
  <c r="T2934" i="12"/>
  <c r="U2934" i="12"/>
  <c r="T2920" i="12"/>
  <c r="U2920" i="12"/>
  <c r="T2906" i="12"/>
  <c r="U2906" i="12"/>
  <c r="T2892" i="12"/>
  <c r="U2892" i="12"/>
  <c r="T2878" i="12"/>
  <c r="U2878" i="12"/>
  <c r="T2864" i="12"/>
  <c r="U2864" i="12"/>
  <c r="T2850" i="12"/>
  <c r="U2850" i="12"/>
  <c r="T2836" i="12"/>
  <c r="U2836" i="12"/>
  <c r="T2822" i="12"/>
  <c r="U2822" i="12"/>
  <c r="T2808" i="12"/>
  <c r="U2808" i="12"/>
  <c r="T2794" i="12"/>
  <c r="U2794" i="12"/>
  <c r="T2780" i="12"/>
  <c r="U2780" i="12"/>
  <c r="T2766" i="12"/>
  <c r="U2766" i="12"/>
  <c r="T2752" i="12"/>
  <c r="U2752" i="12"/>
  <c r="T2738" i="12"/>
  <c r="U2738" i="12"/>
  <c r="T2724" i="12"/>
  <c r="U2724" i="12"/>
  <c r="T2710" i="12"/>
  <c r="U2710" i="12"/>
  <c r="T2696" i="12"/>
  <c r="U2696" i="12"/>
  <c r="T2682" i="12"/>
  <c r="U2682" i="12"/>
  <c r="T2668" i="12"/>
  <c r="U2668" i="12"/>
  <c r="T2654" i="12"/>
  <c r="U2654" i="12"/>
  <c r="T2640" i="12"/>
  <c r="U2640" i="12"/>
  <c r="T2626" i="12"/>
  <c r="U2626" i="12"/>
  <c r="T2612" i="12"/>
  <c r="U2612" i="12"/>
  <c r="T2598" i="12"/>
  <c r="U2598" i="12"/>
  <c r="T2584" i="12"/>
  <c r="U2584" i="12"/>
  <c r="T2570" i="12"/>
  <c r="U2570" i="12"/>
  <c r="T2556" i="12"/>
  <c r="U2556" i="12"/>
  <c r="T2542" i="12"/>
  <c r="U2542" i="12"/>
  <c r="T2528" i="12"/>
  <c r="U2528" i="12"/>
  <c r="T2514" i="12"/>
  <c r="U2514" i="12"/>
  <c r="T2500" i="12"/>
  <c r="U2500" i="12"/>
  <c r="T2486" i="12"/>
  <c r="U2486" i="12"/>
  <c r="T2472" i="12"/>
  <c r="U2472" i="12"/>
  <c r="T2458" i="12"/>
  <c r="U2458" i="12"/>
  <c r="T2444" i="12"/>
  <c r="U2444" i="12"/>
  <c r="T2430" i="12"/>
  <c r="U2430" i="12"/>
  <c r="T2416" i="12"/>
  <c r="U2416" i="12"/>
  <c r="T2402" i="12"/>
  <c r="U2402" i="12"/>
  <c r="T2388" i="12"/>
  <c r="U2388" i="12"/>
  <c r="T2374" i="12"/>
  <c r="U2374" i="12"/>
  <c r="T2360" i="12"/>
  <c r="U2360" i="12"/>
  <c r="T2346" i="12"/>
  <c r="U2346" i="12"/>
  <c r="T2332" i="12"/>
  <c r="U2332" i="12"/>
  <c r="T2318" i="12"/>
  <c r="U2318" i="12"/>
  <c r="T2304" i="12"/>
  <c r="U2304" i="12"/>
  <c r="T2290" i="12"/>
  <c r="U2290" i="12"/>
  <c r="T2276" i="12"/>
  <c r="U2276" i="12"/>
  <c r="T2262" i="12"/>
  <c r="U2262" i="12"/>
  <c r="T2248" i="12"/>
  <c r="U2248" i="12"/>
  <c r="T2234" i="12"/>
  <c r="U2234" i="12"/>
  <c r="T2220" i="12"/>
  <c r="U2220" i="12"/>
  <c r="T2206" i="12"/>
  <c r="U2206" i="12"/>
  <c r="T2192" i="12"/>
  <c r="U2192" i="12"/>
  <c r="T2178" i="12"/>
  <c r="U2178" i="12"/>
  <c r="T2164" i="12"/>
  <c r="U2164" i="12"/>
  <c r="T2150" i="12"/>
  <c r="U2150" i="12"/>
  <c r="T2136" i="12"/>
  <c r="U2136" i="12"/>
  <c r="T2122" i="12"/>
  <c r="U2122" i="12"/>
  <c r="T2108" i="12"/>
  <c r="U2108" i="12"/>
  <c r="T2094" i="12"/>
  <c r="U2094" i="12"/>
  <c r="T2080" i="12"/>
  <c r="U2080" i="12"/>
  <c r="T2066" i="12"/>
  <c r="U2066" i="12"/>
  <c r="T2052" i="12"/>
  <c r="U2052" i="12"/>
  <c r="T2038" i="12"/>
  <c r="U2038" i="12"/>
  <c r="T2024" i="12"/>
  <c r="U2024" i="12"/>
  <c r="T2010" i="12"/>
  <c r="U2010" i="12"/>
  <c r="T1996" i="12"/>
  <c r="U1996" i="12"/>
  <c r="T1982" i="12"/>
  <c r="U1982" i="12"/>
  <c r="T1968" i="12"/>
  <c r="U1968" i="12"/>
  <c r="T1954" i="12"/>
  <c r="U1954" i="12"/>
  <c r="T1940" i="12"/>
  <c r="U1940" i="12"/>
  <c r="T1926" i="12"/>
  <c r="U1926" i="12"/>
  <c r="T1912" i="12"/>
  <c r="U1912" i="12"/>
  <c r="T1898" i="12"/>
  <c r="U1898" i="12"/>
  <c r="T1884" i="12"/>
  <c r="U1884" i="12"/>
  <c r="T1870" i="12"/>
  <c r="U1870" i="12"/>
  <c r="T1856" i="12"/>
  <c r="U1856" i="12"/>
  <c r="T1842" i="12"/>
  <c r="U1842" i="12"/>
  <c r="T1828" i="12"/>
  <c r="U1828" i="12"/>
  <c r="T1814" i="12"/>
  <c r="U1814" i="12"/>
  <c r="T1800" i="12"/>
  <c r="U1800" i="12"/>
  <c r="T1786" i="12"/>
  <c r="U1786" i="12"/>
  <c r="T1772" i="12"/>
  <c r="U1772" i="12"/>
  <c r="T1758" i="12"/>
  <c r="U1758" i="12"/>
  <c r="T1744" i="12"/>
  <c r="U1744" i="12"/>
  <c r="T1730" i="12"/>
  <c r="U1730" i="12"/>
  <c r="T1716" i="12"/>
  <c r="U1716" i="12"/>
  <c r="T1702" i="12"/>
  <c r="U1702" i="12"/>
  <c r="T1688" i="12"/>
  <c r="U1688" i="12"/>
  <c r="T1674" i="12"/>
  <c r="U1674" i="12"/>
  <c r="T1660" i="12"/>
  <c r="U1660" i="12"/>
  <c r="T1646" i="12"/>
  <c r="U1646" i="12"/>
  <c r="T1632" i="12"/>
  <c r="U1632" i="12"/>
  <c r="T1618" i="12"/>
  <c r="U1618" i="12"/>
  <c r="T1604" i="12"/>
  <c r="U1604" i="12"/>
  <c r="T1590" i="12"/>
  <c r="U1590" i="12"/>
  <c r="T1576" i="12"/>
  <c r="U1576" i="12"/>
  <c r="T1562" i="12"/>
  <c r="U1562" i="12"/>
  <c r="T1548" i="12"/>
  <c r="U1548" i="12"/>
  <c r="T1534" i="12"/>
  <c r="U1534" i="12"/>
  <c r="T1520" i="12"/>
  <c r="U1520" i="12"/>
  <c r="T1506" i="12"/>
  <c r="U1506" i="12"/>
  <c r="T1492" i="12"/>
  <c r="U1492" i="12"/>
  <c r="T1478" i="12"/>
  <c r="U1478" i="12"/>
  <c r="T1464" i="12"/>
  <c r="U1464" i="12"/>
  <c r="T1450" i="12"/>
  <c r="U1450" i="12"/>
  <c r="T1436" i="12"/>
  <c r="U1436" i="12"/>
  <c r="T1422" i="12"/>
  <c r="U1422" i="12"/>
  <c r="T1408" i="12"/>
  <c r="U1408" i="12"/>
  <c r="T1394" i="12"/>
  <c r="U1394" i="12"/>
  <c r="T1380" i="12"/>
  <c r="U1380" i="12"/>
  <c r="T1366" i="12"/>
  <c r="U1366" i="12"/>
  <c r="T1352" i="12"/>
  <c r="U1352" i="12"/>
  <c r="T1338" i="12"/>
  <c r="U1338" i="12"/>
  <c r="T1324" i="12"/>
  <c r="U1324" i="12"/>
  <c r="T1310" i="12"/>
  <c r="U1310" i="12"/>
  <c r="T1296" i="12"/>
  <c r="U1296" i="12"/>
  <c r="T1282" i="12"/>
  <c r="U1282" i="12"/>
  <c r="T1268" i="12"/>
  <c r="U1268" i="12"/>
  <c r="T1254" i="12"/>
  <c r="U1254" i="12"/>
  <c r="T1240" i="12"/>
  <c r="U1240" i="12"/>
  <c r="T1226" i="12"/>
  <c r="U1226" i="12"/>
  <c r="T1212" i="12"/>
  <c r="U1212" i="12"/>
  <c r="T1198" i="12"/>
  <c r="U1198" i="12"/>
  <c r="T1184" i="12"/>
  <c r="U1184" i="12"/>
  <c r="T1170" i="12"/>
  <c r="U1170" i="12"/>
  <c r="T1156" i="12"/>
  <c r="U1156" i="12"/>
  <c r="T1142" i="12"/>
  <c r="U1142" i="12"/>
  <c r="T1128" i="12"/>
  <c r="U1128" i="12"/>
  <c r="T1114" i="12"/>
  <c r="U1114" i="12"/>
  <c r="T1100" i="12"/>
  <c r="U1100" i="12"/>
  <c r="T1086" i="12"/>
  <c r="U1086" i="12"/>
  <c r="T1072" i="12"/>
  <c r="U1072" i="12"/>
  <c r="T1058" i="12"/>
  <c r="U1058" i="12"/>
  <c r="T1044" i="12"/>
  <c r="U1044" i="12"/>
  <c r="T1030" i="12"/>
  <c r="U1030" i="12"/>
  <c r="T1016" i="12"/>
  <c r="U1016" i="12"/>
  <c r="T1002" i="12"/>
  <c r="U1002" i="12"/>
  <c r="T988" i="12"/>
  <c r="U988" i="12"/>
  <c r="T974" i="12"/>
  <c r="U974" i="12"/>
  <c r="T960" i="12"/>
  <c r="U960" i="12"/>
  <c r="T946" i="12"/>
  <c r="U946" i="12"/>
  <c r="T932" i="12"/>
  <c r="U932" i="12"/>
  <c r="T918" i="12"/>
  <c r="U918" i="12"/>
  <c r="T904" i="12"/>
  <c r="U904" i="12"/>
  <c r="T890" i="12"/>
  <c r="U890" i="12"/>
  <c r="T876" i="12"/>
  <c r="U876" i="12"/>
  <c r="T862" i="12"/>
  <c r="U862" i="12"/>
  <c r="T848" i="12"/>
  <c r="U848" i="12"/>
  <c r="I743" i="12"/>
  <c r="I715" i="12"/>
  <c r="I687" i="12"/>
  <c r="I659" i="12"/>
  <c r="I631" i="12"/>
  <c r="I603" i="12"/>
  <c r="I575" i="12"/>
  <c r="I547" i="12"/>
  <c r="I491" i="12"/>
  <c r="I435" i="12"/>
  <c r="I379" i="12"/>
  <c r="I323" i="12"/>
  <c r="I267" i="12"/>
  <c r="I211" i="12"/>
  <c r="I155" i="12"/>
  <c r="I99" i="12"/>
  <c r="T4949" i="12"/>
  <c r="U4949" i="12"/>
  <c r="T4935" i="12"/>
  <c r="U4935" i="12"/>
  <c r="T4921" i="12"/>
  <c r="U4921" i="12"/>
  <c r="T4907" i="12"/>
  <c r="U4907" i="12"/>
  <c r="T4893" i="12"/>
  <c r="U4893" i="12"/>
  <c r="T4879" i="12"/>
  <c r="U4879" i="12"/>
  <c r="T4865" i="12"/>
  <c r="U4865" i="12"/>
  <c r="T4851" i="12"/>
  <c r="U4851" i="12"/>
  <c r="T4837" i="12"/>
  <c r="U4837" i="12"/>
  <c r="T4823" i="12"/>
  <c r="U4823" i="12"/>
  <c r="T4809" i="12"/>
  <c r="U4809" i="12"/>
  <c r="T4795" i="12"/>
  <c r="U4795" i="12"/>
  <c r="T4781" i="12"/>
  <c r="U4781" i="12"/>
  <c r="T4767" i="12"/>
  <c r="U4767" i="12"/>
  <c r="T4753" i="12"/>
  <c r="U4753" i="12"/>
  <c r="T4739" i="12"/>
  <c r="U4739" i="12"/>
  <c r="T4725" i="12"/>
  <c r="U4725" i="12"/>
  <c r="T4711" i="12"/>
  <c r="U4711" i="12"/>
  <c r="T4697" i="12"/>
  <c r="U4697" i="12"/>
  <c r="T4683" i="12"/>
  <c r="U4683" i="12"/>
  <c r="T4669" i="12"/>
  <c r="U4669" i="12"/>
  <c r="T4655" i="12"/>
  <c r="U4655" i="12"/>
  <c r="T4641" i="12"/>
  <c r="U4641" i="12"/>
  <c r="T4627" i="12"/>
  <c r="U4627" i="12"/>
  <c r="T4613" i="12"/>
  <c r="U4613" i="12"/>
  <c r="T4599" i="12"/>
  <c r="U4599" i="12"/>
  <c r="T4585" i="12"/>
  <c r="U4585" i="12"/>
  <c r="T4571" i="12"/>
  <c r="U4571" i="12"/>
  <c r="T4557" i="12"/>
  <c r="U4557" i="12"/>
  <c r="T4543" i="12"/>
  <c r="U4543" i="12"/>
  <c r="T4529" i="12"/>
  <c r="U4529" i="12"/>
  <c r="T4515" i="12"/>
  <c r="U4515" i="12"/>
  <c r="T4501" i="12"/>
  <c r="U4501" i="12"/>
  <c r="T4487" i="12"/>
  <c r="U4487" i="12"/>
  <c r="T4473" i="12"/>
  <c r="U4473" i="12"/>
  <c r="T4459" i="12"/>
  <c r="U4459" i="12"/>
  <c r="T4445" i="12"/>
  <c r="U4445" i="12"/>
  <c r="T4431" i="12"/>
  <c r="U4431" i="12"/>
  <c r="T4417" i="12"/>
  <c r="U4417" i="12"/>
  <c r="T4403" i="12"/>
  <c r="U4403" i="12"/>
  <c r="T4389" i="12"/>
  <c r="U4389" i="12"/>
  <c r="T4375" i="12"/>
  <c r="U4375" i="12"/>
  <c r="T4361" i="12"/>
  <c r="U4361" i="12"/>
  <c r="T4347" i="12"/>
  <c r="U4347" i="12"/>
  <c r="T4333" i="12"/>
  <c r="U4333" i="12"/>
  <c r="T4319" i="12"/>
  <c r="U4319" i="12"/>
  <c r="T4305" i="12"/>
  <c r="U4305" i="12"/>
  <c r="T4291" i="12"/>
  <c r="U4291" i="12"/>
  <c r="T4277" i="12"/>
  <c r="U4277" i="12"/>
  <c r="T4263" i="12"/>
  <c r="U4263" i="12"/>
  <c r="T4249" i="12"/>
  <c r="U4249" i="12"/>
  <c r="T4235" i="12"/>
  <c r="U4235" i="12"/>
  <c r="T4221" i="12"/>
  <c r="U4221" i="12"/>
  <c r="T4207" i="12"/>
  <c r="U4207" i="12"/>
  <c r="T4193" i="12"/>
  <c r="U4193" i="12"/>
  <c r="T4179" i="12"/>
  <c r="U4179" i="12"/>
  <c r="T4165" i="12"/>
  <c r="U4165" i="12"/>
  <c r="T4151" i="12"/>
  <c r="U4151" i="12"/>
  <c r="T4137" i="12"/>
  <c r="U4137" i="12"/>
  <c r="T4123" i="12"/>
  <c r="U4123" i="12"/>
  <c r="T4109" i="12"/>
  <c r="U4109" i="12"/>
  <c r="T4095" i="12"/>
  <c r="U4095" i="12"/>
  <c r="T4081" i="12"/>
  <c r="U4081" i="12"/>
  <c r="U4067" i="12"/>
  <c r="T4067" i="12"/>
  <c r="T4053" i="12"/>
  <c r="U4053" i="12"/>
  <c r="T4039" i="12"/>
  <c r="U4039" i="12"/>
  <c r="T4025" i="12"/>
  <c r="U4025" i="12"/>
  <c r="T4011" i="12"/>
  <c r="U4011" i="12"/>
  <c r="T3997" i="12"/>
  <c r="U3997" i="12"/>
  <c r="T3983" i="12"/>
  <c r="U3983" i="12"/>
  <c r="T3969" i="12"/>
  <c r="U3969" i="12"/>
  <c r="T3955" i="12"/>
  <c r="U3955" i="12"/>
  <c r="T3941" i="12"/>
  <c r="U3941" i="12"/>
  <c r="T3927" i="12"/>
  <c r="U3927" i="12"/>
  <c r="T3913" i="12"/>
  <c r="U3913" i="12"/>
  <c r="T3899" i="12"/>
  <c r="U3899" i="12"/>
  <c r="T3885" i="12"/>
  <c r="U3885" i="12"/>
  <c r="T3871" i="12"/>
  <c r="U3871" i="12"/>
  <c r="T3857" i="12"/>
  <c r="U3857" i="12"/>
  <c r="T3843" i="12"/>
  <c r="U3843" i="12"/>
  <c r="T3829" i="12"/>
  <c r="U3829" i="12"/>
  <c r="T3815" i="12"/>
  <c r="U3815" i="12"/>
  <c r="T3801" i="12"/>
  <c r="U3801" i="12"/>
  <c r="T3787" i="12"/>
  <c r="U3787" i="12"/>
  <c r="T3773" i="12"/>
  <c r="U3773" i="12"/>
  <c r="T3759" i="12"/>
  <c r="U3759" i="12"/>
  <c r="T3745" i="12"/>
  <c r="U3745" i="12"/>
  <c r="T3731" i="12"/>
  <c r="U3731" i="12"/>
  <c r="T3717" i="12"/>
  <c r="U3717" i="12"/>
  <c r="T3703" i="12"/>
  <c r="U3703" i="12"/>
  <c r="T3689" i="12"/>
  <c r="U3689" i="12"/>
  <c r="T3675" i="12"/>
  <c r="U3675" i="12"/>
  <c r="T3661" i="12"/>
  <c r="U3661" i="12"/>
  <c r="T3647" i="12"/>
  <c r="U3647" i="12"/>
  <c r="T3633" i="12"/>
  <c r="U3633" i="12"/>
  <c r="T3619" i="12"/>
  <c r="U3619" i="12"/>
  <c r="T3605" i="12"/>
  <c r="U3605" i="12"/>
  <c r="T3591" i="12"/>
  <c r="U3591" i="12"/>
  <c r="T3577" i="12"/>
  <c r="U3577" i="12"/>
  <c r="T3563" i="12"/>
  <c r="U3563" i="12"/>
  <c r="T3549" i="12"/>
  <c r="U3549" i="12"/>
  <c r="T3535" i="12"/>
  <c r="U3535" i="12"/>
  <c r="T3521" i="12"/>
  <c r="U3521" i="12"/>
  <c r="T3507" i="12"/>
  <c r="U3507" i="12"/>
  <c r="T3493" i="12"/>
  <c r="U3493" i="12"/>
  <c r="T3479" i="12"/>
  <c r="U3479" i="12"/>
  <c r="T3465" i="12"/>
  <c r="U3465" i="12"/>
  <c r="T3451" i="12"/>
  <c r="U3451" i="12"/>
  <c r="T3437" i="12"/>
  <c r="U3437" i="12"/>
  <c r="T3423" i="12"/>
  <c r="U3423" i="12"/>
  <c r="T3409" i="12"/>
  <c r="U3409" i="12"/>
  <c r="T3395" i="12"/>
  <c r="U3395" i="12"/>
  <c r="T3381" i="12"/>
  <c r="U3381" i="12"/>
  <c r="T3367" i="12"/>
  <c r="U3367" i="12"/>
  <c r="T3353" i="12"/>
  <c r="U3353" i="12"/>
  <c r="T3339" i="12"/>
  <c r="U3339" i="12"/>
  <c r="T3325" i="12"/>
  <c r="U3325" i="12"/>
  <c r="T3311" i="12"/>
  <c r="U3311" i="12"/>
  <c r="T3297" i="12"/>
  <c r="U3297" i="12"/>
  <c r="T3283" i="12"/>
  <c r="U3283" i="12"/>
  <c r="T3269" i="12"/>
  <c r="U3269" i="12"/>
  <c r="T3255" i="12"/>
  <c r="U3255" i="12"/>
  <c r="T3241" i="12"/>
  <c r="U3241" i="12"/>
  <c r="T3227" i="12"/>
  <c r="U3227" i="12"/>
  <c r="T3213" i="12"/>
  <c r="U3213" i="12"/>
  <c r="T3199" i="12"/>
  <c r="U3199" i="12"/>
  <c r="T3185" i="12"/>
  <c r="U3185" i="12"/>
  <c r="T3171" i="12"/>
  <c r="U3171" i="12"/>
  <c r="T3157" i="12"/>
  <c r="U3157" i="12"/>
  <c r="T3143" i="12"/>
  <c r="U3143" i="12"/>
  <c r="T3129" i="12"/>
  <c r="U3129" i="12"/>
  <c r="T3115" i="12"/>
  <c r="U3115" i="12"/>
  <c r="T3101" i="12"/>
  <c r="U3101" i="12"/>
  <c r="T3087" i="12"/>
  <c r="U3087" i="12"/>
  <c r="T3073" i="12"/>
  <c r="U3073" i="12"/>
  <c r="T3059" i="12"/>
  <c r="U3059" i="12"/>
  <c r="T3045" i="12"/>
  <c r="U3045" i="12"/>
  <c r="T3031" i="12"/>
  <c r="U3031" i="12"/>
  <c r="U3017" i="12"/>
  <c r="T3017" i="12"/>
  <c r="T3003" i="12"/>
  <c r="U3003" i="12"/>
  <c r="T2989" i="12"/>
  <c r="U2989" i="12"/>
  <c r="T2975" i="12"/>
  <c r="U2975" i="12"/>
  <c r="T2961" i="12"/>
  <c r="U2961" i="12"/>
  <c r="T2947" i="12"/>
  <c r="U2947" i="12"/>
  <c r="T2933" i="12"/>
  <c r="U2933" i="12"/>
  <c r="T2919" i="12"/>
  <c r="U2919" i="12"/>
  <c r="T2905" i="12"/>
  <c r="U2905" i="12"/>
  <c r="T2891" i="12"/>
  <c r="U2891" i="12"/>
  <c r="T2877" i="12"/>
  <c r="U2877" i="12"/>
  <c r="T2863" i="12"/>
  <c r="U2863" i="12"/>
  <c r="T2849" i="12"/>
  <c r="U2849" i="12"/>
  <c r="T2835" i="12"/>
  <c r="U2835" i="12"/>
  <c r="T2821" i="12"/>
  <c r="U2821" i="12"/>
  <c r="T2807" i="12"/>
  <c r="U2807" i="12"/>
  <c r="T2793" i="12"/>
  <c r="U2793" i="12"/>
  <c r="T2779" i="12"/>
  <c r="U2779" i="12"/>
  <c r="T2765" i="12"/>
  <c r="U2765" i="12"/>
  <c r="T2751" i="12"/>
  <c r="U2751" i="12"/>
  <c r="T2737" i="12"/>
  <c r="U2737" i="12"/>
  <c r="T2723" i="12"/>
  <c r="U2723" i="12"/>
  <c r="T2709" i="12"/>
  <c r="U2709" i="12"/>
  <c r="T2695" i="12"/>
  <c r="U2695" i="12"/>
  <c r="T2681" i="12"/>
  <c r="U2681" i="12"/>
  <c r="T2667" i="12"/>
  <c r="U2667" i="12"/>
  <c r="T2653" i="12"/>
  <c r="U2653" i="12"/>
  <c r="T2639" i="12"/>
  <c r="U2639" i="12"/>
  <c r="T2625" i="12"/>
  <c r="U2625" i="12"/>
  <c r="T2611" i="12"/>
  <c r="U2611" i="12"/>
  <c r="T2597" i="12"/>
  <c r="U2597" i="12"/>
  <c r="T2583" i="12"/>
  <c r="U2583" i="12"/>
  <c r="T2569" i="12"/>
  <c r="U2569" i="12"/>
  <c r="T2555" i="12"/>
  <c r="U2555" i="12"/>
  <c r="T2541" i="12"/>
  <c r="U2541" i="12"/>
  <c r="T2527" i="12"/>
  <c r="U2527" i="12"/>
  <c r="T2513" i="12"/>
  <c r="U2513" i="12"/>
  <c r="T2499" i="12"/>
  <c r="U2499" i="12"/>
  <c r="T2485" i="12"/>
  <c r="U2485" i="12"/>
  <c r="T2471" i="12"/>
  <c r="U2471" i="12"/>
  <c r="T2457" i="12"/>
  <c r="U2457" i="12"/>
  <c r="T2443" i="12"/>
  <c r="U2443" i="12"/>
  <c r="T2429" i="12"/>
  <c r="U2429" i="12"/>
  <c r="T2415" i="12"/>
  <c r="U2415" i="12"/>
  <c r="T2401" i="12"/>
  <c r="U2401" i="12"/>
  <c r="T2387" i="12"/>
  <c r="U2387" i="12"/>
  <c r="T2373" i="12"/>
  <c r="U2373" i="12"/>
  <c r="T2359" i="12"/>
  <c r="U2359" i="12"/>
  <c r="T2345" i="12"/>
  <c r="U2345" i="12"/>
  <c r="T2331" i="12"/>
  <c r="U2331" i="12"/>
  <c r="T2317" i="12"/>
  <c r="U2317" i="12"/>
  <c r="T2303" i="12"/>
  <c r="U2303" i="12"/>
  <c r="T2289" i="12"/>
  <c r="U2289" i="12"/>
  <c r="T2275" i="12"/>
  <c r="U2275" i="12"/>
  <c r="T2261" i="12"/>
  <c r="U2261" i="12"/>
  <c r="T2247" i="12"/>
  <c r="U2247" i="12"/>
  <c r="T2233" i="12"/>
  <c r="U2233" i="12"/>
  <c r="T2219" i="12"/>
  <c r="U2219" i="12"/>
  <c r="T2205" i="12"/>
  <c r="U2205" i="12"/>
  <c r="T2191" i="12"/>
  <c r="U2191" i="12"/>
  <c r="T2177" i="12"/>
  <c r="U2177" i="12"/>
  <c r="T2163" i="12"/>
  <c r="U2163" i="12"/>
  <c r="T2149" i="12"/>
  <c r="U2149" i="12"/>
  <c r="T2135" i="12"/>
  <c r="U2135" i="12"/>
  <c r="T2121" i="12"/>
  <c r="U2121" i="12"/>
  <c r="T2107" i="12"/>
  <c r="U2107" i="12"/>
  <c r="T2093" i="12"/>
  <c r="U2093" i="12"/>
  <c r="T2079" i="12"/>
  <c r="U2079" i="12"/>
  <c r="T2065" i="12"/>
  <c r="U2065" i="12"/>
  <c r="T2051" i="12"/>
  <c r="U2051" i="12"/>
  <c r="T2037" i="12"/>
  <c r="U2037" i="12"/>
  <c r="T2023" i="12"/>
  <c r="U2023" i="12"/>
  <c r="T2009" i="12"/>
  <c r="U2009" i="12"/>
  <c r="T1995" i="12"/>
  <c r="U1995" i="12"/>
  <c r="T1981" i="12"/>
  <c r="U1981" i="12"/>
  <c r="T1967" i="12"/>
  <c r="U1967" i="12"/>
  <c r="T1953" i="12"/>
  <c r="U1953" i="12"/>
  <c r="T1939" i="12"/>
  <c r="U1939" i="12"/>
  <c r="T1925" i="12"/>
  <c r="U1925" i="12"/>
  <c r="T1911" i="12"/>
  <c r="U1911" i="12"/>
  <c r="T1897" i="12"/>
  <c r="U1897" i="12"/>
  <c r="T1883" i="12"/>
  <c r="U1883" i="12"/>
  <c r="T1869" i="12"/>
  <c r="U1869" i="12"/>
  <c r="T1855" i="12"/>
  <c r="U1855" i="12"/>
  <c r="T1841" i="12"/>
  <c r="U1841" i="12"/>
  <c r="T1827" i="12"/>
  <c r="U1827" i="12"/>
  <c r="T1813" i="12"/>
  <c r="U1813" i="12"/>
  <c r="T1799" i="12"/>
  <c r="U1799" i="12"/>
  <c r="T1785" i="12"/>
  <c r="U1785" i="12"/>
  <c r="T1771" i="12"/>
  <c r="U1771" i="12"/>
  <c r="T1757" i="12"/>
  <c r="U1757" i="12"/>
  <c r="T1743" i="12"/>
  <c r="U1743" i="12"/>
  <c r="T1729" i="12"/>
  <c r="U1729" i="12"/>
  <c r="T1715" i="12"/>
  <c r="U1715" i="12"/>
  <c r="T1701" i="12"/>
  <c r="U1701" i="12"/>
  <c r="T1687" i="12"/>
  <c r="U1687" i="12"/>
  <c r="T1673" i="12"/>
  <c r="U1673" i="12"/>
  <c r="T1659" i="12"/>
  <c r="U1659" i="12"/>
  <c r="T1645" i="12"/>
  <c r="U1645" i="12"/>
  <c r="T1631" i="12"/>
  <c r="U1631" i="12"/>
  <c r="T1617" i="12"/>
  <c r="U1617" i="12"/>
  <c r="T1603" i="12"/>
  <c r="U1603" i="12"/>
  <c r="T1589" i="12"/>
  <c r="U1589" i="12"/>
  <c r="T1575" i="12"/>
  <c r="U1575" i="12"/>
  <c r="T1561" i="12"/>
  <c r="U1561" i="12"/>
  <c r="T1547" i="12"/>
  <c r="U1547" i="12"/>
  <c r="T1533" i="12"/>
  <c r="U1533" i="12"/>
  <c r="T1519" i="12"/>
  <c r="U1519" i="12"/>
  <c r="T1505" i="12"/>
  <c r="U1505" i="12"/>
  <c r="T1491" i="12"/>
  <c r="U1491" i="12"/>
  <c r="T1477" i="12"/>
  <c r="U1477" i="12"/>
  <c r="T1463" i="12"/>
  <c r="U1463" i="12"/>
  <c r="T1449" i="12"/>
  <c r="U1449" i="12"/>
  <c r="T1435" i="12"/>
  <c r="U1435" i="12"/>
  <c r="T1421" i="12"/>
  <c r="U1421" i="12"/>
  <c r="T1407" i="12"/>
  <c r="U1407" i="12"/>
  <c r="T1393" i="12"/>
  <c r="U1393" i="12"/>
  <c r="T1379" i="12"/>
  <c r="U1379" i="12"/>
  <c r="T1365" i="12"/>
  <c r="U1365" i="12"/>
  <c r="T1351" i="12"/>
  <c r="U1351" i="12"/>
  <c r="T1337" i="12"/>
  <c r="U1337" i="12"/>
  <c r="T1323" i="12"/>
  <c r="U1323" i="12"/>
  <c r="T1309" i="12"/>
  <c r="U1309" i="12"/>
  <c r="T1295" i="12"/>
  <c r="U1295" i="12"/>
  <c r="T1281" i="12"/>
  <c r="U1281" i="12"/>
  <c r="T1267" i="12"/>
  <c r="U1267" i="12"/>
  <c r="T1253" i="12"/>
  <c r="U1253" i="12"/>
  <c r="T1239" i="12"/>
  <c r="U1239" i="12"/>
  <c r="T1225" i="12"/>
  <c r="U1225" i="12"/>
  <c r="I742" i="12"/>
  <c r="I686" i="12"/>
  <c r="T4948" i="12"/>
  <c r="U4948" i="12"/>
  <c r="T4934" i="12"/>
  <c r="U4934" i="12"/>
  <c r="T4920" i="12"/>
  <c r="U4920" i="12"/>
  <c r="T4906" i="12"/>
  <c r="U4906" i="12"/>
  <c r="T4892" i="12"/>
  <c r="U4892" i="12"/>
  <c r="T4878" i="12"/>
  <c r="U4878" i="12"/>
  <c r="T4864" i="12"/>
  <c r="U4864" i="12"/>
  <c r="T4850" i="12"/>
  <c r="U4850" i="12"/>
  <c r="T4836" i="12"/>
  <c r="U4836" i="12"/>
  <c r="T4822" i="12"/>
  <c r="U4822" i="12"/>
  <c r="T4808" i="12"/>
  <c r="U4808" i="12"/>
  <c r="T4794" i="12"/>
  <c r="U4794" i="12"/>
  <c r="T4780" i="12"/>
  <c r="U4780" i="12"/>
  <c r="T4766" i="12"/>
  <c r="U4766" i="12"/>
  <c r="T4752" i="12"/>
  <c r="U4752" i="12"/>
  <c r="T4738" i="12"/>
  <c r="U4738" i="12"/>
  <c r="T4724" i="12"/>
  <c r="U4724" i="12"/>
  <c r="T4710" i="12"/>
  <c r="U4710" i="12"/>
  <c r="T4696" i="12"/>
  <c r="U4696" i="12"/>
  <c r="T4682" i="12"/>
  <c r="U4682" i="12"/>
  <c r="T4668" i="12"/>
  <c r="U4668" i="12"/>
  <c r="T4654" i="12"/>
  <c r="U4654" i="12"/>
  <c r="T4640" i="12"/>
  <c r="U4640" i="12"/>
  <c r="T4626" i="12"/>
  <c r="U4626" i="12"/>
  <c r="T4612" i="12"/>
  <c r="U4612" i="12"/>
  <c r="T4598" i="12"/>
  <c r="U4598" i="12"/>
  <c r="T4584" i="12"/>
  <c r="U4584" i="12"/>
  <c r="T4570" i="12"/>
  <c r="U4570" i="12"/>
  <c r="T4556" i="12"/>
  <c r="U4556" i="12"/>
  <c r="T4542" i="12"/>
  <c r="U4542" i="12"/>
  <c r="T4528" i="12"/>
  <c r="U4528" i="12"/>
  <c r="T4514" i="12"/>
  <c r="U4514" i="12"/>
  <c r="T4500" i="12"/>
  <c r="U4500" i="12"/>
  <c r="T4486" i="12"/>
  <c r="U4486" i="12"/>
  <c r="T4472" i="12"/>
  <c r="U4472" i="12"/>
  <c r="T4458" i="12"/>
  <c r="U4458" i="12"/>
  <c r="T4444" i="12"/>
  <c r="U4444" i="12"/>
  <c r="T4430" i="12"/>
  <c r="U4430" i="12"/>
  <c r="T4416" i="12"/>
  <c r="U4416" i="12"/>
  <c r="T4402" i="12"/>
  <c r="U4402" i="12"/>
  <c r="T4388" i="12"/>
  <c r="U4388" i="12"/>
  <c r="T4374" i="12"/>
  <c r="U4374" i="12"/>
  <c r="T4360" i="12"/>
  <c r="U4360" i="12"/>
  <c r="T4346" i="12"/>
  <c r="U4346" i="12"/>
  <c r="T4332" i="12"/>
  <c r="U4332" i="12"/>
  <c r="T4318" i="12"/>
  <c r="U4318" i="12"/>
  <c r="T4304" i="12"/>
  <c r="U4304" i="12"/>
  <c r="T4290" i="12"/>
  <c r="U4290" i="12"/>
  <c r="T4276" i="12"/>
  <c r="U4276" i="12"/>
  <c r="T4262" i="12"/>
  <c r="U4262" i="12"/>
  <c r="T4248" i="12"/>
  <c r="U4248" i="12"/>
  <c r="T4234" i="12"/>
  <c r="U4234" i="12"/>
  <c r="T4220" i="12"/>
  <c r="U4220" i="12"/>
  <c r="T4206" i="12"/>
  <c r="U4206" i="12"/>
  <c r="T4192" i="12"/>
  <c r="U4192" i="12"/>
  <c r="T4178" i="12"/>
  <c r="U4178" i="12"/>
  <c r="T4164" i="12"/>
  <c r="U4164" i="12"/>
  <c r="T4150" i="12"/>
  <c r="U4150" i="12"/>
  <c r="T4136" i="12"/>
  <c r="U4136" i="12"/>
  <c r="T4122" i="12"/>
  <c r="U4122" i="12"/>
  <c r="T4108" i="12"/>
  <c r="U4108" i="12"/>
  <c r="T4094" i="12"/>
  <c r="U4094" i="12"/>
  <c r="T4080" i="12"/>
  <c r="U4080" i="12"/>
  <c r="T4066" i="12"/>
  <c r="U4066" i="12"/>
  <c r="T4052" i="12"/>
  <c r="U4052" i="12"/>
  <c r="T4038" i="12"/>
  <c r="U4038" i="12"/>
  <c r="T4024" i="12"/>
  <c r="U4024" i="12"/>
  <c r="T4010" i="12"/>
  <c r="U4010" i="12"/>
  <c r="T3996" i="12"/>
  <c r="U3996" i="12"/>
  <c r="T3982" i="12"/>
  <c r="U3982" i="12"/>
  <c r="T3968" i="12"/>
  <c r="U3968" i="12"/>
  <c r="T3954" i="12"/>
  <c r="U3954" i="12"/>
  <c r="T3940" i="12"/>
  <c r="U3940" i="12"/>
  <c r="T3926" i="12"/>
  <c r="U3926" i="12"/>
  <c r="T3912" i="12"/>
  <c r="U3912" i="12"/>
  <c r="T3898" i="12"/>
  <c r="U3898" i="12"/>
  <c r="T3884" i="12"/>
  <c r="U3884" i="12"/>
  <c r="T3870" i="12"/>
  <c r="U3870" i="12"/>
  <c r="T3856" i="12"/>
  <c r="U3856" i="12"/>
  <c r="T3842" i="12"/>
  <c r="U3842" i="12"/>
  <c r="T3828" i="12"/>
  <c r="U3828" i="12"/>
  <c r="T3814" i="12"/>
  <c r="U3814" i="12"/>
  <c r="T3800" i="12"/>
  <c r="U3800" i="12"/>
  <c r="T3786" i="12"/>
  <c r="U3786" i="12"/>
  <c r="T3772" i="12"/>
  <c r="U3772" i="12"/>
  <c r="T3758" i="12"/>
  <c r="U3758" i="12"/>
  <c r="T3744" i="12"/>
  <c r="U3744" i="12"/>
  <c r="T3730" i="12"/>
  <c r="U3730" i="12"/>
  <c r="T3716" i="12"/>
  <c r="U3716" i="12"/>
  <c r="T3702" i="12"/>
  <c r="U3702" i="12"/>
  <c r="T3688" i="12"/>
  <c r="U3688" i="12"/>
  <c r="T3674" i="12"/>
  <c r="U3674" i="12"/>
  <c r="T3660" i="12"/>
  <c r="U3660" i="12"/>
  <c r="T3646" i="12"/>
  <c r="U3646" i="12"/>
  <c r="T3632" i="12"/>
  <c r="U3632" i="12"/>
  <c r="T3618" i="12"/>
  <c r="U3618" i="12"/>
  <c r="T3604" i="12"/>
  <c r="U3604" i="12"/>
  <c r="T3590" i="12"/>
  <c r="U3590" i="12"/>
  <c r="T3576" i="12"/>
  <c r="U3576" i="12"/>
  <c r="T3562" i="12"/>
  <c r="U3562" i="12"/>
  <c r="T3548" i="12"/>
  <c r="U3548" i="12"/>
  <c r="T3534" i="12"/>
  <c r="U3534" i="12"/>
  <c r="T3520" i="12"/>
  <c r="U3520" i="12"/>
  <c r="T3506" i="12"/>
  <c r="U3506" i="12"/>
  <c r="T3492" i="12"/>
  <c r="U3492" i="12"/>
  <c r="T3478" i="12"/>
  <c r="U3478" i="12"/>
  <c r="T3464" i="12"/>
  <c r="U3464" i="12"/>
  <c r="T3450" i="12"/>
  <c r="U3450" i="12"/>
  <c r="T3436" i="12"/>
  <c r="U3436" i="12"/>
  <c r="T3422" i="12"/>
  <c r="U3422" i="12"/>
  <c r="T3408" i="12"/>
  <c r="U3408" i="12"/>
  <c r="T3394" i="12"/>
  <c r="U3394" i="12"/>
  <c r="T3380" i="12"/>
  <c r="U3380" i="12"/>
  <c r="T3366" i="12"/>
  <c r="U3366" i="12"/>
  <c r="T3352" i="12"/>
  <c r="U3352" i="12"/>
  <c r="T3338" i="12"/>
  <c r="U3338" i="12"/>
  <c r="T3324" i="12"/>
  <c r="U3324" i="12"/>
  <c r="T3310" i="12"/>
  <c r="U3310" i="12"/>
  <c r="T3296" i="12"/>
  <c r="U3296" i="12"/>
  <c r="T3282" i="12"/>
  <c r="U3282" i="12"/>
  <c r="T3268" i="12"/>
  <c r="U3268" i="12"/>
  <c r="T3254" i="12"/>
  <c r="U3254" i="12"/>
  <c r="T3240" i="12"/>
  <c r="U3240" i="12"/>
  <c r="T3226" i="12"/>
  <c r="U3226" i="12"/>
  <c r="T3212" i="12"/>
  <c r="U3212" i="12"/>
  <c r="T3198" i="12"/>
  <c r="U3198" i="12"/>
  <c r="T3184" i="12"/>
  <c r="U3184" i="12"/>
  <c r="T3170" i="12"/>
  <c r="U3170" i="12"/>
  <c r="T3156" i="12"/>
  <c r="U3156" i="12"/>
  <c r="T3142" i="12"/>
  <c r="U3142" i="12"/>
  <c r="T3128" i="12"/>
  <c r="U3128" i="12"/>
  <c r="T3114" i="12"/>
  <c r="U3114" i="12"/>
  <c r="T3100" i="12"/>
  <c r="U3100" i="12"/>
  <c r="T3086" i="12"/>
  <c r="U3086" i="12"/>
  <c r="T3072" i="12"/>
  <c r="U3072" i="12"/>
  <c r="T3058" i="12"/>
  <c r="U3058" i="12"/>
  <c r="T3044" i="12"/>
  <c r="U3044" i="12"/>
  <c r="T3030" i="12"/>
  <c r="U3030" i="12"/>
  <c r="T3016" i="12"/>
  <c r="U3016" i="12"/>
  <c r="T3002" i="12"/>
  <c r="U3002" i="12"/>
  <c r="T2988" i="12"/>
  <c r="U2988" i="12"/>
  <c r="T2974" i="12"/>
  <c r="U2974" i="12"/>
  <c r="T2960" i="12"/>
  <c r="U2960" i="12"/>
  <c r="T2946" i="12"/>
  <c r="U2946" i="12"/>
  <c r="T2932" i="12"/>
  <c r="U2932" i="12"/>
  <c r="T2918" i="12"/>
  <c r="U2918" i="12"/>
  <c r="T2904" i="12"/>
  <c r="U2904" i="12"/>
  <c r="T2890" i="12"/>
  <c r="U2890" i="12"/>
  <c r="T2876" i="12"/>
  <c r="U2876" i="12"/>
  <c r="T2862" i="12"/>
  <c r="U2862" i="12"/>
  <c r="T2848" i="12"/>
  <c r="U2848" i="12"/>
  <c r="T2834" i="12"/>
  <c r="U2834" i="12"/>
  <c r="T2820" i="12"/>
  <c r="U2820" i="12"/>
  <c r="T2806" i="12"/>
  <c r="U2806" i="12"/>
  <c r="T2792" i="12"/>
  <c r="U2792" i="12"/>
  <c r="T2778" i="12"/>
  <c r="U2778" i="12"/>
  <c r="T2764" i="12"/>
  <c r="U2764" i="12"/>
  <c r="T2750" i="12"/>
  <c r="U2750" i="12"/>
  <c r="T2736" i="12"/>
  <c r="U2736" i="12"/>
  <c r="T2722" i="12"/>
  <c r="U2722" i="12"/>
  <c r="T2708" i="12"/>
  <c r="U2708" i="12"/>
  <c r="T2694" i="12"/>
  <c r="U2694" i="12"/>
  <c r="T2680" i="12"/>
  <c r="U2680" i="12"/>
  <c r="T2666" i="12"/>
  <c r="U2666" i="12"/>
  <c r="T2652" i="12"/>
  <c r="U2652" i="12"/>
  <c r="T2638" i="12"/>
  <c r="U2638" i="12"/>
  <c r="T2624" i="12"/>
  <c r="U2624" i="12"/>
  <c r="T2610" i="12"/>
  <c r="U2610" i="12"/>
  <c r="T2596" i="12"/>
  <c r="U2596" i="12"/>
  <c r="T2582" i="12"/>
  <c r="U2582" i="12"/>
  <c r="T2568" i="12"/>
  <c r="U2568" i="12"/>
  <c r="T2554" i="12"/>
  <c r="U2554" i="12"/>
  <c r="T2540" i="12"/>
  <c r="U2540" i="12"/>
  <c r="T2526" i="12"/>
  <c r="U2526" i="12"/>
  <c r="T2512" i="12"/>
  <c r="U2512" i="12"/>
  <c r="T2498" i="12"/>
  <c r="U2498" i="12"/>
  <c r="T2484" i="12"/>
  <c r="U2484" i="12"/>
  <c r="T2470" i="12"/>
  <c r="U2470" i="12"/>
  <c r="T2456" i="12"/>
  <c r="U2456" i="12"/>
  <c r="T2442" i="12"/>
  <c r="U2442" i="12"/>
  <c r="T2428" i="12"/>
  <c r="U2428" i="12"/>
  <c r="T2414" i="12"/>
  <c r="U2414" i="12"/>
  <c r="T2400" i="12"/>
  <c r="U2400" i="12"/>
  <c r="T2386" i="12"/>
  <c r="U2386" i="12"/>
  <c r="T2372" i="12"/>
  <c r="U2372" i="12"/>
  <c r="T2358" i="12"/>
  <c r="U2358" i="12"/>
  <c r="T2344" i="12"/>
  <c r="U2344" i="12"/>
  <c r="T2330" i="12"/>
  <c r="U2330" i="12"/>
  <c r="T2316" i="12"/>
  <c r="U2316" i="12"/>
  <c r="T2302" i="12"/>
  <c r="U2302" i="12"/>
  <c r="T2288" i="12"/>
  <c r="U2288" i="12"/>
  <c r="T2274" i="12"/>
  <c r="U2274" i="12"/>
  <c r="T2260" i="12"/>
  <c r="U2260" i="12"/>
  <c r="T2246" i="12"/>
  <c r="U2246" i="12"/>
  <c r="T2232" i="12"/>
  <c r="U2232" i="12"/>
  <c r="T2218" i="12"/>
  <c r="U2218" i="12"/>
  <c r="T2204" i="12"/>
  <c r="U2204" i="12"/>
  <c r="T2190" i="12"/>
  <c r="U2190" i="12"/>
  <c r="T2176" i="12"/>
  <c r="U2176" i="12"/>
  <c r="T2162" i="12"/>
  <c r="U2162" i="12"/>
  <c r="T2148" i="12"/>
  <c r="U2148" i="12"/>
  <c r="T2134" i="12"/>
  <c r="U2134" i="12"/>
  <c r="T2120" i="12"/>
  <c r="U2120" i="12"/>
  <c r="T2106" i="12"/>
  <c r="U2106" i="12"/>
  <c r="T2092" i="12"/>
  <c r="U2092" i="12"/>
  <c r="T2078" i="12"/>
  <c r="U2078" i="12"/>
  <c r="T2064" i="12"/>
  <c r="U2064" i="12"/>
  <c r="T2050" i="12"/>
  <c r="U2050" i="12"/>
  <c r="T2036" i="12"/>
  <c r="U2036" i="12"/>
  <c r="T2022" i="12"/>
  <c r="U2022" i="12"/>
  <c r="T2008" i="12"/>
  <c r="U2008" i="12"/>
  <c r="T1994" i="12"/>
  <c r="U1994" i="12"/>
  <c r="T1980" i="12"/>
  <c r="U1980" i="12"/>
  <c r="T1966" i="12"/>
  <c r="U1966" i="12"/>
  <c r="T1952" i="12"/>
  <c r="U1952" i="12"/>
  <c r="T1938" i="12"/>
  <c r="U1938" i="12"/>
  <c r="T1924" i="12"/>
  <c r="U1924" i="12"/>
  <c r="T1910" i="12"/>
  <c r="U1910" i="12"/>
  <c r="T1896" i="12"/>
  <c r="U1896" i="12"/>
  <c r="T1882" i="12"/>
  <c r="U1882" i="12"/>
  <c r="T1868" i="12"/>
  <c r="U1868" i="12"/>
  <c r="T1854" i="12"/>
  <c r="U1854" i="12"/>
  <c r="T1840" i="12"/>
  <c r="U1840" i="12"/>
  <c r="T1826" i="12"/>
  <c r="U1826" i="12"/>
  <c r="T1812" i="12"/>
  <c r="U1812" i="12"/>
  <c r="T1798" i="12"/>
  <c r="U1798" i="12"/>
  <c r="T1784" i="12"/>
  <c r="U1784" i="12"/>
  <c r="T1770" i="12"/>
  <c r="U1770" i="12"/>
  <c r="T1756" i="12"/>
  <c r="U1756" i="12"/>
  <c r="T1742" i="12"/>
  <c r="U1742" i="12"/>
  <c r="T1728" i="12"/>
  <c r="U1728" i="12"/>
  <c r="T1714" i="12"/>
  <c r="U1714" i="12"/>
  <c r="T1700" i="12"/>
  <c r="U1700" i="12"/>
  <c r="T1686" i="12"/>
  <c r="U1686" i="12"/>
  <c r="T1672" i="12"/>
  <c r="U1672" i="12"/>
  <c r="T1658" i="12"/>
  <c r="U1658" i="12"/>
  <c r="T1644" i="12"/>
  <c r="U1644" i="12"/>
  <c r="T1630" i="12"/>
  <c r="U1630" i="12"/>
  <c r="T1616" i="12"/>
  <c r="U1616" i="12"/>
  <c r="T1602" i="12"/>
  <c r="U1602" i="12"/>
  <c r="T1588" i="12"/>
  <c r="U1588" i="12"/>
  <c r="T1574" i="12"/>
  <c r="U1574" i="12"/>
  <c r="T1560" i="12"/>
  <c r="U1560" i="12"/>
  <c r="T1546" i="12"/>
  <c r="U1546" i="12"/>
  <c r="T1532" i="12"/>
  <c r="U1532" i="12"/>
  <c r="T1518" i="12"/>
  <c r="U1518" i="12"/>
  <c r="T1504" i="12"/>
  <c r="U1504" i="12"/>
  <c r="T1490" i="12"/>
  <c r="U1490" i="12"/>
  <c r="T1476" i="12"/>
  <c r="U1476" i="12"/>
  <c r="T1462" i="12"/>
  <c r="U1462" i="12"/>
  <c r="T1448" i="12"/>
  <c r="U1448" i="12"/>
  <c r="T1434" i="12"/>
  <c r="U1434" i="12"/>
  <c r="T1420" i="12"/>
  <c r="U1420" i="12"/>
  <c r="T1406" i="12"/>
  <c r="U1406" i="12"/>
  <c r="T1392" i="12"/>
  <c r="U1392" i="12"/>
  <c r="T1378" i="12"/>
  <c r="U1378" i="12"/>
  <c r="T1364" i="12"/>
  <c r="U1364" i="12"/>
  <c r="T1350" i="12"/>
  <c r="U1350" i="12"/>
  <c r="T1336" i="12"/>
  <c r="U1336" i="12"/>
  <c r="T1322" i="12"/>
  <c r="U1322" i="12"/>
  <c r="T1308" i="12"/>
  <c r="U1308" i="12"/>
  <c r="T1294" i="12"/>
  <c r="U1294" i="12"/>
  <c r="T1280" i="12"/>
  <c r="U1280" i="12"/>
  <c r="T1266" i="12"/>
  <c r="U1266" i="12"/>
  <c r="T1252" i="12"/>
  <c r="U1252" i="12"/>
  <c r="T1238" i="12"/>
  <c r="U1238" i="12"/>
  <c r="T1224" i="12"/>
  <c r="U1224" i="12"/>
  <c r="T1210" i="12"/>
  <c r="U1210" i="12"/>
  <c r="T1196" i="12"/>
  <c r="U1196" i="12"/>
  <c r="T1182" i="12"/>
  <c r="U1182" i="12"/>
  <c r="T1168" i="12"/>
  <c r="U1168" i="12"/>
  <c r="T1154" i="12"/>
  <c r="U1154" i="12"/>
  <c r="T1140" i="12"/>
  <c r="U1140" i="12"/>
  <c r="T1126" i="12"/>
  <c r="U1126" i="12"/>
  <c r="T1112" i="12"/>
  <c r="U1112" i="12"/>
  <c r="T1098" i="12"/>
  <c r="U1098" i="12"/>
  <c r="T1084" i="12"/>
  <c r="U1084" i="12"/>
  <c r="T1070" i="12"/>
  <c r="U1070" i="12"/>
  <c r="T1056" i="12"/>
  <c r="U1056" i="12"/>
  <c r="T1042" i="12"/>
  <c r="U1042" i="12"/>
  <c r="T1028" i="12"/>
  <c r="U1028" i="12"/>
  <c r="T1014" i="12"/>
  <c r="U1014" i="12"/>
  <c r="T1000" i="12"/>
  <c r="U1000" i="12"/>
  <c r="T986" i="12"/>
  <c r="U986" i="12"/>
  <c r="T972" i="12"/>
  <c r="U972" i="12"/>
  <c r="T958" i="12"/>
  <c r="U958" i="12"/>
  <c r="T944" i="12"/>
  <c r="U944" i="12"/>
  <c r="T930" i="12"/>
  <c r="U930" i="12"/>
  <c r="T916" i="12"/>
  <c r="U916" i="12"/>
  <c r="T902" i="12"/>
  <c r="U902" i="12"/>
  <c r="T888" i="12"/>
  <c r="U888" i="12"/>
  <c r="T874" i="12"/>
  <c r="U874" i="12"/>
  <c r="T860" i="12"/>
  <c r="U860" i="12"/>
  <c r="T846" i="12"/>
  <c r="U846" i="12"/>
  <c r="T832" i="12"/>
  <c r="U832" i="12"/>
  <c r="T818" i="12"/>
  <c r="U818" i="12"/>
  <c r="T804" i="12"/>
  <c r="U804" i="12"/>
  <c r="T790" i="12"/>
  <c r="U790" i="12"/>
  <c r="T776" i="12"/>
  <c r="U776" i="12"/>
  <c r="T762" i="12"/>
  <c r="U762" i="12"/>
  <c r="T748" i="12"/>
  <c r="U748" i="12"/>
  <c r="T734" i="12"/>
  <c r="U734" i="12"/>
  <c r="T720" i="12"/>
  <c r="U720" i="12"/>
  <c r="T706" i="12"/>
  <c r="U706" i="12"/>
  <c r="T692" i="12"/>
  <c r="U692" i="12"/>
  <c r="T678" i="12"/>
  <c r="U678" i="12"/>
  <c r="T664" i="12"/>
  <c r="U664" i="12"/>
  <c r="T650" i="12"/>
  <c r="U650" i="12"/>
  <c r="T636" i="12"/>
  <c r="U636" i="12"/>
  <c r="T622" i="12"/>
  <c r="U622" i="12"/>
  <c r="T608" i="12"/>
  <c r="U608" i="12"/>
  <c r="I419" i="12"/>
  <c r="U4947" i="12"/>
  <c r="T4947" i="12"/>
  <c r="U4933" i="12"/>
  <c r="T4933" i="12"/>
  <c r="U4919" i="12"/>
  <c r="T4919" i="12"/>
  <c r="U4905" i="12"/>
  <c r="T4905" i="12"/>
  <c r="U4891" i="12"/>
  <c r="T4891" i="12"/>
  <c r="U4877" i="12"/>
  <c r="T4877" i="12"/>
  <c r="U4863" i="12"/>
  <c r="T4863" i="12"/>
  <c r="U4849" i="12"/>
  <c r="T4849" i="12"/>
  <c r="T4835" i="12"/>
  <c r="U4835" i="12"/>
  <c r="T4821" i="12"/>
  <c r="U4821" i="12"/>
  <c r="T4807" i="12"/>
  <c r="U4807" i="12"/>
  <c r="T4793" i="12"/>
  <c r="U4793" i="12"/>
  <c r="T4779" i="12"/>
  <c r="U4779" i="12"/>
  <c r="U4765" i="12"/>
  <c r="T4765" i="12"/>
  <c r="T4751" i="12"/>
  <c r="U4751" i="12"/>
  <c r="T4737" i="12"/>
  <c r="U4737" i="12"/>
  <c r="T4723" i="12"/>
  <c r="U4723" i="12"/>
  <c r="T4709" i="12"/>
  <c r="U4709" i="12"/>
  <c r="T4695" i="12"/>
  <c r="U4695" i="12"/>
  <c r="T4681" i="12"/>
  <c r="U4681" i="12"/>
  <c r="U4667" i="12"/>
  <c r="T4667" i="12"/>
  <c r="T4653" i="12"/>
  <c r="U4653" i="12"/>
  <c r="T4639" i="12"/>
  <c r="U4639" i="12"/>
  <c r="T4625" i="12"/>
  <c r="U4625" i="12"/>
  <c r="T4611" i="12"/>
  <c r="U4611" i="12"/>
  <c r="T4597" i="12"/>
  <c r="U4597" i="12"/>
  <c r="T4583" i="12"/>
  <c r="U4583" i="12"/>
  <c r="U4569" i="12"/>
  <c r="T4569" i="12"/>
  <c r="T4555" i="12"/>
  <c r="U4555" i="12"/>
  <c r="T4541" i="12"/>
  <c r="U4541" i="12"/>
  <c r="T4527" i="12"/>
  <c r="U4527" i="12"/>
  <c r="T4513" i="12"/>
  <c r="U4513" i="12"/>
  <c r="T4499" i="12"/>
  <c r="U4499" i="12"/>
  <c r="T4485" i="12"/>
  <c r="U4485" i="12"/>
  <c r="U4471" i="12"/>
  <c r="T4471" i="12"/>
  <c r="T4457" i="12"/>
  <c r="U4457" i="12"/>
  <c r="T4443" i="12"/>
  <c r="U4443" i="12"/>
  <c r="T4429" i="12"/>
  <c r="U4429" i="12"/>
  <c r="T4415" i="12"/>
  <c r="U4415" i="12"/>
  <c r="T4401" i="12"/>
  <c r="U4401" i="12"/>
  <c r="T4387" i="12"/>
  <c r="U4387" i="12"/>
  <c r="U4373" i="12"/>
  <c r="T4373" i="12"/>
  <c r="T4359" i="12"/>
  <c r="U4359" i="12"/>
  <c r="T4345" i="12"/>
  <c r="U4345" i="12"/>
  <c r="T4331" i="12"/>
  <c r="U4331" i="12"/>
  <c r="T4317" i="12"/>
  <c r="U4317" i="12"/>
  <c r="T4303" i="12"/>
  <c r="U4303" i="12"/>
  <c r="T4289" i="12"/>
  <c r="U4289" i="12"/>
  <c r="U4275" i="12"/>
  <c r="T4275" i="12"/>
  <c r="T4261" i="12"/>
  <c r="U4261" i="12"/>
  <c r="T4247" i="12"/>
  <c r="U4247" i="12"/>
  <c r="T4233" i="12"/>
  <c r="U4233" i="12"/>
  <c r="T4219" i="12"/>
  <c r="U4219" i="12"/>
  <c r="U4205" i="12"/>
  <c r="T4205" i="12"/>
  <c r="T4191" i="12"/>
  <c r="U4191" i="12"/>
  <c r="T4177" i="12"/>
  <c r="U4177" i="12"/>
  <c r="T4163" i="12"/>
  <c r="U4163" i="12"/>
  <c r="T4149" i="12"/>
  <c r="U4149" i="12"/>
  <c r="T4135" i="12"/>
  <c r="U4135" i="12"/>
  <c r="T4121" i="12"/>
  <c r="U4121" i="12"/>
  <c r="T4107" i="12"/>
  <c r="U4107" i="12"/>
  <c r="T4093" i="12"/>
  <c r="U4093" i="12"/>
  <c r="T4079" i="12"/>
  <c r="U4079" i="12"/>
  <c r="T4065" i="12"/>
  <c r="U4065" i="12"/>
  <c r="T4051" i="12"/>
  <c r="U4051" i="12"/>
  <c r="T4037" i="12"/>
  <c r="U4037" i="12"/>
  <c r="T4023" i="12"/>
  <c r="U4023" i="12"/>
  <c r="T4009" i="12"/>
  <c r="U4009" i="12"/>
  <c r="T3995" i="12"/>
  <c r="U3995" i="12"/>
  <c r="T3981" i="12"/>
  <c r="U3981" i="12"/>
  <c r="T3967" i="12"/>
  <c r="U3967" i="12"/>
  <c r="T3953" i="12"/>
  <c r="U3953" i="12"/>
  <c r="T3939" i="12"/>
  <c r="U3939" i="12"/>
  <c r="T3925" i="12"/>
  <c r="U3925" i="12"/>
  <c r="T3911" i="12"/>
  <c r="U3911" i="12"/>
  <c r="T3897" i="12"/>
  <c r="U3897" i="12"/>
  <c r="T3883" i="12"/>
  <c r="U3883" i="12"/>
  <c r="T3869" i="12"/>
  <c r="U3869" i="12"/>
  <c r="T3855" i="12"/>
  <c r="U3855" i="12"/>
  <c r="T3841" i="12"/>
  <c r="U3841" i="12"/>
  <c r="T3827" i="12"/>
  <c r="U3827" i="12"/>
  <c r="T3813" i="12"/>
  <c r="U3813" i="12"/>
  <c r="T3799" i="12"/>
  <c r="U3799" i="12"/>
  <c r="T3785" i="12"/>
  <c r="U3785" i="12"/>
  <c r="T3771" i="12"/>
  <c r="U3771" i="12"/>
  <c r="T3757" i="12"/>
  <c r="U3757" i="12"/>
  <c r="T3743" i="12"/>
  <c r="U3743" i="12"/>
  <c r="T3729" i="12"/>
  <c r="U3729" i="12"/>
  <c r="T3715" i="12"/>
  <c r="U3715" i="12"/>
  <c r="T3701" i="12"/>
  <c r="U3701" i="12"/>
  <c r="T3687" i="12"/>
  <c r="U3687" i="12"/>
  <c r="T3673" i="12"/>
  <c r="U3673" i="12"/>
  <c r="T3659" i="12"/>
  <c r="U3659" i="12"/>
  <c r="T3645" i="12"/>
  <c r="U3645" i="12"/>
  <c r="T3631" i="12"/>
  <c r="U3631" i="12"/>
  <c r="T3617" i="12"/>
  <c r="U3617" i="12"/>
  <c r="T3603" i="12"/>
  <c r="U3603" i="12"/>
  <c r="T3589" i="12"/>
  <c r="U3589" i="12"/>
  <c r="T3575" i="12"/>
  <c r="U3575" i="12"/>
  <c r="T3561" i="12"/>
  <c r="U3561" i="12"/>
  <c r="T3547" i="12"/>
  <c r="U3547" i="12"/>
  <c r="T3533" i="12"/>
  <c r="U3533" i="12"/>
  <c r="T3519" i="12"/>
  <c r="U3519" i="12"/>
  <c r="T3505" i="12"/>
  <c r="U3505" i="12"/>
  <c r="T3491" i="12"/>
  <c r="U3491" i="12"/>
  <c r="T3477" i="12"/>
  <c r="U3477" i="12"/>
  <c r="T3463" i="12"/>
  <c r="U3463" i="12"/>
  <c r="T3449" i="12"/>
  <c r="U3449" i="12"/>
  <c r="T3435" i="12"/>
  <c r="U3435" i="12"/>
  <c r="T3421" i="12"/>
  <c r="U3421" i="12"/>
  <c r="T3407" i="12"/>
  <c r="U3407" i="12"/>
  <c r="T3393" i="12"/>
  <c r="U3393" i="12"/>
  <c r="T3379" i="12"/>
  <c r="U3379" i="12"/>
  <c r="T3365" i="12"/>
  <c r="U3365" i="12"/>
  <c r="T3351" i="12"/>
  <c r="U3351" i="12"/>
  <c r="T3337" i="12"/>
  <c r="U3337" i="12"/>
  <c r="T3323" i="12"/>
  <c r="U3323" i="12"/>
  <c r="T3309" i="12"/>
  <c r="U3309" i="12"/>
  <c r="T3295" i="12"/>
  <c r="U3295" i="12"/>
  <c r="T3281" i="12"/>
  <c r="U3281" i="12"/>
  <c r="T3267" i="12"/>
  <c r="U3267" i="12"/>
  <c r="T3253" i="12"/>
  <c r="U3253" i="12"/>
  <c r="T3239" i="12"/>
  <c r="U3239" i="12"/>
  <c r="T3225" i="12"/>
  <c r="U3225" i="12"/>
  <c r="T3211" i="12"/>
  <c r="U3211" i="12"/>
  <c r="T3197" i="12"/>
  <c r="U3197" i="12"/>
  <c r="T3183" i="12"/>
  <c r="U3183" i="12"/>
  <c r="T3169" i="12"/>
  <c r="U3169" i="12"/>
  <c r="T3155" i="12"/>
  <c r="U3155" i="12"/>
  <c r="T3141" i="12"/>
  <c r="U3141" i="12"/>
  <c r="T3127" i="12"/>
  <c r="U3127" i="12"/>
  <c r="T3113" i="12"/>
  <c r="U3113" i="12"/>
  <c r="T3099" i="12"/>
  <c r="U3099" i="12"/>
  <c r="T3085" i="12"/>
  <c r="U3085" i="12"/>
  <c r="T3071" i="12"/>
  <c r="U3071" i="12"/>
  <c r="T3057" i="12"/>
  <c r="U3057" i="12"/>
  <c r="T3043" i="12"/>
  <c r="U3043" i="12"/>
  <c r="T3029" i="12"/>
  <c r="U3029" i="12"/>
  <c r="T3015" i="12"/>
  <c r="U3015" i="12"/>
  <c r="T3001" i="12"/>
  <c r="U3001" i="12"/>
  <c r="T2987" i="12"/>
  <c r="U2987" i="12"/>
  <c r="T2973" i="12"/>
  <c r="U2973" i="12"/>
  <c r="T2959" i="12"/>
  <c r="U2959" i="12"/>
  <c r="T2945" i="12"/>
  <c r="U2945" i="12"/>
  <c r="T2931" i="12"/>
  <c r="U2931" i="12"/>
  <c r="T2917" i="12"/>
  <c r="U2917" i="12"/>
  <c r="T2903" i="12"/>
  <c r="U2903" i="12"/>
  <c r="T2889" i="12"/>
  <c r="U2889" i="12"/>
  <c r="T2875" i="12"/>
  <c r="U2875" i="12"/>
  <c r="T2861" i="12"/>
  <c r="U2861" i="12"/>
  <c r="T2847" i="12"/>
  <c r="U2847" i="12"/>
  <c r="T2833" i="12"/>
  <c r="U2833" i="12"/>
  <c r="T2819" i="12"/>
  <c r="U2819" i="12"/>
  <c r="T2805" i="12"/>
  <c r="U2805" i="12"/>
  <c r="T2791" i="12"/>
  <c r="U2791" i="12"/>
  <c r="T2777" i="12"/>
  <c r="U2777" i="12"/>
  <c r="T2763" i="12"/>
  <c r="U2763" i="12"/>
  <c r="T2749" i="12"/>
  <c r="U2749" i="12"/>
  <c r="T2735" i="12"/>
  <c r="U2735" i="12"/>
  <c r="T2721" i="12"/>
  <c r="U2721" i="12"/>
  <c r="T2707" i="12"/>
  <c r="U2707" i="12"/>
  <c r="T2693" i="12"/>
  <c r="U2693" i="12"/>
  <c r="T2679" i="12"/>
  <c r="U2679" i="12"/>
  <c r="T2665" i="12"/>
  <c r="U2665" i="12"/>
  <c r="T2651" i="12"/>
  <c r="U2651" i="12"/>
  <c r="T2637" i="12"/>
  <c r="U2637" i="12"/>
  <c r="T2623" i="12"/>
  <c r="U2623" i="12"/>
  <c r="T2609" i="12"/>
  <c r="U2609" i="12"/>
  <c r="T2595" i="12"/>
  <c r="U2595" i="12"/>
  <c r="T2581" i="12"/>
  <c r="U2581" i="12"/>
  <c r="T2567" i="12"/>
  <c r="U2567" i="12"/>
  <c r="T2553" i="12"/>
  <c r="U2553" i="12"/>
  <c r="T2539" i="12"/>
  <c r="U2539" i="12"/>
  <c r="T2525" i="12"/>
  <c r="U2525" i="12"/>
  <c r="T2511" i="12"/>
  <c r="U2511" i="12"/>
  <c r="T2497" i="12"/>
  <c r="U2497" i="12"/>
  <c r="T2483" i="12"/>
  <c r="U2483" i="12"/>
  <c r="T2469" i="12"/>
  <c r="U2469" i="12"/>
  <c r="T2455" i="12"/>
  <c r="U2455" i="12"/>
  <c r="T2441" i="12"/>
  <c r="U2441" i="12"/>
  <c r="T2427" i="12"/>
  <c r="U2427" i="12"/>
  <c r="T2413" i="12"/>
  <c r="U2413" i="12"/>
  <c r="T2399" i="12"/>
  <c r="U2399" i="12"/>
  <c r="T2385" i="12"/>
  <c r="U2385" i="12"/>
  <c r="T2371" i="12"/>
  <c r="U2371" i="12"/>
  <c r="T2357" i="12"/>
  <c r="U2357" i="12"/>
  <c r="T2343" i="12"/>
  <c r="U2343" i="12"/>
  <c r="T2329" i="12"/>
  <c r="U2329" i="12"/>
  <c r="T2315" i="12"/>
  <c r="U2315" i="12"/>
  <c r="T2301" i="12"/>
  <c r="U2301" i="12"/>
  <c r="T2287" i="12"/>
  <c r="U2287" i="12"/>
  <c r="T2273" i="12"/>
  <c r="U2273" i="12"/>
  <c r="T2259" i="12"/>
  <c r="U2259" i="12"/>
  <c r="T2245" i="12"/>
  <c r="U2245" i="12"/>
  <c r="T2231" i="12"/>
  <c r="U2231" i="12"/>
  <c r="T2217" i="12"/>
  <c r="U2217" i="12"/>
  <c r="T2203" i="12"/>
  <c r="U2203" i="12"/>
  <c r="T2189" i="12"/>
  <c r="U2189" i="12"/>
  <c r="T2175" i="12"/>
  <c r="U2175" i="12"/>
  <c r="T2161" i="12"/>
  <c r="U2161" i="12"/>
  <c r="T2147" i="12"/>
  <c r="U2147" i="12"/>
  <c r="T2133" i="12"/>
  <c r="U2133" i="12"/>
  <c r="T2119" i="12"/>
  <c r="U2119" i="12"/>
  <c r="T2105" i="12"/>
  <c r="U2105" i="12"/>
  <c r="T2091" i="12"/>
  <c r="U2091" i="12"/>
  <c r="T2077" i="12"/>
  <c r="U2077" i="12"/>
  <c r="T2063" i="12"/>
  <c r="U2063" i="12"/>
  <c r="T2049" i="12"/>
  <c r="U2049" i="12"/>
  <c r="T2035" i="12"/>
  <c r="U2035" i="12"/>
  <c r="T2021" i="12"/>
  <c r="U2021" i="12"/>
  <c r="T2007" i="12"/>
  <c r="U2007" i="12"/>
  <c r="T1993" i="12"/>
  <c r="U1993" i="12"/>
  <c r="T1979" i="12"/>
  <c r="U1979" i="12"/>
  <c r="T1965" i="12"/>
  <c r="U1965" i="12"/>
  <c r="T1951" i="12"/>
  <c r="U1951" i="12"/>
  <c r="T1937" i="12"/>
  <c r="U1937" i="12"/>
  <c r="T1923" i="12"/>
  <c r="U1923" i="12"/>
  <c r="T1909" i="12"/>
  <c r="U1909" i="12"/>
  <c r="T1895" i="12"/>
  <c r="U1895" i="12"/>
  <c r="T1881" i="12"/>
  <c r="U1881" i="12"/>
  <c r="T1867" i="12"/>
  <c r="U1867" i="12"/>
  <c r="T1853" i="12"/>
  <c r="U1853" i="12"/>
  <c r="T1839" i="12"/>
  <c r="U1839" i="12"/>
  <c r="T1825" i="12"/>
  <c r="U1825" i="12"/>
  <c r="T1811" i="12"/>
  <c r="U1811" i="12"/>
  <c r="T1797" i="12"/>
  <c r="U1797" i="12"/>
  <c r="T1783" i="12"/>
  <c r="U1783" i="12"/>
  <c r="T1769" i="12"/>
  <c r="U1769" i="12"/>
  <c r="T1755" i="12"/>
  <c r="U1755" i="12"/>
  <c r="T1741" i="12"/>
  <c r="U1741" i="12"/>
  <c r="T1727" i="12"/>
  <c r="U1727" i="12"/>
  <c r="T1713" i="12"/>
  <c r="U1713" i="12"/>
  <c r="T1699" i="12"/>
  <c r="U1699" i="12"/>
  <c r="T1685" i="12"/>
  <c r="U1685" i="12"/>
  <c r="T1671" i="12"/>
  <c r="U1671" i="12"/>
  <c r="T1657" i="12"/>
  <c r="U1657" i="12"/>
  <c r="T1643" i="12"/>
  <c r="U1643" i="12"/>
  <c r="T1629" i="12"/>
  <c r="U1629" i="12"/>
  <c r="T1615" i="12"/>
  <c r="U1615" i="12"/>
  <c r="T1601" i="12"/>
  <c r="U1601" i="12"/>
  <c r="T1587" i="12"/>
  <c r="U1587" i="12"/>
  <c r="T1573" i="12"/>
  <c r="U1573" i="12"/>
  <c r="T1559" i="12"/>
  <c r="U1559" i="12"/>
  <c r="T1545" i="12"/>
  <c r="U1545" i="12"/>
  <c r="T1531" i="12"/>
  <c r="U1531" i="12"/>
  <c r="T1517" i="12"/>
  <c r="U1517" i="12"/>
  <c r="T1503" i="12"/>
  <c r="U1503" i="12"/>
  <c r="T1489" i="12"/>
  <c r="U1489" i="12"/>
  <c r="T1475" i="12"/>
  <c r="U1475" i="12"/>
  <c r="T1461" i="12"/>
  <c r="U1461" i="12"/>
  <c r="T1447" i="12"/>
  <c r="U1447" i="12"/>
  <c r="T1433" i="12"/>
  <c r="U1433" i="12"/>
  <c r="T1419" i="12"/>
  <c r="U1419" i="12"/>
  <c r="T1405" i="12"/>
  <c r="U1405" i="12"/>
  <c r="T1391" i="12"/>
  <c r="U1391" i="12"/>
  <c r="T1377" i="12"/>
  <c r="U1377" i="12"/>
  <c r="T1363" i="12"/>
  <c r="U1363" i="12"/>
  <c r="T1349" i="12"/>
  <c r="U1349" i="12"/>
  <c r="T1335" i="12"/>
  <c r="U1335" i="12"/>
  <c r="T1321" i="12"/>
  <c r="U1321" i="12"/>
  <c r="T1307" i="12"/>
  <c r="U1307" i="12"/>
  <c r="T1293" i="12"/>
  <c r="U1293" i="12"/>
  <c r="T1279" i="12"/>
  <c r="U1279" i="12"/>
  <c r="T1265" i="12"/>
  <c r="U1265" i="12"/>
  <c r="T1251" i="12"/>
  <c r="U1251" i="12"/>
  <c r="T1237" i="12"/>
  <c r="U1237" i="12"/>
  <c r="T1223" i="12"/>
  <c r="U1223" i="12"/>
  <c r="T1209" i="12"/>
  <c r="U1209" i="12"/>
  <c r="T1195" i="12"/>
  <c r="U1195" i="12"/>
  <c r="T1181" i="12"/>
  <c r="U1181" i="12"/>
  <c r="T1167" i="12"/>
  <c r="U1167" i="12"/>
  <c r="T1153" i="12"/>
  <c r="U1153" i="12"/>
  <c r="T1139" i="12"/>
  <c r="U1139" i="12"/>
  <c r="T1125" i="12"/>
  <c r="U1125" i="12"/>
  <c r="T1111" i="12"/>
  <c r="U1111" i="12"/>
  <c r="T1097" i="12"/>
  <c r="U1097" i="12"/>
  <c r="T1083" i="12"/>
  <c r="U1083" i="12"/>
  <c r="T1069" i="12"/>
  <c r="U1069" i="12"/>
  <c r="T1055" i="12"/>
  <c r="U1055" i="12"/>
  <c r="T1041" i="12"/>
  <c r="U1041" i="12"/>
  <c r="T1027" i="12"/>
  <c r="U1027" i="12"/>
  <c r="T1013" i="12"/>
  <c r="U1013" i="12"/>
  <c r="T999" i="12"/>
  <c r="U999" i="12"/>
  <c r="T985" i="12"/>
  <c r="U985" i="12"/>
  <c r="T971" i="12"/>
  <c r="U971" i="12"/>
  <c r="T957" i="12"/>
  <c r="U957" i="12"/>
  <c r="T943" i="12"/>
  <c r="U943" i="12"/>
  <c r="T929" i="12"/>
  <c r="U929" i="12"/>
  <c r="T915" i="12"/>
  <c r="U915" i="12"/>
  <c r="T901" i="12"/>
  <c r="U901" i="12"/>
  <c r="T887" i="12"/>
  <c r="U887" i="12"/>
  <c r="T873" i="12"/>
  <c r="U873" i="12"/>
  <c r="T859" i="12"/>
  <c r="U859" i="12"/>
  <c r="T845" i="12"/>
  <c r="U845" i="12"/>
  <c r="T831" i="12"/>
  <c r="U831" i="12"/>
  <c r="T817" i="12"/>
  <c r="U817" i="12"/>
  <c r="T803" i="12"/>
  <c r="U803" i="12"/>
  <c r="T789" i="12"/>
  <c r="U789" i="12"/>
  <c r="T775" i="12"/>
  <c r="U775" i="12"/>
  <c r="T761" i="12"/>
  <c r="U761" i="12"/>
  <c r="T747" i="12"/>
  <c r="U747" i="12"/>
  <c r="T733" i="12"/>
  <c r="U733" i="12"/>
  <c r="T719" i="12"/>
  <c r="U719" i="12"/>
  <c r="T705" i="12"/>
  <c r="U705" i="12"/>
  <c r="T691" i="12"/>
  <c r="U691" i="12"/>
  <c r="T677" i="12"/>
  <c r="U677" i="12"/>
  <c r="T663" i="12"/>
  <c r="U663" i="12"/>
  <c r="T649" i="12"/>
  <c r="U649" i="12"/>
  <c r="T635" i="12"/>
  <c r="U635" i="12"/>
  <c r="T621" i="12"/>
  <c r="U621" i="12"/>
  <c r="T607" i="12"/>
  <c r="U607" i="12"/>
  <c r="T593" i="12"/>
  <c r="U593" i="12"/>
  <c r="T579" i="12"/>
  <c r="U579" i="12"/>
  <c r="T565" i="12"/>
  <c r="U565" i="12"/>
  <c r="T551" i="12"/>
  <c r="U551" i="12"/>
  <c r="T537" i="12"/>
  <c r="U537" i="12"/>
  <c r="T523" i="12"/>
  <c r="U523" i="12"/>
  <c r="T509" i="12"/>
  <c r="U509" i="12"/>
  <c r="T495" i="12"/>
  <c r="U495" i="12"/>
  <c r="I3694" i="12"/>
  <c r="I3638" i="12"/>
  <c r="I3582" i="12"/>
  <c r="I3526" i="12"/>
  <c r="I3470" i="12"/>
  <c r="I3414" i="12"/>
  <c r="I3358" i="12"/>
  <c r="I3302" i="12"/>
  <c r="I3246" i="12"/>
  <c r="I3190" i="12"/>
  <c r="I3134" i="12"/>
  <c r="I3078" i="12"/>
  <c r="I3022" i="12"/>
  <c r="I2966" i="12"/>
  <c r="I2910" i="12"/>
  <c r="I2854" i="12"/>
  <c r="I2798" i="12"/>
  <c r="I2742" i="12"/>
  <c r="I2686" i="12"/>
  <c r="I2630" i="12"/>
  <c r="I2574" i="12"/>
  <c r="I2518" i="12"/>
  <c r="I2462" i="12"/>
  <c r="I2406" i="12"/>
  <c r="I2350" i="12"/>
  <c r="I2294" i="12"/>
  <c r="I2238" i="12"/>
  <c r="I2182" i="12"/>
  <c r="I2126" i="12"/>
  <c r="I2070" i="12"/>
  <c r="I2014" i="12"/>
  <c r="I1958" i="12"/>
  <c r="I1902" i="12"/>
  <c r="I1846" i="12"/>
  <c r="I1790" i="12"/>
  <c r="I1734" i="12"/>
  <c r="I1678" i="12"/>
  <c r="I1622" i="12"/>
  <c r="I1566" i="12"/>
  <c r="I1510" i="12"/>
  <c r="I1454" i="12"/>
  <c r="I1398" i="12"/>
  <c r="I1342" i="12"/>
  <c r="I1286" i="12"/>
  <c r="I1230" i="12"/>
  <c r="I1174" i="12"/>
  <c r="I1118" i="12"/>
  <c r="I1062" i="12"/>
  <c r="I1006" i="12"/>
  <c r="I950" i="12"/>
  <c r="I894" i="12"/>
  <c r="I838" i="12"/>
  <c r="I782" i="12"/>
  <c r="I726" i="12"/>
  <c r="I670" i="12"/>
  <c r="I614" i="12"/>
  <c r="I558" i="12"/>
  <c r="I502" i="12"/>
  <c r="I446" i="12"/>
  <c r="I390" i="12"/>
  <c r="I334" i="12"/>
  <c r="I278" i="12"/>
  <c r="I222" i="12"/>
  <c r="I166" i="12"/>
  <c r="I110" i="12"/>
  <c r="G23" i="12"/>
  <c r="U4946" i="12"/>
  <c r="T4946" i="12"/>
  <c r="U4932" i="12"/>
  <c r="T4932" i="12"/>
  <c r="U4918" i="12"/>
  <c r="T4918" i="12"/>
  <c r="U4904" i="12"/>
  <c r="T4904" i="12"/>
  <c r="U4890" i="12"/>
  <c r="T4890" i="12"/>
  <c r="U4876" i="12"/>
  <c r="T4876" i="12"/>
  <c r="U4862" i="12"/>
  <c r="T4862" i="12"/>
  <c r="U4848" i="12"/>
  <c r="T4848" i="12"/>
  <c r="T4834" i="12"/>
  <c r="U4834" i="12"/>
  <c r="T4820" i="12"/>
  <c r="U4820" i="12"/>
  <c r="T4806" i="12"/>
  <c r="U4806" i="12"/>
  <c r="T4792" i="12"/>
  <c r="U4792" i="12"/>
  <c r="T4778" i="12"/>
  <c r="U4778" i="12"/>
  <c r="T4764" i="12"/>
  <c r="U4764" i="12"/>
  <c r="T4750" i="12"/>
  <c r="U4750" i="12"/>
  <c r="T4736" i="12"/>
  <c r="U4736" i="12"/>
  <c r="T4722" i="12"/>
  <c r="U4722" i="12"/>
  <c r="T4708" i="12"/>
  <c r="U4708" i="12"/>
  <c r="T4694" i="12"/>
  <c r="U4694" i="12"/>
  <c r="T4680" i="12"/>
  <c r="U4680" i="12"/>
  <c r="T4666" i="12"/>
  <c r="U4666" i="12"/>
  <c r="T4652" i="12"/>
  <c r="U4652" i="12"/>
  <c r="T4638" i="12"/>
  <c r="U4638" i="12"/>
  <c r="T4624" i="12"/>
  <c r="U4624" i="12"/>
  <c r="T4610" i="12"/>
  <c r="U4610" i="12"/>
  <c r="T4596" i="12"/>
  <c r="U4596" i="12"/>
  <c r="T4582" i="12"/>
  <c r="U4582" i="12"/>
  <c r="U4568" i="12"/>
  <c r="T4568" i="12"/>
  <c r="T4554" i="12"/>
  <c r="U4554" i="12"/>
  <c r="T4540" i="12"/>
  <c r="U4540" i="12"/>
  <c r="T4526" i="12"/>
  <c r="U4526" i="12"/>
  <c r="T4512" i="12"/>
  <c r="U4512" i="12"/>
  <c r="T4498" i="12"/>
  <c r="U4498" i="12"/>
  <c r="T4484" i="12"/>
  <c r="U4484" i="12"/>
  <c r="T4470" i="12"/>
  <c r="U4470" i="12"/>
  <c r="T4456" i="12"/>
  <c r="U4456" i="12"/>
  <c r="T4442" i="12"/>
  <c r="U4442" i="12"/>
  <c r="T4428" i="12"/>
  <c r="U4428" i="12"/>
  <c r="T4414" i="12"/>
  <c r="U4414" i="12"/>
  <c r="T4400" i="12"/>
  <c r="U4400" i="12"/>
  <c r="T4386" i="12"/>
  <c r="U4386" i="12"/>
  <c r="T4372" i="12"/>
  <c r="U4372" i="12"/>
  <c r="T4358" i="12"/>
  <c r="U4358" i="12"/>
  <c r="T4344" i="12"/>
  <c r="U4344" i="12"/>
  <c r="T4330" i="12"/>
  <c r="U4330" i="12"/>
  <c r="T4316" i="12"/>
  <c r="U4316" i="12"/>
  <c r="T4302" i="12"/>
  <c r="U4302" i="12"/>
  <c r="T4288" i="12"/>
  <c r="U4288" i="12"/>
  <c r="T4274" i="12"/>
  <c r="U4274" i="12"/>
  <c r="T4260" i="12"/>
  <c r="U4260" i="12"/>
  <c r="T4246" i="12"/>
  <c r="U4246" i="12"/>
  <c r="T4232" i="12"/>
  <c r="U4232" i="12"/>
  <c r="T4218" i="12"/>
  <c r="U4218" i="12"/>
  <c r="T4204" i="12"/>
  <c r="U4204" i="12"/>
  <c r="T4190" i="12"/>
  <c r="U4190" i="12"/>
  <c r="T4176" i="12"/>
  <c r="U4176" i="12"/>
  <c r="T4162" i="12"/>
  <c r="U4162" i="12"/>
  <c r="T4148" i="12"/>
  <c r="U4148" i="12"/>
  <c r="T4134" i="12"/>
  <c r="U4134" i="12"/>
  <c r="T4120" i="12"/>
  <c r="U4120" i="12"/>
  <c r="T4106" i="12"/>
  <c r="U4106" i="12"/>
  <c r="T4092" i="12"/>
  <c r="U4092" i="12"/>
  <c r="T4078" i="12"/>
  <c r="U4078" i="12"/>
  <c r="T4064" i="12"/>
  <c r="U4064" i="12"/>
  <c r="T4050" i="12"/>
  <c r="U4050" i="12"/>
  <c r="T4036" i="12"/>
  <c r="U4036" i="12"/>
  <c r="T4022" i="12"/>
  <c r="U4022" i="12"/>
  <c r="T4008" i="12"/>
  <c r="U4008" i="12"/>
  <c r="T3994" i="12"/>
  <c r="U3994" i="12"/>
  <c r="T3980" i="12"/>
  <c r="U3980" i="12"/>
  <c r="T3966" i="12"/>
  <c r="U3966" i="12"/>
  <c r="T3952" i="12"/>
  <c r="U3952" i="12"/>
  <c r="T3938" i="12"/>
  <c r="U3938" i="12"/>
  <c r="T3924" i="12"/>
  <c r="U3924" i="12"/>
  <c r="T3910" i="12"/>
  <c r="U3910" i="12"/>
  <c r="T3896" i="12"/>
  <c r="U3896" i="12"/>
  <c r="T3882" i="12"/>
  <c r="U3882" i="12"/>
  <c r="T3868" i="12"/>
  <c r="U3868" i="12"/>
  <c r="T3854" i="12"/>
  <c r="U3854" i="12"/>
  <c r="T3840" i="12"/>
  <c r="U3840" i="12"/>
  <c r="T3826" i="12"/>
  <c r="U3826" i="12"/>
  <c r="T3812" i="12"/>
  <c r="U3812" i="12"/>
  <c r="T3798" i="12"/>
  <c r="U3798" i="12"/>
  <c r="T3784" i="12"/>
  <c r="U3784" i="12"/>
  <c r="T3770" i="12"/>
  <c r="U3770" i="12"/>
  <c r="T3756" i="12"/>
  <c r="U3756" i="12"/>
  <c r="T3742" i="12"/>
  <c r="U3742" i="12"/>
  <c r="T3728" i="12"/>
  <c r="U3728" i="12"/>
  <c r="T3714" i="12"/>
  <c r="U3714" i="12"/>
  <c r="T3700" i="12"/>
  <c r="U3700" i="12"/>
  <c r="T3686" i="12"/>
  <c r="U3686" i="12"/>
  <c r="T3672" i="12"/>
  <c r="U3672" i="12"/>
  <c r="T3658" i="12"/>
  <c r="U3658" i="12"/>
  <c r="T3644" i="12"/>
  <c r="U3644" i="12"/>
  <c r="T3630" i="12"/>
  <c r="U3630" i="12"/>
  <c r="T3616" i="12"/>
  <c r="U3616" i="12"/>
  <c r="T3602" i="12"/>
  <c r="U3602" i="12"/>
  <c r="T3588" i="12"/>
  <c r="U3588" i="12"/>
  <c r="T3574" i="12"/>
  <c r="U3574" i="12"/>
  <c r="T3560" i="12"/>
  <c r="U3560" i="12"/>
  <c r="T3546" i="12"/>
  <c r="U3546" i="12"/>
  <c r="T3532" i="12"/>
  <c r="U3532" i="12"/>
  <c r="T3518" i="12"/>
  <c r="U3518" i="12"/>
  <c r="T3504" i="12"/>
  <c r="U3504" i="12"/>
  <c r="T3490" i="12"/>
  <c r="U3490" i="12"/>
  <c r="T3476" i="12"/>
  <c r="U3476" i="12"/>
  <c r="T3462" i="12"/>
  <c r="U3462" i="12"/>
  <c r="T3448" i="12"/>
  <c r="U3448" i="12"/>
  <c r="T3434" i="12"/>
  <c r="U3434" i="12"/>
  <c r="T3420" i="12"/>
  <c r="U3420" i="12"/>
  <c r="T3406" i="12"/>
  <c r="U3406" i="12"/>
  <c r="T3392" i="12"/>
  <c r="U3392" i="12"/>
  <c r="T3378" i="12"/>
  <c r="U3378" i="12"/>
  <c r="T3364" i="12"/>
  <c r="U3364" i="12"/>
  <c r="T3350" i="12"/>
  <c r="U3350" i="12"/>
  <c r="T3336" i="12"/>
  <c r="U3336" i="12"/>
  <c r="T3322" i="12"/>
  <c r="U3322" i="12"/>
  <c r="T3308" i="12"/>
  <c r="U3308" i="12"/>
  <c r="T3294" i="12"/>
  <c r="U3294" i="12"/>
  <c r="T3280" i="12"/>
  <c r="U3280" i="12"/>
  <c r="T3266" i="12"/>
  <c r="U3266" i="12"/>
  <c r="T3252" i="12"/>
  <c r="U3252" i="12"/>
  <c r="T3238" i="12"/>
  <c r="U3238" i="12"/>
  <c r="T3224" i="12"/>
  <c r="U3224" i="12"/>
  <c r="T3210" i="12"/>
  <c r="U3210" i="12"/>
  <c r="T3196" i="12"/>
  <c r="U3196" i="12"/>
  <c r="T3182" i="12"/>
  <c r="U3182" i="12"/>
  <c r="T3168" i="12"/>
  <c r="U3168" i="12"/>
  <c r="T3154" i="12"/>
  <c r="U3154" i="12"/>
  <c r="T3140" i="12"/>
  <c r="U3140" i="12"/>
  <c r="T3126" i="12"/>
  <c r="U3126" i="12"/>
  <c r="T3112" i="12"/>
  <c r="U3112" i="12"/>
  <c r="T3098" i="12"/>
  <c r="U3098" i="12"/>
  <c r="T3084" i="12"/>
  <c r="U3084" i="12"/>
  <c r="T3070" i="12"/>
  <c r="U3070" i="12"/>
  <c r="T3056" i="12"/>
  <c r="U3056" i="12"/>
  <c r="T3042" i="12"/>
  <c r="U3042" i="12"/>
  <c r="T3028" i="12"/>
  <c r="U3028" i="12"/>
  <c r="T3014" i="12"/>
  <c r="U3014" i="12"/>
  <c r="T3000" i="12"/>
  <c r="U3000" i="12"/>
  <c r="T2986" i="12"/>
  <c r="U2986" i="12"/>
  <c r="T2972" i="12"/>
  <c r="U2972" i="12"/>
  <c r="T2958" i="12"/>
  <c r="U2958" i="12"/>
  <c r="T2944" i="12"/>
  <c r="U2944" i="12"/>
  <c r="T2930" i="12"/>
  <c r="U2930" i="12"/>
  <c r="T2916" i="12"/>
  <c r="U2916" i="12"/>
  <c r="T2902" i="12"/>
  <c r="U2902" i="12"/>
  <c r="T2888" i="12"/>
  <c r="U2888" i="12"/>
  <c r="T2874" i="12"/>
  <c r="U2874" i="12"/>
  <c r="T2860" i="12"/>
  <c r="U2860" i="12"/>
  <c r="T2846" i="12"/>
  <c r="U2846" i="12"/>
  <c r="T2832" i="12"/>
  <c r="U2832" i="12"/>
  <c r="T2818" i="12"/>
  <c r="U2818" i="12"/>
  <c r="T2804" i="12"/>
  <c r="U2804" i="12"/>
  <c r="T2790" i="12"/>
  <c r="U2790" i="12"/>
  <c r="T2776" i="12"/>
  <c r="U2776" i="12"/>
  <c r="T2762" i="12"/>
  <c r="U2762" i="12"/>
  <c r="T2748" i="12"/>
  <c r="U2748" i="12"/>
  <c r="T2734" i="12"/>
  <c r="U2734" i="12"/>
  <c r="T2720" i="12"/>
  <c r="U2720" i="12"/>
  <c r="T2706" i="12"/>
  <c r="U2706" i="12"/>
  <c r="T2692" i="12"/>
  <c r="U2692" i="12"/>
  <c r="T2678" i="12"/>
  <c r="U2678" i="12"/>
  <c r="T2664" i="12"/>
  <c r="U2664" i="12"/>
  <c r="T2650" i="12"/>
  <c r="U2650" i="12"/>
  <c r="T2636" i="12"/>
  <c r="U2636" i="12"/>
  <c r="T2622" i="12"/>
  <c r="U2622" i="12"/>
  <c r="T2608" i="12"/>
  <c r="U2608" i="12"/>
  <c r="T2594" i="12"/>
  <c r="U2594" i="12"/>
  <c r="T2580" i="12"/>
  <c r="U2580" i="12"/>
  <c r="T2566" i="12"/>
  <c r="U2566" i="12"/>
  <c r="T2552" i="12"/>
  <c r="U2552" i="12"/>
  <c r="T2538" i="12"/>
  <c r="U2538" i="12"/>
  <c r="T2524" i="12"/>
  <c r="U2524" i="12"/>
  <c r="T2510" i="12"/>
  <c r="U2510" i="12"/>
  <c r="T2496" i="12"/>
  <c r="U2496" i="12"/>
  <c r="T2482" i="12"/>
  <c r="U2482" i="12"/>
  <c r="T2468" i="12"/>
  <c r="U2468" i="12"/>
  <c r="T2454" i="12"/>
  <c r="U2454" i="12"/>
  <c r="T2440" i="12"/>
  <c r="U2440" i="12"/>
  <c r="T2426" i="12"/>
  <c r="U2426" i="12"/>
  <c r="T2412" i="12"/>
  <c r="U2412" i="12"/>
  <c r="T2398" i="12"/>
  <c r="U2398" i="12"/>
  <c r="T2384" i="12"/>
  <c r="U2384" i="12"/>
  <c r="T2370" i="12"/>
  <c r="U2370" i="12"/>
  <c r="T2356" i="12"/>
  <c r="U2356" i="12"/>
  <c r="T2342" i="12"/>
  <c r="U2342" i="12"/>
  <c r="T2328" i="12"/>
  <c r="U2328" i="12"/>
  <c r="T2314" i="12"/>
  <c r="U2314" i="12"/>
  <c r="T2300" i="12"/>
  <c r="U2300" i="12"/>
  <c r="T2286" i="12"/>
  <c r="U2286" i="12"/>
  <c r="T2272" i="12"/>
  <c r="U2272" i="12"/>
  <c r="T2258" i="12"/>
  <c r="U2258" i="12"/>
  <c r="T2244" i="12"/>
  <c r="U2244" i="12"/>
  <c r="T2230" i="12"/>
  <c r="U2230" i="12"/>
  <c r="T2216" i="12"/>
  <c r="U2216" i="12"/>
  <c r="T2202" i="12"/>
  <c r="U2202" i="12"/>
  <c r="T2188" i="12"/>
  <c r="U2188" i="12"/>
  <c r="T2174" i="12"/>
  <c r="U2174" i="12"/>
  <c r="T2160" i="12"/>
  <c r="U2160" i="12"/>
  <c r="T2146" i="12"/>
  <c r="U2146" i="12"/>
  <c r="T2132" i="12"/>
  <c r="U2132" i="12"/>
  <c r="T2118" i="12"/>
  <c r="U2118" i="12"/>
  <c r="T2104" i="12"/>
  <c r="U2104" i="12"/>
  <c r="T2090" i="12"/>
  <c r="U2090" i="12"/>
  <c r="T2076" i="12"/>
  <c r="U2076" i="12"/>
  <c r="T2062" i="12"/>
  <c r="U2062" i="12"/>
  <c r="T2048" i="12"/>
  <c r="U2048" i="12"/>
  <c r="T2034" i="12"/>
  <c r="U2034" i="12"/>
  <c r="T2020" i="12"/>
  <c r="U2020" i="12"/>
  <c r="T2006" i="12"/>
  <c r="U2006" i="12"/>
  <c r="T1992" i="12"/>
  <c r="U1992" i="12"/>
  <c r="T1978" i="12"/>
  <c r="U1978" i="12"/>
  <c r="T1964" i="12"/>
  <c r="U1964" i="12"/>
  <c r="T1950" i="12"/>
  <c r="U1950" i="12"/>
  <c r="T1936" i="12"/>
  <c r="U1936" i="12"/>
  <c r="T1922" i="12"/>
  <c r="U1922" i="12"/>
  <c r="T1908" i="12"/>
  <c r="U1908" i="12"/>
  <c r="T1894" i="12"/>
  <c r="U1894" i="12"/>
  <c r="T1880" i="12"/>
  <c r="U1880" i="12"/>
  <c r="T1866" i="12"/>
  <c r="U1866" i="12"/>
  <c r="T1852" i="12"/>
  <c r="U1852" i="12"/>
  <c r="T1838" i="12"/>
  <c r="U1838" i="12"/>
  <c r="T1824" i="12"/>
  <c r="U1824" i="12"/>
  <c r="T1810" i="12"/>
  <c r="U1810" i="12"/>
  <c r="T1796" i="12"/>
  <c r="U1796" i="12"/>
  <c r="T1782" i="12"/>
  <c r="U1782" i="12"/>
  <c r="T1768" i="12"/>
  <c r="U1768" i="12"/>
  <c r="T1754" i="12"/>
  <c r="U1754" i="12"/>
  <c r="T1740" i="12"/>
  <c r="U1740" i="12"/>
  <c r="T1726" i="12"/>
  <c r="U1726" i="12"/>
  <c r="T1712" i="12"/>
  <c r="U1712" i="12"/>
  <c r="T1698" i="12"/>
  <c r="U1698" i="12"/>
  <c r="T1684" i="12"/>
  <c r="U1684" i="12"/>
  <c r="T1670" i="12"/>
  <c r="U1670" i="12"/>
  <c r="T1656" i="12"/>
  <c r="U1656" i="12"/>
  <c r="T1642" i="12"/>
  <c r="U1642" i="12"/>
  <c r="T1628" i="12"/>
  <c r="U1628" i="12"/>
  <c r="T1614" i="12"/>
  <c r="U1614" i="12"/>
  <c r="T1600" i="12"/>
  <c r="U1600" i="12"/>
  <c r="T1586" i="12"/>
  <c r="U1586" i="12"/>
  <c r="T1572" i="12"/>
  <c r="U1572" i="12"/>
  <c r="T1558" i="12"/>
  <c r="U1558" i="12"/>
  <c r="T1544" i="12"/>
  <c r="U1544" i="12"/>
  <c r="T1530" i="12"/>
  <c r="U1530" i="12"/>
  <c r="T1516" i="12"/>
  <c r="U1516" i="12"/>
  <c r="T1502" i="12"/>
  <c r="U1502" i="12"/>
  <c r="T1488" i="12"/>
  <c r="U1488" i="12"/>
  <c r="T1474" i="12"/>
  <c r="U1474" i="12"/>
  <c r="T1460" i="12"/>
  <c r="U1460" i="12"/>
  <c r="T1446" i="12"/>
  <c r="U1446" i="12"/>
  <c r="T1432" i="12"/>
  <c r="U1432" i="12"/>
  <c r="T1418" i="12"/>
  <c r="U1418" i="12"/>
  <c r="T1404" i="12"/>
  <c r="U1404" i="12"/>
  <c r="T1390" i="12"/>
  <c r="U1390" i="12"/>
  <c r="T1376" i="12"/>
  <c r="U1376" i="12"/>
  <c r="T1362" i="12"/>
  <c r="U1362" i="12"/>
  <c r="T1348" i="12"/>
  <c r="U1348" i="12"/>
  <c r="T1334" i="12"/>
  <c r="U1334" i="12"/>
  <c r="T1320" i="12"/>
  <c r="U1320" i="12"/>
  <c r="T1306" i="12"/>
  <c r="U1306" i="12"/>
  <c r="T1292" i="12"/>
  <c r="U1292" i="12"/>
  <c r="T1278" i="12"/>
  <c r="U1278" i="12"/>
  <c r="T1264" i="12"/>
  <c r="U1264" i="12"/>
  <c r="T1250" i="12"/>
  <c r="U1250" i="12"/>
  <c r="T1236" i="12"/>
  <c r="U1236" i="12"/>
  <c r="T1222" i="12"/>
  <c r="U1222" i="12"/>
  <c r="T1208" i="12"/>
  <c r="U1208" i="12"/>
  <c r="T1194" i="12"/>
  <c r="U1194" i="12"/>
  <c r="T1180" i="12"/>
  <c r="U1180" i="12"/>
  <c r="T1166" i="12"/>
  <c r="U1166" i="12"/>
  <c r="T1152" i="12"/>
  <c r="U1152" i="12"/>
  <c r="T1138" i="12"/>
  <c r="U1138" i="12"/>
  <c r="T1124" i="12"/>
  <c r="U1124" i="12"/>
  <c r="T1110" i="12"/>
  <c r="U1110" i="12"/>
  <c r="T1096" i="12"/>
  <c r="U1096" i="12"/>
  <c r="T1082" i="12"/>
  <c r="U1082" i="12"/>
  <c r="T1068" i="12"/>
  <c r="U1068" i="12"/>
  <c r="T1054" i="12"/>
  <c r="U1054" i="12"/>
  <c r="T1040" i="12"/>
  <c r="U1040" i="12"/>
  <c r="T1026" i="12"/>
  <c r="U1026" i="12"/>
  <c r="T1012" i="12"/>
  <c r="U1012" i="12"/>
  <c r="T998" i="12"/>
  <c r="U998" i="12"/>
  <c r="T984" i="12"/>
  <c r="U984" i="12"/>
  <c r="T970" i="12"/>
  <c r="U970" i="12"/>
  <c r="T956" i="12"/>
  <c r="U956" i="12"/>
  <c r="T942" i="12"/>
  <c r="U942" i="12"/>
  <c r="T928" i="12"/>
  <c r="U928" i="12"/>
  <c r="T914" i="12"/>
  <c r="U914" i="12"/>
  <c r="T900" i="12"/>
  <c r="U900" i="12"/>
  <c r="T886" i="12"/>
  <c r="U886" i="12"/>
  <c r="T872" i="12"/>
  <c r="U872" i="12"/>
  <c r="T858" i="12"/>
  <c r="U858" i="12"/>
  <c r="T844" i="12"/>
  <c r="U844" i="12"/>
  <c r="T830" i="12"/>
  <c r="U830" i="12"/>
  <c r="T816" i="12"/>
  <c r="U816" i="12"/>
  <c r="T802" i="12"/>
  <c r="U802" i="12"/>
  <c r="T788" i="12"/>
  <c r="U788" i="12"/>
  <c r="T774" i="12"/>
  <c r="U774" i="12"/>
  <c r="T760" i="12"/>
  <c r="U760" i="12"/>
  <c r="T746" i="12"/>
  <c r="U746" i="12"/>
  <c r="T732" i="12"/>
  <c r="U732" i="12"/>
  <c r="T718" i="12"/>
  <c r="U718" i="12"/>
  <c r="T704" i="12"/>
  <c r="U704" i="12"/>
  <c r="T690" i="12"/>
  <c r="U690" i="12"/>
  <c r="T676" i="12"/>
  <c r="U676" i="12"/>
  <c r="T662" i="12"/>
  <c r="U662" i="12"/>
  <c r="T648" i="12"/>
  <c r="U648" i="12"/>
  <c r="T634" i="12"/>
  <c r="U634" i="12"/>
  <c r="T620" i="12"/>
  <c r="U620" i="12"/>
  <c r="T606" i="12"/>
  <c r="U606" i="12"/>
  <c r="T592" i="12"/>
  <c r="U592" i="12"/>
  <c r="T578" i="12"/>
  <c r="U578" i="12"/>
  <c r="T564" i="12"/>
  <c r="U564" i="12"/>
  <c r="I571" i="12"/>
  <c r="I543" i="12"/>
  <c r="I515" i="12"/>
  <c r="I459" i="12"/>
  <c r="I179" i="12"/>
  <c r="I123" i="12"/>
  <c r="I67" i="12"/>
  <c r="T4945" i="12"/>
  <c r="U4945" i="12"/>
  <c r="U4931" i="12"/>
  <c r="T4931" i="12"/>
  <c r="U4917" i="12"/>
  <c r="T4917" i="12"/>
  <c r="U4903" i="12"/>
  <c r="T4903" i="12"/>
  <c r="T4889" i="12"/>
  <c r="U4889" i="12"/>
  <c r="T4875" i="12"/>
  <c r="U4875" i="12"/>
  <c r="U4861" i="12"/>
  <c r="T4861" i="12"/>
  <c r="T4847" i="12"/>
  <c r="U4847" i="12"/>
  <c r="T4833" i="12"/>
  <c r="U4833" i="12"/>
  <c r="U4819" i="12"/>
  <c r="T4819" i="12"/>
  <c r="T4805" i="12"/>
  <c r="U4805" i="12"/>
  <c r="T4791" i="12"/>
  <c r="U4791" i="12"/>
  <c r="T4777" i="12"/>
  <c r="U4777" i="12"/>
  <c r="T4763" i="12"/>
  <c r="U4763" i="12"/>
  <c r="T4749" i="12"/>
  <c r="U4749" i="12"/>
  <c r="T4735" i="12"/>
  <c r="U4735" i="12"/>
  <c r="U4721" i="12"/>
  <c r="T4721" i="12"/>
  <c r="T4707" i="12"/>
  <c r="U4707" i="12"/>
  <c r="T4693" i="12"/>
  <c r="U4693" i="12"/>
  <c r="T4679" i="12"/>
  <c r="U4679" i="12"/>
  <c r="T4665" i="12"/>
  <c r="U4665" i="12"/>
  <c r="T4651" i="12"/>
  <c r="U4651" i="12"/>
  <c r="T4637" i="12"/>
  <c r="U4637" i="12"/>
  <c r="T4623" i="12"/>
  <c r="U4623" i="12"/>
  <c r="T4609" i="12"/>
  <c r="U4609" i="12"/>
  <c r="T4595" i="12"/>
  <c r="U4595" i="12"/>
  <c r="T4581" i="12"/>
  <c r="U4581" i="12"/>
  <c r="T4567" i="12"/>
  <c r="U4567" i="12"/>
  <c r="T4553" i="12"/>
  <c r="U4553" i="12"/>
  <c r="T4539" i="12"/>
  <c r="U4539" i="12"/>
  <c r="U4525" i="12"/>
  <c r="T4525" i="12"/>
  <c r="T4511" i="12"/>
  <c r="U4511" i="12"/>
  <c r="T4497" i="12"/>
  <c r="U4497" i="12"/>
  <c r="T4483" i="12"/>
  <c r="U4483" i="12"/>
  <c r="T4469" i="12"/>
  <c r="U4469" i="12"/>
  <c r="T4455" i="12"/>
  <c r="U4455" i="12"/>
  <c r="T4441" i="12"/>
  <c r="U4441" i="12"/>
  <c r="U4427" i="12"/>
  <c r="T4427" i="12"/>
  <c r="T4413" i="12"/>
  <c r="U4413" i="12"/>
  <c r="T4399" i="12"/>
  <c r="U4399" i="12"/>
  <c r="T4385" i="12"/>
  <c r="U4385" i="12"/>
  <c r="T4371" i="12"/>
  <c r="U4371" i="12"/>
  <c r="T4357" i="12"/>
  <c r="U4357" i="12"/>
  <c r="T4343" i="12"/>
  <c r="U4343" i="12"/>
  <c r="U4329" i="12"/>
  <c r="T4329" i="12"/>
  <c r="T4315" i="12"/>
  <c r="U4315" i="12"/>
  <c r="T4301" i="12"/>
  <c r="U4301" i="12"/>
  <c r="T4287" i="12"/>
  <c r="U4287" i="12"/>
  <c r="T4273" i="12"/>
  <c r="U4273" i="12"/>
  <c r="T4259" i="12"/>
  <c r="U4259" i="12"/>
  <c r="T4245" i="12"/>
  <c r="U4245" i="12"/>
  <c r="T4231" i="12"/>
  <c r="U4231" i="12"/>
  <c r="T4217" i="12"/>
  <c r="U4217" i="12"/>
  <c r="T4203" i="12"/>
  <c r="U4203" i="12"/>
  <c r="T4189" i="12"/>
  <c r="U4189" i="12"/>
  <c r="T4175" i="12"/>
  <c r="U4175" i="12"/>
  <c r="T4161" i="12"/>
  <c r="U4161" i="12"/>
  <c r="U4147" i="12"/>
  <c r="T4147" i="12"/>
  <c r="T4133" i="12"/>
  <c r="U4133" i="12"/>
  <c r="T4119" i="12"/>
  <c r="U4119" i="12"/>
  <c r="T4105" i="12"/>
  <c r="U4105" i="12"/>
  <c r="T4091" i="12"/>
  <c r="U4091" i="12"/>
  <c r="T4077" i="12"/>
  <c r="U4077" i="12"/>
  <c r="T4063" i="12"/>
  <c r="U4063" i="12"/>
  <c r="T4049" i="12"/>
  <c r="U4049" i="12"/>
  <c r="T4035" i="12"/>
  <c r="U4035" i="12"/>
  <c r="T4021" i="12"/>
  <c r="U4021" i="12"/>
  <c r="T4007" i="12"/>
  <c r="U4007" i="12"/>
  <c r="T3993" i="12"/>
  <c r="U3993" i="12"/>
  <c r="T3979" i="12"/>
  <c r="U3979" i="12"/>
  <c r="T3965" i="12"/>
  <c r="U3965" i="12"/>
  <c r="U3951" i="12"/>
  <c r="T3951" i="12"/>
  <c r="T3937" i="12"/>
  <c r="U3937" i="12"/>
  <c r="T3923" i="12"/>
  <c r="U3923" i="12"/>
  <c r="T3909" i="12"/>
  <c r="U3909" i="12"/>
  <c r="T3895" i="12"/>
  <c r="U3895" i="12"/>
  <c r="T3881" i="12"/>
  <c r="U3881" i="12"/>
  <c r="T3867" i="12"/>
  <c r="U3867" i="12"/>
  <c r="T3853" i="12"/>
  <c r="U3853" i="12"/>
  <c r="T3839" i="12"/>
  <c r="U3839" i="12"/>
  <c r="T3825" i="12"/>
  <c r="U3825" i="12"/>
  <c r="T3811" i="12"/>
  <c r="U3811" i="12"/>
  <c r="T3797" i="12"/>
  <c r="U3797" i="12"/>
  <c r="T3783" i="12"/>
  <c r="U3783" i="12"/>
  <c r="T3769" i="12"/>
  <c r="U3769" i="12"/>
  <c r="T3755" i="12"/>
  <c r="U3755" i="12"/>
  <c r="T3741" i="12"/>
  <c r="U3741" i="12"/>
  <c r="T3727" i="12"/>
  <c r="U3727" i="12"/>
  <c r="T3713" i="12"/>
  <c r="U3713" i="12"/>
  <c r="T3699" i="12"/>
  <c r="U3699" i="12"/>
  <c r="T3685" i="12"/>
  <c r="U3685" i="12"/>
  <c r="T3671" i="12"/>
  <c r="U3671" i="12"/>
  <c r="T3657" i="12"/>
  <c r="U3657" i="12"/>
  <c r="T3643" i="12"/>
  <c r="U3643" i="12"/>
  <c r="T3629" i="12"/>
  <c r="U3629" i="12"/>
  <c r="T3615" i="12"/>
  <c r="U3615" i="12"/>
  <c r="T3601" i="12"/>
  <c r="U3601" i="12"/>
  <c r="T3587" i="12"/>
  <c r="U3587" i="12"/>
  <c r="T3573" i="12"/>
  <c r="U3573" i="12"/>
  <c r="T3559" i="12"/>
  <c r="U3559" i="12"/>
  <c r="T3545" i="12"/>
  <c r="U3545" i="12"/>
  <c r="T3531" i="12"/>
  <c r="U3531" i="12"/>
  <c r="T3517" i="12"/>
  <c r="U3517" i="12"/>
  <c r="T3503" i="12"/>
  <c r="U3503" i="12"/>
  <c r="T3489" i="12"/>
  <c r="U3489" i="12"/>
  <c r="T3475" i="12"/>
  <c r="U3475" i="12"/>
  <c r="T3461" i="12"/>
  <c r="U3461" i="12"/>
  <c r="T3447" i="12"/>
  <c r="U3447" i="12"/>
  <c r="T3433" i="12"/>
  <c r="U3433" i="12"/>
  <c r="T3419" i="12"/>
  <c r="U3419" i="12"/>
  <c r="T3405" i="12"/>
  <c r="U3405" i="12"/>
  <c r="T3391" i="12"/>
  <c r="U3391" i="12"/>
  <c r="T3377" i="12"/>
  <c r="U3377" i="12"/>
  <c r="T3363" i="12"/>
  <c r="U3363" i="12"/>
  <c r="T3349" i="12"/>
  <c r="U3349" i="12"/>
  <c r="T3335" i="12"/>
  <c r="U3335" i="12"/>
  <c r="T3321" i="12"/>
  <c r="U3321" i="12"/>
  <c r="T3307" i="12"/>
  <c r="U3307" i="12"/>
  <c r="T3293" i="12"/>
  <c r="U3293" i="12"/>
  <c r="T3279" i="12"/>
  <c r="U3279" i="12"/>
  <c r="T3265" i="12"/>
  <c r="U3265" i="12"/>
  <c r="T3251" i="12"/>
  <c r="U3251" i="12"/>
  <c r="T3237" i="12"/>
  <c r="U3237" i="12"/>
  <c r="T3223" i="12"/>
  <c r="U3223" i="12"/>
  <c r="T3209" i="12"/>
  <c r="U3209" i="12"/>
  <c r="T3195" i="12"/>
  <c r="U3195" i="12"/>
  <c r="T3181" i="12"/>
  <c r="U3181" i="12"/>
  <c r="T3167" i="12"/>
  <c r="U3167" i="12"/>
  <c r="T3153" i="12"/>
  <c r="U3153" i="12"/>
  <c r="T3139" i="12"/>
  <c r="U3139" i="12"/>
  <c r="T3125" i="12"/>
  <c r="U3125" i="12"/>
  <c r="T3111" i="12"/>
  <c r="U3111" i="12"/>
  <c r="T3097" i="12"/>
  <c r="U3097" i="12"/>
  <c r="T3083" i="12"/>
  <c r="U3083" i="12"/>
  <c r="T3069" i="12"/>
  <c r="U3069" i="12"/>
  <c r="T3055" i="12"/>
  <c r="U3055" i="12"/>
  <c r="T3041" i="12"/>
  <c r="U3041" i="12"/>
  <c r="T3027" i="12"/>
  <c r="U3027" i="12"/>
  <c r="T3013" i="12"/>
  <c r="U3013" i="12"/>
  <c r="T2999" i="12"/>
  <c r="U2999" i="12"/>
  <c r="T2985" i="12"/>
  <c r="U2985" i="12"/>
  <c r="T2971" i="12"/>
  <c r="U2971" i="12"/>
  <c r="T2957" i="12"/>
  <c r="U2957" i="12"/>
  <c r="T2943" i="12"/>
  <c r="U2943" i="12"/>
  <c r="T2929" i="12"/>
  <c r="U2929" i="12"/>
  <c r="T2915" i="12"/>
  <c r="U2915" i="12"/>
  <c r="T2901" i="12"/>
  <c r="U2901" i="12"/>
  <c r="T2887" i="12"/>
  <c r="U2887" i="12"/>
  <c r="T2873" i="12"/>
  <c r="U2873" i="12"/>
  <c r="T2859" i="12"/>
  <c r="U2859" i="12"/>
  <c r="T2845" i="12"/>
  <c r="U2845" i="12"/>
  <c r="T2831" i="12"/>
  <c r="U2831" i="12"/>
  <c r="T2817" i="12"/>
  <c r="U2817" i="12"/>
  <c r="T2803" i="12"/>
  <c r="U2803" i="12"/>
  <c r="T2789" i="12"/>
  <c r="U2789" i="12"/>
  <c r="T2775" i="12"/>
  <c r="U2775" i="12"/>
  <c r="T2761" i="12"/>
  <c r="U2761" i="12"/>
  <c r="T2747" i="12"/>
  <c r="U2747" i="12"/>
  <c r="T2733" i="12"/>
  <c r="U2733" i="12"/>
  <c r="T2719" i="12"/>
  <c r="U2719" i="12"/>
  <c r="T2705" i="12"/>
  <c r="U2705" i="12"/>
  <c r="T2691" i="12"/>
  <c r="U2691" i="12"/>
  <c r="T2677" i="12"/>
  <c r="U2677" i="12"/>
  <c r="T2663" i="12"/>
  <c r="U2663" i="12"/>
  <c r="T2649" i="12"/>
  <c r="U2649" i="12"/>
  <c r="T2635" i="12"/>
  <c r="U2635" i="12"/>
  <c r="T2621" i="12"/>
  <c r="U2621" i="12"/>
  <c r="T2607" i="12"/>
  <c r="U2607" i="12"/>
  <c r="T2593" i="12"/>
  <c r="U2593" i="12"/>
  <c r="T2579" i="12"/>
  <c r="U2579" i="12"/>
  <c r="T2565" i="12"/>
  <c r="U2565" i="12"/>
  <c r="T2551" i="12"/>
  <c r="U2551" i="12"/>
  <c r="T2537" i="12"/>
  <c r="U2537" i="12"/>
  <c r="T2523" i="12"/>
  <c r="U2523" i="12"/>
  <c r="T2509" i="12"/>
  <c r="U2509" i="12"/>
  <c r="T2495" i="12"/>
  <c r="U2495" i="12"/>
  <c r="T2481" i="12"/>
  <c r="U2481" i="12"/>
  <c r="T2467" i="12"/>
  <c r="U2467" i="12"/>
  <c r="T2453" i="12"/>
  <c r="U2453" i="12"/>
  <c r="T2439" i="12"/>
  <c r="U2439" i="12"/>
  <c r="T2425" i="12"/>
  <c r="U2425" i="12"/>
  <c r="T2411" i="12"/>
  <c r="U2411" i="12"/>
  <c r="T2397" i="12"/>
  <c r="U2397" i="12"/>
  <c r="T2383" i="12"/>
  <c r="U2383" i="12"/>
  <c r="T2369" i="12"/>
  <c r="U2369" i="12"/>
  <c r="T2355" i="12"/>
  <c r="U2355" i="12"/>
  <c r="T2341" i="12"/>
  <c r="U2341" i="12"/>
  <c r="T2327" i="12"/>
  <c r="U2327" i="12"/>
  <c r="T2313" i="12"/>
  <c r="U2313" i="12"/>
  <c r="T2299" i="12"/>
  <c r="U2299" i="12"/>
  <c r="T2285" i="12"/>
  <c r="U2285" i="12"/>
  <c r="T2271" i="12"/>
  <c r="U2271" i="12"/>
  <c r="T2257" i="12"/>
  <c r="U2257" i="12"/>
  <c r="T2243" i="12"/>
  <c r="U2243" i="12"/>
  <c r="T2229" i="12"/>
  <c r="U2229" i="12"/>
  <c r="T2215" i="12"/>
  <c r="U2215" i="12"/>
  <c r="T2201" i="12"/>
  <c r="U2201" i="12"/>
  <c r="T2187" i="12"/>
  <c r="U2187" i="12"/>
  <c r="T2173" i="12"/>
  <c r="U2173" i="12"/>
  <c r="T2159" i="12"/>
  <c r="U2159" i="12"/>
  <c r="T2145" i="12"/>
  <c r="U2145" i="12"/>
  <c r="T2131" i="12"/>
  <c r="U2131" i="12"/>
  <c r="T2117" i="12"/>
  <c r="U2117" i="12"/>
  <c r="T2103" i="12"/>
  <c r="U2103" i="12"/>
  <c r="T2089" i="12"/>
  <c r="U2089" i="12"/>
  <c r="T2075" i="12"/>
  <c r="U2075" i="12"/>
  <c r="T2061" i="12"/>
  <c r="U2061" i="12"/>
  <c r="T2047" i="12"/>
  <c r="U2047" i="12"/>
  <c r="T2033" i="12"/>
  <c r="U2033" i="12"/>
  <c r="T2019" i="12"/>
  <c r="U2019" i="12"/>
  <c r="T2005" i="12"/>
  <c r="U2005" i="12"/>
  <c r="T1991" i="12"/>
  <c r="U1991" i="12"/>
  <c r="T1977" i="12"/>
  <c r="U1977" i="12"/>
  <c r="T1963" i="12"/>
  <c r="U1963" i="12"/>
  <c r="T1949" i="12"/>
  <c r="U1949" i="12"/>
  <c r="T1935" i="12"/>
  <c r="U1935" i="12"/>
  <c r="T1921" i="12"/>
  <c r="U1921" i="12"/>
  <c r="T1907" i="12"/>
  <c r="U1907" i="12"/>
  <c r="T1893" i="12"/>
  <c r="U1893" i="12"/>
  <c r="T1879" i="12"/>
  <c r="U1879" i="12"/>
  <c r="T1865" i="12"/>
  <c r="U1865" i="12"/>
  <c r="T1851" i="12"/>
  <c r="U1851" i="12"/>
  <c r="T1837" i="12"/>
  <c r="U1837" i="12"/>
  <c r="T1823" i="12"/>
  <c r="U1823" i="12"/>
  <c r="T1809" i="12"/>
  <c r="U1809" i="12"/>
  <c r="T1795" i="12"/>
  <c r="U1795" i="12"/>
  <c r="T1781" i="12"/>
  <c r="U1781" i="12"/>
  <c r="T1767" i="12"/>
  <c r="U1767" i="12"/>
  <c r="T1753" i="12"/>
  <c r="U1753" i="12"/>
  <c r="T1739" i="12"/>
  <c r="U1739" i="12"/>
  <c r="T1725" i="12"/>
  <c r="U1725" i="12"/>
  <c r="T1711" i="12"/>
  <c r="U1711" i="12"/>
  <c r="T1697" i="12"/>
  <c r="U1697" i="12"/>
  <c r="T1683" i="12"/>
  <c r="U1683" i="12"/>
  <c r="T1669" i="12"/>
  <c r="U1669" i="12"/>
  <c r="T1655" i="12"/>
  <c r="U1655" i="12"/>
  <c r="T1641" i="12"/>
  <c r="U1641" i="12"/>
  <c r="T1627" i="12"/>
  <c r="U1627" i="12"/>
  <c r="T1613" i="12"/>
  <c r="U1613" i="12"/>
  <c r="T1599" i="12"/>
  <c r="U1599" i="12"/>
  <c r="T1585" i="12"/>
  <c r="U1585" i="12"/>
  <c r="T1571" i="12"/>
  <c r="U1571" i="12"/>
  <c r="T1557" i="12"/>
  <c r="U1557" i="12"/>
  <c r="T1543" i="12"/>
  <c r="U1543" i="12"/>
  <c r="T1529" i="12"/>
  <c r="U1529" i="12"/>
  <c r="T1515" i="12"/>
  <c r="U1515" i="12"/>
  <c r="T1501" i="12"/>
  <c r="U1501" i="12"/>
  <c r="T1487" i="12"/>
  <c r="U1487" i="12"/>
  <c r="T1473" i="12"/>
  <c r="U1473" i="12"/>
  <c r="T1459" i="12"/>
  <c r="U1459" i="12"/>
  <c r="T1445" i="12"/>
  <c r="U1445" i="12"/>
  <c r="T1431" i="12"/>
  <c r="U1431" i="12"/>
  <c r="T1417" i="12"/>
  <c r="U1417" i="12"/>
  <c r="T1403" i="12"/>
  <c r="U1403" i="12"/>
  <c r="T1389" i="12"/>
  <c r="U1389" i="12"/>
  <c r="T1375" i="12"/>
  <c r="U1375" i="12"/>
  <c r="T1361" i="12"/>
  <c r="U1361" i="12"/>
  <c r="T1347" i="12"/>
  <c r="U1347" i="12"/>
  <c r="T1333" i="12"/>
  <c r="U1333" i="12"/>
  <c r="T1319" i="12"/>
  <c r="U1319" i="12"/>
  <c r="T1305" i="12"/>
  <c r="U1305" i="12"/>
  <c r="T1291" i="12"/>
  <c r="U1291" i="12"/>
  <c r="T1277" i="12"/>
  <c r="U1277" i="12"/>
  <c r="T1263" i="12"/>
  <c r="U1263" i="12"/>
  <c r="T1249" i="12"/>
  <c r="U1249" i="12"/>
  <c r="T1235" i="12"/>
  <c r="U1235" i="12"/>
  <c r="T1221" i="12"/>
  <c r="U1221" i="12"/>
  <c r="T1207" i="12"/>
  <c r="U1207" i="12"/>
  <c r="T1193" i="12"/>
  <c r="U1193" i="12"/>
  <c r="T1179" i="12"/>
  <c r="U1179" i="12"/>
  <c r="T1165" i="12"/>
  <c r="U1165" i="12"/>
  <c r="T1151" i="12"/>
  <c r="U1151" i="12"/>
  <c r="T1137" i="12"/>
  <c r="U1137" i="12"/>
  <c r="T1123" i="12"/>
  <c r="U1123" i="12"/>
  <c r="T1109" i="12"/>
  <c r="U1109" i="12"/>
  <c r="T1095" i="12"/>
  <c r="U1095" i="12"/>
  <c r="T1081" i="12"/>
  <c r="U1081" i="12"/>
  <c r="T1067" i="12"/>
  <c r="U1067" i="12"/>
  <c r="T1053" i="12"/>
  <c r="U1053" i="12"/>
  <c r="T1039" i="12"/>
  <c r="U1039" i="12"/>
  <c r="T1025" i="12"/>
  <c r="U1025" i="12"/>
  <c r="T1011" i="12"/>
  <c r="U1011" i="12"/>
  <c r="T997" i="12"/>
  <c r="U997" i="12"/>
  <c r="T983" i="12"/>
  <c r="U983" i="12"/>
  <c r="T969" i="12"/>
  <c r="U969" i="12"/>
  <c r="T955" i="12"/>
  <c r="U955" i="12"/>
  <c r="T941" i="12"/>
  <c r="U941" i="12"/>
  <c r="T927" i="12"/>
  <c r="U927" i="12"/>
  <c r="T913" i="12"/>
  <c r="U913" i="12"/>
  <c r="T899" i="12"/>
  <c r="U899" i="12"/>
  <c r="T885" i="12"/>
  <c r="U885" i="12"/>
  <c r="T871" i="12"/>
  <c r="U871" i="12"/>
  <c r="T857" i="12"/>
  <c r="U857" i="12"/>
  <c r="T843" i="12"/>
  <c r="U843" i="12"/>
  <c r="T829" i="12"/>
  <c r="U829" i="12"/>
  <c r="T815" i="12"/>
  <c r="U815" i="12"/>
  <c r="T801" i="12"/>
  <c r="U801" i="12"/>
  <c r="T787" i="12"/>
  <c r="U787" i="12"/>
  <c r="T773" i="12"/>
  <c r="U773" i="12"/>
  <c r="T759" i="12"/>
  <c r="U759" i="12"/>
  <c r="T745" i="12"/>
  <c r="U745" i="12"/>
  <c r="T731" i="12"/>
  <c r="U731" i="12"/>
  <c r="T717" i="12"/>
  <c r="U717" i="12"/>
  <c r="T703" i="12"/>
  <c r="U703" i="12"/>
  <c r="T689" i="12"/>
  <c r="U689" i="12"/>
  <c r="T675" i="12"/>
  <c r="U675" i="12"/>
  <c r="T661" i="12"/>
  <c r="U661" i="12"/>
  <c r="T647" i="12"/>
  <c r="U647" i="12"/>
  <c r="T633" i="12"/>
  <c r="U633" i="12"/>
  <c r="T619" i="12"/>
  <c r="U619" i="12"/>
  <c r="T605" i="12"/>
  <c r="U605" i="12"/>
  <c r="T591" i="12"/>
  <c r="U591" i="12"/>
  <c r="T577" i="12"/>
  <c r="U577" i="12"/>
  <c r="T563" i="12"/>
  <c r="U563" i="12"/>
  <c r="T549" i="12"/>
  <c r="U549" i="12"/>
  <c r="T535" i="12"/>
  <c r="U535" i="12"/>
  <c r="T521" i="12"/>
  <c r="U521" i="12"/>
  <c r="T507" i="12"/>
  <c r="U507" i="12"/>
  <c r="T586" i="12"/>
  <c r="T572" i="12"/>
  <c r="T558" i="12"/>
  <c r="T544" i="12"/>
  <c r="T530" i="12"/>
  <c r="T516" i="12"/>
  <c r="T502" i="12"/>
  <c r="T488" i="12"/>
  <c r="T474" i="12"/>
  <c r="T460" i="12"/>
  <c r="T446" i="12"/>
  <c r="T432" i="12"/>
  <c r="T418" i="12"/>
  <c r="T404" i="12"/>
  <c r="T390" i="12"/>
  <c r="T376" i="12"/>
  <c r="T362" i="12"/>
  <c r="T348" i="12"/>
  <c r="T334" i="12"/>
  <c r="T320" i="12"/>
  <c r="T306" i="12"/>
  <c r="T292" i="12"/>
  <c r="T278" i="12"/>
  <c r="T264" i="12"/>
  <c r="T250" i="12"/>
  <c r="T236" i="12"/>
  <c r="T222" i="12"/>
  <c r="T208" i="12"/>
  <c r="T194" i="12"/>
  <c r="T180" i="12"/>
  <c r="T166" i="12"/>
  <c r="T152" i="12"/>
  <c r="T138" i="12"/>
  <c r="T124" i="12"/>
  <c r="T110" i="12"/>
  <c r="T96" i="12"/>
  <c r="T82" i="12"/>
  <c r="U82" i="12"/>
  <c r="T68" i="12"/>
  <c r="U68" i="12"/>
  <c r="T54" i="12"/>
  <c r="U180" i="12"/>
  <c r="U199" i="12"/>
  <c r="U260" i="12"/>
  <c r="U278" i="12"/>
  <c r="U297" i="12"/>
  <c r="U358" i="12"/>
  <c r="U376" i="12"/>
  <c r="U395" i="12"/>
  <c r="U456" i="12"/>
  <c r="U474" i="12"/>
  <c r="U493" i="12"/>
  <c r="U554" i="12"/>
  <c r="U572" i="12"/>
  <c r="U638" i="12"/>
  <c r="U666" i="12"/>
  <c r="T81" i="12"/>
  <c r="U81" i="12"/>
  <c r="T67" i="12"/>
  <c r="U67" i="12"/>
  <c r="U201" i="12"/>
  <c r="U221" i="12"/>
  <c r="U299" i="12"/>
  <c r="U319" i="12"/>
  <c r="U397" i="12"/>
  <c r="T388" i="12"/>
  <c r="T374" i="12"/>
  <c r="T360" i="12"/>
  <c r="T346" i="12"/>
  <c r="T332" i="12"/>
  <c r="T318" i="12"/>
  <c r="T304" i="12"/>
  <c r="T290" i="12"/>
  <c r="T276" i="12"/>
  <c r="T262" i="12"/>
  <c r="T248" i="12"/>
  <c r="T234" i="12"/>
  <c r="T220" i="12"/>
  <c r="T206" i="12"/>
  <c r="T192" i="12"/>
  <c r="T178" i="12"/>
  <c r="T164" i="12"/>
  <c r="T150" i="12"/>
  <c r="T136" i="12"/>
  <c r="T122" i="12"/>
  <c r="T108" i="12"/>
  <c r="T94" i="12"/>
  <c r="T80" i="12"/>
  <c r="U80" i="12"/>
  <c r="T66" i="12"/>
  <c r="U66" i="12"/>
  <c r="U95" i="12"/>
  <c r="U109" i="12"/>
  <c r="U123" i="12"/>
  <c r="U137" i="12"/>
  <c r="U151" i="12"/>
  <c r="U165" i="12"/>
  <c r="U204" i="12"/>
  <c r="U222" i="12"/>
  <c r="U241" i="12"/>
  <c r="U262" i="12"/>
  <c r="U302" i="12"/>
  <c r="U320" i="12"/>
  <c r="U339" i="12"/>
  <c r="U360" i="12"/>
  <c r="U400" i="12"/>
  <c r="U418" i="12"/>
  <c r="U437" i="12"/>
  <c r="U498" i="12"/>
  <c r="U516" i="12"/>
  <c r="U596" i="12"/>
  <c r="U722" i="12"/>
  <c r="U96" i="12"/>
  <c r="U110" i="12"/>
  <c r="U124" i="12"/>
  <c r="U138" i="12"/>
  <c r="U152" i="12"/>
  <c r="U166" i="12"/>
  <c r="U243" i="12"/>
  <c r="U263" i="12"/>
  <c r="U341" i="12"/>
  <c r="U361" i="12"/>
  <c r="U439" i="12"/>
  <c r="T834" i="12"/>
  <c r="U834" i="12"/>
  <c r="T820" i="12"/>
  <c r="U820" i="12"/>
  <c r="T806" i="12"/>
  <c r="U806" i="12"/>
  <c r="T792" i="12"/>
  <c r="U792" i="12"/>
  <c r="T778" i="12"/>
  <c r="U778" i="12"/>
  <c r="T764" i="12"/>
  <c r="U764" i="12"/>
  <c r="T78" i="12"/>
  <c r="U78" i="12"/>
  <c r="T64" i="12"/>
  <c r="U64" i="12"/>
  <c r="U185" i="12"/>
  <c r="U206" i="12"/>
  <c r="U246" i="12"/>
  <c r="U264" i="12"/>
  <c r="U283" i="12"/>
  <c r="U304" i="12"/>
  <c r="U344" i="12"/>
  <c r="U362" i="12"/>
  <c r="U381" i="12"/>
  <c r="U402" i="12"/>
  <c r="U442" i="12"/>
  <c r="U460" i="12"/>
  <c r="U479" i="12"/>
  <c r="U540" i="12"/>
  <c r="U558" i="12"/>
  <c r="U680" i="12"/>
  <c r="T1211" i="12"/>
  <c r="U1211" i="12"/>
  <c r="T1197" i="12"/>
  <c r="U1197" i="12"/>
  <c r="T1183" i="12"/>
  <c r="U1183" i="12"/>
  <c r="T1169" i="12"/>
  <c r="U1169" i="12"/>
  <c r="T1155" i="12"/>
  <c r="U1155" i="12"/>
  <c r="T1141" i="12"/>
  <c r="U1141" i="12"/>
  <c r="T1127" i="12"/>
  <c r="U1127" i="12"/>
  <c r="T1113" i="12"/>
  <c r="U1113" i="12"/>
  <c r="T1099" i="12"/>
  <c r="U1099" i="12"/>
  <c r="T1085" i="12"/>
  <c r="U1085" i="12"/>
  <c r="T1071" i="12"/>
  <c r="U1071" i="12"/>
  <c r="T1057" i="12"/>
  <c r="U1057" i="12"/>
  <c r="T1043" i="12"/>
  <c r="U1043" i="12"/>
  <c r="T1029" i="12"/>
  <c r="U1029" i="12"/>
  <c r="T1015" i="12"/>
  <c r="U1015" i="12"/>
  <c r="T1001" i="12"/>
  <c r="U1001" i="12"/>
  <c r="T987" i="12"/>
  <c r="U987" i="12"/>
  <c r="T973" i="12"/>
  <c r="U973" i="12"/>
  <c r="T959" i="12"/>
  <c r="U959" i="12"/>
  <c r="T945" i="12"/>
  <c r="U945" i="12"/>
  <c r="T931" i="12"/>
  <c r="U931" i="12"/>
  <c r="T917" i="12"/>
  <c r="U917" i="12"/>
  <c r="T903" i="12"/>
  <c r="U903" i="12"/>
  <c r="T889" i="12"/>
  <c r="U889" i="12"/>
  <c r="T875" i="12"/>
  <c r="U875" i="12"/>
  <c r="T861" i="12"/>
  <c r="U861" i="12"/>
  <c r="T847" i="12"/>
  <c r="U847" i="12"/>
  <c r="T833" i="12"/>
  <c r="U833" i="12"/>
  <c r="T819" i="12"/>
  <c r="U819" i="12"/>
  <c r="T805" i="12"/>
  <c r="U805" i="12"/>
  <c r="T791" i="12"/>
  <c r="U791" i="12"/>
  <c r="T777" i="12"/>
  <c r="U777" i="12"/>
  <c r="T763" i="12"/>
  <c r="U763" i="12"/>
  <c r="T749" i="12"/>
  <c r="U749" i="12"/>
  <c r="T735" i="12"/>
  <c r="U735" i="12"/>
  <c r="T721" i="12"/>
  <c r="U721" i="12"/>
  <c r="T707" i="12"/>
  <c r="U707" i="12"/>
  <c r="T693" i="12"/>
  <c r="U693" i="12"/>
  <c r="T679" i="12"/>
  <c r="U679" i="12"/>
  <c r="T665" i="12"/>
  <c r="U665" i="12"/>
  <c r="T651" i="12"/>
  <c r="U651" i="12"/>
  <c r="T637" i="12"/>
  <c r="U637" i="12"/>
  <c r="T623" i="12"/>
  <c r="U623" i="12"/>
  <c r="T609" i="12"/>
  <c r="U609" i="12"/>
  <c r="T595" i="12"/>
  <c r="U595" i="12"/>
  <c r="T581" i="12"/>
  <c r="U581" i="12"/>
  <c r="T567" i="12"/>
  <c r="U567" i="12"/>
  <c r="T553" i="12"/>
  <c r="U553" i="12"/>
  <c r="T539" i="12"/>
  <c r="U539" i="12"/>
  <c r="T525" i="12"/>
  <c r="U525" i="12"/>
  <c r="T511" i="12"/>
  <c r="U511" i="12"/>
  <c r="T497" i="12"/>
  <c r="U497" i="12"/>
  <c r="T483" i="12"/>
  <c r="U483" i="12"/>
  <c r="T469" i="12"/>
  <c r="U469" i="12"/>
  <c r="T455" i="12"/>
  <c r="U455" i="12"/>
  <c r="T441" i="12"/>
  <c r="U441" i="12"/>
  <c r="T427" i="12"/>
  <c r="U427" i="12"/>
  <c r="T413" i="12"/>
  <c r="U413" i="12"/>
  <c r="T399" i="12"/>
  <c r="U399" i="12"/>
  <c r="T385" i="12"/>
  <c r="U385" i="12"/>
  <c r="T371" i="12"/>
  <c r="U371" i="12"/>
  <c r="T357" i="12"/>
  <c r="U357" i="12"/>
  <c r="T343" i="12"/>
  <c r="U343" i="12"/>
  <c r="T329" i="12"/>
  <c r="U329" i="12"/>
  <c r="T315" i="12"/>
  <c r="U315" i="12"/>
  <c r="T301" i="12"/>
  <c r="U301" i="12"/>
  <c r="T287" i="12"/>
  <c r="U287" i="12"/>
  <c r="T273" i="12"/>
  <c r="U273" i="12"/>
  <c r="T259" i="12"/>
  <c r="U259" i="12"/>
  <c r="T245" i="12"/>
  <c r="U245" i="12"/>
  <c r="T231" i="12"/>
  <c r="U231" i="12"/>
  <c r="T217" i="12"/>
  <c r="U217" i="12"/>
  <c r="T203" i="12"/>
  <c r="U203" i="12"/>
  <c r="T189" i="12"/>
  <c r="U189" i="12"/>
  <c r="T175" i="12"/>
  <c r="U175" i="12"/>
  <c r="T161" i="12"/>
  <c r="T147" i="12"/>
  <c r="T133" i="12"/>
  <c r="T119" i="12"/>
  <c r="T105" i="12"/>
  <c r="T91" i="12"/>
  <c r="T77" i="12"/>
  <c r="U77" i="12"/>
  <c r="T63" i="12"/>
  <c r="U63" i="12"/>
  <c r="U187" i="12"/>
  <c r="U207" i="12"/>
  <c r="U285" i="12"/>
  <c r="U305" i="12"/>
  <c r="U383" i="12"/>
  <c r="U481" i="12"/>
  <c r="T594" i="12"/>
  <c r="U594" i="12"/>
  <c r="T580" i="12"/>
  <c r="U580" i="12"/>
  <c r="T566" i="12"/>
  <c r="U566" i="12"/>
  <c r="T552" i="12"/>
  <c r="U552" i="12"/>
  <c r="T538" i="12"/>
  <c r="U538" i="12"/>
  <c r="T524" i="12"/>
  <c r="U524" i="12"/>
  <c r="T510" i="12"/>
  <c r="U510" i="12"/>
  <c r="T496" i="12"/>
  <c r="U496" i="12"/>
  <c r="T482" i="12"/>
  <c r="U482" i="12"/>
  <c r="T468" i="12"/>
  <c r="U468" i="12"/>
  <c r="T454" i="12"/>
  <c r="U454" i="12"/>
  <c r="T440" i="12"/>
  <c r="U440" i="12"/>
  <c r="T426" i="12"/>
  <c r="U426" i="12"/>
  <c r="T412" i="12"/>
  <c r="U412" i="12"/>
  <c r="T398" i="12"/>
  <c r="U398" i="12"/>
  <c r="T384" i="12"/>
  <c r="U384" i="12"/>
  <c r="T370" i="12"/>
  <c r="U370" i="12"/>
  <c r="T356" i="12"/>
  <c r="U356" i="12"/>
  <c r="T342" i="12"/>
  <c r="U342" i="12"/>
  <c r="T328" i="12"/>
  <c r="U328" i="12"/>
  <c r="T314" i="12"/>
  <c r="U314" i="12"/>
  <c r="T300" i="12"/>
  <c r="U300" i="12"/>
  <c r="T286" i="12"/>
  <c r="U286" i="12"/>
  <c r="T272" i="12"/>
  <c r="U272" i="12"/>
  <c r="T258" i="12"/>
  <c r="U258" i="12"/>
  <c r="T244" i="12"/>
  <c r="U244" i="12"/>
  <c r="T230" i="12"/>
  <c r="U230" i="12"/>
  <c r="T216" i="12"/>
  <c r="U216" i="12"/>
  <c r="T202" i="12"/>
  <c r="U202" i="12"/>
  <c r="T188" i="12"/>
  <c r="U188" i="12"/>
  <c r="T174" i="12"/>
  <c r="U174" i="12"/>
  <c r="T160" i="12"/>
  <c r="T146" i="12"/>
  <c r="T132" i="12"/>
  <c r="T118" i="12"/>
  <c r="T104" i="12"/>
  <c r="T90" i="12"/>
  <c r="T76" i="12"/>
  <c r="U76" i="12"/>
  <c r="T62" i="12"/>
  <c r="U62" i="12"/>
  <c r="U190" i="12"/>
  <c r="U208" i="12"/>
  <c r="U227" i="12"/>
  <c r="U248" i="12"/>
  <c r="U288" i="12"/>
  <c r="U306" i="12"/>
  <c r="U325" i="12"/>
  <c r="U346" i="12"/>
  <c r="U386" i="12"/>
  <c r="U404" i="12"/>
  <c r="U423" i="12"/>
  <c r="U484" i="12"/>
  <c r="U502" i="12"/>
  <c r="U582" i="12"/>
  <c r="U624" i="12"/>
  <c r="U736" i="12"/>
  <c r="T89" i="12"/>
  <c r="T75" i="12"/>
  <c r="U75" i="12"/>
  <c r="T61" i="12"/>
  <c r="U61" i="12"/>
  <c r="U171" i="12"/>
  <c r="U229" i="12"/>
  <c r="U249" i="12"/>
  <c r="U327" i="12"/>
  <c r="U347" i="12"/>
  <c r="U425" i="12"/>
  <c r="U652" i="12"/>
  <c r="T550" i="12"/>
  <c r="U550" i="12"/>
  <c r="T536" i="12"/>
  <c r="U536" i="12"/>
  <c r="T522" i="12"/>
  <c r="U522" i="12"/>
  <c r="T508" i="12"/>
  <c r="U508" i="12"/>
  <c r="T494" i="12"/>
  <c r="U494" i="12"/>
  <c r="T480" i="12"/>
  <c r="U480" i="12"/>
  <c r="T466" i="12"/>
  <c r="U466" i="12"/>
  <c r="T452" i="12"/>
  <c r="U452" i="12"/>
  <c r="T438" i="12"/>
  <c r="U438" i="12"/>
  <c r="T424" i="12"/>
  <c r="U424" i="12"/>
  <c r="T410" i="12"/>
  <c r="U410" i="12"/>
  <c r="T396" i="12"/>
  <c r="U396" i="12"/>
  <c r="T382" i="12"/>
  <c r="U382" i="12"/>
  <c r="T368" i="12"/>
  <c r="U368" i="12"/>
  <c r="T354" i="12"/>
  <c r="U354" i="12"/>
  <c r="T340" i="12"/>
  <c r="U340" i="12"/>
  <c r="T326" i="12"/>
  <c r="U326" i="12"/>
  <c r="T312" i="12"/>
  <c r="U312" i="12"/>
  <c r="T298" i="12"/>
  <c r="U298" i="12"/>
  <c r="T284" i="12"/>
  <c r="U284" i="12"/>
  <c r="T270" i="12"/>
  <c r="U270" i="12"/>
  <c r="T256" i="12"/>
  <c r="U256" i="12"/>
  <c r="T242" i="12"/>
  <c r="U242" i="12"/>
  <c r="T228" i="12"/>
  <c r="U228" i="12"/>
  <c r="T214" i="12"/>
  <c r="U214" i="12"/>
  <c r="T200" i="12"/>
  <c r="U200" i="12"/>
  <c r="T186" i="12"/>
  <c r="U186" i="12"/>
  <c r="T88" i="12"/>
  <c r="U88" i="12"/>
  <c r="T74" i="12"/>
  <c r="U74" i="12"/>
  <c r="T60" i="12"/>
  <c r="U60" i="12"/>
  <c r="U101" i="12"/>
  <c r="U115" i="12"/>
  <c r="U129" i="12"/>
  <c r="U143" i="12"/>
  <c r="U157" i="12"/>
  <c r="U172" i="12"/>
  <c r="U192" i="12"/>
  <c r="U232" i="12"/>
  <c r="U250" i="12"/>
  <c r="U269" i="12"/>
  <c r="U290" i="12"/>
  <c r="U330" i="12"/>
  <c r="U348" i="12"/>
  <c r="U367" i="12"/>
  <c r="U388" i="12"/>
  <c r="U428" i="12"/>
  <c r="U446" i="12"/>
  <c r="U465" i="12"/>
  <c r="U526" i="12"/>
  <c r="U544" i="12"/>
  <c r="U694" i="12"/>
  <c r="T87" i="12"/>
  <c r="U87" i="12"/>
  <c r="T73" i="12"/>
  <c r="U73" i="12"/>
  <c r="T59" i="12"/>
  <c r="U59" i="12"/>
  <c r="U54" i="12"/>
  <c r="U102" i="12"/>
  <c r="U116" i="12"/>
  <c r="U130" i="12"/>
  <c r="U144" i="12"/>
  <c r="U158" i="12"/>
  <c r="U173" i="12"/>
  <c r="U193" i="12"/>
  <c r="U271" i="12"/>
  <c r="U291" i="12"/>
  <c r="U369" i="12"/>
  <c r="U467" i="12"/>
  <c r="T534" i="12"/>
  <c r="T520" i="12"/>
  <c r="T506" i="12"/>
  <c r="T492" i="12"/>
  <c r="T478" i="12"/>
  <c r="T464" i="12"/>
  <c r="T450" i="12"/>
  <c r="T436" i="12"/>
  <c r="T422" i="12"/>
  <c r="T408" i="12"/>
  <c r="T394" i="12"/>
  <c r="T380" i="12"/>
  <c r="T366" i="12"/>
  <c r="T352" i="12"/>
  <c r="T338" i="12"/>
  <c r="T324" i="12"/>
  <c r="T310" i="12"/>
  <c r="T296" i="12"/>
  <c r="T282" i="12"/>
  <c r="T268" i="12"/>
  <c r="T254" i="12"/>
  <c r="T240" i="12"/>
  <c r="T226" i="12"/>
  <c r="T212" i="12"/>
  <c r="T198" i="12"/>
  <c r="T184" i="12"/>
  <c r="T170" i="12"/>
  <c r="T156" i="12"/>
  <c r="T142" i="12"/>
  <c r="T128" i="12"/>
  <c r="T114" i="12"/>
  <c r="T100" i="12"/>
  <c r="T86" i="12"/>
  <c r="U86" i="12"/>
  <c r="T72" i="12"/>
  <c r="U72" i="12"/>
  <c r="T58" i="12"/>
  <c r="U58" i="12"/>
  <c r="U89" i="12"/>
  <c r="U103" i="12"/>
  <c r="U117" i="12"/>
  <c r="U131" i="12"/>
  <c r="U145" i="12"/>
  <c r="U159" i="12"/>
  <c r="U176" i="12"/>
  <c r="U194" i="12"/>
  <c r="U213" i="12"/>
  <c r="U234" i="12"/>
  <c r="U274" i="12"/>
  <c r="U292" i="12"/>
  <c r="U311" i="12"/>
  <c r="U332" i="12"/>
  <c r="U372" i="12"/>
  <c r="U390" i="12"/>
  <c r="U409" i="12"/>
  <c r="U470" i="12"/>
  <c r="U488" i="12"/>
  <c r="U568" i="12"/>
  <c r="U586" i="12"/>
  <c r="U750" i="12"/>
  <c r="T477" i="12"/>
  <c r="T463" i="12"/>
  <c r="T449" i="12"/>
  <c r="T435" i="12"/>
  <c r="T421" i="12"/>
  <c r="T407" i="12"/>
  <c r="T393" i="12"/>
  <c r="T379" i="12"/>
  <c r="T365" i="12"/>
  <c r="T351" i="12"/>
  <c r="T337" i="12"/>
  <c r="T323" i="12"/>
  <c r="T309" i="12"/>
  <c r="T295" i="12"/>
  <c r="T281" i="12"/>
  <c r="T267" i="12"/>
  <c r="T253" i="12"/>
  <c r="T239" i="12"/>
  <c r="T225" i="12"/>
  <c r="T211" i="12"/>
  <c r="T197" i="12"/>
  <c r="T183" i="12"/>
  <c r="T169" i="12"/>
  <c r="T155" i="12"/>
  <c r="T141" i="12"/>
  <c r="T127" i="12"/>
  <c r="T113" i="12"/>
  <c r="T99" i="12"/>
  <c r="T85" i="12"/>
  <c r="U85" i="12"/>
  <c r="T71" i="12"/>
  <c r="U71" i="12"/>
  <c r="T57" i="12"/>
  <c r="U57" i="12"/>
  <c r="U90" i="12"/>
  <c r="U104" i="12"/>
  <c r="U118" i="12"/>
  <c r="U132" i="12"/>
  <c r="U146" i="12"/>
  <c r="U160" i="12"/>
  <c r="U215" i="12"/>
  <c r="U235" i="12"/>
  <c r="U254" i="12"/>
  <c r="U313" i="12"/>
  <c r="U333" i="12"/>
  <c r="U352" i="12"/>
  <c r="U411" i="12"/>
  <c r="U450" i="12"/>
  <c r="U548" i="12"/>
  <c r="U610" i="12"/>
  <c r="U91" i="12"/>
  <c r="U105" i="12"/>
  <c r="U119" i="12"/>
  <c r="U133" i="12"/>
  <c r="U147" i="12"/>
  <c r="U161" i="12"/>
  <c r="U178" i="12"/>
  <c r="U197" i="12"/>
  <c r="U218" i="12"/>
  <c r="U236" i="12"/>
  <c r="U255" i="12"/>
  <c r="U276" i="12"/>
  <c r="U295" i="12"/>
  <c r="U316" i="12"/>
  <c r="U334" i="12"/>
  <c r="U353" i="12"/>
  <c r="U374" i="12"/>
  <c r="U393" i="12"/>
  <c r="U414" i="12"/>
  <c r="U432" i="12"/>
  <c r="U451" i="12"/>
  <c r="U512" i="12"/>
  <c r="U530" i="12"/>
  <c r="U708" i="12"/>
  <c r="T1217" i="12"/>
  <c r="U1217" i="12"/>
  <c r="T1203" i="12"/>
  <c r="U1203" i="12"/>
  <c r="T1189" i="12"/>
  <c r="U1189" i="12"/>
  <c r="T1175" i="12"/>
  <c r="U1175" i="12"/>
  <c r="T1161" i="12"/>
  <c r="U1161" i="12"/>
  <c r="T1147" i="12"/>
  <c r="U1147" i="12"/>
  <c r="T1133" i="12"/>
  <c r="U1133" i="12"/>
  <c r="T1119" i="12"/>
  <c r="U1119" i="12"/>
  <c r="T1105" i="12"/>
  <c r="U1105" i="12"/>
  <c r="T1091" i="12"/>
  <c r="U1091" i="12"/>
  <c r="T1077" i="12"/>
  <c r="U1077" i="12"/>
  <c r="T1063" i="12"/>
  <c r="U1063" i="12"/>
  <c r="T1049" i="12"/>
  <c r="U1049" i="12"/>
  <c r="T1035" i="12"/>
  <c r="U1035" i="12"/>
  <c r="T1021" i="12"/>
  <c r="U1021" i="12"/>
  <c r="T1007" i="12"/>
  <c r="U1007" i="12"/>
  <c r="T993" i="12"/>
  <c r="U993" i="12"/>
  <c r="T979" i="12"/>
  <c r="U979" i="12"/>
  <c r="T965" i="12"/>
  <c r="U965" i="12"/>
  <c r="T951" i="12"/>
  <c r="U951" i="12"/>
  <c r="T937" i="12"/>
  <c r="U937" i="12"/>
  <c r="T923" i="12"/>
  <c r="U923" i="12"/>
  <c r="T909" i="12"/>
  <c r="U909" i="12"/>
  <c r="T895" i="12"/>
  <c r="U895" i="12"/>
  <c r="T881" i="12"/>
  <c r="U881" i="12"/>
  <c r="T867" i="12"/>
  <c r="U867" i="12"/>
  <c r="T853" i="12"/>
  <c r="U853" i="12"/>
  <c r="T839" i="12"/>
  <c r="U839" i="12"/>
  <c r="T825" i="12"/>
  <c r="U825" i="12"/>
  <c r="T811" i="12"/>
  <c r="U811" i="12"/>
  <c r="T797" i="12"/>
  <c r="U797" i="12"/>
  <c r="T783" i="12"/>
  <c r="U783" i="12"/>
  <c r="T769" i="12"/>
  <c r="U769" i="12"/>
  <c r="T755" i="12"/>
  <c r="U755" i="12"/>
  <c r="T741" i="12"/>
  <c r="U741" i="12"/>
  <c r="T727" i="12"/>
  <c r="U727" i="12"/>
  <c r="T713" i="12"/>
  <c r="U713" i="12"/>
  <c r="T699" i="12"/>
  <c r="U699" i="12"/>
  <c r="T685" i="12"/>
  <c r="U685" i="12"/>
  <c r="T671" i="12"/>
  <c r="U671" i="12"/>
  <c r="T657" i="12"/>
  <c r="U657" i="12"/>
  <c r="T643" i="12"/>
  <c r="U643" i="12"/>
  <c r="T629" i="12"/>
  <c r="U629" i="12"/>
  <c r="T615" i="12"/>
  <c r="U615" i="12"/>
  <c r="T601" i="12"/>
  <c r="U601" i="12"/>
  <c r="T587" i="12"/>
  <c r="U587" i="12"/>
  <c r="T573" i="12"/>
  <c r="U573" i="12"/>
  <c r="T559" i="12"/>
  <c r="U559" i="12"/>
  <c r="T545" i="12"/>
  <c r="U545" i="12"/>
  <c r="T531" i="12"/>
  <c r="U531" i="12"/>
  <c r="T517" i="12"/>
  <c r="U517" i="12"/>
  <c r="T503" i="12"/>
  <c r="U503" i="12"/>
  <c r="T489" i="12"/>
  <c r="U489" i="12"/>
  <c r="T475" i="12"/>
  <c r="U475" i="12"/>
  <c r="T461" i="12"/>
  <c r="U461" i="12"/>
  <c r="T447" i="12"/>
  <c r="U447" i="12"/>
  <c r="T433" i="12"/>
  <c r="U433" i="12"/>
  <c r="T419" i="12"/>
  <c r="U419" i="12"/>
  <c r="T405" i="12"/>
  <c r="U405" i="12"/>
  <c r="T391" i="12"/>
  <c r="U391" i="12"/>
  <c r="T377" i="12"/>
  <c r="U377" i="12"/>
  <c r="T363" i="12"/>
  <c r="U363" i="12"/>
  <c r="T349" i="12"/>
  <c r="U349" i="12"/>
  <c r="T335" i="12"/>
  <c r="U335" i="12"/>
  <c r="T321" i="12"/>
  <c r="U321" i="12"/>
  <c r="T307" i="12"/>
  <c r="U307" i="12"/>
  <c r="T293" i="12"/>
  <c r="U293" i="12"/>
  <c r="T279" i="12"/>
  <c r="U279" i="12"/>
  <c r="T265" i="12"/>
  <c r="U265" i="12"/>
  <c r="T251" i="12"/>
  <c r="U251" i="12"/>
  <c r="T237" i="12"/>
  <c r="U237" i="12"/>
  <c r="T223" i="12"/>
  <c r="U223" i="12"/>
  <c r="T209" i="12"/>
  <c r="U209" i="12"/>
  <c r="T195" i="12"/>
  <c r="U195" i="12"/>
  <c r="T181" i="12"/>
  <c r="U181" i="12"/>
  <c r="T167" i="12"/>
  <c r="U167" i="12"/>
  <c r="T153" i="12"/>
  <c r="T139" i="12"/>
  <c r="T125" i="12"/>
  <c r="T111" i="12"/>
  <c r="T97" i="12"/>
  <c r="T83" i="12"/>
  <c r="U83" i="12"/>
  <c r="T69" i="12"/>
  <c r="U69" i="12"/>
  <c r="T55" i="12"/>
  <c r="U55" i="12"/>
  <c r="U92" i="12"/>
  <c r="U106" i="12"/>
  <c r="U120" i="12"/>
  <c r="U134" i="12"/>
  <c r="U148" i="12"/>
  <c r="U162" i="12"/>
  <c r="U179" i="12"/>
  <c r="U198" i="12"/>
  <c r="U257" i="12"/>
  <c r="U277" i="12"/>
  <c r="U296" i="12"/>
  <c r="U355" i="12"/>
  <c r="U394" i="12"/>
  <c r="U453" i="12"/>
  <c r="U492" i="12"/>
  <c r="I4953" i="12"/>
  <c r="I4945" i="12"/>
  <c r="I4937" i="12"/>
  <c r="I4929" i="12"/>
  <c r="I4921" i="12"/>
  <c r="I4913" i="12"/>
  <c r="I4905" i="12"/>
  <c r="I4897" i="12"/>
  <c r="I4889" i="12"/>
  <c r="I4881" i="12"/>
  <c r="I4873" i="12"/>
  <c r="I4865" i="12"/>
  <c r="I4857" i="12"/>
  <c r="I4849" i="12"/>
  <c r="I4841" i="12"/>
  <c r="I4833" i="12"/>
  <c r="I4825" i="12"/>
  <c r="I4817" i="12"/>
  <c r="I4809" i="12"/>
  <c r="I4801" i="12"/>
  <c r="I4793" i="12"/>
  <c r="I4785" i="12"/>
  <c r="I4777" i="12"/>
  <c r="I4769" i="12"/>
  <c r="I4761" i="12"/>
  <c r="I4753" i="12"/>
  <c r="I4745" i="12"/>
  <c r="I4737" i="12"/>
  <c r="I4729" i="12"/>
  <c r="I4721" i="12"/>
  <c r="I4713" i="12"/>
  <c r="I4705" i="12"/>
  <c r="I4697" i="12"/>
  <c r="I4689" i="12"/>
  <c r="I4681" i="12"/>
  <c r="I4673" i="12"/>
  <c r="I4665" i="12"/>
  <c r="I4657" i="12"/>
  <c r="I4649" i="12"/>
  <c r="I4641" i="12"/>
  <c r="I4633" i="12"/>
  <c r="I4625" i="12"/>
  <c r="I4617" i="12"/>
  <c r="I4609" i="12"/>
  <c r="I4601" i="12"/>
  <c r="I4593" i="12"/>
  <c r="I4585" i="12"/>
  <c r="I4577" i="12"/>
  <c r="I4569" i="12"/>
  <c r="I4561" i="12"/>
  <c r="I4553" i="12"/>
  <c r="I4545" i="12"/>
  <c r="I4537" i="12"/>
  <c r="I4529" i="12"/>
  <c r="I4521" i="12"/>
  <c r="I4513" i="12"/>
  <c r="I4505" i="12"/>
  <c r="I4497" i="12"/>
  <c r="I4489" i="12"/>
  <c r="I4481" i="12"/>
  <c r="I4473" i="12"/>
  <c r="I4465" i="12"/>
  <c r="I4457" i="12"/>
  <c r="I4449" i="12"/>
  <c r="I4441" i="12"/>
  <c r="I4433" i="12"/>
  <c r="I4425" i="12"/>
  <c r="I4417" i="12"/>
  <c r="I4409" i="12"/>
  <c r="I4401" i="12"/>
  <c r="I4393" i="12"/>
  <c r="I4385" i="12"/>
  <c r="I4377" i="12"/>
  <c r="I4369" i="12"/>
  <c r="I4361" i="12"/>
  <c r="I4353" i="12"/>
  <c r="I4345" i="12"/>
  <c r="I4337" i="12"/>
  <c r="I4329" i="12"/>
  <c r="I4321" i="12"/>
  <c r="I4313" i="12"/>
  <c r="I4305" i="12"/>
  <c r="I4297" i="12"/>
  <c r="I4289" i="12"/>
  <c r="I4281" i="12"/>
  <c r="I4273" i="12"/>
  <c r="I4265" i="12"/>
  <c r="I4257" i="12"/>
  <c r="I4249" i="12"/>
  <c r="I4241" i="12"/>
  <c r="I4233" i="12"/>
  <c r="I4225" i="12"/>
  <c r="I4217" i="12"/>
  <c r="I4209" i="12"/>
  <c r="I4201" i="12"/>
  <c r="I4193" i="12"/>
  <c r="I4185" i="12"/>
  <c r="I4177" i="12"/>
  <c r="I4169" i="12"/>
  <c r="I4161" i="12"/>
  <c r="I4153" i="12"/>
  <c r="I4145" i="12"/>
  <c r="I4137" i="12"/>
  <c r="I4129" i="12"/>
  <c r="I4121" i="12"/>
  <c r="I4113" i="12"/>
  <c r="I4105" i="12"/>
  <c r="I4097" i="12"/>
  <c r="I4089" i="12"/>
  <c r="I4081" i="12"/>
  <c r="I4073" i="12"/>
  <c r="I4065" i="12"/>
  <c r="I4057" i="12"/>
  <c r="I4049" i="12"/>
  <c r="I4041" i="12"/>
  <c r="I4033" i="12"/>
  <c r="I4025" i="12"/>
  <c r="I4017" i="12"/>
  <c r="I4009" i="12"/>
  <c r="I4001" i="12"/>
  <c r="I3993" i="12"/>
  <c r="I3985" i="12"/>
  <c r="I3977" i="12"/>
  <c r="I3969" i="12"/>
  <c r="I3961" i="12"/>
  <c r="I3953" i="12"/>
  <c r="I3945" i="12"/>
  <c r="I3937" i="12"/>
  <c r="I3929" i="12"/>
  <c r="I3921" i="12"/>
  <c r="I3913" i="12"/>
  <c r="I3905" i="12"/>
  <c r="I3897" i="12"/>
  <c r="I3889" i="12"/>
  <c r="I3881" i="12"/>
  <c r="I3873" i="12"/>
  <c r="I3865" i="12"/>
  <c r="I3857" i="12"/>
  <c r="I3849" i="12"/>
  <c r="I3841" i="12"/>
  <c r="I3833" i="12"/>
  <c r="I3825" i="12"/>
  <c r="I3817" i="12"/>
  <c r="I3809" i="12"/>
  <c r="I3801" i="12"/>
  <c r="I3793" i="12"/>
  <c r="I3785" i="12"/>
  <c r="I3777" i="12"/>
  <c r="I3769" i="12"/>
  <c r="I3761" i="12"/>
  <c r="I3753" i="12"/>
  <c r="I3745" i="12"/>
  <c r="I3737" i="12"/>
  <c r="I3729" i="12"/>
  <c r="I3721" i="12"/>
  <c r="I3713" i="12"/>
  <c r="I3705" i="12"/>
  <c r="I3697" i="12"/>
  <c r="I3689" i="12"/>
  <c r="I3681" i="12"/>
  <c r="I3673" i="12"/>
  <c r="I3665" i="12"/>
  <c r="I3657" i="12"/>
  <c r="I3649" i="12"/>
  <c r="I3641" i="12"/>
  <c r="I3633" i="12"/>
  <c r="I3625" i="12"/>
  <c r="I3617" i="12"/>
  <c r="I3609" i="12"/>
  <c r="I3601" i="12"/>
  <c r="I3593" i="12"/>
  <c r="I3585" i="12"/>
  <c r="I3577" i="12"/>
  <c r="I3569" i="12"/>
  <c r="I3561" i="12"/>
  <c r="I3553" i="12"/>
  <c r="I3545" i="12"/>
  <c r="I3537" i="12"/>
  <c r="I3529" i="12"/>
  <c r="I3521" i="12"/>
  <c r="I3513" i="12"/>
  <c r="I3505" i="12"/>
  <c r="I3497" i="12"/>
  <c r="I3489" i="12"/>
  <c r="I3481" i="12"/>
  <c r="I3473" i="12"/>
  <c r="I3465" i="12"/>
  <c r="I3457" i="12"/>
  <c r="I3449" i="12"/>
  <c r="I3441" i="12"/>
  <c r="I3433" i="12"/>
  <c r="I3425" i="12"/>
  <c r="I3417" i="12"/>
  <c r="I3409" i="12"/>
  <c r="I3401" i="12"/>
  <c r="I3393" i="12"/>
  <c r="I3385" i="12"/>
  <c r="I3377" i="12"/>
  <c r="I3369" i="12"/>
  <c r="I3361" i="12"/>
  <c r="I3353" i="12"/>
  <c r="I3345" i="12"/>
  <c r="I3337" i="12"/>
  <c r="I3329" i="12"/>
  <c r="I3321" i="12"/>
  <c r="I3313" i="12"/>
  <c r="I3305" i="12"/>
  <c r="I3297" i="12"/>
  <c r="I3289" i="12"/>
  <c r="I3281" i="12"/>
  <c r="I3273" i="12"/>
  <c r="I3265" i="12"/>
  <c r="I3257" i="12"/>
  <c r="I3249" i="12"/>
  <c r="I3241" i="12"/>
  <c r="I3233" i="12"/>
  <c r="I3225" i="12"/>
  <c r="I3217" i="12"/>
  <c r="I3209" i="12"/>
  <c r="I3201" i="12"/>
  <c r="I3193" i="12"/>
  <c r="I3185" i="12"/>
  <c r="I3177" i="12"/>
  <c r="I3169" i="12"/>
  <c r="I3161" i="12"/>
  <c r="I3153" i="12"/>
  <c r="I3145" i="12"/>
  <c r="I3137" i="12"/>
  <c r="I3129" i="12"/>
  <c r="I3121" i="12"/>
  <c r="I3113" i="12"/>
  <c r="I3105" i="12"/>
  <c r="I3097" i="12"/>
  <c r="I3089" i="12"/>
  <c r="I3081" i="12"/>
  <c r="I3073" i="12"/>
  <c r="I3065" i="12"/>
  <c r="I3057" i="12"/>
  <c r="I3049" i="12"/>
  <c r="I3041" i="12"/>
  <c r="I3033" i="12"/>
  <c r="I3025" i="12"/>
  <c r="I3017" i="12"/>
  <c r="I3009" i="12"/>
  <c r="I3001" i="12"/>
  <c r="I2993" i="12"/>
  <c r="I2985" i="12"/>
  <c r="I2977" i="12"/>
  <c r="I2969" i="12"/>
  <c r="I2961" i="12"/>
  <c r="I2953" i="12"/>
  <c r="I2945" i="12"/>
  <c r="I2937" i="12"/>
  <c r="I2929" i="12"/>
  <c r="I2921" i="12"/>
  <c r="I2913" i="12"/>
  <c r="I2905" i="12"/>
  <c r="I2897" i="12"/>
  <c r="I2889" i="12"/>
  <c r="I2881" i="12"/>
  <c r="I2873" i="12"/>
  <c r="I2865" i="12"/>
  <c r="I2857" i="12"/>
  <c r="I2849" i="12"/>
  <c r="I2841" i="12"/>
  <c r="I2833" i="12"/>
  <c r="I2825" i="12"/>
  <c r="I2817" i="12"/>
  <c r="I2809" i="12"/>
  <c r="I2801" i="12"/>
  <c r="I2793" i="12"/>
  <c r="I2785" i="12"/>
  <c r="I2777" i="12"/>
  <c r="I2769" i="12"/>
  <c r="I2761" i="12"/>
  <c r="I2753" i="12"/>
  <c r="I2745" i="12"/>
  <c r="I2737" i="12"/>
  <c r="I2729" i="12"/>
  <c r="I2721" i="12"/>
  <c r="I2713" i="12"/>
  <c r="I2705" i="12"/>
  <c r="I2697" i="12"/>
  <c r="I2689" i="12"/>
  <c r="I2681" i="12"/>
  <c r="I2673" i="12"/>
  <c r="I2665" i="12"/>
  <c r="I2657" i="12"/>
  <c r="I2649" i="12"/>
  <c r="I2641" i="12"/>
  <c r="I2633" i="12"/>
  <c r="I2625" i="12"/>
  <c r="I2617" i="12"/>
  <c r="I2609" i="12"/>
  <c r="I2601" i="12"/>
  <c r="I2593" i="12"/>
  <c r="I2585" i="12"/>
  <c r="I2577" i="12"/>
  <c r="I2569" i="12"/>
  <c r="I2561" i="12"/>
  <c r="I2553" i="12"/>
  <c r="I2545" i="12"/>
  <c r="I2537" i="12"/>
  <c r="I2529" i="12"/>
  <c r="I2521" i="12"/>
  <c r="I2513" i="12"/>
  <c r="I2505" i="12"/>
  <c r="I2497" i="12"/>
  <c r="I2489" i="12"/>
  <c r="I2481" i="12"/>
  <c r="I2473" i="12"/>
  <c r="I2465" i="12"/>
  <c r="I2457" i="12"/>
  <c r="I2449" i="12"/>
  <c r="I2441" i="12"/>
  <c r="I2433" i="12"/>
  <c r="I2425" i="12"/>
  <c r="I2417" i="12"/>
  <c r="I2409" i="12"/>
  <c r="I2401" i="12"/>
  <c r="I2393" i="12"/>
  <c r="I2385" i="12"/>
  <c r="I2377" i="12"/>
  <c r="I2369" i="12"/>
  <c r="I2361" i="12"/>
  <c r="I2353" i="12"/>
  <c r="I2345" i="12"/>
  <c r="I2337" i="12"/>
  <c r="I2329" i="12"/>
  <c r="I2321" i="12"/>
  <c r="I2313" i="12"/>
  <c r="I2305" i="12"/>
  <c r="I2297" i="12"/>
  <c r="I2289" i="12"/>
  <c r="I2281" i="12"/>
  <c r="I2273" i="12"/>
  <c r="I2265" i="12"/>
  <c r="I2257" i="12"/>
  <c r="I2249" i="12"/>
  <c r="I2241" i="12"/>
  <c r="I2233" i="12"/>
  <c r="I2225" i="12"/>
  <c r="I2217" i="12"/>
  <c r="I2209" i="12"/>
  <c r="I2201" i="12"/>
  <c r="I2193" i="12"/>
  <c r="I2185" i="12"/>
  <c r="I2177" i="12"/>
  <c r="I2169" i="12"/>
  <c r="I2161" i="12"/>
  <c r="I2153" i="12"/>
  <c r="I2145" i="12"/>
  <c r="I2137" i="12"/>
  <c r="I2129" i="12"/>
  <c r="I2121" i="12"/>
  <c r="I2113" i="12"/>
  <c r="I2105" i="12"/>
  <c r="I2097" i="12"/>
  <c r="I2089" i="12"/>
  <c r="I2081" i="12"/>
  <c r="I2073" i="12"/>
  <c r="I2065" i="12"/>
  <c r="I2057" i="12"/>
  <c r="I2049" i="12"/>
  <c r="I2041" i="12"/>
  <c r="I2033" i="12"/>
  <c r="I2025" i="12"/>
  <c r="I2017" i="12"/>
  <c r="I2009" i="12"/>
  <c r="I2001" i="12"/>
  <c r="I1993" i="12"/>
  <c r="I1985" i="12"/>
  <c r="I1977" i="12"/>
  <c r="I1969" i="12"/>
  <c r="I1961" i="12"/>
  <c r="I1953" i="12"/>
  <c r="I1945" i="12"/>
  <c r="I1937" i="12"/>
  <c r="I1929" i="12"/>
  <c r="I1921" i="12"/>
  <c r="I1913" i="12"/>
  <c r="I1905" i="12"/>
  <c r="I1897" i="12"/>
  <c r="I1889" i="12"/>
  <c r="I1881" i="12"/>
  <c r="I1873" i="12"/>
  <c r="I1865" i="12"/>
  <c r="I1857" i="12"/>
  <c r="I1849" i="12"/>
  <c r="I1841" i="12"/>
  <c r="I1833" i="12"/>
  <c r="I1825" i="12"/>
  <c r="I1817" i="12"/>
  <c r="I1809" i="12"/>
  <c r="I1801" i="12"/>
  <c r="I1793" i="12"/>
  <c r="I1785" i="12"/>
  <c r="I1777" i="12"/>
  <c r="I1769" i="12"/>
  <c r="I1761" i="12"/>
  <c r="I1753" i="12"/>
  <c r="I1745" i="12"/>
  <c r="I1737" i="12"/>
  <c r="I1729" i="12"/>
  <c r="I1721" i="12"/>
  <c r="I1713" i="12"/>
  <c r="I1705" i="12"/>
  <c r="I1697" i="12"/>
  <c r="I1689" i="12"/>
  <c r="I1681" i="12"/>
  <c r="I1673" i="12"/>
  <c r="I1665" i="12"/>
  <c r="I1657" i="12"/>
  <c r="I1649" i="12"/>
  <c r="I1641" i="12"/>
  <c r="I1633" i="12"/>
  <c r="I1625" i="12"/>
  <c r="I1617" i="12"/>
  <c r="I1609" i="12"/>
  <c r="I1601" i="12"/>
  <c r="I1593" i="12"/>
  <c r="I1585" i="12"/>
  <c r="I1577" i="12"/>
  <c r="I1569" i="12"/>
  <c r="I1561" i="12"/>
  <c r="I1553" i="12"/>
  <c r="I1545" i="12"/>
  <c r="I1537" i="12"/>
  <c r="I1529" i="12"/>
  <c r="I1521" i="12"/>
  <c r="I1513" i="12"/>
  <c r="I1505" i="12"/>
  <c r="I1497" i="12"/>
  <c r="I1489" i="12"/>
  <c r="I1481" i="12"/>
  <c r="I1473" i="12"/>
  <c r="I1465" i="12"/>
  <c r="I1457" i="12"/>
  <c r="I1449" i="12"/>
  <c r="I1441" i="12"/>
  <c r="I1433" i="12"/>
  <c r="I1425" i="12"/>
  <c r="I1417" i="12"/>
  <c r="I1409" i="12"/>
  <c r="I1401" i="12"/>
  <c r="I1393" i="12"/>
  <c r="I1385" i="12"/>
  <c r="I1377" i="12"/>
  <c r="I1369" i="12"/>
  <c r="I1361" i="12"/>
  <c r="I1353" i="12"/>
  <c r="I1345" i="12"/>
  <c r="I1337" i="12"/>
  <c r="I1329" i="12"/>
  <c r="I1321" i="12"/>
  <c r="I1313" i="12"/>
  <c r="I1305" i="12"/>
  <c r="I1297" i="12"/>
  <c r="I1289" i="12"/>
  <c r="I1281" i="12"/>
  <c r="I1273" i="12"/>
  <c r="I4952" i="12"/>
  <c r="I4944" i="12"/>
  <c r="I4936" i="12"/>
  <c r="I4928" i="12"/>
  <c r="I4920" i="12"/>
  <c r="I4912" i="12"/>
  <c r="I4904" i="12"/>
  <c r="I4896" i="12"/>
  <c r="I4888" i="12"/>
  <c r="I4880" i="12"/>
  <c r="I4872" i="12"/>
  <c r="I4864" i="12"/>
  <c r="I4856" i="12"/>
  <c r="I4848" i="12"/>
  <c r="I4840" i="12"/>
  <c r="I4832" i="12"/>
  <c r="I4824" i="12"/>
  <c r="I4816" i="12"/>
  <c r="I4808" i="12"/>
  <c r="I4800" i="12"/>
  <c r="I4792" i="12"/>
  <c r="I4784" i="12"/>
  <c r="I4776" i="12"/>
  <c r="I4768" i="12"/>
  <c r="I4760" i="12"/>
  <c r="I4752" i="12"/>
  <c r="I4744" i="12"/>
  <c r="I4736" i="12"/>
  <c r="I4728" i="12"/>
  <c r="I4720" i="12"/>
  <c r="I4712" i="12"/>
  <c r="I4704" i="12"/>
  <c r="I4696" i="12"/>
  <c r="I4688" i="12"/>
  <c r="I4680" i="12"/>
  <c r="I4672" i="12"/>
  <c r="I4664" i="12"/>
  <c r="I4656" i="12"/>
  <c r="I4648" i="12"/>
  <c r="I4640" i="12"/>
  <c r="I4632" i="12"/>
  <c r="I4624" i="12"/>
  <c r="I4616" i="12"/>
  <c r="I4608" i="12"/>
  <c r="I4600" i="12"/>
  <c r="I4592" i="12"/>
  <c r="I4584" i="12"/>
  <c r="I4576" i="12"/>
  <c r="I4568" i="12"/>
  <c r="I4560" i="12"/>
  <c r="I4552" i="12"/>
  <c r="I4544" i="12"/>
  <c r="I4536" i="12"/>
  <c r="I4528" i="12"/>
  <c r="I4520" i="12"/>
  <c r="I3749" i="12"/>
  <c r="I4948" i="12"/>
  <c r="I4940" i="12"/>
  <c r="I4932" i="12"/>
  <c r="I4924" i="12"/>
  <c r="I4916" i="12"/>
  <c r="I4908" i="12"/>
  <c r="I4900" i="12"/>
  <c r="I4892" i="12"/>
  <c r="I4884" i="12"/>
  <c r="I4876" i="12"/>
  <c r="I4868" i="12"/>
  <c r="I4860" i="12"/>
  <c r="I4852" i="12"/>
  <c r="I4844" i="12"/>
  <c r="I4836" i="12"/>
  <c r="I4828" i="12"/>
  <c r="I4820" i="12"/>
  <c r="I4812" i="12"/>
  <c r="I4804" i="12"/>
  <c r="I4796" i="12"/>
  <c r="I4788" i="12"/>
  <c r="I4780" i="12"/>
  <c r="I4772" i="12"/>
  <c r="I4764" i="12"/>
  <c r="I4756" i="12"/>
  <c r="I4748" i="12"/>
  <c r="I4740" i="12"/>
  <c r="I4732" i="12"/>
  <c r="I4724" i="12"/>
  <c r="I4716" i="12"/>
  <c r="I4708" i="12"/>
  <c r="I4700" i="12"/>
  <c r="I4692" i="12"/>
  <c r="I4684" i="12"/>
  <c r="I4676" i="12"/>
  <c r="I4668" i="12"/>
  <c r="I4660" i="12"/>
  <c r="I4652" i="12"/>
  <c r="I4644" i="12"/>
  <c r="I4636" i="12"/>
  <c r="I4628" i="12"/>
  <c r="I4620" i="12"/>
  <c r="I4612" i="12"/>
  <c r="I4604" i="12"/>
  <c r="I4596" i="12"/>
  <c r="I4588" i="12"/>
  <c r="I4580" i="12"/>
  <c r="I4572" i="12"/>
  <c r="I4564" i="12"/>
  <c r="I4556" i="12"/>
  <c r="I4548" i="12"/>
  <c r="I4540" i="12"/>
  <c r="I4532" i="12"/>
  <c r="I4524" i="12"/>
  <c r="I1265" i="12"/>
  <c r="I1257" i="12"/>
  <c r="I1249" i="12"/>
  <c r="I1241" i="12"/>
  <c r="I1233" i="12"/>
  <c r="I1225" i="12"/>
  <c r="I1217" i="12"/>
  <c r="I1209" i="12"/>
  <c r="I1201" i="12"/>
  <c r="I1193" i="12"/>
  <c r="I1185" i="12"/>
  <c r="I1177" i="12"/>
  <c r="I1169" i="12"/>
  <c r="I1161" i="12"/>
  <c r="I1153" i="12"/>
  <c r="I1145" i="12"/>
  <c r="I1137" i="12"/>
  <c r="I1129" i="12"/>
  <c r="I1121" i="12"/>
  <c r="I1113" i="12"/>
  <c r="I1105" i="12"/>
  <c r="I1097" i="12"/>
  <c r="I1089" i="12"/>
  <c r="I1081" i="12"/>
  <c r="I1073" i="12"/>
  <c r="I1065" i="12"/>
  <c r="I1057" i="12"/>
  <c r="I1049" i="12"/>
  <c r="I1041" i="12"/>
  <c r="I1033" i="12"/>
  <c r="I1025" i="12"/>
  <c r="I1017" i="12"/>
  <c r="I1009" i="12"/>
  <c r="I1001" i="12"/>
  <c r="I993" i="12"/>
  <c r="I985" i="12"/>
  <c r="I977" i="12"/>
  <c r="I969" i="12"/>
  <c r="I961" i="12"/>
  <c r="I953" i="12"/>
  <c r="I945" i="12"/>
  <c r="I937" i="12"/>
  <c r="I929" i="12"/>
  <c r="I921" i="12"/>
  <c r="I913" i="12"/>
  <c r="I905" i="12"/>
  <c r="I897" i="12"/>
  <c r="I889" i="12"/>
  <c r="I881" i="12"/>
  <c r="I873" i="12"/>
  <c r="I865" i="12"/>
  <c r="I857" i="12"/>
  <c r="I849" i="12"/>
  <c r="I841" i="12"/>
  <c r="I833" i="12"/>
  <c r="I825" i="12"/>
  <c r="I817" i="12"/>
  <c r="I809" i="12"/>
  <c r="I801" i="12"/>
  <c r="I793" i="12"/>
  <c r="I785" i="12"/>
  <c r="I777" i="12"/>
  <c r="I769" i="12"/>
  <c r="I761" i="12"/>
  <c r="I753" i="12"/>
  <c r="I745" i="12"/>
  <c r="I737" i="12"/>
  <c r="I729" i="12"/>
  <c r="I721" i="12"/>
  <c r="I713" i="12"/>
  <c r="I705" i="12"/>
  <c r="I697" i="12"/>
  <c r="I689" i="12"/>
  <c r="I681" i="12"/>
  <c r="I673" i="12"/>
  <c r="I665" i="12"/>
  <c r="I657" i="12"/>
  <c r="I649" i="12"/>
  <c r="I641" i="12"/>
  <c r="I633" i="12"/>
  <c r="I625" i="12"/>
  <c r="I617" i="12"/>
  <c r="I609" i="12"/>
  <c r="I601" i="12"/>
  <c r="I593" i="12"/>
  <c r="I4512" i="12"/>
  <c r="I4504" i="12"/>
  <c r="I4496" i="12"/>
  <c r="I4488" i="12"/>
  <c r="I4480" i="12"/>
  <c r="I4472" i="12"/>
  <c r="I4464" i="12"/>
  <c r="I4456" i="12"/>
  <c r="I4448" i="12"/>
  <c r="I4440" i="12"/>
  <c r="I4432" i="12"/>
  <c r="I4424" i="12"/>
  <c r="I4416" i="12"/>
  <c r="I4408" i="12"/>
  <c r="I4400" i="12"/>
  <c r="I4392" i="12"/>
  <c r="I4384" i="12"/>
  <c r="I4376" i="12"/>
  <c r="I4368" i="12"/>
  <c r="I4360" i="12"/>
  <c r="I4352" i="12"/>
  <c r="I4344" i="12"/>
  <c r="I4336" i="12"/>
  <c r="I4328" i="12"/>
  <c r="I4320" i="12"/>
  <c r="I4312" i="12"/>
  <c r="I4304" i="12"/>
  <c r="I4296" i="12"/>
  <c r="I4288" i="12"/>
  <c r="I4280" i="12"/>
  <c r="I4272" i="12"/>
  <c r="I4264" i="12"/>
  <c r="I4256" i="12"/>
  <c r="I4248" i="12"/>
  <c r="I4240" i="12"/>
  <c r="I4232" i="12"/>
  <c r="I4224" i="12"/>
  <c r="I4216" i="12"/>
  <c r="I4208" i="12"/>
  <c r="I4200" i="12"/>
  <c r="I4192" i="12"/>
  <c r="I4184" i="12"/>
  <c r="I4176" i="12"/>
  <c r="I4168" i="12"/>
  <c r="I4160" i="12"/>
  <c r="I4152" i="12"/>
  <c r="I4144" i="12"/>
  <c r="I4136" i="12"/>
  <c r="I4128" i="12"/>
  <c r="I4120" i="12"/>
  <c r="I4112" i="12"/>
  <c r="I4104" i="12"/>
  <c r="I4096" i="12"/>
  <c r="I4088" i="12"/>
  <c r="I4080" i="12"/>
  <c r="I4072" i="12"/>
  <c r="I4064" i="12"/>
  <c r="I4056" i="12"/>
  <c r="I4048" i="12"/>
  <c r="I4040" i="12"/>
  <c r="I4032" i="12"/>
  <c r="I4024" i="12"/>
  <c r="I4016" i="12"/>
  <c r="I4008" i="12"/>
  <c r="I4000" i="12"/>
  <c r="I3992" i="12"/>
  <c r="I3984" i="12"/>
  <c r="I3976" i="12"/>
  <c r="I3968" i="12"/>
  <c r="I3960" i="12"/>
  <c r="I3952" i="12"/>
  <c r="I3944" i="12"/>
  <c r="I3936" i="12"/>
  <c r="I3928" i="12"/>
  <c r="I3920" i="12"/>
  <c r="I3912" i="12"/>
  <c r="I3904" i="12"/>
  <c r="I3896" i="12"/>
  <c r="I3888" i="12"/>
  <c r="I3880" i="12"/>
  <c r="I3872" i="12"/>
  <c r="I3864" i="12"/>
  <c r="I3856" i="12"/>
  <c r="I3848" i="12"/>
  <c r="I3840" i="12"/>
  <c r="I3832" i="12"/>
  <c r="I3824" i="12"/>
  <c r="I3816" i="12"/>
  <c r="I3808" i="12"/>
  <c r="I3800" i="12"/>
  <c r="I3792" i="12"/>
  <c r="I3784" i="12"/>
  <c r="I3776" i="12"/>
  <c r="I3768" i="12"/>
  <c r="I3760" i="12"/>
  <c r="I3752" i="12"/>
  <c r="I3744" i="12"/>
  <c r="I3736" i="12"/>
  <c r="I3728" i="12"/>
  <c r="I3720" i="12"/>
  <c r="I3712" i="12"/>
  <c r="I3704" i="12"/>
  <c r="I3696" i="12"/>
  <c r="I3688" i="12"/>
  <c r="I3680" i="12"/>
  <c r="I3672" i="12"/>
  <c r="I3664" i="12"/>
  <c r="I3656" i="12"/>
  <c r="I3648" i="12"/>
  <c r="I3640" i="12"/>
  <c r="I3632" i="12"/>
  <c r="I3624" i="12"/>
  <c r="I3616" i="12"/>
  <c r="I3608" i="12"/>
  <c r="I3600" i="12"/>
  <c r="I3592" i="12"/>
  <c r="I3584" i="12"/>
  <c r="I3576" i="12"/>
  <c r="I3568" i="12"/>
  <c r="I3560" i="12"/>
  <c r="I3552" i="12"/>
  <c r="I3544" i="12"/>
  <c r="I3536" i="12"/>
  <c r="I4516" i="12"/>
  <c r="I4508" i="12"/>
  <c r="I4500" i="12"/>
  <c r="I4492" i="12"/>
  <c r="I4484" i="12"/>
  <c r="I4476" i="12"/>
  <c r="I4468" i="12"/>
  <c r="I4460" i="12"/>
  <c r="I4452" i="12"/>
  <c r="I4444" i="12"/>
  <c r="I4436" i="12"/>
  <c r="I4428" i="12"/>
  <c r="I4420" i="12"/>
  <c r="I4412" i="12"/>
  <c r="I4404" i="12"/>
  <c r="I4396" i="12"/>
  <c r="I4388" i="12"/>
  <c r="I4380" i="12"/>
  <c r="I4372" i="12"/>
  <c r="I4364" i="12"/>
  <c r="I4356" i="12"/>
  <c r="I4348" i="12"/>
  <c r="I4340" i="12"/>
  <c r="I4332" i="12"/>
  <c r="I4324" i="12"/>
  <c r="I4316" i="12"/>
  <c r="I4308" i="12"/>
  <c r="I4300" i="12"/>
  <c r="I4292" i="12"/>
  <c r="I4284" i="12"/>
  <c r="I4276" i="12"/>
  <c r="I4268" i="12"/>
  <c r="I4260" i="12"/>
  <c r="I4252" i="12"/>
  <c r="I4244" i="12"/>
  <c r="I4236" i="12"/>
  <c r="I4228" i="12"/>
  <c r="I4220" i="12"/>
  <c r="I4212" i="12"/>
  <c r="I4204" i="12"/>
  <c r="I4196" i="12"/>
  <c r="I4188" i="12"/>
  <c r="I4180" i="12"/>
  <c r="I4172" i="12"/>
  <c r="I4164" i="12"/>
  <c r="I4156" i="12"/>
  <c r="I4148" i="12"/>
  <c r="I4140" i="12"/>
  <c r="I4132" i="12"/>
  <c r="I4124" i="12"/>
  <c r="I4116" i="12"/>
  <c r="I4108" i="12"/>
  <c r="I4100" i="12"/>
  <c r="I4092" i="12"/>
  <c r="I4084" i="12"/>
  <c r="I4076" i="12"/>
  <c r="I4068" i="12"/>
  <c r="I4060" i="12"/>
  <c r="I4052" i="12"/>
  <c r="I4044" i="12"/>
  <c r="I4036" i="12"/>
  <c r="I4028" i="12"/>
  <c r="I4020" i="12"/>
  <c r="I4012" i="12"/>
  <c r="I4004" i="12"/>
  <c r="I3996" i="12"/>
  <c r="I3988" i="12"/>
  <c r="I3980" i="12"/>
  <c r="I3972" i="12"/>
  <c r="I3964" i="12"/>
  <c r="I3956" i="12"/>
  <c r="I3948" i="12"/>
  <c r="I3940" i="12"/>
  <c r="I3932" i="12"/>
  <c r="I3924" i="12"/>
  <c r="I3916" i="12"/>
  <c r="I3908" i="12"/>
  <c r="I3900" i="12"/>
  <c r="I3892" i="12"/>
  <c r="I3884" i="12"/>
  <c r="I3876" i="12"/>
  <c r="I3868" i="12"/>
  <c r="I3860" i="12"/>
  <c r="I3852" i="12"/>
  <c r="I3844" i="12"/>
  <c r="I3836" i="12"/>
  <c r="I3828" i="12"/>
  <c r="I3820" i="12"/>
  <c r="I3812" i="12"/>
  <c r="I3804" i="12"/>
  <c r="I3796" i="12"/>
  <c r="I3788" i="12"/>
  <c r="I3780" i="12"/>
  <c r="I3772" i="12"/>
  <c r="I3764" i="12"/>
  <c r="I3756" i="12"/>
  <c r="I3748" i="12"/>
  <c r="I3740" i="12"/>
  <c r="I3732" i="12"/>
  <c r="I3724" i="12"/>
  <c r="I3716" i="12"/>
  <c r="I3708" i="12"/>
  <c r="I3700" i="12"/>
  <c r="I3692" i="12"/>
  <c r="I3684" i="12"/>
  <c r="I3676" i="12"/>
  <c r="I3668" i="12"/>
  <c r="I3660" i="12"/>
  <c r="I3652" i="12"/>
  <c r="I3644" i="12"/>
  <c r="I3636" i="12"/>
  <c r="I3628" i="12"/>
  <c r="I3620" i="12"/>
  <c r="I3612" i="12"/>
  <c r="I3604" i="12"/>
  <c r="I3596" i="12"/>
  <c r="I3588" i="12"/>
  <c r="I3580" i="12"/>
  <c r="I3572" i="12"/>
  <c r="I3564" i="12"/>
  <c r="I3556" i="12"/>
  <c r="I3548" i="12"/>
  <c r="I3540" i="12"/>
  <c r="I585" i="12"/>
  <c r="I577" i="12"/>
  <c r="I569" i="12"/>
  <c r="I561" i="12"/>
  <c r="I553" i="12"/>
  <c r="I545" i="12"/>
  <c r="I537" i="12"/>
  <c r="I529" i="12"/>
  <c r="I521" i="12"/>
  <c r="I513" i="12"/>
  <c r="I505" i="12"/>
  <c r="I497" i="12"/>
  <c r="I489" i="12"/>
  <c r="I481" i="12"/>
  <c r="I473" i="12"/>
  <c r="I465" i="12"/>
  <c r="I457" i="12"/>
  <c r="I449" i="12"/>
  <c r="I441" i="12"/>
  <c r="I433" i="12"/>
  <c r="I425" i="12"/>
  <c r="I417" i="12"/>
  <c r="I409" i="12"/>
  <c r="I401" i="12"/>
  <c r="I393" i="12"/>
  <c r="I385" i="12"/>
  <c r="I377" i="12"/>
  <c r="I369" i="12"/>
  <c r="I361" i="12"/>
  <c r="I353" i="12"/>
  <c r="I345" i="12"/>
  <c r="I337" i="12"/>
  <c r="I329" i="12"/>
  <c r="I321" i="12"/>
  <c r="I313" i="12"/>
  <c r="I305" i="12"/>
  <c r="I297" i="12"/>
  <c r="I289" i="12"/>
  <c r="I281" i="12"/>
  <c r="I273" i="12"/>
  <c r="I265" i="12"/>
  <c r="I257" i="12"/>
  <c r="I249" i="12"/>
  <c r="I233" i="12"/>
  <c r="I225" i="12"/>
  <c r="I217" i="12"/>
  <c r="I209" i="12"/>
  <c r="I201" i="12"/>
  <c r="I193" i="12"/>
  <c r="I185" i="12"/>
  <c r="I177" i="12"/>
  <c r="I169" i="12"/>
  <c r="I161" i="12"/>
  <c r="I153" i="12"/>
  <c r="I145" i="12"/>
  <c r="I137" i="12"/>
  <c r="I129" i="12"/>
  <c r="I121" i="12"/>
  <c r="I113" i="12"/>
  <c r="I105" i="12"/>
  <c r="I97" i="12"/>
  <c r="I89" i="12"/>
  <c r="I81" i="12"/>
  <c r="I73" i="12"/>
  <c r="I65" i="12"/>
  <c r="I57" i="12"/>
  <c r="I3528" i="12"/>
  <c r="I3520" i="12"/>
  <c r="I3512" i="12"/>
  <c r="I3504" i="12"/>
  <c r="I3496" i="12"/>
  <c r="I3488" i="12"/>
  <c r="I3480" i="12"/>
  <c r="I3472" i="12"/>
  <c r="I3464" i="12"/>
  <c r="I3456" i="12"/>
  <c r="I3448" i="12"/>
  <c r="I3440" i="12"/>
  <c r="I3432" i="12"/>
  <c r="I3424" i="12"/>
  <c r="I3416" i="12"/>
  <c r="I3408" i="12"/>
  <c r="I3400" i="12"/>
  <c r="I3392" i="12"/>
  <c r="I3384" i="12"/>
  <c r="I3376" i="12"/>
  <c r="I3368" i="12"/>
  <c r="I3360" i="12"/>
  <c r="I3352" i="12"/>
  <c r="I3344" i="12"/>
  <c r="I3336" i="12"/>
  <c r="I3328" i="12"/>
  <c r="I3320" i="12"/>
  <c r="I3312" i="12"/>
  <c r="I3304" i="12"/>
  <c r="I3296" i="12"/>
  <c r="I3288" i="12"/>
  <c r="I3280" i="12"/>
  <c r="I3272" i="12"/>
  <c r="I3264" i="12"/>
  <c r="I3256" i="12"/>
  <c r="I3248" i="12"/>
  <c r="I3240" i="12"/>
  <c r="I3232" i="12"/>
  <c r="I3224" i="12"/>
  <c r="I3216" i="12"/>
  <c r="I3208" i="12"/>
  <c r="I3200" i="12"/>
  <c r="I3192" i="12"/>
  <c r="I3184" i="12"/>
  <c r="I3176" i="12"/>
  <c r="I3168" i="12"/>
  <c r="I3160" i="12"/>
  <c r="I3152" i="12"/>
  <c r="I3144" i="12"/>
  <c r="I3136" i="12"/>
  <c r="I3128" i="12"/>
  <c r="I3120" i="12"/>
  <c r="I3112" i="12"/>
  <c r="I3104" i="12"/>
  <c r="I3096" i="12"/>
  <c r="I3088" i="12"/>
  <c r="I3080" i="12"/>
  <c r="I3072" i="12"/>
  <c r="I3064" i="12"/>
  <c r="I3056" i="12"/>
  <c r="I3048" i="12"/>
  <c r="I3040" i="12"/>
  <c r="I3032" i="12"/>
  <c r="I3024" i="12"/>
  <c r="I3016" i="12"/>
  <c r="I3008" i="12"/>
  <c r="I3000" i="12"/>
  <c r="I2992" i="12"/>
  <c r="I2984" i="12"/>
  <c r="I2976" i="12"/>
  <c r="I2968" i="12"/>
  <c r="I2960" i="12"/>
  <c r="I2952" i="12"/>
  <c r="I2944" i="12"/>
  <c r="I2936" i="12"/>
  <c r="I2928" i="12"/>
  <c r="I2920" i="12"/>
  <c r="I2912" i="12"/>
  <c r="I2904" i="12"/>
  <c r="I2896" i="12"/>
  <c r="I2888" i="12"/>
  <c r="I2880" i="12"/>
  <c r="I2872" i="12"/>
  <c r="I2864" i="12"/>
  <c r="I2584" i="12"/>
  <c r="I3532" i="12"/>
  <c r="I3524" i="12"/>
  <c r="I3516" i="12"/>
  <c r="I3508" i="12"/>
  <c r="I3500" i="12"/>
  <c r="I3492" i="12"/>
  <c r="I3484" i="12"/>
  <c r="I3476" i="12"/>
  <c r="I3468" i="12"/>
  <c r="I3460" i="12"/>
  <c r="I3452" i="12"/>
  <c r="I3444" i="12"/>
  <c r="I3436" i="12"/>
  <c r="I3428" i="12"/>
  <c r="I3420" i="12"/>
  <c r="I3412" i="12"/>
  <c r="I3404" i="12"/>
  <c r="I3396" i="12"/>
  <c r="I3388" i="12"/>
  <c r="I3380" i="12"/>
  <c r="I3372" i="12"/>
  <c r="I3364" i="12"/>
  <c r="I3356" i="12"/>
  <c r="I3348" i="12"/>
  <c r="I3340" i="12"/>
  <c r="I3332" i="12"/>
  <c r="I3324" i="12"/>
  <c r="I3316" i="12"/>
  <c r="I3308" i="12"/>
  <c r="I3300" i="12"/>
  <c r="I3292" i="12"/>
  <c r="I3284" i="12"/>
  <c r="I3276" i="12"/>
  <c r="I3268" i="12"/>
  <c r="I3260" i="12"/>
  <c r="I3252" i="12"/>
  <c r="I3244" i="12"/>
  <c r="I3236" i="12"/>
  <c r="I3228" i="12"/>
  <c r="I3220" i="12"/>
  <c r="I3212" i="12"/>
  <c r="I3204" i="12"/>
  <c r="I3196" i="12"/>
  <c r="I3188" i="12"/>
  <c r="I3180" i="12"/>
  <c r="I3172" i="12"/>
  <c r="I3164" i="12"/>
  <c r="I3156" i="12"/>
  <c r="I3148" i="12"/>
  <c r="I3140" i="12"/>
  <c r="I3132" i="12"/>
  <c r="I3124" i="12"/>
  <c r="I3116" i="12"/>
  <c r="I3108" i="12"/>
  <c r="I3100" i="12"/>
  <c r="I3092" i="12"/>
  <c r="I3084" i="12"/>
  <c r="I3076" i="12"/>
  <c r="I3068" i="12"/>
  <c r="I3060" i="12"/>
  <c r="I3052" i="12"/>
  <c r="I3044" i="12"/>
  <c r="I3036" i="12"/>
  <c r="I3028" i="12"/>
  <c r="I3020" i="12"/>
  <c r="I3012" i="12"/>
  <c r="I3004" i="12"/>
  <c r="I2996" i="12"/>
  <c r="I2988" i="12"/>
  <c r="I2980" i="12"/>
  <c r="I2972" i="12"/>
  <c r="I2964" i="12"/>
  <c r="I2956" i="12"/>
  <c r="I2948" i="12"/>
  <c r="I2940" i="12"/>
  <c r="I2932" i="12"/>
  <c r="I2924" i="12"/>
  <c r="I2916" i="12"/>
  <c r="I2908" i="12"/>
  <c r="I2900" i="12"/>
  <c r="I2892" i="12"/>
  <c r="I2884" i="12"/>
  <c r="I2876" i="12"/>
  <c r="I2868" i="12"/>
  <c r="I2860" i="12"/>
  <c r="I2852" i="12"/>
  <c r="I2844" i="12"/>
  <c r="I2836" i="12"/>
  <c r="I2828" i="12"/>
  <c r="I2820" i="12"/>
  <c r="I2812" i="12"/>
  <c r="I2804" i="12"/>
  <c r="I2796" i="12"/>
  <c r="I2788" i="12"/>
  <c r="I2780" i="12"/>
  <c r="I2772" i="12"/>
  <c r="I2764" i="12"/>
  <c r="I2756" i="12"/>
  <c r="I2748" i="12"/>
  <c r="I2740" i="12"/>
  <c r="I2732" i="12"/>
  <c r="I2724" i="12"/>
  <c r="I2716" i="12"/>
  <c r="I2708" i="12"/>
  <c r="I2700" i="12"/>
  <c r="I2692" i="12"/>
  <c r="I2684" i="12"/>
  <c r="I2676" i="12"/>
  <c r="I2668" i="12"/>
  <c r="I2660" i="12"/>
  <c r="I2652" i="12"/>
  <c r="I2644" i="12"/>
  <c r="I2636" i="12"/>
  <c r="I2628" i="12"/>
  <c r="I2620" i="12"/>
  <c r="I2612" i="12"/>
  <c r="I2604" i="12"/>
  <c r="I2596" i="12"/>
  <c r="I2588" i="12"/>
  <c r="I2580" i="12"/>
  <c r="I2572" i="12"/>
  <c r="I2564" i="12"/>
  <c r="I2556" i="12"/>
  <c r="I2548" i="12"/>
  <c r="I2540" i="12"/>
  <c r="I2532" i="12"/>
  <c r="I2524" i="12"/>
  <c r="I2516" i="12"/>
  <c r="I2508" i="12"/>
  <c r="I2500" i="12"/>
  <c r="I2492" i="12"/>
  <c r="I2484" i="12"/>
  <c r="I2476" i="12"/>
  <c r="I2468" i="12"/>
  <c r="I2460" i="12"/>
  <c r="I2452" i="12"/>
  <c r="I2444" i="12"/>
  <c r="I2436" i="12"/>
  <c r="I2428" i="12"/>
  <c r="I2420" i="12"/>
  <c r="I2412" i="12"/>
  <c r="I2404" i="12"/>
  <c r="I2396" i="12"/>
  <c r="I2388" i="12"/>
  <c r="I2380" i="12"/>
  <c r="I2372" i="12"/>
  <c r="I2364" i="12"/>
  <c r="I2356" i="12"/>
  <c r="I2348" i="12"/>
  <c r="I2340" i="12"/>
  <c r="I2332" i="12"/>
  <c r="I2072" i="12"/>
  <c r="I1872" i="12"/>
  <c r="I77" i="12"/>
  <c r="I69" i="12"/>
  <c r="I61" i="12"/>
  <c r="I2324" i="12"/>
  <c r="I2316" i="12"/>
  <c r="I2308" i="12"/>
  <c r="I2300" i="12"/>
  <c r="I2292" i="12"/>
  <c r="I2284" i="12"/>
  <c r="I2276" i="12"/>
  <c r="I2268" i="12"/>
  <c r="I2260" i="12"/>
  <c r="I2252" i="12"/>
  <c r="I2244" i="12"/>
  <c r="I2236" i="12"/>
  <c r="I2228" i="12"/>
  <c r="I2220" i="12"/>
  <c r="I2212" i="12"/>
  <c r="I2204" i="12"/>
  <c r="I2196" i="12"/>
  <c r="I2188" i="12"/>
  <c r="I2180" i="12"/>
  <c r="I2172" i="12"/>
  <c r="I2164" i="12"/>
  <c r="I2156" i="12"/>
  <c r="I2148" i="12"/>
  <c r="I2140" i="12"/>
  <c r="I2132" i="12"/>
  <c r="I2124" i="12"/>
  <c r="I2116" i="12"/>
  <c r="I2108" i="12"/>
  <c r="I2100" i="12"/>
  <c r="I2092" i="12"/>
  <c r="I2084" i="12"/>
  <c r="I2076" i="12"/>
  <c r="I2068" i="12"/>
  <c r="I2060" i="12"/>
  <c r="I2052" i="12"/>
  <c r="I2044" i="12"/>
  <c r="I2036" i="12"/>
  <c r="I2028" i="12"/>
  <c r="I2020" i="12"/>
  <c r="I2012" i="12"/>
  <c r="I2004" i="12"/>
  <c r="I1996" i="12"/>
  <c r="I1988" i="12"/>
  <c r="I1980" i="12"/>
  <c r="I1972" i="12"/>
  <c r="I1964" i="12"/>
  <c r="I1956" i="12"/>
  <c r="I1948" i="12"/>
  <c r="I1940" i="12"/>
  <c r="I1932" i="12"/>
  <c r="I1924" i="12"/>
  <c r="I1916" i="12"/>
  <c r="I1908" i="12"/>
  <c r="I1900" i="12"/>
  <c r="I1892" i="12"/>
  <c r="I1884" i="12"/>
  <c r="I1876" i="12"/>
  <c r="I1868" i="12"/>
  <c r="I1860" i="12"/>
  <c r="I1852" i="12"/>
  <c r="I1844" i="12"/>
  <c r="I1836" i="12"/>
  <c r="I1828" i="12"/>
  <c r="I1820" i="12"/>
  <c r="I1812" i="12"/>
  <c r="I1804" i="12"/>
  <c r="I1796" i="12"/>
  <c r="I1788" i="12"/>
  <c r="I1780" i="12"/>
  <c r="I1772" i="12"/>
  <c r="I1764" i="12"/>
  <c r="I1756" i="12"/>
  <c r="I1748" i="12"/>
  <c r="I1740" i="12"/>
  <c r="I1732" i="12"/>
  <c r="I1724" i="12"/>
  <c r="I1716" i="12"/>
  <c r="I1708" i="12"/>
  <c r="I1700" i="12"/>
  <c r="I1692" i="12"/>
  <c r="I1684" i="12"/>
  <c r="I1676" i="12"/>
  <c r="I1668" i="12"/>
  <c r="I1660" i="12"/>
  <c r="I1652" i="12"/>
  <c r="I1644" i="12"/>
  <c r="I1636" i="12"/>
  <c r="I1628" i="12"/>
  <c r="I1620" i="12"/>
  <c r="I1612" i="12"/>
  <c r="I1604" i="12"/>
  <c r="I1596" i="12"/>
  <c r="I1588" i="12"/>
  <c r="I1580" i="12"/>
  <c r="I1572" i="12"/>
  <c r="I1564" i="12"/>
  <c r="I1556" i="12"/>
  <c r="I1548" i="12"/>
  <c r="I1540" i="12"/>
  <c r="I1532" i="12"/>
  <c r="I1524" i="12"/>
  <c r="I1516" i="12"/>
  <c r="I1508" i="12"/>
  <c r="I1500" i="12"/>
  <c r="I1492" i="12"/>
  <c r="I1484" i="12"/>
  <c r="I1476" i="12"/>
  <c r="I1468" i="12"/>
  <c r="I1460" i="12"/>
  <c r="I1452" i="12"/>
  <c r="I1444" i="12"/>
  <c r="I1436" i="12"/>
  <c r="I1428" i="12"/>
  <c r="I1420" i="12"/>
  <c r="I1412" i="12"/>
  <c r="I1404" i="12"/>
  <c r="I1396" i="12"/>
  <c r="I1388" i="12"/>
  <c r="I1380" i="12"/>
  <c r="I1372" i="12"/>
  <c r="I1364" i="12"/>
  <c r="I1356" i="12"/>
  <c r="I1348" i="12"/>
  <c r="I1340" i="12"/>
  <c r="I1332" i="12"/>
  <c r="I1324" i="12"/>
  <c r="I1316" i="12"/>
  <c r="I1308" i="12"/>
  <c r="I1300" i="12"/>
  <c r="I1292" i="12"/>
  <c r="I1284" i="12"/>
  <c r="I1276" i="12"/>
  <c r="I1268" i="12"/>
  <c r="I1260" i="12"/>
  <c r="I1252" i="12"/>
  <c r="I1244" i="12"/>
  <c r="I1236" i="12"/>
  <c r="I1228" i="12"/>
  <c r="I1220" i="12"/>
  <c r="I1212" i="12"/>
  <c r="I1204" i="12"/>
  <c r="I1196" i="12"/>
  <c r="I1188" i="12"/>
  <c r="I1180" i="12"/>
  <c r="I1172" i="12"/>
  <c r="I1164" i="12"/>
  <c r="I1156" i="12"/>
  <c r="I1148" i="12"/>
  <c r="I1140" i="12"/>
  <c r="I1132" i="12"/>
  <c r="I1124" i="12"/>
  <c r="I1116" i="12"/>
  <c r="I1108" i="12"/>
  <c r="I1100" i="12"/>
  <c r="I1092" i="12"/>
  <c r="I1084" i="12"/>
  <c r="I1076" i="12"/>
  <c r="I1068" i="12"/>
  <c r="I1060" i="12"/>
  <c r="I1052" i="12"/>
  <c r="I1044" i="12"/>
  <c r="I1036" i="12"/>
  <c r="I1028" i="12"/>
  <c r="I1020" i="12"/>
  <c r="I1012" i="12"/>
  <c r="I1004" i="12"/>
  <c r="I996" i="12"/>
  <c r="I988" i="12"/>
  <c r="I980" i="12"/>
  <c r="I972" i="12"/>
  <c r="I964" i="12"/>
  <c r="I956" i="12"/>
  <c r="I948" i="12"/>
  <c r="I940" i="12"/>
  <c r="I932" i="12"/>
  <c r="I924" i="12"/>
  <c r="I916" i="12"/>
  <c r="I908" i="12"/>
  <c r="I900" i="12"/>
  <c r="I892" i="12"/>
  <c r="I884" i="12"/>
  <c r="I876" i="12"/>
  <c r="I868" i="12"/>
  <c r="I860" i="12"/>
  <c r="I852" i="12"/>
  <c r="I844" i="12"/>
  <c r="I836" i="12"/>
  <c r="I828" i="12"/>
  <c r="I820" i="12"/>
  <c r="I812" i="12"/>
  <c r="I804" i="12"/>
  <c r="I796" i="12"/>
  <c r="I788" i="12"/>
  <c r="I780" i="12"/>
  <c r="I772" i="12"/>
  <c r="I764" i="12"/>
  <c r="I756" i="12"/>
  <c r="I748" i="12"/>
  <c r="I740" i="12"/>
  <c r="I732" i="12"/>
  <c r="I724" i="12"/>
  <c r="I716" i="12"/>
  <c r="I708" i="12"/>
  <c r="I700" i="12"/>
  <c r="I692" i="12"/>
  <c r="I684" i="12"/>
  <c r="I676" i="12"/>
  <c r="I668" i="12"/>
  <c r="I660" i="12"/>
  <c r="I652" i="12"/>
  <c r="I644" i="12"/>
  <c r="I636" i="12"/>
  <c r="I628" i="12"/>
  <c r="I620" i="12"/>
  <c r="I612" i="12"/>
  <c r="I604" i="12"/>
  <c r="I596" i="12"/>
  <c r="I588" i="12"/>
  <c r="I580" i="12"/>
  <c r="I572" i="12"/>
  <c r="I564" i="12"/>
  <c r="I556" i="12"/>
  <c r="I548" i="12"/>
  <c r="I540" i="12"/>
  <c r="I532" i="12"/>
  <c r="I524" i="12"/>
  <c r="I516" i="12"/>
  <c r="I508" i="12"/>
  <c r="I500" i="12"/>
  <c r="I492" i="12"/>
  <c r="I484" i="12"/>
  <c r="I476" i="12"/>
  <c r="I468" i="12"/>
  <c r="I460" i="12"/>
  <c r="I452" i="12"/>
  <c r="I444" i="12"/>
  <c r="I436" i="12"/>
  <c r="I428" i="12"/>
  <c r="I420" i="12"/>
  <c r="I412" i="12"/>
  <c r="I404" i="12"/>
  <c r="I396" i="12"/>
  <c r="I388" i="12"/>
  <c r="I380" i="12"/>
  <c r="I372" i="12"/>
  <c r="I364" i="12"/>
  <c r="I356" i="12"/>
  <c r="I348" i="12"/>
  <c r="I340" i="12"/>
  <c r="I332" i="12"/>
  <c r="I324" i="12"/>
  <c r="I316" i="12"/>
  <c r="I124" i="12"/>
  <c r="I68" i="12"/>
  <c r="I60" i="12"/>
  <c r="I241" i="12"/>
  <c r="I240" i="12"/>
  <c r="I4503" i="12"/>
  <c r="E22" i="12"/>
  <c r="I4951" i="12"/>
  <c r="I4943" i="12"/>
  <c r="I4935" i="12"/>
  <c r="I4927" i="12"/>
  <c r="I4919" i="12"/>
  <c r="I4911" i="12"/>
  <c r="I4903" i="12"/>
  <c r="I4895" i="12"/>
  <c r="I4887" i="12"/>
  <c r="I4879" i="12"/>
  <c r="I4871" i="12"/>
  <c r="I4863" i="12"/>
  <c r="I4855" i="12"/>
  <c r="I4847" i="12"/>
  <c r="I4839" i="12"/>
  <c r="I4831" i="12"/>
  <c r="I4823" i="12"/>
  <c r="I4815" i="12"/>
  <c r="I4807" i="12"/>
  <c r="I4799" i="12"/>
  <c r="I4791" i="12"/>
  <c r="I4783" i="12"/>
  <c r="I4775" i="12"/>
  <c r="I4767" i="12"/>
  <c r="I4759" i="12"/>
  <c r="I4751" i="12"/>
  <c r="I4743" i="12"/>
  <c r="I4735" i="12"/>
  <c r="I4727" i="12"/>
  <c r="I4719" i="12"/>
  <c r="I4711" i="12"/>
  <c r="I4703" i="12"/>
  <c r="I4695" i="12"/>
  <c r="I4687" i="12"/>
  <c r="I4679" i="12"/>
  <c r="I4671" i="12"/>
  <c r="I4663" i="12"/>
  <c r="I4655" i="12"/>
  <c r="I4647" i="12"/>
  <c r="I4639" i="12"/>
  <c r="I4631" i="12"/>
  <c r="I4623" i="12"/>
  <c r="I4615" i="12"/>
  <c r="I4607" i="12"/>
  <c r="I4599" i="12"/>
  <c r="I4591" i="12"/>
  <c r="I4583" i="12"/>
  <c r="I4575" i="12"/>
  <c r="I4567" i="12"/>
  <c r="I4559" i="12"/>
  <c r="I4551" i="12"/>
  <c r="I4543" i="12"/>
  <c r="I4535" i="12"/>
  <c r="I4527" i="12"/>
  <c r="I4519" i="12"/>
  <c r="I4511" i="12"/>
  <c r="I4495" i="12"/>
  <c r="I4487" i="12"/>
  <c r="I4479" i="12"/>
  <c r="I4471" i="12"/>
  <c r="I4463" i="12"/>
  <c r="I4455" i="12"/>
  <c r="I4447" i="12"/>
  <c r="I4439" i="12"/>
  <c r="I4431" i="12"/>
  <c r="I4423" i="12"/>
  <c r="I4415" i="12"/>
  <c r="I4407" i="12"/>
  <c r="I4399" i="12"/>
  <c r="I4391" i="12"/>
  <c r="I4383" i="12"/>
  <c r="I4375" i="12"/>
  <c r="I4367" i="12"/>
  <c r="I4359" i="12"/>
  <c r="I4351" i="12"/>
  <c r="I4343" i="12"/>
  <c r="I4335" i="12"/>
  <c r="I4327" i="12"/>
  <c r="I4319" i="12"/>
  <c r="I4311" i="12"/>
  <c r="I4303" i="12"/>
  <c r="I4295" i="12"/>
  <c r="I4287" i="12"/>
  <c r="I4279" i="12"/>
  <c r="I4271" i="12"/>
  <c r="I4263" i="12"/>
  <c r="I4255" i="12"/>
  <c r="I4247" i="12"/>
  <c r="I4239" i="12"/>
  <c r="I4231" i="12"/>
  <c r="I4223" i="12"/>
  <c r="I4215" i="12"/>
  <c r="I4207" i="12"/>
  <c r="I4199" i="12"/>
  <c r="I4191" i="12"/>
  <c r="I4183" i="12"/>
  <c r="I4175" i="12"/>
  <c r="I4167" i="12"/>
  <c r="I4159" i="12"/>
  <c r="I4151" i="12"/>
  <c r="I4143" i="12"/>
  <c r="I4135" i="12"/>
  <c r="I4127" i="12"/>
  <c r="I4119" i="12"/>
  <c r="I4111" i="12"/>
  <c r="I4103" i="12"/>
  <c r="I4095" i="12"/>
  <c r="I4087" i="12"/>
  <c r="I4079" i="12"/>
  <c r="I4071" i="12"/>
  <c r="I4063" i="12"/>
  <c r="I4055" i="12"/>
  <c r="I4047" i="12"/>
  <c r="I4039" i="12"/>
  <c r="I4031" i="12"/>
  <c r="I4023" i="12"/>
  <c r="I4015" i="12"/>
  <c r="I4007" i="12"/>
  <c r="I3999" i="12"/>
  <c r="I3991" i="12"/>
  <c r="I3983" i="12"/>
  <c r="I3975" i="12"/>
  <c r="I3967" i="12"/>
  <c r="I3959" i="12"/>
  <c r="I3951" i="12"/>
  <c r="I3943" i="12"/>
  <c r="I3935" i="12"/>
  <c r="I3927" i="12"/>
  <c r="I3919" i="12"/>
  <c r="I3911" i="12"/>
  <c r="I3903" i="12"/>
  <c r="I3895" i="12"/>
  <c r="I3887" i="12"/>
  <c r="I3879" i="12"/>
  <c r="I3871" i="12"/>
  <c r="I3863" i="12"/>
  <c r="I3855" i="12"/>
  <c r="I3847" i="12"/>
  <c r="I3839" i="12"/>
  <c r="I3831" i="12"/>
  <c r="I3823" i="12"/>
  <c r="I3815" i="12"/>
  <c r="I3807" i="12"/>
  <c r="I3799" i="12"/>
  <c r="I3791" i="12"/>
  <c r="I3783" i="12"/>
  <c r="I3775" i="12"/>
  <c r="I3767" i="12"/>
  <c r="I3759" i="12"/>
  <c r="I3751" i="12"/>
  <c r="I3743" i="12"/>
  <c r="I3735" i="12"/>
  <c r="I3727" i="12"/>
  <c r="I3719" i="12"/>
  <c r="I3711" i="12"/>
  <c r="I3703" i="12"/>
  <c r="I3695" i="12"/>
  <c r="I3687" i="12"/>
  <c r="I3679" i="12"/>
  <c r="I3671" i="12"/>
  <c r="I3663" i="12"/>
  <c r="I3655" i="12"/>
  <c r="I3647" i="12"/>
  <c r="I3639" i="12"/>
  <c r="I3631" i="12"/>
  <c r="I3623" i="12"/>
  <c r="I3615" i="12"/>
  <c r="I3607" i="12"/>
  <c r="I3599" i="12"/>
  <c r="I3591" i="12"/>
  <c r="I3583" i="12"/>
  <c r="I3575" i="12"/>
  <c r="I3567" i="12"/>
  <c r="I3559" i="12"/>
  <c r="I3551" i="12"/>
  <c r="I3543" i="12"/>
  <c r="I3535" i="12"/>
  <c r="I3527" i="12"/>
  <c r="I3519" i="12"/>
  <c r="I3511" i="12"/>
  <c r="I3503" i="12"/>
  <c r="I3495" i="12"/>
  <c r="I3487" i="12"/>
  <c r="I3479" i="12"/>
  <c r="I3471" i="12"/>
  <c r="I3463" i="12"/>
  <c r="I3455" i="12"/>
  <c r="I3447" i="12"/>
  <c r="I3439" i="12"/>
  <c r="I3431" i="12"/>
  <c r="I3423" i="12"/>
  <c r="I3415" i="12"/>
  <c r="I3407" i="12"/>
  <c r="I3399" i="12"/>
  <c r="I3391" i="12"/>
  <c r="I3383" i="12"/>
  <c r="I3375" i="12"/>
  <c r="I3367" i="12"/>
  <c r="I3359" i="12"/>
  <c r="I3351" i="12"/>
  <c r="I3343" i="12"/>
  <c r="I3335" i="12"/>
  <c r="I3327" i="12"/>
  <c r="I3319" i="12"/>
  <c r="I3311" i="12"/>
  <c r="I3303" i="12"/>
  <c r="I3295" i="12"/>
  <c r="I3287" i="12"/>
  <c r="I3279" i="12"/>
  <c r="I3271" i="12"/>
  <c r="I3263" i="12"/>
  <c r="I3255" i="12"/>
  <c r="I3247" i="12"/>
  <c r="I3239" i="12"/>
  <c r="I3231" i="12"/>
  <c r="I3223" i="12"/>
  <c r="I3215" i="12"/>
  <c r="I3207" i="12"/>
  <c r="I3199" i="12"/>
  <c r="I3191" i="12"/>
  <c r="I3183" i="12"/>
  <c r="I3175" i="12"/>
  <c r="I3167" i="12"/>
  <c r="I3159" i="12"/>
  <c r="I3151" i="12"/>
  <c r="I3143" i="12"/>
  <c r="I3135" i="12"/>
  <c r="I3127" i="12"/>
  <c r="I3119" i="12"/>
  <c r="I3111" i="12"/>
  <c r="I3103" i="12"/>
  <c r="I3095" i="12"/>
  <c r="I3087" i="12"/>
  <c r="I3079" i="12"/>
  <c r="I3071" i="12"/>
  <c r="I3063" i="12"/>
  <c r="I3055" i="12"/>
  <c r="I3047" i="12"/>
  <c r="I3039" i="12"/>
  <c r="I3031" i="12"/>
  <c r="I3023" i="12"/>
  <c r="I3015" i="12"/>
  <c r="I3007" i="12"/>
  <c r="I2999" i="12"/>
  <c r="I2991" i="12"/>
  <c r="I2983" i="12"/>
  <c r="I2975" i="12"/>
  <c r="I2967" i="12"/>
  <c r="I2959" i="12"/>
  <c r="I2951" i="12"/>
  <c r="I2943" i="12"/>
  <c r="I2935" i="12"/>
  <c r="I2927" i="12"/>
  <c r="I2919" i="12"/>
  <c r="I2911" i="12"/>
  <c r="I2903" i="12"/>
  <c r="I2895" i="12"/>
  <c r="I2887" i="12"/>
  <c r="I2879" i="12"/>
  <c r="I2871" i="12"/>
  <c r="I2863" i="12"/>
  <c r="F22" i="12"/>
  <c r="I4949" i="12"/>
  <c r="I4941" i="12"/>
  <c r="I4933" i="12"/>
  <c r="I4925" i="12"/>
  <c r="I4917" i="12"/>
  <c r="I4909" i="12"/>
  <c r="I4901" i="12"/>
  <c r="I4893" i="12"/>
  <c r="I4885" i="12"/>
  <c r="I4877" i="12"/>
  <c r="I4869" i="12"/>
  <c r="I4861" i="12"/>
  <c r="I4853" i="12"/>
  <c r="I4845" i="12"/>
  <c r="I4837" i="12"/>
  <c r="I4829" i="12"/>
  <c r="I4821" i="12"/>
  <c r="I4813" i="12"/>
  <c r="I4805" i="12"/>
  <c r="I4797" i="12"/>
  <c r="I4789" i="12"/>
  <c r="I4781" i="12"/>
  <c r="I4773" i="12"/>
  <c r="I4765" i="12"/>
  <c r="I4757" i="12"/>
  <c r="I4749" i="12"/>
  <c r="I4741" i="12"/>
  <c r="I4733" i="12"/>
  <c r="I4725" i="12"/>
  <c r="I4717" i="12"/>
  <c r="I4709" i="12"/>
  <c r="I4701" i="12"/>
  <c r="I4693" i="12"/>
  <c r="I4685" i="12"/>
  <c r="I4677" i="12"/>
  <c r="I4669" i="12"/>
  <c r="I4661" i="12"/>
  <c r="I4653" i="12"/>
  <c r="I4645" i="12"/>
  <c r="I4637" i="12"/>
  <c r="I4629" i="12"/>
  <c r="I4621" i="12"/>
  <c r="I4613" i="12"/>
  <c r="I4605" i="12"/>
  <c r="I4597" i="12"/>
  <c r="I4589" i="12"/>
  <c r="I4581" i="12"/>
  <c r="I4573" i="12"/>
  <c r="I4565" i="12"/>
  <c r="I4557" i="12"/>
  <c r="I4549" i="12"/>
  <c r="I4541" i="12"/>
  <c r="I4533" i="12"/>
  <c r="I4525" i="12"/>
  <c r="I4517" i="12"/>
  <c r="I4509" i="12"/>
  <c r="I4501" i="12"/>
  <c r="I4493" i="12"/>
  <c r="I4485" i="12"/>
  <c r="I4477" i="12"/>
  <c r="I4469" i="12"/>
  <c r="I4461" i="12"/>
  <c r="I4453" i="12"/>
  <c r="I4445" i="12"/>
  <c r="I4437" i="12"/>
  <c r="I4429" i="12"/>
  <c r="I4421" i="12"/>
  <c r="I4413" i="12"/>
  <c r="I4405" i="12"/>
  <c r="I4397" i="12"/>
  <c r="I4389" i="12"/>
  <c r="I4381" i="12"/>
  <c r="I4373" i="12"/>
  <c r="I4365" i="12"/>
  <c r="I4357" i="12"/>
  <c r="I4349" i="12"/>
  <c r="I4341" i="12"/>
  <c r="I4333" i="12"/>
  <c r="I4325" i="12"/>
  <c r="I4317" i="12"/>
  <c r="I4309" i="12"/>
  <c r="I4301" i="12"/>
  <c r="I4293" i="12"/>
  <c r="I4285" i="12"/>
  <c r="I4277" i="12"/>
  <c r="I4269" i="12"/>
  <c r="I4261" i="12"/>
  <c r="I4253" i="12"/>
  <c r="I4245" i="12"/>
  <c r="I4237" i="12"/>
  <c r="I4229" i="12"/>
  <c r="I4221" i="12"/>
  <c r="I4213" i="12"/>
  <c r="I4205" i="12"/>
  <c r="I4197" i="12"/>
  <c r="I4189" i="12"/>
  <c r="I4181" i="12"/>
  <c r="I4173" i="12"/>
  <c r="I4165" i="12"/>
  <c r="I4157" i="12"/>
  <c r="I4149" i="12"/>
  <c r="I4141" i="12"/>
  <c r="I4133" i="12"/>
  <c r="I4125" i="12"/>
  <c r="I4117" i="12"/>
  <c r="I4109" i="12"/>
  <c r="I4101" i="12"/>
  <c r="I4093" i="12"/>
  <c r="I4085" i="12"/>
  <c r="I4077" i="12"/>
  <c r="I4069" i="12"/>
  <c r="I4061" i="12"/>
  <c r="I4053" i="12"/>
  <c r="I4045" i="12"/>
  <c r="I4037" i="12"/>
  <c r="I4029" i="12"/>
  <c r="I4021" i="12"/>
  <c r="I4013" i="12"/>
  <c r="I4005" i="12"/>
  <c r="I3997" i="12"/>
  <c r="I3989" i="12"/>
  <c r="I3981" i="12"/>
  <c r="I3973" i="12"/>
  <c r="I3965" i="12"/>
  <c r="I3957" i="12"/>
  <c r="I3949" i="12"/>
  <c r="I3941" i="12"/>
  <c r="I3933" i="12"/>
  <c r="I3925" i="12"/>
  <c r="I3917" i="12"/>
  <c r="I3909" i="12"/>
  <c r="I3901" i="12"/>
  <c r="I3893" i="12"/>
  <c r="I3885" i="12"/>
  <c r="I3877" i="12"/>
  <c r="I3869" i="12"/>
  <c r="I3861" i="12"/>
  <c r="I3853" i="12"/>
  <c r="I3845" i="12"/>
  <c r="I3837" i="12"/>
  <c r="I3829" i="12"/>
  <c r="I3821" i="12"/>
  <c r="I3813" i="12"/>
  <c r="I3805" i="12"/>
  <c r="I3797" i="12"/>
  <c r="I3789" i="12"/>
  <c r="I3781" i="12"/>
  <c r="I3773" i="12"/>
  <c r="I3765" i="12"/>
  <c r="I3757" i="12"/>
  <c r="I3741" i="12"/>
  <c r="I3733" i="12"/>
  <c r="I3725" i="12"/>
  <c r="I3717" i="12"/>
  <c r="I3709" i="12"/>
  <c r="I3701" i="12"/>
  <c r="I3693" i="12"/>
  <c r="I3685" i="12"/>
  <c r="I3677" i="12"/>
  <c r="I3669" i="12"/>
  <c r="I3661" i="12"/>
  <c r="I3653" i="12"/>
  <c r="I3645" i="12"/>
  <c r="I3637" i="12"/>
  <c r="I3629" i="12"/>
  <c r="I3621" i="12"/>
  <c r="I3613" i="12"/>
  <c r="I3605" i="12"/>
  <c r="I3597" i="12"/>
  <c r="I3589" i="12"/>
  <c r="I3581" i="12"/>
  <c r="I3573" i="12"/>
  <c r="I3565" i="12"/>
  <c r="I3557" i="12"/>
  <c r="I3549" i="12"/>
  <c r="I3541" i="12"/>
  <c r="I3533" i="12"/>
  <c r="I3525" i="12"/>
  <c r="I3517" i="12"/>
  <c r="I3509" i="12"/>
  <c r="I3501" i="12"/>
  <c r="I3493" i="12"/>
  <c r="I3485" i="12"/>
  <c r="I3477" i="12"/>
  <c r="I3469" i="12"/>
  <c r="I3461" i="12"/>
  <c r="I3453" i="12"/>
  <c r="I3445" i="12"/>
  <c r="I3437" i="12"/>
  <c r="I3429" i="12"/>
  <c r="I3421" i="12"/>
  <c r="I3413" i="12"/>
  <c r="I3405" i="12"/>
  <c r="I3397" i="12"/>
  <c r="I3389" i="12"/>
  <c r="I3381" i="12"/>
  <c r="I3373" i="12"/>
  <c r="I3365" i="12"/>
  <c r="I3357" i="12"/>
  <c r="I3349" i="12"/>
  <c r="I3341" i="12"/>
  <c r="I3333" i="12"/>
  <c r="I3325" i="12"/>
  <c r="I3317" i="12"/>
  <c r="I3309" i="12"/>
  <c r="I3301" i="12"/>
  <c r="I3293" i="12"/>
  <c r="I3285" i="12"/>
  <c r="I3277" i="12"/>
  <c r="I3269" i="12"/>
  <c r="I3261" i="12"/>
  <c r="I3253" i="12"/>
  <c r="I3245" i="12"/>
  <c r="I3237" i="12"/>
  <c r="I3229" i="12"/>
  <c r="I3221" i="12"/>
  <c r="I3213" i="12"/>
  <c r="I3205" i="12"/>
  <c r="I3197" i="12"/>
  <c r="I3189" i="12"/>
  <c r="I3181" i="12"/>
  <c r="I3173" i="12"/>
  <c r="I3165" i="12"/>
  <c r="I3157" i="12"/>
  <c r="I3149" i="12"/>
  <c r="I3141" i="12"/>
  <c r="I3133" i="12"/>
  <c r="I3125" i="12"/>
  <c r="I3117" i="12"/>
  <c r="I3109" i="12"/>
  <c r="I3101" i="12"/>
  <c r="I3093" i="12"/>
  <c r="I3085" i="12"/>
  <c r="I3077" i="12"/>
  <c r="I3069" i="12"/>
  <c r="I3061" i="12"/>
  <c r="I3053" i="12"/>
  <c r="I3045" i="12"/>
  <c r="I3037" i="12"/>
  <c r="I3029" i="12"/>
  <c r="I3021" i="12"/>
  <c r="I3013" i="12"/>
  <c r="I3005" i="12"/>
  <c r="I2997" i="12"/>
  <c r="I2989" i="12"/>
  <c r="I2981" i="12"/>
  <c r="I2973" i="12"/>
  <c r="I2965" i="12"/>
  <c r="I2957" i="12"/>
  <c r="I2949" i="12"/>
  <c r="I2941" i="12"/>
  <c r="I2933" i="12"/>
  <c r="I2925" i="12"/>
  <c r="I2917" i="12"/>
  <c r="I2909" i="12"/>
  <c r="I2901" i="12"/>
  <c r="I2893" i="12"/>
  <c r="I2885" i="12"/>
  <c r="I2877" i="12"/>
  <c r="I2869" i="12"/>
  <c r="I1216" i="12"/>
  <c r="I4954" i="12"/>
  <c r="I4946" i="12"/>
  <c r="I4938" i="12"/>
  <c r="I4930" i="12"/>
  <c r="I4922" i="12"/>
  <c r="I4914" i="12"/>
  <c r="I4906" i="12"/>
  <c r="I4898" i="12"/>
  <c r="I4890" i="12"/>
  <c r="I4882" i="12"/>
  <c r="I4874" i="12"/>
  <c r="I4866" i="12"/>
  <c r="I4858" i="12"/>
  <c r="I4850" i="12"/>
  <c r="I4842" i="12"/>
  <c r="I4834" i="12"/>
  <c r="I4826" i="12"/>
  <c r="I4818" i="12"/>
  <c r="I4810" i="12"/>
  <c r="I4802" i="12"/>
  <c r="I4794" i="12"/>
  <c r="I4786" i="12"/>
  <c r="I4778" i="12"/>
  <c r="I4770" i="12"/>
  <c r="I4762" i="12"/>
  <c r="I4754" i="12"/>
  <c r="I4746" i="12"/>
  <c r="I4738" i="12"/>
  <c r="I4730" i="12"/>
  <c r="I4722" i="12"/>
  <c r="I4714" i="12"/>
  <c r="I4706" i="12"/>
  <c r="I4698" i="12"/>
  <c r="I4690" i="12"/>
  <c r="I4682" i="12"/>
  <c r="I4674" i="12"/>
  <c r="I4666" i="12"/>
  <c r="I4658" i="12"/>
  <c r="I4650" i="12"/>
  <c r="I4642" i="12"/>
  <c r="I4634" i="12"/>
  <c r="I4626" i="12"/>
  <c r="I4618" i="12"/>
  <c r="I4610" i="12"/>
  <c r="I4602" i="12"/>
  <c r="I4594" i="12"/>
  <c r="I4586" i="12"/>
  <c r="I4578" i="12"/>
  <c r="I4570" i="12"/>
  <c r="I4562" i="12"/>
  <c r="I4554" i="12"/>
  <c r="I4546" i="12"/>
  <c r="I4538" i="12"/>
  <c r="I4530" i="12"/>
  <c r="I4522" i="12"/>
  <c r="I4514" i="12"/>
  <c r="I4506" i="12"/>
  <c r="I4498" i="12"/>
  <c r="I4490" i="12"/>
  <c r="I4482" i="12"/>
  <c r="I4474" i="12"/>
  <c r="I4466" i="12"/>
  <c r="I4458" i="12"/>
  <c r="I4450" i="12"/>
  <c r="I4442" i="12"/>
  <c r="I4434" i="12"/>
  <c r="I4426" i="12"/>
  <c r="I4418" i="12"/>
  <c r="I4410" i="12"/>
  <c r="I4402" i="12"/>
  <c r="I4394" i="12"/>
  <c r="I4386" i="12"/>
  <c r="I4378" i="12"/>
  <c r="I4370" i="12"/>
  <c r="I4362" i="12"/>
  <c r="I4354" i="12"/>
  <c r="I4346" i="12"/>
  <c r="I4338" i="12"/>
  <c r="I4330" i="12"/>
  <c r="I4322" i="12"/>
  <c r="I4314" i="12"/>
  <c r="I4306" i="12"/>
  <c r="I4298" i="12"/>
  <c r="I4290" i="12"/>
  <c r="I4282" i="12"/>
  <c r="I4274" i="12"/>
  <c r="I4266" i="12"/>
  <c r="I4258" i="12"/>
  <c r="I4250" i="12"/>
  <c r="I4242" i="12"/>
  <c r="I4234" i="12"/>
  <c r="I4226" i="12"/>
  <c r="I4218" i="12"/>
  <c r="I4210" i="12"/>
  <c r="I4202" i="12"/>
  <c r="I4194" i="12"/>
  <c r="I4186" i="12"/>
  <c r="I4178" i="12"/>
  <c r="I4170" i="12"/>
  <c r="I4162" i="12"/>
  <c r="I4154" i="12"/>
  <c r="I4146" i="12"/>
  <c r="I4138" i="12"/>
  <c r="I4130" i="12"/>
  <c r="I4122" i="12"/>
  <c r="I4114" i="12"/>
  <c r="I4106" i="12"/>
  <c r="I4098" i="12"/>
  <c r="I4090" i="12"/>
  <c r="I4082" i="12"/>
  <c r="I4074" i="12"/>
  <c r="I4066" i="12"/>
  <c r="I4058" i="12"/>
  <c r="I4050" i="12"/>
  <c r="I4042" i="12"/>
  <c r="I4034" i="12"/>
  <c r="I4026" i="12"/>
  <c r="I4018" i="12"/>
  <c r="I4010" i="12"/>
  <c r="I4002" i="12"/>
  <c r="I3994" i="12"/>
  <c r="I3986" i="12"/>
  <c r="I3978" i="12"/>
  <c r="I3970" i="12"/>
  <c r="I3962" i="12"/>
  <c r="I3954" i="12"/>
  <c r="I3946" i="12"/>
  <c r="I3938" i="12"/>
  <c r="I3930" i="12"/>
  <c r="I3922" i="12"/>
  <c r="I3914" i="12"/>
  <c r="I3906" i="12"/>
  <c r="I3898" i="12"/>
  <c r="I3890" i="12"/>
  <c r="I3882" i="12"/>
  <c r="I3874" i="12"/>
  <c r="I3866" i="12"/>
  <c r="I3858" i="12"/>
  <c r="I3850" i="12"/>
  <c r="I3842" i="12"/>
  <c r="I3834" i="12"/>
  <c r="I3826" i="12"/>
  <c r="I3818" i="12"/>
  <c r="I3810" i="12"/>
  <c r="I3802" i="12"/>
  <c r="I3794" i="12"/>
  <c r="I3786" i="12"/>
  <c r="I3778" i="12"/>
  <c r="I3770" i="12"/>
  <c r="I3762" i="12"/>
  <c r="I3754" i="12"/>
  <c r="I3746" i="12"/>
  <c r="I3738" i="12"/>
  <c r="I3730" i="12"/>
  <c r="I3722" i="12"/>
  <c r="I3714" i="12"/>
  <c r="I3706" i="12"/>
  <c r="I3698" i="12"/>
  <c r="I3690" i="12"/>
  <c r="I3682" i="12"/>
  <c r="I3674" i="12"/>
  <c r="I3666" i="12"/>
  <c r="I3658" i="12"/>
  <c r="I3650" i="12"/>
  <c r="I3642" i="12"/>
  <c r="I3634" i="12"/>
  <c r="I3626" i="12"/>
  <c r="I3618" i="12"/>
  <c r="I3610" i="12"/>
  <c r="I3602" i="12"/>
  <c r="I3594" i="12"/>
  <c r="I3586" i="12"/>
  <c r="I3578" i="12"/>
  <c r="I3570" i="12"/>
  <c r="I3562" i="12"/>
  <c r="I3554" i="12"/>
  <c r="I3546" i="12"/>
  <c r="I3538" i="12"/>
  <c r="I3530" i="12"/>
  <c r="I3522" i="12"/>
  <c r="I3514" i="12"/>
  <c r="I3506" i="12"/>
  <c r="I3498" i="12"/>
  <c r="I3490" i="12"/>
  <c r="I3482" i="12"/>
  <c r="I3474" i="12"/>
  <c r="I3466" i="12"/>
  <c r="I3458" i="12"/>
  <c r="I3450" i="12"/>
  <c r="I3442" i="12"/>
  <c r="I3434" i="12"/>
  <c r="I3426" i="12"/>
  <c r="I3418" i="12"/>
  <c r="I3410" i="12"/>
  <c r="I3402" i="12"/>
  <c r="I3394" i="12"/>
  <c r="I3386" i="12"/>
  <c r="I3378" i="12"/>
  <c r="I3370" i="12"/>
  <c r="I3362" i="12"/>
  <c r="I3354" i="12"/>
  <c r="I3346" i="12"/>
  <c r="I3338" i="12"/>
  <c r="I3330" i="12"/>
  <c r="I3322" i="12"/>
  <c r="I3314" i="12"/>
  <c r="I3306" i="12"/>
  <c r="I3298" i="12"/>
  <c r="I3290" i="12"/>
  <c r="I3282" i="12"/>
  <c r="I3274" i="12"/>
  <c r="I3266" i="12"/>
  <c r="I3258" i="12"/>
  <c r="I3250" i="12"/>
  <c r="I3242" i="12"/>
  <c r="I3234" i="12"/>
  <c r="I3226" i="12"/>
  <c r="I3218" i="12"/>
  <c r="I3210" i="12"/>
  <c r="I3202" i="12"/>
  <c r="I3194" i="12"/>
  <c r="I3186" i="12"/>
  <c r="I3178" i="12"/>
  <c r="I3170" i="12"/>
  <c r="I3162" i="12"/>
  <c r="I3154" i="12"/>
  <c r="I3146" i="12"/>
  <c r="I3138" i="12"/>
  <c r="I3130" i="12"/>
  <c r="I3122" i="12"/>
  <c r="I3114" i="12"/>
  <c r="I3106" i="12"/>
  <c r="I3098" i="12"/>
  <c r="I3090" i="12"/>
  <c r="I3082" i="12"/>
  <c r="I3074" i="12"/>
  <c r="I3066" i="12"/>
  <c r="I3058" i="12"/>
  <c r="I3050" i="12"/>
  <c r="I3042" i="12"/>
  <c r="I3034" i="12"/>
  <c r="I3026" i="12"/>
  <c r="I3018" i="12"/>
  <c r="I3010" i="12"/>
  <c r="I3002" i="12"/>
  <c r="I2994" i="12"/>
  <c r="I2986" i="12"/>
  <c r="I2978" i="12"/>
  <c r="I2970" i="12"/>
  <c r="I2962" i="12"/>
  <c r="I2954" i="12"/>
  <c r="I2946" i="12"/>
  <c r="I2938" i="12"/>
  <c r="I2930" i="12"/>
  <c r="I2922" i="12"/>
  <c r="I2914" i="12"/>
  <c r="I2906" i="12"/>
  <c r="I2898" i="12"/>
  <c r="I2890" i="12"/>
  <c r="I2882" i="12"/>
  <c r="I2874" i="12"/>
  <c r="I2866" i="12"/>
  <c r="I2858" i="12"/>
  <c r="I2850" i="12"/>
  <c r="I2842" i="12"/>
  <c r="I2834" i="12"/>
  <c r="I2826" i="12"/>
  <c r="I2818" i="12"/>
  <c r="I2810" i="12"/>
  <c r="I2802" i="12"/>
  <c r="I2794" i="12"/>
  <c r="I2786" i="12"/>
  <c r="I2778" i="12"/>
  <c r="I2770" i="12"/>
  <c r="I2762" i="12"/>
  <c r="I2754" i="12"/>
  <c r="I2746" i="12"/>
  <c r="I2730" i="12"/>
  <c r="I2218" i="12"/>
  <c r="I2738" i="12"/>
  <c r="I2722" i="12"/>
  <c r="I2714" i="12"/>
  <c r="I2706" i="12"/>
  <c r="I2698" i="12"/>
  <c r="I2690" i="12"/>
  <c r="I2682" i="12"/>
  <c r="I2674" i="12"/>
  <c r="I2666" i="12"/>
  <c r="I2658" i="12"/>
  <c r="I2650" i="12"/>
  <c r="I2642" i="12"/>
  <c r="I2634" i="12"/>
  <c r="I2626" i="12"/>
  <c r="I2618" i="12"/>
  <c r="I2610" i="12"/>
  <c r="I2602" i="12"/>
  <c r="I2594" i="12"/>
  <c r="I2586" i="12"/>
  <c r="I2578" i="12"/>
  <c r="I2570" i="12"/>
  <c r="I2562" i="12"/>
  <c r="I2554" i="12"/>
  <c r="I2546" i="12"/>
  <c r="I2538" i="12"/>
  <c r="I2530" i="12"/>
  <c r="I2522" i="12"/>
  <c r="I2514" i="12"/>
  <c r="I2506" i="12"/>
  <c r="I2498" i="12"/>
  <c r="I2490" i="12"/>
  <c r="I2482" i="12"/>
  <c r="I2474" i="12"/>
  <c r="I2466" i="12"/>
  <c r="I2458" i="12"/>
  <c r="I2450" i="12"/>
  <c r="I2442" i="12"/>
  <c r="I2434" i="12"/>
  <c r="I2426" i="12"/>
  <c r="I2418" i="12"/>
  <c r="I2410" i="12"/>
  <c r="I2402" i="12"/>
  <c r="I2394" i="12"/>
  <c r="I2386" i="12"/>
  <c r="I2378" i="12"/>
  <c r="I2370" i="12"/>
  <c r="I2362" i="12"/>
  <c r="I2354" i="12"/>
  <c r="I2346" i="12"/>
  <c r="I2338" i="12"/>
  <c r="I2330" i="12"/>
  <c r="I2322" i="12"/>
  <c r="I2314" i="12"/>
  <c r="I2306" i="12"/>
  <c r="I2298" i="12"/>
  <c r="I2290" i="12"/>
  <c r="I2282" i="12"/>
  <c r="I2274" i="12"/>
  <c r="I2266" i="12"/>
  <c r="I2258" i="12"/>
  <c r="I2250" i="12"/>
  <c r="I2242" i="12"/>
  <c r="I2234" i="12"/>
  <c r="I2226" i="12"/>
  <c r="I2210" i="12"/>
  <c r="I2202" i="12"/>
  <c r="I2194" i="12"/>
  <c r="I2186" i="12"/>
  <c r="I2178" i="12"/>
  <c r="I2170" i="12"/>
  <c r="I2162" i="12"/>
  <c r="I2154" i="12"/>
  <c r="I2146" i="12"/>
  <c r="I2138" i="12"/>
  <c r="I2130" i="12"/>
  <c r="I2122" i="12"/>
  <c r="I2114" i="12"/>
  <c r="I2106" i="12"/>
  <c r="I2098" i="12"/>
  <c r="I2090" i="12"/>
  <c r="I2082" i="12"/>
  <c r="I2074" i="12"/>
  <c r="I2066" i="12"/>
  <c r="I2058" i="12"/>
  <c r="I2050" i="12"/>
  <c r="I2042" i="12"/>
  <c r="I2034" i="12"/>
  <c r="I2026" i="12"/>
  <c r="I2018" i="12"/>
  <c r="I2010" i="12"/>
  <c r="I2002" i="12"/>
  <c r="I1994" i="12"/>
  <c r="I1986" i="12"/>
  <c r="I1978" i="12"/>
  <c r="I1970" i="12"/>
  <c r="I1962" i="12"/>
  <c r="I1954" i="12"/>
  <c r="I1946" i="12"/>
  <c r="I1938" i="12"/>
  <c r="I1930" i="12"/>
  <c r="I1922" i="12"/>
  <c r="I1914" i="12"/>
  <c r="I1906" i="12"/>
  <c r="I1898" i="12"/>
  <c r="I1890" i="12"/>
  <c r="I1882" i="12"/>
  <c r="I1874" i="12"/>
  <c r="I1866" i="12"/>
  <c r="I1858" i="12"/>
  <c r="I1850" i="12"/>
  <c r="I1842" i="12"/>
  <c r="I1834" i="12"/>
  <c r="I1826" i="12"/>
  <c r="I1818" i="12"/>
  <c r="I1810" i="12"/>
  <c r="I1802" i="12"/>
  <c r="I1794" i="12"/>
  <c r="I1786" i="12"/>
  <c r="I1778" i="12"/>
  <c r="I1770" i="12"/>
  <c r="I1762" i="12"/>
  <c r="I1754" i="12"/>
  <c r="I1746" i="12"/>
  <c r="I1738" i="12"/>
  <c r="I1730" i="12"/>
  <c r="I1722" i="12"/>
  <c r="I1714" i="12"/>
  <c r="I1706" i="12"/>
  <c r="I1690" i="12"/>
  <c r="I1682" i="12"/>
  <c r="I1674" i="12"/>
  <c r="I1666" i="12"/>
  <c r="I1658" i="12"/>
  <c r="I1650" i="12"/>
  <c r="I1642" i="12"/>
  <c r="I1634" i="12"/>
  <c r="I1626" i="12"/>
  <c r="I1618" i="12"/>
  <c r="I1610" i="12"/>
  <c r="I1602" i="12"/>
  <c r="I1594" i="12"/>
  <c r="I1586" i="12"/>
  <c r="I1578" i="12"/>
  <c r="I1570" i="12"/>
  <c r="I1562" i="12"/>
  <c r="I1554" i="12"/>
  <c r="I1546" i="12"/>
  <c r="I1538" i="12"/>
  <c r="I1530" i="12"/>
  <c r="I1522" i="12"/>
  <c r="I1514" i="12"/>
  <c r="I1506" i="12"/>
  <c r="I1498" i="12"/>
  <c r="I1490" i="12"/>
  <c r="I1482" i="12"/>
  <c r="I1474" i="12"/>
  <c r="I1466" i="12"/>
  <c r="I1458" i="12"/>
  <c r="I1450" i="12"/>
  <c r="I1442" i="12"/>
  <c r="I1434" i="12"/>
  <c r="I1426" i="12"/>
  <c r="I1418" i="12"/>
  <c r="I1410" i="12"/>
  <c r="I1402" i="12"/>
  <c r="I1394" i="12"/>
  <c r="I1386" i="12"/>
  <c r="I1378" i="12"/>
  <c r="I1370" i="12"/>
  <c r="I1362" i="12"/>
  <c r="I1354" i="12"/>
  <c r="I1346" i="12"/>
  <c r="I1338" i="12"/>
  <c r="I1330" i="12"/>
  <c r="I1322" i="12"/>
  <c r="I1314" i="12"/>
  <c r="I1306" i="12"/>
  <c r="I1298" i="12"/>
  <c r="I1290" i="12"/>
  <c r="I1282" i="12"/>
  <c r="I1274" i="12"/>
  <c r="I1266" i="12"/>
  <c r="I1258" i="12"/>
  <c r="I1250" i="12"/>
  <c r="I1242" i="12"/>
  <c r="I1234" i="12"/>
  <c r="I1226" i="12"/>
  <c r="I1218" i="12"/>
  <c r="I1210" i="12"/>
  <c r="I1202" i="12"/>
  <c r="I1194" i="12"/>
  <c r="I1186" i="12"/>
  <c r="I1178" i="12"/>
  <c r="I1170" i="12"/>
  <c r="I1162" i="12"/>
  <c r="I1154" i="12"/>
  <c r="I1146" i="12"/>
  <c r="I1138" i="12"/>
  <c r="I1130" i="12"/>
  <c r="I1122" i="12"/>
  <c r="I1114" i="12"/>
  <c r="I1106" i="12"/>
  <c r="I1098" i="12"/>
  <c r="I1090" i="12"/>
  <c r="I1082" i="12"/>
  <c r="I1074" i="12"/>
  <c r="I1066" i="12"/>
  <c r="I1058" i="12"/>
  <c r="I1050" i="12"/>
  <c r="I1042" i="12"/>
  <c r="I1034" i="12"/>
  <c r="I1026" i="12"/>
  <c r="I1018" i="12"/>
  <c r="I1010" i="12"/>
  <c r="I1002" i="12"/>
  <c r="I994" i="12"/>
  <c r="I986" i="12"/>
  <c r="I978" i="12"/>
  <c r="I970" i="12"/>
  <c r="I962" i="12"/>
  <c r="I954" i="12"/>
  <c r="I946" i="12"/>
  <c r="I938" i="12"/>
  <c r="I930" i="12"/>
  <c r="I922" i="12"/>
  <c r="I914" i="12"/>
  <c r="I906" i="12"/>
  <c r="I898" i="12"/>
  <c r="I890" i="12"/>
  <c r="I882" i="12"/>
  <c r="I874" i="12"/>
  <c r="I866" i="12"/>
  <c r="I858" i="12"/>
  <c r="I850" i="12"/>
  <c r="I842" i="12"/>
  <c r="I834" i="12"/>
  <c r="I826" i="12"/>
  <c r="I818" i="12"/>
  <c r="I810" i="12"/>
  <c r="I802" i="12"/>
  <c r="I794" i="12"/>
  <c r="I786" i="12"/>
  <c r="I778" i="12"/>
  <c r="I770" i="12"/>
  <c r="I762" i="12"/>
  <c r="I754" i="12"/>
  <c r="I746" i="12"/>
  <c r="I738" i="12"/>
  <c r="I730" i="12"/>
  <c r="I722" i="12"/>
  <c r="I714" i="12"/>
  <c r="I706" i="12"/>
  <c r="I698" i="12"/>
  <c r="I690" i="12"/>
  <c r="I682" i="12"/>
  <c r="I674" i="12"/>
  <c r="I666" i="12"/>
  <c r="I658" i="12"/>
  <c r="I650" i="12"/>
  <c r="I642" i="12"/>
  <c r="I634" i="12"/>
  <c r="I626" i="12"/>
  <c r="I618" i="12"/>
  <c r="I610" i="12"/>
  <c r="I602" i="12"/>
  <c r="I594" i="12"/>
  <c r="I586" i="12"/>
  <c r="I578" i="12"/>
  <c r="I570" i="12"/>
  <c r="I562" i="12"/>
  <c r="I554" i="12"/>
  <c r="I546" i="12"/>
  <c r="I538" i="12"/>
  <c r="I530" i="12"/>
  <c r="I522" i="12"/>
  <c r="I514" i="12"/>
  <c r="I346" i="12"/>
  <c r="I2856" i="12"/>
  <c r="I2848" i="12"/>
  <c r="I2840" i="12"/>
  <c r="I2832" i="12"/>
  <c r="I2824" i="12"/>
  <c r="I2816" i="12"/>
  <c r="I2808" i="12"/>
  <c r="I2800" i="12"/>
  <c r="I2792" i="12"/>
  <c r="I2784" i="12"/>
  <c r="I2776" i="12"/>
  <c r="I2768" i="12"/>
  <c r="I2760" i="12"/>
  <c r="I2752" i="12"/>
  <c r="I2744" i="12"/>
  <c r="I2736" i="12"/>
  <c r="I2728" i="12"/>
  <c r="I2720" i="12"/>
  <c r="I2712" i="12"/>
  <c r="I2704" i="12"/>
  <c r="I2696" i="12"/>
  <c r="I2688" i="12"/>
  <c r="I2680" i="12"/>
  <c r="I2672" i="12"/>
  <c r="I2664" i="12"/>
  <c r="I2656" i="12"/>
  <c r="I2648" i="12"/>
  <c r="I2640" i="12"/>
  <c r="I2632" i="12"/>
  <c r="I2624" i="12"/>
  <c r="I2616" i="12"/>
  <c r="I2608" i="12"/>
  <c r="I2600" i="12"/>
  <c r="I2592" i="12"/>
  <c r="I2576" i="12"/>
  <c r="I2568" i="12"/>
  <c r="I2560" i="12"/>
  <c r="I2552" i="12"/>
  <c r="I2544" i="12"/>
  <c r="I2536" i="12"/>
  <c r="I2528" i="12"/>
  <c r="I2520" i="12"/>
  <c r="I2512" i="12"/>
  <c r="I2504" i="12"/>
  <c r="I2496" i="12"/>
  <c r="I2488" i="12"/>
  <c r="I2480" i="12"/>
  <c r="I2472" i="12"/>
  <c r="I2464" i="12"/>
  <c r="I2456" i="12"/>
  <c r="I2448" i="12"/>
  <c r="I2440" i="12"/>
  <c r="I2432" i="12"/>
  <c r="I2424" i="12"/>
  <c r="I2416" i="12"/>
  <c r="I2408" i="12"/>
  <c r="I2400" i="12"/>
  <c r="I2392" i="12"/>
  <c r="I2384" i="12"/>
  <c r="I2376" i="12"/>
  <c r="I2368" i="12"/>
  <c r="I2360" i="12"/>
  <c r="I2352" i="12"/>
  <c r="I2344" i="12"/>
  <c r="I2336" i="12"/>
  <c r="I2328" i="12"/>
  <c r="I2320" i="12"/>
  <c r="I2312" i="12"/>
  <c r="I2304" i="12"/>
  <c r="I2296" i="12"/>
  <c r="I2288" i="12"/>
  <c r="I2280" i="12"/>
  <c r="I2272" i="12"/>
  <c r="I2264" i="12"/>
  <c r="I2256" i="12"/>
  <c r="I2248" i="12"/>
  <c r="I2240" i="12"/>
  <c r="I2232" i="12"/>
  <c r="I2224" i="12"/>
  <c r="I2216" i="12"/>
  <c r="I2208" i="12"/>
  <c r="I2200" i="12"/>
  <c r="I2192" i="12"/>
  <c r="I2184" i="12"/>
  <c r="I2176" i="12"/>
  <c r="I2168" i="12"/>
  <c r="I2160" i="12"/>
  <c r="I2152" i="12"/>
  <c r="I2144" i="12"/>
  <c r="I2136" i="12"/>
  <c r="I2128" i="12"/>
  <c r="I2120" i="12"/>
  <c r="I2112" i="12"/>
  <c r="I2104" i="12"/>
  <c r="I2096" i="12"/>
  <c r="I2088" i="12"/>
  <c r="I2080" i="12"/>
  <c r="I2064" i="12"/>
  <c r="I2056" i="12"/>
  <c r="I2048" i="12"/>
  <c r="I2040" i="12"/>
  <c r="I2032" i="12"/>
  <c r="I2024" i="12"/>
  <c r="I2016" i="12"/>
  <c r="I2008" i="12"/>
  <c r="I2000" i="12"/>
  <c r="I1992" i="12"/>
  <c r="I1984" i="12"/>
  <c r="I1976" i="12"/>
  <c r="I1968" i="12"/>
  <c r="I1960" i="12"/>
  <c r="I1952" i="12"/>
  <c r="I1944" i="12"/>
  <c r="I1936" i="12"/>
  <c r="I1928" i="12"/>
  <c r="I1920" i="12"/>
  <c r="I1912" i="12"/>
  <c r="I1904" i="12"/>
  <c r="I1896" i="12"/>
  <c r="I1888" i="12"/>
  <c r="I1880" i="12"/>
  <c r="I1864" i="12"/>
  <c r="I1856" i="12"/>
  <c r="I1848" i="12"/>
  <c r="I1840" i="12"/>
  <c r="I1832" i="12"/>
  <c r="I1824" i="12"/>
  <c r="I1816" i="12"/>
  <c r="I1808" i="12"/>
  <c r="I1800" i="12"/>
  <c r="I1792" i="12"/>
  <c r="I1784" i="12"/>
  <c r="I1776" i="12"/>
  <c r="I1768" i="12"/>
  <c r="I1760" i="12"/>
  <c r="I1752" i="12"/>
  <c r="I1744" i="12"/>
  <c r="I1736" i="12"/>
  <c r="I1728" i="12"/>
  <c r="I1720" i="12"/>
  <c r="I1712" i="12"/>
  <c r="I1704" i="12"/>
  <c r="I1696" i="12"/>
  <c r="I1688" i="12"/>
  <c r="I1680" i="12"/>
  <c r="I1672" i="12"/>
  <c r="I1664" i="12"/>
  <c r="I1656" i="12"/>
  <c r="I1648" i="12"/>
  <c r="I1640" i="12"/>
  <c r="I1632" i="12"/>
  <c r="I1624" i="12"/>
  <c r="I1616" i="12"/>
  <c r="I1608" i="12"/>
  <c r="I1600" i="12"/>
  <c r="I1592" i="12"/>
  <c r="I1584" i="12"/>
  <c r="I1576" i="12"/>
  <c r="I1568" i="12"/>
  <c r="I1560" i="12"/>
  <c r="I1552" i="12"/>
  <c r="I1544" i="12"/>
  <c r="I1536" i="12"/>
  <c r="I1528" i="12"/>
  <c r="I1520" i="12"/>
  <c r="I1512" i="12"/>
  <c r="I1504" i="12"/>
  <c r="I1496" i="12"/>
  <c r="I1488" i="12"/>
  <c r="I1480" i="12"/>
  <c r="I1472" i="12"/>
  <c r="I1464" i="12"/>
  <c r="I1456" i="12"/>
  <c r="I1448" i="12"/>
  <c r="I1440" i="12"/>
  <c r="I1432" i="12"/>
  <c r="I1424" i="12"/>
  <c r="I1416" i="12"/>
  <c r="I1408" i="12"/>
  <c r="I1400" i="12"/>
  <c r="I1392" i="12"/>
  <c r="I1384" i="12"/>
  <c r="I1376" i="12"/>
  <c r="I1368" i="12"/>
  <c r="I1360" i="12"/>
  <c r="I1352" i="12"/>
  <c r="I1344" i="12"/>
  <c r="I1336" i="12"/>
  <c r="I1328" i="12"/>
  <c r="I1320" i="12"/>
  <c r="I1312" i="12"/>
  <c r="I1304" i="12"/>
  <c r="I1296" i="12"/>
  <c r="I1288" i="12"/>
  <c r="I1280" i="12"/>
  <c r="I1272" i="12"/>
  <c r="I1264" i="12"/>
  <c r="I1256" i="12"/>
  <c r="I1248" i="12"/>
  <c r="I1240" i="12"/>
  <c r="I1232" i="12"/>
  <c r="I1224" i="12"/>
  <c r="I1208" i="12"/>
  <c r="I1200" i="12"/>
  <c r="I1192" i="12"/>
  <c r="I1184" i="12"/>
  <c r="I1176" i="12"/>
  <c r="I1168" i="12"/>
  <c r="I1160" i="12"/>
  <c r="I1152" i="12"/>
  <c r="I1144" i="12"/>
  <c r="I1136" i="12"/>
  <c r="I1128" i="12"/>
  <c r="I1120" i="12"/>
  <c r="I1112" i="12"/>
  <c r="I1104" i="12"/>
  <c r="I1096" i="12"/>
  <c r="I1088" i="12"/>
  <c r="I1080" i="12"/>
  <c r="I1072" i="12"/>
  <c r="I1064" i="12"/>
  <c r="I1056" i="12"/>
  <c r="I1048" i="12"/>
  <c r="I1040" i="12"/>
  <c r="I1032" i="12"/>
  <c r="I1024" i="12"/>
  <c r="I1016" i="12"/>
  <c r="I1008" i="12"/>
  <c r="I1000" i="12"/>
  <c r="I992" i="12"/>
  <c r="I984" i="12"/>
  <c r="I976" i="12"/>
  <c r="I968" i="12"/>
  <c r="I960" i="12"/>
  <c r="I952" i="12"/>
  <c r="I944" i="12"/>
  <c r="I936" i="12"/>
  <c r="I928" i="12"/>
  <c r="I920" i="12"/>
  <c r="I912" i="12"/>
  <c r="I904" i="12"/>
  <c r="I896" i="12"/>
  <c r="I888" i="12"/>
  <c r="I880" i="12"/>
  <c r="I872" i="12"/>
  <c r="I864" i="12"/>
  <c r="I856" i="12"/>
  <c r="I848" i="12"/>
  <c r="I840" i="12"/>
  <c r="I832" i="12"/>
  <c r="I824" i="12"/>
  <c r="I816" i="12"/>
  <c r="I808" i="12"/>
  <c r="I800" i="12"/>
  <c r="I792" i="12"/>
  <c r="I784" i="12"/>
  <c r="I776" i="12"/>
  <c r="I768" i="12"/>
  <c r="I760" i="12"/>
  <c r="I752" i="12"/>
  <c r="I744" i="12"/>
  <c r="I736" i="12"/>
  <c r="I728" i="12"/>
  <c r="I720" i="12"/>
  <c r="I712" i="12"/>
  <c r="I704" i="12"/>
  <c r="I696" i="12"/>
  <c r="I688" i="12"/>
  <c r="I680" i="12"/>
  <c r="I672" i="12"/>
  <c r="I664" i="12"/>
  <c r="I656" i="12"/>
  <c r="I648" i="12"/>
  <c r="I640" i="12"/>
  <c r="I632" i="12"/>
  <c r="I624" i="12"/>
  <c r="I616" i="12"/>
  <c r="I608" i="12"/>
  <c r="I600" i="12"/>
  <c r="I592" i="12"/>
  <c r="I584" i="12"/>
  <c r="I576" i="12"/>
  <c r="I568" i="12"/>
  <c r="I560" i="12"/>
  <c r="I552" i="12"/>
  <c r="I544" i="12"/>
  <c r="I536" i="12"/>
  <c r="I528" i="12"/>
  <c r="I520" i="12"/>
  <c r="I512" i="12"/>
  <c r="I504" i="12"/>
  <c r="I496" i="12"/>
  <c r="I488" i="12"/>
  <c r="I480" i="12"/>
  <c r="I472" i="12"/>
  <c r="I464" i="12"/>
  <c r="I456" i="12"/>
  <c r="I448" i="12"/>
  <c r="I440" i="12"/>
  <c r="I432" i="12"/>
  <c r="I424" i="12"/>
  <c r="I416" i="12"/>
  <c r="I408" i="12"/>
  <c r="I400" i="12"/>
  <c r="I392" i="12"/>
  <c r="I384" i="12"/>
  <c r="I376" i="12"/>
  <c r="I368" i="12"/>
  <c r="I360" i="12"/>
  <c r="I352" i="12"/>
  <c r="I344" i="12"/>
  <c r="I336" i="12"/>
  <c r="I328" i="12"/>
  <c r="I320" i="12"/>
  <c r="I312" i="12"/>
  <c r="I296" i="12"/>
  <c r="I184" i="12"/>
  <c r="I527" i="12"/>
  <c r="I519" i="12"/>
  <c r="I511" i="12"/>
  <c r="I2861" i="12"/>
  <c r="I2853" i="12"/>
  <c r="I2845" i="12"/>
  <c r="I2837" i="12"/>
  <c r="I2829" i="12"/>
  <c r="I2821" i="12"/>
  <c r="I2813" i="12"/>
  <c r="I2805" i="12"/>
  <c r="I2797" i="12"/>
  <c r="I2789" i="12"/>
  <c r="I2781" i="12"/>
  <c r="I2773" i="12"/>
  <c r="I2765" i="12"/>
  <c r="I2757" i="12"/>
  <c r="I2749" i="12"/>
  <c r="I2741" i="12"/>
  <c r="I2733" i="12"/>
  <c r="I2725" i="12"/>
  <c r="I2717" i="12"/>
  <c r="I2709" i="12"/>
  <c r="I2701" i="12"/>
  <c r="I2693" i="12"/>
  <c r="I2685" i="12"/>
  <c r="I2677" i="12"/>
  <c r="I2669" i="12"/>
  <c r="I2661" i="12"/>
  <c r="I2653" i="12"/>
  <c r="I2645" i="12"/>
  <c r="I2637" i="12"/>
  <c r="I2629" i="12"/>
  <c r="I2621" i="12"/>
  <c r="I2613" i="12"/>
  <c r="I2605" i="12"/>
  <c r="I2597" i="12"/>
  <c r="I2589" i="12"/>
  <c r="I2581" i="12"/>
  <c r="I2573" i="12"/>
  <c r="I2565" i="12"/>
  <c r="I2557" i="12"/>
  <c r="I2549" i="12"/>
  <c r="I2541" i="12"/>
  <c r="I2533" i="12"/>
  <c r="I2525" i="12"/>
  <c r="I2517" i="12"/>
  <c r="I2509" i="12"/>
  <c r="I2501" i="12"/>
  <c r="I2493" i="12"/>
  <c r="I2485" i="12"/>
  <c r="I2477" i="12"/>
  <c r="I2469" i="12"/>
  <c r="I2461" i="12"/>
  <c r="I2453" i="12"/>
  <c r="I2445" i="12"/>
  <c r="I2437" i="12"/>
  <c r="I2429" i="12"/>
  <c r="I2421" i="12"/>
  <c r="I2413" i="12"/>
  <c r="I2405" i="12"/>
  <c r="I2397" i="12"/>
  <c r="I2389" i="12"/>
  <c r="I2381" i="12"/>
  <c r="I2373" i="12"/>
  <c r="I2365" i="12"/>
  <c r="I2357" i="12"/>
  <c r="I2349" i="12"/>
  <c r="I2341" i="12"/>
  <c r="I2333" i="12"/>
  <c r="I2325" i="12"/>
  <c r="I2317" i="12"/>
  <c r="I2309" i="12"/>
  <c r="I2301" i="12"/>
  <c r="I2293" i="12"/>
  <c r="I2285" i="12"/>
  <c r="I2277" i="12"/>
  <c r="I2269" i="12"/>
  <c r="I2261" i="12"/>
  <c r="I2253" i="12"/>
  <c r="I2245" i="12"/>
  <c r="I2237" i="12"/>
  <c r="I2229" i="12"/>
  <c r="I2221" i="12"/>
  <c r="I2213" i="12"/>
  <c r="I2205" i="12"/>
  <c r="I2197" i="12"/>
  <c r="I2189" i="12"/>
  <c r="I2181" i="12"/>
  <c r="I2173" i="12"/>
  <c r="I2165" i="12"/>
  <c r="I2157" i="12"/>
  <c r="I2149" i="12"/>
  <c r="I2141" i="12"/>
  <c r="I2133" i="12"/>
  <c r="I2125" i="12"/>
  <c r="I2117" i="12"/>
  <c r="I2109" i="12"/>
  <c r="I2101" i="12"/>
  <c r="I2093" i="12"/>
  <c r="I2085" i="12"/>
  <c r="I2077" i="12"/>
  <c r="I2069" i="12"/>
  <c r="I2061" i="12"/>
  <c r="I2053" i="12"/>
  <c r="I2045" i="12"/>
  <c r="I2037" i="12"/>
  <c r="I2029" i="12"/>
  <c r="I2021" i="12"/>
  <c r="I2013" i="12"/>
  <c r="I2005" i="12"/>
  <c r="I1997" i="12"/>
  <c r="I1989" i="12"/>
  <c r="I1981" i="12"/>
  <c r="I1973" i="12"/>
  <c r="I1965" i="12"/>
  <c r="I1957" i="12"/>
  <c r="I1949" i="12"/>
  <c r="I1941" i="12"/>
  <c r="I1933" i="12"/>
  <c r="I1925" i="12"/>
  <c r="I1917" i="12"/>
  <c r="I1909" i="12"/>
  <c r="I1901" i="12"/>
  <c r="I1893" i="12"/>
  <c r="I1885" i="12"/>
  <c r="I1877" i="12"/>
  <c r="I1869" i="12"/>
  <c r="I1861" i="12"/>
  <c r="I1853" i="12"/>
  <c r="I1845" i="12"/>
  <c r="I1837" i="12"/>
  <c r="I1829" i="12"/>
  <c r="I1821" i="12"/>
  <c r="I1813" i="12"/>
  <c r="I1805" i="12"/>
  <c r="I1797" i="12"/>
  <c r="I1789" i="12"/>
  <c r="I1781" i="12"/>
  <c r="I1773" i="12"/>
  <c r="I1765" i="12"/>
  <c r="I1757" i="12"/>
  <c r="I1749" i="12"/>
  <c r="I1741" i="12"/>
  <c r="I1733" i="12"/>
  <c r="I1725" i="12"/>
  <c r="I1717" i="12"/>
  <c r="I1709" i="12"/>
  <c r="I1701" i="12"/>
  <c r="I1693" i="12"/>
  <c r="I1685" i="12"/>
  <c r="I1677" i="12"/>
  <c r="I1669" i="12"/>
  <c r="I1661" i="12"/>
  <c r="I1653" i="12"/>
  <c r="I1645" i="12"/>
  <c r="I1637" i="12"/>
  <c r="I1629" i="12"/>
  <c r="I1621" i="12"/>
  <c r="I1613" i="12"/>
  <c r="I1605" i="12"/>
  <c r="I1597" i="12"/>
  <c r="I1589" i="12"/>
  <c r="I1581" i="12"/>
  <c r="I1573" i="12"/>
  <c r="I1565" i="12"/>
  <c r="I1557" i="12"/>
  <c r="I1549" i="12"/>
  <c r="I1541" i="12"/>
  <c r="I1533" i="12"/>
  <c r="I1525" i="12"/>
  <c r="I1517" i="12"/>
  <c r="I1509" i="12"/>
  <c r="I1501" i="12"/>
  <c r="I1493" i="12"/>
  <c r="I1485" i="12"/>
  <c r="I1477" i="12"/>
  <c r="I1469" i="12"/>
  <c r="I1461" i="12"/>
  <c r="I1453" i="12"/>
  <c r="I1445" i="12"/>
  <c r="I1437" i="12"/>
  <c r="I1429" i="12"/>
  <c r="I1421" i="12"/>
  <c r="I1413" i="12"/>
  <c r="I1405" i="12"/>
  <c r="I1397" i="12"/>
  <c r="I1389" i="12"/>
  <c r="I1381" i="12"/>
  <c r="I1373" i="12"/>
  <c r="I1365" i="12"/>
  <c r="I1357" i="12"/>
  <c r="I1349" i="12"/>
  <c r="I1341" i="12"/>
  <c r="I1333" i="12"/>
  <c r="I1325" i="12"/>
  <c r="I1317" i="12"/>
  <c r="I1309" i="12"/>
  <c r="I1301" i="12"/>
  <c r="I1293" i="12"/>
  <c r="I1285" i="12"/>
  <c r="I1277" i="12"/>
  <c r="I1269" i="12"/>
  <c r="I1261" i="12"/>
  <c r="I1253" i="12"/>
  <c r="I1245" i="12"/>
  <c r="I1237" i="12"/>
  <c r="I1229" i="12"/>
  <c r="I1221" i="12"/>
  <c r="I1213" i="12"/>
  <c r="I1205" i="12"/>
  <c r="I1197" i="12"/>
  <c r="I1189" i="12"/>
  <c r="I1181" i="12"/>
  <c r="I1173" i="12"/>
  <c r="I1165" i="12"/>
  <c r="I1157" i="12"/>
  <c r="I1149" i="12"/>
  <c r="I1141" i="12"/>
  <c r="I1133" i="12"/>
  <c r="I1125" i="12"/>
  <c r="I1117" i="12"/>
  <c r="I1109" i="12"/>
  <c r="I1101" i="12"/>
  <c r="I1093" i="12"/>
  <c r="I1085" i="12"/>
  <c r="I1077" i="12"/>
  <c r="I1069" i="12"/>
  <c r="I1061" i="12"/>
  <c r="I1053" i="12"/>
  <c r="I1045" i="12"/>
  <c r="I1037" i="12"/>
  <c r="I1029" i="12"/>
  <c r="I1021" i="12"/>
  <c r="I1013" i="12"/>
  <c r="I1005" i="12"/>
  <c r="I997" i="12"/>
  <c r="I989" i="12"/>
  <c r="I981" i="12"/>
  <c r="I973" i="12"/>
  <c r="I965" i="12"/>
  <c r="I957" i="12"/>
  <c r="I949" i="12"/>
  <c r="I941" i="12"/>
  <c r="I933" i="12"/>
  <c r="I925" i="12"/>
  <c r="I917" i="12"/>
  <c r="I909" i="12"/>
  <c r="I901" i="12"/>
  <c r="I893" i="12"/>
  <c r="I885" i="12"/>
  <c r="I877" i="12"/>
  <c r="I869" i="12"/>
  <c r="I861" i="12"/>
  <c r="I853" i="12"/>
  <c r="I845" i="12"/>
  <c r="I837" i="12"/>
  <c r="I829" i="12"/>
  <c r="I821" i="12"/>
  <c r="I813" i="12"/>
  <c r="I805" i="12"/>
  <c r="I797" i="12"/>
  <c r="I789" i="12"/>
  <c r="I781" i="12"/>
  <c r="I773" i="12"/>
  <c r="I765" i="12"/>
  <c r="I757" i="12"/>
  <c r="I749" i="12"/>
  <c r="I741" i="12"/>
  <c r="I733" i="12"/>
  <c r="I725" i="12"/>
  <c r="I717" i="12"/>
  <c r="I709" i="12"/>
  <c r="I701" i="12"/>
  <c r="I693" i="12"/>
  <c r="I685" i="12"/>
  <c r="I677" i="12"/>
  <c r="I669" i="12"/>
  <c r="I661" i="12"/>
  <c r="I653" i="12"/>
  <c r="I645" i="12"/>
  <c r="I637" i="12"/>
  <c r="I629" i="12"/>
  <c r="I621" i="12"/>
  <c r="I613" i="12"/>
  <c r="I605" i="12"/>
  <c r="I597" i="12"/>
  <c r="I589" i="12"/>
  <c r="I581" i="12"/>
  <c r="I573" i="12"/>
  <c r="I565" i="12"/>
  <c r="I557" i="12"/>
  <c r="I549" i="12"/>
  <c r="I541" i="12"/>
  <c r="I533" i="12"/>
  <c r="I525" i="12"/>
  <c r="I517" i="12"/>
  <c r="I509" i="12"/>
  <c r="I501" i="12"/>
  <c r="I493" i="12"/>
  <c r="I485" i="12"/>
  <c r="I477" i="12"/>
  <c r="I469" i="12"/>
  <c r="I461" i="12"/>
  <c r="I453" i="12"/>
  <c r="I445" i="12"/>
  <c r="I437" i="12"/>
  <c r="I429" i="12"/>
  <c r="I421" i="12"/>
  <c r="I413" i="12"/>
  <c r="I405" i="12"/>
  <c r="I397" i="12"/>
  <c r="I389" i="12"/>
  <c r="I381" i="12"/>
  <c r="I373" i="12"/>
  <c r="I365" i="12"/>
  <c r="I357" i="12"/>
  <c r="I349" i="12"/>
  <c r="I341" i="12"/>
  <c r="I333" i="12"/>
  <c r="I325" i="12"/>
  <c r="I317" i="12"/>
  <c r="I309" i="12"/>
  <c r="I301" i="12"/>
  <c r="I293" i="12"/>
  <c r="I285" i="12"/>
  <c r="I308" i="12"/>
  <c r="I300" i="12"/>
  <c r="I292" i="12"/>
  <c r="I284" i="12"/>
  <c r="I276" i="12"/>
  <c r="I268" i="12"/>
  <c r="I260" i="12"/>
  <c r="I252" i="12"/>
  <c r="I244" i="12"/>
  <c r="I236" i="12"/>
  <c r="I228" i="12"/>
  <c r="I220" i="12"/>
  <c r="I212" i="12"/>
  <c r="I204" i="12"/>
  <c r="I196" i="12"/>
  <c r="I188" i="12"/>
  <c r="I180" i="12"/>
  <c r="I172" i="12"/>
  <c r="I164" i="12"/>
  <c r="I156" i="12"/>
  <c r="I148" i="12"/>
  <c r="I140" i="12"/>
  <c r="I132" i="12"/>
  <c r="I116" i="12"/>
  <c r="I108" i="12"/>
  <c r="I100" i="12"/>
  <c r="I92" i="12"/>
  <c r="I84" i="12"/>
  <c r="I76" i="12"/>
  <c r="I506" i="12"/>
  <c r="I498" i="12"/>
  <c r="I490" i="12"/>
  <c r="I482" i="12"/>
  <c r="I474" i="12"/>
  <c r="I466" i="12"/>
  <c r="I458" i="12"/>
  <c r="I450" i="12"/>
  <c r="I442" i="12"/>
  <c r="I434" i="12"/>
  <c r="I426" i="12"/>
  <c r="I418" i="12"/>
  <c r="I410" i="12"/>
  <c r="I402" i="12"/>
  <c r="I394" i="12"/>
  <c r="I386" i="12"/>
  <c r="I378" i="12"/>
  <c r="I370" i="12"/>
  <c r="I362" i="12"/>
  <c r="I354" i="12"/>
  <c r="I338" i="12"/>
  <c r="I330" i="12"/>
  <c r="I322" i="12"/>
  <c r="I314" i="12"/>
  <c r="I306" i="12"/>
  <c r="I298" i="12"/>
  <c r="I290" i="12"/>
  <c r="I282" i="12"/>
  <c r="I274" i="12"/>
  <c r="I266" i="12"/>
  <c r="I258" i="12"/>
  <c r="I250" i="12"/>
  <c r="I242" i="12"/>
  <c r="I234" i="12"/>
  <c r="I226" i="12"/>
  <c r="I218" i="12"/>
  <c r="I210" i="12"/>
  <c r="I202" i="12"/>
  <c r="I194" i="12"/>
  <c r="I186" i="12"/>
  <c r="I178" i="12"/>
  <c r="I170" i="12"/>
  <c r="I162" i="12"/>
  <c r="I154" i="12"/>
  <c r="I146" i="12"/>
  <c r="I138" i="12"/>
  <c r="I130" i="12"/>
  <c r="I122" i="12"/>
  <c r="I114" i="12"/>
  <c r="I106" i="12"/>
  <c r="I98" i="12"/>
  <c r="I90" i="12"/>
  <c r="I82" i="12"/>
  <c r="I74" i="12"/>
  <c r="I66" i="12"/>
  <c r="I58" i="12"/>
  <c r="I304" i="12"/>
  <c r="I288" i="12"/>
  <c r="I280" i="12"/>
  <c r="I272" i="12"/>
  <c r="I264" i="12"/>
  <c r="I256" i="12"/>
  <c r="I248" i="12"/>
  <c r="I232" i="12"/>
  <c r="I224" i="12"/>
  <c r="I216" i="12"/>
  <c r="I208" i="12"/>
  <c r="I200" i="12"/>
  <c r="I192" i="12"/>
  <c r="I176" i="12"/>
  <c r="I168" i="12"/>
  <c r="I160" i="12"/>
  <c r="I152" i="12"/>
  <c r="I144" i="12"/>
  <c r="I136" i="12"/>
  <c r="I128" i="12"/>
  <c r="I120" i="12"/>
  <c r="I112" i="12"/>
  <c r="I104" i="12"/>
  <c r="I96" i="12"/>
  <c r="I88" i="12"/>
  <c r="I80" i="12"/>
  <c r="I72" i="12"/>
  <c r="I64" i="12"/>
  <c r="I56" i="12"/>
  <c r="I503" i="12"/>
  <c r="I495" i="12"/>
  <c r="I487" i="12"/>
  <c r="I479" i="12"/>
  <c r="I471" i="12"/>
  <c r="I463" i="12"/>
  <c r="I455" i="12"/>
  <c r="I447" i="12"/>
  <c r="I439" i="12"/>
  <c r="I431" i="12"/>
  <c r="I423" i="12"/>
  <c r="I415" i="12"/>
  <c r="I407" i="12"/>
  <c r="I399" i="12"/>
  <c r="I391" i="12"/>
  <c r="I383" i="12"/>
  <c r="I375" i="12"/>
  <c r="I367" i="12"/>
  <c r="I359" i="12"/>
  <c r="I351" i="12"/>
  <c r="I343" i="12"/>
  <c r="I335" i="12"/>
  <c r="I327" i="12"/>
  <c r="I319" i="12"/>
  <c r="I311" i="12"/>
  <c r="I303" i="12"/>
  <c r="I295" i="12"/>
  <c r="I287" i="12"/>
  <c r="I279" i="12"/>
  <c r="I271" i="12"/>
  <c r="I263" i="12"/>
  <c r="I255" i="12"/>
  <c r="I247" i="12"/>
  <c r="I239" i="12"/>
  <c r="I231" i="12"/>
  <c r="I223" i="12"/>
  <c r="I215" i="12"/>
  <c r="I207" i="12"/>
  <c r="I199" i="12"/>
  <c r="I191" i="12"/>
  <c r="I183" i="12"/>
  <c r="I175" i="12"/>
  <c r="I167" i="12"/>
  <c r="I159" i="12"/>
  <c r="I151" i="12"/>
  <c r="I143" i="12"/>
  <c r="I135" i="12"/>
  <c r="I127" i="12"/>
  <c r="I119" i="12"/>
  <c r="I111" i="12"/>
  <c r="I103" i="12"/>
  <c r="I95" i="12"/>
  <c r="I87" i="12"/>
  <c r="I79" i="12"/>
  <c r="I71" i="12"/>
  <c r="I63" i="12"/>
  <c r="I55" i="12"/>
  <c r="I277" i="12"/>
  <c r="I269" i="12"/>
  <c r="I261" i="12"/>
  <c r="I253" i="12"/>
  <c r="I245" i="12"/>
  <c r="I237" i="12"/>
  <c r="I229" i="12"/>
  <c r="I221" i="12"/>
  <c r="I213" i="12"/>
  <c r="I205" i="12"/>
  <c r="I197" i="12"/>
  <c r="I189" i="12"/>
  <c r="I181" i="12"/>
  <c r="I173" i="12"/>
  <c r="I165" i="12"/>
  <c r="I157" i="12"/>
  <c r="I149" i="12"/>
  <c r="I141" i="12"/>
  <c r="I133" i="12"/>
  <c r="I125" i="12"/>
  <c r="I117" i="12"/>
  <c r="I109" i="12"/>
  <c r="I101" i="12"/>
  <c r="I93" i="12"/>
  <c r="I85" i="12"/>
  <c r="F23" i="12"/>
  <c r="E23" i="12"/>
  <c r="F24" i="12"/>
  <c r="E24" i="12"/>
  <c r="F52" i="10" a="1"/>
  <c r="F55" i="10" s="1"/>
  <c r="F48" i="10"/>
  <c r="F49" i="10"/>
  <c r="F45" i="10"/>
  <c r="F47" i="10"/>
  <c r="F46" i="10"/>
  <c r="G37" i="8"/>
  <c r="G38" i="8"/>
  <c r="G39" i="8"/>
  <c r="G40" i="8"/>
  <c r="G41" i="8"/>
  <c r="G36" i="8"/>
  <c r="G35" i="8"/>
  <c r="D62" i="8"/>
  <c r="D36" i="8"/>
  <c r="D37" i="8"/>
  <c r="D38" i="8"/>
  <c r="D39" i="8"/>
  <c r="D40" i="8"/>
  <c r="D41" i="8"/>
  <c r="D42" i="8"/>
  <c r="D43" i="8"/>
  <c r="D44" i="8"/>
  <c r="D45" i="8"/>
  <c r="D46" i="8"/>
  <c r="D47" i="8"/>
  <c r="D48" i="8"/>
  <c r="D49" i="8"/>
  <c r="D50" i="8"/>
  <c r="D51" i="8"/>
  <c r="D52" i="8"/>
  <c r="D53" i="8"/>
  <c r="D54" i="8"/>
  <c r="D55" i="8"/>
  <c r="D56" i="8"/>
  <c r="D57" i="8"/>
  <c r="D58" i="8"/>
  <c r="D59" i="8"/>
  <c r="D60" i="8"/>
  <c r="D61" i="8"/>
  <c r="D34" i="8"/>
  <c r="D35" i="8"/>
  <c r="D33" i="8"/>
  <c r="I92" i="7"/>
  <c r="I90" i="7"/>
  <c r="I88" i="7"/>
  <c r="I86" i="7"/>
  <c r="I84" i="7"/>
  <c r="I82" i="7"/>
  <c r="F94" i="7"/>
  <c r="F89" i="7" a="1"/>
  <c r="F89" i="7" s="1"/>
  <c r="F84" i="7"/>
  <c r="F82" i="7"/>
  <c r="I71" i="7"/>
  <c r="I69" i="7"/>
  <c r="I67" i="7"/>
  <c r="I65" i="7"/>
  <c r="I63" i="7"/>
  <c r="F75" i="7"/>
  <c r="F70" i="7" a="1"/>
  <c r="F70" i="7" s="1"/>
  <c r="F65" i="7"/>
  <c r="F63" i="7"/>
  <c r="D56" i="7"/>
  <c r="D53" i="7"/>
  <c r="D54" i="7"/>
  <c r="D55" i="7"/>
  <c r="D52" i="7"/>
  <c r="D51" i="7"/>
  <c r="D83" i="5"/>
  <c r="E81" i="5"/>
  <c r="D79" i="5"/>
  <c r="D81" i="5" s="1"/>
  <c r="D63" i="5"/>
  <c r="D62" i="5"/>
  <c r="D59" i="5"/>
  <c r="D57" i="5"/>
  <c r="E32" i="5"/>
  <c r="E29" i="5"/>
  <c r="E39" i="5"/>
  <c r="E36" i="5"/>
  <c r="G51" i="8" l="1"/>
  <c r="G53" i="8"/>
  <c r="G56" i="8"/>
  <c r="G54" i="8"/>
  <c r="G55" i="8"/>
  <c r="G52" i="8"/>
  <c r="G42" i="8"/>
  <c r="H36" i="8" s="1"/>
  <c r="G50" i="8"/>
  <c r="F53" i="10"/>
  <c r="F54" i="10"/>
  <c r="F52" i="10"/>
  <c r="F92" i="7"/>
  <c r="F91" i="7"/>
  <c r="F90" i="7"/>
  <c r="F72" i="7"/>
  <c r="F73" i="7"/>
  <c r="F71" i="7"/>
  <c r="F44" i="7"/>
  <c r="I38" i="7"/>
  <c r="H37" i="8" l="1"/>
  <c r="H38" i="8"/>
  <c r="H39" i="8"/>
  <c r="H35" i="8"/>
  <c r="H40" i="8"/>
  <c r="H41" i="8"/>
  <c r="F32" i="7"/>
  <c r="F34" i="7"/>
  <c r="F39" i="7" a="1"/>
  <c r="F39" i="7" s="1"/>
  <c r="I32" i="7"/>
  <c r="I34" i="7"/>
  <c r="I36" i="7"/>
  <c r="I40" i="7"/>
  <c r="H55" i="8" l="1"/>
  <c r="H56" i="8"/>
  <c r="H50" i="8"/>
  <c r="H42" i="8"/>
  <c r="H51" i="8"/>
  <c r="H52" i="8"/>
  <c r="H54" i="8"/>
  <c r="H53" i="8"/>
  <c r="F42" i="7"/>
  <c r="F40" i="7"/>
  <c r="F4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zwergebe</author>
    <author>Til</author>
  </authors>
  <commentList>
    <comment ref="E38" authorId="0" shapeId="0" xr:uid="{00000000-0006-0000-0300-000001000000}">
      <text>
        <r>
          <rPr>
            <sz val="10"/>
            <color indexed="81"/>
            <rFont val="Tahoma"/>
            <family val="2"/>
          </rPr>
          <t xml:space="preserve">
Klassen werden vom Anwender vorgegeben.</t>
        </r>
      </text>
    </comment>
    <comment ref="F38" authorId="0" shapeId="0" xr:uid="{00000000-0006-0000-0300-000002000000}">
      <text>
        <r>
          <rPr>
            <b/>
            <sz val="10"/>
            <color indexed="81"/>
            <rFont val="Tahoma"/>
            <family val="2"/>
          </rPr>
          <t xml:space="preserve">
Matrixformeln immer mit STRG+SHIFT+ENTER abschließen</t>
        </r>
        <r>
          <rPr>
            <sz val="10"/>
            <color indexed="81"/>
            <rFont val="Tahoma"/>
            <family val="2"/>
          </rPr>
          <t xml:space="preserve">
Aus der Hilfe zur Funktion HÄUFIGKEIT:
Die Ergebnismatrix umfasst ein Element mehr als das als Matrix oder Bezug auf einen Zellbereich angegebene Argument Klassen. Das zusätzliche Element in der zurückgegebenen Matrix gibt die Anzahl der Werte über dem höchsten Intervall zurück. Wenn Sie beispielsweise drei Wertebereiche (Intervalle) zählen, die in drei Zellen eingegeben werden, stellen Sie sicher, dass Sie HÄUFIGKEIT in vier Zellen für die Ergebnisse eingeben. Die </t>
        </r>
        <r>
          <rPr>
            <b/>
            <sz val="10"/>
            <color indexed="81"/>
            <rFont val="Tahoma"/>
            <family val="2"/>
          </rPr>
          <t>zusätzliche Zelle</t>
        </r>
        <r>
          <rPr>
            <sz val="10"/>
            <color indexed="81"/>
            <rFont val="Tahoma"/>
            <family val="2"/>
          </rPr>
          <t xml:space="preserve"> gibt die Anzahl der Werte in Matrix zurück, die größer als der dritte Intervallwert sind. 
</t>
        </r>
      </text>
    </comment>
    <comment ref="I93" authorId="1" shapeId="0" xr:uid="{00000000-0006-0000-0300-000003000000}">
      <text>
        <r>
          <rPr>
            <b/>
            <sz val="9"/>
            <color indexed="81"/>
            <rFont val="Tahoma"/>
            <family val="2"/>
          </rPr>
          <t>Mit welchem Operator kann auf Ungleichheit geprüft werden?
(Antwort ist mittels Excel-Hilfe beantwortbar)</t>
        </r>
      </text>
    </comment>
  </commentList>
</comments>
</file>

<file path=xl/sharedStrings.xml><?xml version="1.0" encoding="utf-8"?>
<sst xmlns="http://schemas.openxmlformats.org/spreadsheetml/2006/main" count="293" uniqueCount="203">
  <si>
    <t>Summe:</t>
  </si>
  <si>
    <t>b)</t>
  </si>
  <si>
    <t>Berg</t>
  </si>
  <si>
    <t>Wie viele Höhenmeter wurden auf langen Etappen insg. zurückgelegt?</t>
  </si>
  <si>
    <t>Wie viele Kilometer wurden auf langen Etappen durchschnittlich zurückgelegt?</t>
  </si>
  <si>
    <t>Flach</t>
  </si>
  <si>
    <t>Höhenmeter</t>
  </si>
  <si>
    <t>Etappenart</t>
  </si>
  <si>
    <t>nein</t>
  </si>
  <si>
    <t>Donnerstag</t>
  </si>
  <si>
    <t>Dienstag</t>
  </si>
  <si>
    <t>ja</t>
  </si>
  <si>
    <t>Samstag</t>
  </si>
  <si>
    <t>Gebe dem Bereich "Wochentag" den Namen "tag", dem Bereich "schmerzfrei?" den Namen "schmerz?" und dem Bereich "knieend" den Namen "knie". Löse beide Fragen nocheinmal, nun mit den Namen in den Formeln.</t>
  </si>
  <si>
    <t>Freitag</t>
  </si>
  <si>
    <t>Montag</t>
  </si>
  <si>
    <t>schmerzfrei?</t>
  </si>
  <si>
    <t>davon knieend</t>
  </si>
  <si>
    <t>Wochentag</t>
  </si>
  <si>
    <t xml:space="preserve">Wie viel Gehalt wird an diejenigen, die mehr als 7 Mio verdienen, insgesamt gezahlt? </t>
  </si>
  <si>
    <t>Wie viele der 10 Spieler verdienen mehr als 7 Mio?</t>
  </si>
  <si>
    <t>Spieler-Nr.</t>
  </si>
  <si>
    <t>Klassen</t>
  </si>
  <si>
    <t>Maximum</t>
  </si>
  <si>
    <t>Anzahl</t>
  </si>
  <si>
    <t>i</t>
  </si>
  <si>
    <t>Rohdaten:</t>
  </si>
  <si>
    <t>2. kleinster Wert</t>
  </si>
  <si>
    <t>2. größter Wert</t>
  </si>
  <si>
    <t>4. größter Wert</t>
  </si>
  <si>
    <t>Max</t>
  </si>
  <si>
    <t>Min</t>
  </si>
  <si>
    <t>Mittelwert</t>
  </si>
  <si>
    <t>Häufigkeiten</t>
  </si>
  <si>
    <t>Häufigkeit</t>
  </si>
  <si>
    <t>ungleich 9</t>
  </si>
  <si>
    <t>höchstens 5</t>
  </si>
  <si>
    <t>gleich 17</t>
  </si>
  <si>
    <t>mehr als 28</t>
  </si>
  <si>
    <t>Suchkriterium</t>
  </si>
  <si>
    <t>Zählenwenn</t>
  </si>
  <si>
    <t>k.a.</t>
  </si>
  <si>
    <t>Umsatz</t>
  </si>
  <si>
    <t>Tag</t>
  </si>
  <si>
    <t>a)</t>
  </si>
  <si>
    <t>Rohdaten</t>
  </si>
  <si>
    <t>Stückpreis (in €):</t>
  </si>
  <si>
    <t>j</t>
  </si>
  <si>
    <t>Rohdaten, geordnet:</t>
  </si>
  <si>
    <t xml:space="preserve">Eine Umfrage über den Bierkonsum Münchner Bürger ergibt bei 10 Personen die in der Tabelle "Rohdaten" angegebene Zahlenreihe (Werte in Liter pro Woche). </t>
  </si>
  <si>
    <t>mindestens 50?</t>
  </si>
  <si>
    <t>mindestens 36 und höchstens 49,</t>
  </si>
  <si>
    <t>mindestens 18 und höchstens 35,</t>
  </si>
  <si>
    <t xml:space="preserve">jünger als 18, </t>
  </si>
  <si>
    <t>Welches Alter hat die älteste Person?</t>
  </si>
  <si>
    <t>Wie viele Personen sind älter als 50 Jahre?</t>
  </si>
  <si>
    <t>Wie viele Personen sind höchstens 40 Jahre alt?</t>
  </si>
  <si>
    <t>Geburtsdatum</t>
  </si>
  <si>
    <t>Person</t>
  </si>
  <si>
    <t>Wie hoch ist die Anzahl der 27-jährigen Personen?</t>
  </si>
  <si>
    <t>Welches Durchschnittsalter besitzen die  Seminarteilnehmer?</t>
  </si>
  <si>
    <t>Diskrete Rendite:</t>
  </si>
  <si>
    <t>Stetige Rendite:</t>
  </si>
  <si>
    <t>Der Vorteil  der stetigen Rendite besteht darin, dass sie additiv entlang der Zeitachse sind. Ein Nachteil besteht darin, dass die stetigen Rendite eines Portfolios nicht einfach die gewichtete Summe der Renditen der im Portfolio enthaltenen Wertpapiere ist.</t>
  </si>
  <si>
    <t>Renditen</t>
  </si>
  <si>
    <t xml:space="preserve">Minimum </t>
  </si>
  <si>
    <t>tägliche</t>
  </si>
  <si>
    <t>wöchentliche</t>
  </si>
  <si>
    <t>monatliche</t>
  </si>
  <si>
    <t>Datum</t>
  </si>
  <si>
    <t>tägliche Rendite</t>
  </si>
  <si>
    <t>Themen in dieser Datei</t>
  </si>
  <si>
    <t>Tabellenblätter in dieser Datei</t>
  </si>
  <si>
    <t>Überblick</t>
  </si>
  <si>
    <t>Diverse Funktionen</t>
  </si>
  <si>
    <t>Aufgabe 1</t>
  </si>
  <si>
    <t>Aufgabe 4</t>
  </si>
  <si>
    <t>Aufgabe 3</t>
  </si>
  <si>
    <t>1. Grundlagen</t>
  </si>
  <si>
    <t>Funktion SUMMEWENN und ZÄHLENWENN</t>
  </si>
  <si>
    <t>Größe [cm]</t>
  </si>
  <si>
    <t>2. Übungsaufgaben</t>
  </si>
  <si>
    <t>Funktion SUMMEWENN()</t>
  </si>
  <si>
    <t>Funktion ZÄHLENWENN()</t>
  </si>
  <si>
    <r>
      <t xml:space="preserve"> </t>
    </r>
    <r>
      <rPr>
        <sz val="12"/>
        <rFont val="Arial"/>
        <family val="2"/>
      </rPr>
      <t xml:space="preserve">  Die Funktion SUMMEWENN() addiert Zahlen im vorgegeben Bereich, die das angegebene Kriterium erfüllen.</t>
    </r>
  </si>
  <si>
    <r>
      <t xml:space="preserve">   Mithilfe der Funktion SUMMEWENN</t>
    </r>
    <r>
      <rPr>
        <b/>
        <sz val="12"/>
        <color rgb="FFFF0000"/>
        <rFont val="Arial"/>
        <family val="2"/>
      </rPr>
      <t>S</t>
    </r>
    <r>
      <rPr>
        <sz val="12"/>
        <rFont val="Arial"/>
        <family val="2"/>
      </rPr>
      <t>() können mehrere Kriterien gleichzeitig berücksichtigt werden.</t>
    </r>
  </si>
  <si>
    <r>
      <t xml:space="preserve">   Mithilfe der Funktion ZÄHLENWENN</t>
    </r>
    <r>
      <rPr>
        <b/>
        <sz val="12"/>
        <color rgb="FFFF0000"/>
        <rFont val="Arial"/>
        <family val="2"/>
      </rPr>
      <t>S</t>
    </r>
    <r>
      <rPr>
        <sz val="12"/>
        <rFont val="Arial"/>
        <family val="2"/>
      </rPr>
      <t>() können mehrere Kriterien gleichzeitig berücksichtigt werden.</t>
    </r>
  </si>
  <si>
    <t>Einstiegsbeispiel:</t>
  </si>
  <si>
    <t>Fragen, die mithilfe von SUMMEWENN zu beantworten sind:</t>
  </si>
  <si>
    <t>Fragen, die mithilfe von ZÄHLENWENN zu beantworten sind:</t>
  </si>
  <si>
    <t>Wie viele der 10 Spieler sind über 2 Meter groß?</t>
  </si>
  <si>
    <t>Wie viel Gehalt wird insgesamt ausgezahlt an diejenigen, die größer als 2m sind?</t>
  </si>
  <si>
    <t>Mio. €</t>
  </si>
  <si>
    <t>Gehalt 
[Mio. €]</t>
  </si>
  <si>
    <t>Beispiel 1: Ein Steinmetz arbeitete an einer Skulptur…</t>
  </si>
  <si>
    <t>Beispiel 2: Tour de France</t>
  </si>
  <si>
    <t>Aufgaben:</t>
  </si>
  <si>
    <t>Wie viele Stunden arbeitete er insgesamt schmerzfrei knieend?</t>
  </si>
  <si>
    <t>Wie viele Stunden arbeitete er insgesamt an Donnerstagen?</t>
  </si>
  <si>
    <t>Frage 1:</t>
  </si>
  <si>
    <t>Frage 2:</t>
  </si>
  <si>
    <t>Stunden</t>
  </si>
  <si>
    <t>Länge [km]</t>
  </si>
  <si>
    <t>Einzelzeit-
fahren</t>
  </si>
  <si>
    <t>Mannschafts-
zeitfahren</t>
  </si>
  <si>
    <t xml:space="preserve">Wie viele Kilometer wurden auf langen Etappen (d.h. Länge mindestens 180km) insgesamt zurückgelegt?  </t>
  </si>
  <si>
    <r>
      <t xml:space="preserve">x </t>
    </r>
    <r>
      <rPr>
        <vertAlign val="subscript"/>
        <sz val="12"/>
        <rFont val="Arial"/>
        <family val="2"/>
      </rPr>
      <t>i</t>
    </r>
  </si>
  <si>
    <r>
      <t>|x</t>
    </r>
    <r>
      <rPr>
        <vertAlign val="subscript"/>
        <sz val="12"/>
        <rFont val="Arial"/>
        <family val="2"/>
      </rPr>
      <t>i</t>
    </r>
    <r>
      <rPr>
        <sz val="12"/>
        <rFont val="Arial"/>
        <family val="2"/>
      </rPr>
      <t>|</t>
    </r>
  </si>
  <si>
    <t>Funktion ANZAHL()</t>
  </si>
  <si>
    <t>Wiederholung: Funktion ZÄHLENWENN()</t>
  </si>
  <si>
    <t>Funktion MIN()</t>
  </si>
  <si>
    <t>Funktion MAX()</t>
  </si>
  <si>
    <t>Funktion KGRÖSSTE()</t>
  </si>
  <si>
    <t>Funktion KKLEINSTE()</t>
  </si>
  <si>
    <t>Funktion ABS()</t>
  </si>
  <si>
    <r>
      <t xml:space="preserve">   berechnet, wie viele Zellen in einem Bereich </t>
    </r>
    <r>
      <rPr>
        <b/>
        <sz val="12"/>
        <rFont val="Arial"/>
        <family val="2"/>
      </rPr>
      <t>Zahlen</t>
    </r>
    <r>
      <rPr>
        <sz val="12"/>
        <rFont val="Arial"/>
        <family val="2"/>
      </rPr>
      <t xml:space="preserve"> enthalten</t>
    </r>
  </si>
  <si>
    <r>
      <t xml:space="preserve"> </t>
    </r>
    <r>
      <rPr>
        <sz val="12"/>
        <rFont val="Arial"/>
        <family val="2"/>
      </rPr>
      <t xml:space="preserve">  Die Funktion ZÄHLENWENN() gibt die Anzahl von Zellen im vorgegeben Bereich zurück, die das angegebene
   Kriterium erfüllen.</t>
    </r>
  </si>
  <si>
    <t xml:space="preserve">   gibt die Anzahl von Zellen im vorgegeben Bereich zurück, die das angegebene Kriterium erfüllen</t>
  </si>
  <si>
    <t>Funktion HÄUFIGKEIT</t>
  </si>
  <si>
    <t xml:space="preserve">   gibt eine Häufigkeitsverteilung als einspaltige Matrix zurück</t>
  </si>
  <si>
    <t>Funktion STABW.S()</t>
  </si>
  <si>
    <t xml:space="preserve">   schätzt die Standardabweichung ausgehend von einer Stichprobe</t>
  </si>
  <si>
    <t xml:space="preserve">   gibt den kleinsten Wert einer Menge zurück</t>
  </si>
  <si>
    <t xml:space="preserve">   gibt den größten Wert einer Menge zurück</t>
  </si>
  <si>
    <t xml:space="preserve">   gibt den k-größten Wert einer Datengruppe zurück</t>
  </si>
  <si>
    <t xml:space="preserve">   gibt den k-kleinsten Wert einer Datengruppe zurück</t>
  </si>
  <si>
    <t xml:space="preserve">   gibt den Absolutwert einer Zahl zurück</t>
  </si>
  <si>
    <t>Standard-
abweichung 
(Stichprobe)</t>
  </si>
  <si>
    <t>Einführungsbeispiel 1:</t>
  </si>
  <si>
    <t>Beispiel 1: Funktion ABS()</t>
  </si>
  <si>
    <r>
      <t>Aufgabe: Gebe die absoluten Werte von x</t>
    </r>
    <r>
      <rPr>
        <b/>
        <vertAlign val="subscript"/>
        <sz val="12"/>
        <rFont val="Arial"/>
        <family val="2"/>
      </rPr>
      <t>i</t>
    </r>
    <r>
      <rPr>
        <b/>
        <sz val="12"/>
        <rFont val="Arial"/>
        <family val="2"/>
      </rPr>
      <t xml:space="preserve"> an</t>
    </r>
  </si>
  <si>
    <t>Beispiel 2: Analyse eines 100m-Laufes</t>
  </si>
  <si>
    <t>Aufgabe: Löse die gelben Felder</t>
  </si>
  <si>
    <t>Zeiten 100m-Lauf [Sek.]:</t>
  </si>
  <si>
    <t>kkleinste (k=3)</t>
  </si>
  <si>
    <t>kgrösste (k=2)</t>
  </si>
  <si>
    <t>Beispiel 3: Analyse von Umfragewerten</t>
  </si>
  <si>
    <t>Umfrageantworten: 
Person i zum Merkmal X</t>
  </si>
  <si>
    <t>Div. Funktionen</t>
  </si>
  <si>
    <t>Summewenn &amp; Zählenwenn</t>
  </si>
  <si>
    <t>Funktion Summewenn &amp; Zählenwenn</t>
  </si>
  <si>
    <t>Diverse Funktionen zur deskriptiven Datenanalyse</t>
  </si>
  <si>
    <t>Ein Einzelhändler registriert für einen Exklusivartikel im Verlauf von 30 Verkaufstagen folgende Verkaufszahlen:</t>
  </si>
  <si>
    <t>d)   Man erstelle das Stabdiagramm und das Kreissektorendiagramm mit Hilfe der absoluten Häufigkeiten. Dies ist eine Extra-Aufgabe für die Schnellen und Experimentierfreudigen unter Ihnen, da Diagramme erst später offiziell behandelt werden.</t>
  </si>
  <si>
    <t>Angabe:</t>
  </si>
  <si>
    <t xml:space="preserve">b)   Berechnen Sie die absoluten und relativen Häufigkeiten der Ausprägungen (vgl. Powerpoint-Folien "Grundlagen der Datenerhebung", Folie 6). </t>
  </si>
  <si>
    <t>c)   Berechnen Sie die absolute kumulierte Häufigkeitsverteilung und die relative kumulierte Häufigkeitsverteilung (empirische Verteilungsfunktion) für x = 0, 1, 2, 3, 4, 5, 6 (vgl. Powerpoint-Folien "Grundlagen der Datenerhebung", Folie 6).</t>
  </si>
  <si>
    <t>a)   Berechnen Sie den täglichen Umsatz bei einem Stückpreis von 3 €.</t>
  </si>
  <si>
    <t>b) absolute und relative Häufigkeiten der Ausprägungen:</t>
  </si>
  <si>
    <r>
      <t>Auspräg-
ungen: a</t>
    </r>
    <r>
      <rPr>
        <b/>
        <vertAlign val="subscript"/>
        <sz val="12"/>
        <rFont val="Arial"/>
        <family val="2"/>
      </rPr>
      <t>j</t>
    </r>
  </si>
  <si>
    <r>
      <t>absolute
 H.: h(a</t>
    </r>
    <r>
      <rPr>
        <b/>
        <vertAlign val="subscript"/>
        <sz val="12"/>
        <rFont val="Arial"/>
        <family val="2"/>
      </rPr>
      <t>j</t>
    </r>
    <r>
      <rPr>
        <b/>
        <sz val="12"/>
        <rFont val="Arial"/>
        <family val="2"/>
      </rPr>
      <t>)</t>
    </r>
  </si>
  <si>
    <r>
      <t>relative 
 H.: f(a</t>
    </r>
    <r>
      <rPr>
        <b/>
        <vertAlign val="subscript"/>
        <sz val="12"/>
        <rFont val="Arial"/>
        <family val="2"/>
      </rPr>
      <t>j</t>
    </r>
    <r>
      <rPr>
        <b/>
        <sz val="12"/>
        <rFont val="Arial"/>
        <family val="2"/>
      </rPr>
      <t>)</t>
    </r>
  </si>
  <si>
    <t>c) kumulierte abs. und rel. Häufigkeiten der Ausprägungen:</t>
  </si>
  <si>
    <t>kum. abs.
 H.: H(x)</t>
  </si>
  <si>
    <t>kum. rel. 
 H.: F(x)</t>
  </si>
  <si>
    <t>d) Stabdiagramm und Kreissektorendiagramm:</t>
  </si>
  <si>
    <r>
      <t xml:space="preserve">x </t>
    </r>
    <r>
      <rPr>
        <vertAlign val="subscript"/>
        <sz val="12"/>
        <rFont val="Arial"/>
        <family val="2"/>
      </rPr>
      <t>j</t>
    </r>
  </si>
  <si>
    <t>Aufgabe 2</t>
  </si>
  <si>
    <t>a)   Berechne den  gesamten Bierkonsum der befragten Münchener Bürger in einer Woche.</t>
  </si>
  <si>
    <t>Anzahl n:</t>
  </si>
  <si>
    <t>b)   Berechne: Modus, Median, arithmetisches Mittel und Spannweite (vgl. Powerpoint-Folien "Grundlagen der Datenerhebung", Folien 7 u. 9).</t>
  </si>
  <si>
    <t>Mittelwert    :</t>
  </si>
  <si>
    <r>
      <t>Modus x</t>
    </r>
    <r>
      <rPr>
        <vertAlign val="subscript"/>
        <sz val="12"/>
        <rFont val="Arial"/>
        <family val="2"/>
      </rPr>
      <t>Mod</t>
    </r>
    <r>
      <rPr>
        <sz val="12"/>
        <rFont val="Arial"/>
        <family val="2"/>
      </rPr>
      <t>:</t>
    </r>
  </si>
  <si>
    <r>
      <t>Median x</t>
    </r>
    <r>
      <rPr>
        <vertAlign val="subscript"/>
        <sz val="12"/>
        <rFont val="Arial"/>
        <family val="2"/>
      </rPr>
      <t>Med</t>
    </r>
    <r>
      <rPr>
        <sz val="12"/>
        <rFont val="Arial"/>
        <family val="2"/>
      </rPr>
      <t>:</t>
    </r>
  </si>
  <si>
    <t>Minimum:</t>
  </si>
  <si>
    <t>Maximum:</t>
  </si>
  <si>
    <t>Spannweite:</t>
  </si>
  <si>
    <t>Bierkonsum:</t>
  </si>
  <si>
    <t>Sie betreiben ein kleines Dienstleistungsunternehmen, dass sich auf Fortbildung im Bereich Nachhaltigkeit spezialisiert hat. Folgende Personen, von denen das Geburtsdatum bekannt ist, haben sich zu Ihrem Seminar "Nachhaltige Geldanlage" angemeldet:</t>
  </si>
  <si>
    <t>Aufgabe: Beantworten Sie die untenstehenden Fragen!</t>
  </si>
  <si>
    <t>Wie viele Personen sind…</t>
  </si>
  <si>
    <r>
      <t>R</t>
    </r>
    <r>
      <rPr>
        <vertAlign val="subscript"/>
        <sz val="12"/>
        <rFont val="Arial"/>
        <family val="2"/>
      </rPr>
      <t>t</t>
    </r>
    <r>
      <rPr>
        <sz val="12"/>
        <rFont val="Arial"/>
        <family val="2"/>
      </rPr>
      <t xml:space="preserve"> = (K</t>
    </r>
    <r>
      <rPr>
        <vertAlign val="subscript"/>
        <sz val="12"/>
        <rFont val="Arial"/>
        <family val="2"/>
      </rPr>
      <t xml:space="preserve">t </t>
    </r>
    <r>
      <rPr>
        <sz val="12"/>
        <rFont val="Arial"/>
        <family val="2"/>
      </rPr>
      <t>/ K</t>
    </r>
    <r>
      <rPr>
        <vertAlign val="subscript"/>
        <sz val="12"/>
        <rFont val="Arial"/>
        <family val="2"/>
      </rPr>
      <t>t-1</t>
    </r>
    <r>
      <rPr>
        <sz val="12"/>
        <rFont val="Arial"/>
        <family val="2"/>
      </rPr>
      <t>) -1</t>
    </r>
  </si>
  <si>
    <r>
      <t>Der Vorteil  der diskreten Rendite besteht darin, dass die Rendite eines Portfolios die gewichtete Summe der Renditen der im Portfolio enthaltenen Wertpapiere ist. Ein Nachteil besteht darin, dass -1≤ R</t>
    </r>
    <r>
      <rPr>
        <vertAlign val="subscript"/>
        <sz val="12"/>
        <rFont val="Arial"/>
        <family val="2"/>
      </rPr>
      <t>t</t>
    </r>
    <r>
      <rPr>
        <sz val="12"/>
        <rFont val="Arial"/>
        <family val="2"/>
      </rPr>
      <t xml:space="preserve"> ≤ ∞ gilt und dass die diskreten Renditen nicht additiv entlang der Zeitachse sind.</t>
    </r>
  </si>
  <si>
    <r>
      <t>r</t>
    </r>
    <r>
      <rPr>
        <vertAlign val="subscript"/>
        <sz val="12"/>
        <rFont val="Arial"/>
        <family val="2"/>
      </rPr>
      <t>t</t>
    </r>
    <r>
      <rPr>
        <sz val="12"/>
        <rFont val="Arial"/>
        <family val="2"/>
      </rPr>
      <t xml:space="preserve"> = ln(K</t>
    </r>
    <r>
      <rPr>
        <vertAlign val="subscript"/>
        <sz val="12"/>
        <rFont val="Arial"/>
        <family val="2"/>
      </rPr>
      <t xml:space="preserve">t </t>
    </r>
    <r>
      <rPr>
        <sz val="12"/>
        <rFont val="Arial"/>
        <family val="2"/>
      </rPr>
      <t>/ K</t>
    </r>
    <r>
      <rPr>
        <vertAlign val="subscript"/>
        <sz val="12"/>
        <rFont val="Arial"/>
        <family val="2"/>
      </rPr>
      <t>t-1</t>
    </r>
    <r>
      <rPr>
        <sz val="12"/>
        <rFont val="Arial"/>
        <family val="2"/>
      </rPr>
      <t>)</t>
    </r>
  </si>
  <si>
    <r>
      <t xml:space="preserve">Nachfolgend finden Sie Kurse des </t>
    </r>
    <r>
      <rPr>
        <b/>
        <sz val="12"/>
        <rFont val="Arial"/>
        <family val="2"/>
      </rPr>
      <t>Deutschen Aktienindex</t>
    </r>
    <r>
      <rPr>
        <sz val="12"/>
        <rFont val="Arial"/>
        <family val="2"/>
      </rPr>
      <t xml:space="preserve">. Erstellen Sie mit Hilfe dieser Daten drei Histogramme mit </t>
    </r>
    <r>
      <rPr>
        <b/>
        <sz val="12"/>
        <rFont val="Arial"/>
        <family val="2"/>
      </rPr>
      <t>stetigen</t>
    </r>
    <r>
      <rPr>
        <sz val="12"/>
        <rFont val="Arial"/>
        <family val="2"/>
      </rPr>
      <t xml:space="preserve"> Renditen und verwenden Sie dabei die nachfolgenden Klassenbereiche: Eines basierend auf täglichen, eines auf wöchentlichen (letzter Handelstag einer Woche bis letzter Handelstag der darauffolgenden Woche) und eines auf monatlichen Renditen (jeweils basiered auf dem letzten Handelstag eines Monats).</t>
    </r>
  </si>
  <si>
    <r>
      <t xml:space="preserve">Bestimmen Sie außerdem das </t>
    </r>
    <r>
      <rPr>
        <b/>
        <sz val="12"/>
        <rFont val="Arial"/>
        <family val="2"/>
      </rPr>
      <t>Maximum,</t>
    </r>
    <r>
      <rPr>
        <sz val="12"/>
        <rFont val="Arial"/>
        <family val="2"/>
      </rPr>
      <t xml:space="preserve"> das </t>
    </r>
    <r>
      <rPr>
        <b/>
        <sz val="12"/>
        <rFont val="Arial"/>
        <family val="2"/>
      </rPr>
      <t>Minimum</t>
    </r>
    <r>
      <rPr>
        <sz val="12"/>
        <rFont val="Arial"/>
        <family val="2"/>
      </rPr>
      <t xml:space="preserve"> und den </t>
    </r>
    <r>
      <rPr>
        <b/>
        <sz val="12"/>
        <rFont val="Arial"/>
        <family val="2"/>
      </rPr>
      <t>Mittelwert</t>
    </r>
    <r>
      <rPr>
        <sz val="12"/>
        <rFont val="Arial"/>
        <family val="2"/>
      </rPr>
      <t xml:space="preserve"> der täglichen, wöchentlichen und monatlichen Renditen.</t>
    </r>
  </si>
  <si>
    <r>
      <t xml:space="preserve">Hinweis: Bei der Ermittlung des letzten Handelstages einer Woche könnte die Funktion </t>
    </r>
    <r>
      <rPr>
        <b/>
        <sz val="12"/>
        <rFont val="Arial"/>
        <family val="2"/>
      </rPr>
      <t>WOCHENTAG()</t>
    </r>
    <r>
      <rPr>
        <sz val="12"/>
        <rFont val="Arial"/>
        <family val="2"/>
      </rPr>
      <t xml:space="preserve"> hilfreich sein.</t>
    </r>
  </si>
  <si>
    <t>Schlusskurs</t>
  </si>
  <si>
    <t>1. Grundlagen von Renditedefinition</t>
  </si>
  <si>
    <t>--&gt; In der Literatur werden daher überwiegend stetige Renditen verwendet, wenn der Zeitreihenaspekt der Untersuchung im Vordergrund steht. Diskrete Renditen werden meist verwendet, wenn die Portfoliobildung wichtig ist. (vgl. "Finanzmarktstatistik" von Schmid und Trede,  2006)</t>
  </si>
  <si>
    <t>2. Aufgabenstellung</t>
  </si>
  <si>
    <t>täglich</t>
  </si>
  <si>
    <t>wöchentlich</t>
  </si>
  <si>
    <t>monatlich</t>
  </si>
  <si>
    <t>Klassenbereiche für ... Rendite</t>
  </si>
  <si>
    <t>Klasse</t>
  </si>
  <si>
    <t>und größer</t>
  </si>
  <si>
    <t>Alter</t>
  </si>
  <si>
    <t>Wochen-
tag</t>
  </si>
  <si>
    <t>letzter Wochentag</t>
  </si>
  <si>
    <t>1. Schritt: letzter Handelstag der Woche ermittelt</t>
  </si>
  <si>
    <t>2. Schritt: Tabelle kopieren und "Inhalte einfügen (Werte und Zahlenformate)</t>
  </si>
  <si>
    <t>3. Schritt: Sortieren und alles außer letzten Kurs löschen</t>
  </si>
  <si>
    <t>4. Schritt: Rendite</t>
  </si>
  <si>
    <t>Monat</t>
  </si>
  <si>
    <t>letzter Kurs</t>
  </si>
  <si>
    <t>Ablauf ähnlich der Ermittlung "Wochenredite"</t>
  </si>
  <si>
    <t>monatliche Rendite</t>
  </si>
  <si>
    <t>Histogramm tägliche Daten:</t>
  </si>
  <si>
    <t>Histogramm wöchentliche Daten:</t>
  </si>
  <si>
    <t>Histrogramm Monatsdaten:</t>
  </si>
  <si>
    <t>ALTERNATIV:</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</si>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</sst>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21" x14ac:knownFonts="1">
    <font>
      <sz val="10"/>
      <name val="Arial"/>
    </font>
    <font>
      <b/>
      <sz val="14"/>
      <name val="Arial"/>
      <family val="2"/>
    </font>
    <font>
      <sz val="10"/>
      <name val="Arial"/>
      <family val="2"/>
    </font>
    <font>
      <b/>
      <sz val="10"/>
      <color indexed="81"/>
      <name val="Tahoma"/>
      <family val="2"/>
    </font>
    <font>
      <sz val="10"/>
      <color indexed="81"/>
      <name val="Tahoma"/>
      <family val="2"/>
    </font>
    <font>
      <sz val="11"/>
      <color indexed="8"/>
      <name val="Calibri"/>
      <family val="2"/>
    </font>
    <font>
      <sz val="12"/>
      <name val="Arial"/>
      <family val="2"/>
    </font>
    <font>
      <b/>
      <u/>
      <sz val="14"/>
      <name val="Arial"/>
      <family val="2"/>
    </font>
    <font>
      <b/>
      <u/>
      <sz val="12"/>
      <name val="Arial"/>
      <family val="2"/>
    </font>
    <font>
      <b/>
      <u/>
      <sz val="16"/>
      <name val="Arial"/>
      <family val="2"/>
    </font>
    <font>
      <b/>
      <sz val="12"/>
      <name val="Arial"/>
      <family val="2"/>
    </font>
    <font>
      <b/>
      <sz val="12"/>
      <color rgb="FFFF0000"/>
      <name val="Arial"/>
      <family val="2"/>
    </font>
    <font>
      <vertAlign val="subscript"/>
      <sz val="12"/>
      <name val="Arial"/>
      <family val="2"/>
    </font>
    <font>
      <u/>
      <sz val="12"/>
      <name val="Arial"/>
      <family val="2"/>
    </font>
    <font>
      <b/>
      <vertAlign val="subscript"/>
      <sz val="12"/>
      <name val="Arial"/>
      <family val="2"/>
    </font>
    <font>
      <b/>
      <sz val="9"/>
      <color indexed="81"/>
      <name val="Tahoma"/>
      <family val="2"/>
    </font>
    <font>
      <b/>
      <sz val="12"/>
      <color indexed="8"/>
      <name val="Arial"/>
      <family val="2"/>
    </font>
    <font>
      <sz val="12"/>
      <color indexed="8"/>
      <name val="Arial"/>
      <family val="2"/>
    </font>
    <font>
      <sz val="10"/>
      <name val="Arial"/>
      <family val="2"/>
    </font>
    <font>
      <i/>
      <sz val="10"/>
      <name val="Arial"/>
      <family val="2"/>
    </font>
    <font>
      <sz val="20"/>
      <name val="Times New Roman"/>
      <family val="1"/>
    </font>
  </fonts>
  <fills count="11">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99"/>
        <bgColor indexed="64"/>
      </patternFill>
    </fill>
    <fill>
      <patternFill patternType="solid">
        <fgColor theme="5" tint="0.59999389629810485"/>
        <bgColor indexed="64"/>
      </patternFill>
    </fill>
  </fills>
  <borders count="6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right style="hair">
        <color indexed="64"/>
      </right>
      <top style="medium">
        <color indexed="64"/>
      </top>
      <bottom style="thin">
        <color indexed="64"/>
      </bottom>
      <diagonal/>
    </border>
    <border>
      <left/>
      <right style="hair">
        <color indexed="64"/>
      </right>
      <top style="hair">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s>
  <cellStyleXfs count="4">
    <xf numFmtId="0" fontId="0" fillId="0" borderId="0"/>
    <xf numFmtId="0" fontId="2" fillId="0" borderId="0"/>
    <xf numFmtId="0" fontId="5" fillId="0" borderId="0"/>
    <xf numFmtId="9" fontId="18" fillId="0" borderId="0" applyFont="0" applyFill="0" applyBorder="0" applyAlignment="0" applyProtection="0"/>
  </cellStyleXfs>
  <cellXfs count="313">
    <xf numFmtId="0" fontId="0" fillId="0" borderId="0" xfId="0"/>
    <xf numFmtId="0" fontId="1" fillId="0" borderId="0" xfId="0" applyFont="1"/>
    <xf numFmtId="0" fontId="6" fillId="0" borderId="0" xfId="0" applyFont="1"/>
    <xf numFmtId="0" fontId="6" fillId="0" borderId="0" xfId="0" applyFont="1" applyAlignment="1">
      <alignment horizontal="right"/>
    </xf>
    <xf numFmtId="0" fontId="7" fillId="4" borderId="21" xfId="0" applyFont="1" applyFill="1" applyBorder="1" applyAlignment="1">
      <alignment vertical="center"/>
    </xf>
    <xf numFmtId="0" fontId="0" fillId="4" borderId="15" xfId="0" applyFill="1" applyBorder="1"/>
    <xf numFmtId="0" fontId="0" fillId="4" borderId="16" xfId="0" applyFill="1" applyBorder="1"/>
    <xf numFmtId="0" fontId="9" fillId="5" borderId="20" xfId="0" applyFont="1" applyFill="1" applyBorder="1" applyAlignment="1">
      <alignment vertical="center"/>
    </xf>
    <xf numFmtId="0" fontId="0" fillId="5" borderId="0" xfId="0" applyFill="1"/>
    <xf numFmtId="0" fontId="0" fillId="5" borderId="14" xfId="0" applyFill="1" applyBorder="1"/>
    <xf numFmtId="0" fontId="10" fillId="5" borderId="20" xfId="0" applyFont="1" applyFill="1" applyBorder="1" applyAlignment="1">
      <alignment vertical="center"/>
    </xf>
    <xf numFmtId="0" fontId="6" fillId="5" borderId="0" xfId="0" applyFont="1" applyFill="1"/>
    <xf numFmtId="0" fontId="6" fillId="5" borderId="20" xfId="0" applyFont="1" applyFill="1" applyBorder="1"/>
    <xf numFmtId="0" fontId="10" fillId="5" borderId="20" xfId="0" applyFont="1" applyFill="1" applyBorder="1"/>
    <xf numFmtId="0" fontId="0" fillId="5" borderId="20" xfId="0" applyFill="1" applyBorder="1"/>
    <xf numFmtId="0" fontId="7" fillId="4" borderId="20" xfId="0" applyFont="1" applyFill="1" applyBorder="1" applyAlignment="1">
      <alignment vertical="center"/>
    </xf>
    <xf numFmtId="0" fontId="0" fillId="4" borderId="0" xfId="0" applyFill="1"/>
    <xf numFmtId="0" fontId="0" fillId="4" borderId="14" xfId="0" applyFill="1" applyBorder="1"/>
    <xf numFmtId="0" fontId="10" fillId="5" borderId="0" xfId="0" applyFont="1" applyFill="1" applyAlignment="1">
      <alignment vertical="center"/>
    </xf>
    <xf numFmtId="0" fontId="0" fillId="5" borderId="19" xfId="0" applyFill="1" applyBorder="1"/>
    <xf numFmtId="0" fontId="10" fillId="5" borderId="12" xfId="0" applyFont="1" applyFill="1" applyBorder="1" applyAlignment="1">
      <alignment vertical="center"/>
    </xf>
    <xf numFmtId="0" fontId="0" fillId="5" borderId="12" xfId="0" applyFill="1" applyBorder="1"/>
    <xf numFmtId="0" fontId="0" fillId="5" borderId="13" xfId="0" applyFill="1" applyBorder="1"/>
    <xf numFmtId="0" fontId="9" fillId="4" borderId="0" xfId="1" applyFont="1" applyFill="1"/>
    <xf numFmtId="0" fontId="6" fillId="4" borderId="0" xfId="1" applyFont="1" applyFill="1"/>
    <xf numFmtId="0" fontId="1" fillId="4" borderId="0" xfId="0" applyFont="1" applyFill="1"/>
    <xf numFmtId="0" fontId="10" fillId="5" borderId="1" xfId="0" applyFont="1" applyFill="1" applyBorder="1"/>
    <xf numFmtId="0" fontId="6" fillId="5" borderId="10" xfId="0" applyFont="1" applyFill="1" applyBorder="1"/>
    <xf numFmtId="0" fontId="6" fillId="5" borderId="2" xfId="0" applyFont="1" applyFill="1" applyBorder="1"/>
    <xf numFmtId="0" fontId="10" fillId="4" borderId="3" xfId="0" applyFont="1" applyFill="1" applyBorder="1"/>
    <xf numFmtId="0" fontId="6" fillId="4" borderId="0" xfId="0" applyFont="1" applyFill="1"/>
    <xf numFmtId="0" fontId="6" fillId="4" borderId="4" xfId="0" applyFont="1" applyFill="1" applyBorder="1"/>
    <xf numFmtId="0" fontId="6" fillId="5" borderId="3" xfId="0" applyFont="1" applyFill="1" applyBorder="1"/>
    <xf numFmtId="0" fontId="6" fillId="5" borderId="4" xfId="0" applyFont="1" applyFill="1" applyBorder="1"/>
    <xf numFmtId="0" fontId="6" fillId="5" borderId="5" xfId="0" applyFont="1" applyFill="1" applyBorder="1"/>
    <xf numFmtId="0" fontId="6" fillId="5" borderId="11" xfId="0" applyFont="1" applyFill="1" applyBorder="1"/>
    <xf numFmtId="0" fontId="6" fillId="5" borderId="9" xfId="0" applyFont="1" applyFill="1" applyBorder="1"/>
    <xf numFmtId="0" fontId="10" fillId="5" borderId="3" xfId="0" applyFont="1" applyFill="1" applyBorder="1"/>
    <xf numFmtId="0" fontId="10" fillId="0" borderId="0" xfId="1" applyFont="1" applyAlignment="1">
      <alignment horizontal="center"/>
    </xf>
    <xf numFmtId="0" fontId="6" fillId="0" borderId="0" xfId="1" applyFont="1"/>
    <xf numFmtId="14" fontId="6" fillId="0" borderId="0" xfId="1" applyNumberFormat="1" applyFont="1"/>
    <xf numFmtId="0" fontId="8" fillId="0" borderId="0" xfId="1" applyFont="1"/>
    <xf numFmtId="0" fontId="6" fillId="0" borderId="0" xfId="1" applyFont="1" applyAlignment="1">
      <alignment wrapText="1"/>
    </xf>
    <xf numFmtId="0" fontId="6" fillId="0" borderId="3" xfId="1" applyFont="1" applyBorder="1" applyAlignment="1">
      <alignment wrapText="1"/>
    </xf>
    <xf numFmtId="0" fontId="6" fillId="0" borderId="4" xfId="1" applyFont="1" applyBorder="1"/>
    <xf numFmtId="0" fontId="10" fillId="0" borderId="0" xfId="0" applyFont="1"/>
    <xf numFmtId="0" fontId="6" fillId="0" borderId="10" xfId="0" applyFont="1" applyBorder="1"/>
    <xf numFmtId="0" fontId="6" fillId="0" borderId="2" xfId="0" applyFont="1" applyBorder="1"/>
    <xf numFmtId="0" fontId="6" fillId="0" borderId="3" xfId="0" applyFont="1" applyBorder="1"/>
    <xf numFmtId="0" fontId="6" fillId="0" borderId="4" xfId="0" applyFont="1" applyBorder="1"/>
    <xf numFmtId="0" fontId="6" fillId="0" borderId="5" xfId="0" applyFont="1" applyBorder="1"/>
    <xf numFmtId="0" fontId="6" fillId="0" borderId="11" xfId="0" applyFont="1" applyBorder="1"/>
    <xf numFmtId="0" fontId="6" fillId="0" borderId="9" xfId="0" applyFont="1" applyBorder="1"/>
    <xf numFmtId="0" fontId="6" fillId="0" borderId="18" xfId="0" applyFont="1" applyBorder="1"/>
    <xf numFmtId="0" fontId="6" fillId="0" borderId="17" xfId="0" applyFont="1" applyBorder="1"/>
    <xf numFmtId="0" fontId="6" fillId="0" borderId="0" xfId="0" applyFont="1" applyAlignment="1">
      <alignment vertical="top"/>
    </xf>
    <xf numFmtId="0" fontId="6" fillId="0" borderId="0" xfId="0" applyFont="1" applyAlignment="1">
      <alignment horizontal="center"/>
    </xf>
    <xf numFmtId="0" fontId="10" fillId="0" borderId="3" xfId="0" applyFont="1" applyBorder="1"/>
    <xf numFmtId="0" fontId="6" fillId="9" borderId="0" xfId="0" applyFont="1" applyFill="1"/>
    <xf numFmtId="0" fontId="10" fillId="5" borderId="31" xfId="0" applyFont="1" applyFill="1" applyBorder="1" applyAlignment="1">
      <alignment horizontal="center" vertical="center"/>
    </xf>
    <xf numFmtId="0" fontId="10" fillId="5" borderId="30" xfId="0" applyFont="1" applyFill="1" applyBorder="1" applyAlignment="1">
      <alignment horizontal="center" vertical="center" wrapText="1"/>
    </xf>
    <xf numFmtId="0" fontId="10" fillId="5" borderId="29" xfId="0" applyFont="1" applyFill="1" applyBorder="1" applyAlignment="1">
      <alignment horizontal="center" vertical="center" wrapText="1"/>
    </xf>
    <xf numFmtId="0" fontId="6" fillId="5" borderId="0" xfId="0" applyFont="1" applyFill="1" applyAlignment="1">
      <alignment vertical="top"/>
    </xf>
    <xf numFmtId="0" fontId="6" fillId="5" borderId="28" xfId="0" applyFont="1" applyFill="1" applyBorder="1" applyAlignment="1">
      <alignment horizontal="center"/>
    </xf>
    <xf numFmtId="0" fontId="6" fillId="5" borderId="27" xfId="0" applyFont="1" applyFill="1" applyBorder="1" applyAlignment="1">
      <alignment horizontal="center"/>
    </xf>
    <xf numFmtId="0" fontId="6" fillId="5" borderId="26" xfId="0" applyFont="1" applyFill="1" applyBorder="1" applyAlignment="1">
      <alignment horizontal="center"/>
    </xf>
    <xf numFmtId="0" fontId="6" fillId="5" borderId="25" xfId="0" applyFont="1" applyFill="1" applyBorder="1" applyAlignment="1">
      <alignment horizontal="center"/>
    </xf>
    <xf numFmtId="0" fontId="6" fillId="5" borderId="18" xfId="0" applyFont="1" applyFill="1" applyBorder="1" applyAlignment="1">
      <alignment horizontal="center"/>
    </xf>
    <xf numFmtId="0" fontId="6" fillId="5" borderId="17" xfId="0" applyFont="1" applyFill="1" applyBorder="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22" xfId="0" applyFont="1" applyFill="1" applyBorder="1" applyAlignment="1">
      <alignment horizontal="center"/>
    </xf>
    <xf numFmtId="0" fontId="10" fillId="6" borderId="3" xfId="0" applyFont="1" applyFill="1" applyBorder="1"/>
    <xf numFmtId="0" fontId="6" fillId="6" borderId="0" xfId="0" applyFont="1" applyFill="1"/>
    <xf numFmtId="0" fontId="6" fillId="6" borderId="4" xfId="0" applyFont="1" applyFill="1" applyBorder="1"/>
    <xf numFmtId="0" fontId="10" fillId="7" borderId="3" xfId="0" applyFont="1" applyFill="1" applyBorder="1"/>
    <xf numFmtId="0" fontId="6" fillId="7" borderId="0" xfId="0" applyFont="1" applyFill="1"/>
    <xf numFmtId="0" fontId="6" fillId="7" borderId="4" xfId="0" applyFont="1" applyFill="1" applyBorder="1"/>
    <xf numFmtId="0" fontId="6" fillId="0" borderId="20" xfId="0" applyFont="1" applyBorder="1"/>
    <xf numFmtId="0" fontId="6" fillId="0" borderId="15" xfId="0" applyFont="1" applyBorder="1"/>
    <xf numFmtId="0" fontId="10" fillId="7" borderId="0" xfId="0" applyFont="1" applyFill="1"/>
    <xf numFmtId="0" fontId="6" fillId="0" borderId="27" xfId="0" applyFont="1" applyBorder="1"/>
    <xf numFmtId="0" fontId="6" fillId="0" borderId="26" xfId="0" applyFont="1" applyBorder="1"/>
    <xf numFmtId="0" fontId="10" fillId="7" borderId="1" xfId="0" applyFont="1" applyFill="1" applyBorder="1"/>
    <xf numFmtId="0" fontId="10" fillId="7" borderId="10" xfId="0" applyFont="1" applyFill="1" applyBorder="1"/>
    <xf numFmtId="0" fontId="10" fillId="7" borderId="2" xfId="0" applyFont="1" applyFill="1" applyBorder="1"/>
    <xf numFmtId="0" fontId="10" fillId="7" borderId="4" xfId="0" applyFont="1" applyFill="1" applyBorder="1"/>
    <xf numFmtId="0" fontId="6" fillId="0" borderId="23" xfId="0" applyFont="1" applyBorder="1"/>
    <xf numFmtId="0" fontId="6" fillId="0" borderId="22" xfId="0" applyFont="1" applyBorder="1"/>
    <xf numFmtId="0" fontId="6" fillId="0" borderId="3" xfId="0" applyFont="1" applyBorder="1" applyAlignment="1">
      <alignment wrapText="1"/>
    </xf>
    <xf numFmtId="0" fontId="6" fillId="0" borderId="4" xfId="0" applyFont="1" applyBorder="1" applyAlignment="1">
      <alignment horizontal="center"/>
    </xf>
    <xf numFmtId="0" fontId="6" fillId="0" borderId="51" xfId="0" applyFont="1" applyBorder="1"/>
    <xf numFmtId="0" fontId="6" fillId="0" borderId="52" xfId="0" applyFont="1" applyBorder="1"/>
    <xf numFmtId="0" fontId="6" fillId="0" borderId="33" xfId="0" applyFont="1" applyBorder="1"/>
    <xf numFmtId="0" fontId="6" fillId="0" borderId="44" xfId="0" applyFont="1" applyBorder="1"/>
    <xf numFmtId="0" fontId="6" fillId="0" borderId="32" xfId="0" applyFont="1" applyBorder="1"/>
    <xf numFmtId="0" fontId="6" fillId="0" borderId="45" xfId="0" applyFont="1" applyBorder="1"/>
    <xf numFmtId="0" fontId="6" fillId="0" borderId="42" xfId="0" applyFont="1" applyBorder="1"/>
    <xf numFmtId="0" fontId="10" fillId="0" borderId="50" xfId="0" applyFont="1" applyBorder="1" applyAlignment="1">
      <alignment horizontal="center"/>
    </xf>
    <xf numFmtId="0" fontId="10" fillId="0" borderId="30" xfId="0" applyFont="1" applyBorder="1" applyAlignment="1">
      <alignment horizontal="center"/>
    </xf>
    <xf numFmtId="0" fontId="10" fillId="0" borderId="29" xfId="0" applyFont="1" applyBorder="1" applyAlignment="1">
      <alignment horizontal="center"/>
    </xf>
    <xf numFmtId="0" fontId="10" fillId="0" borderId="4" xfId="0" applyFont="1" applyBorder="1"/>
    <xf numFmtId="0" fontId="10" fillId="0" borderId="53" xfId="0" applyFont="1" applyBorder="1" applyAlignment="1">
      <alignment horizontal="center"/>
    </xf>
    <xf numFmtId="0" fontId="6" fillId="0" borderId="54" xfId="0" applyFont="1" applyBorder="1"/>
    <xf numFmtId="0" fontId="6" fillId="0" borderId="55" xfId="0" applyFont="1" applyBorder="1"/>
    <xf numFmtId="0" fontId="6" fillId="0" borderId="56" xfId="0" applyFont="1" applyBorder="1"/>
    <xf numFmtId="0" fontId="10" fillId="0" borderId="57" xfId="0" applyFont="1" applyBorder="1" applyAlignment="1">
      <alignment horizontal="center"/>
    </xf>
    <xf numFmtId="0" fontId="6" fillId="0" borderId="58" xfId="0" applyFont="1" applyBorder="1"/>
    <xf numFmtId="0" fontId="10" fillId="0" borderId="39" xfId="0" applyFont="1" applyBorder="1" applyAlignment="1">
      <alignment horizontal="center"/>
    </xf>
    <xf numFmtId="0" fontId="6" fillId="0" borderId="59" xfId="0" applyFont="1" applyBorder="1"/>
    <xf numFmtId="0" fontId="6" fillId="0" borderId="60" xfId="0" applyFont="1" applyBorder="1"/>
    <xf numFmtId="0" fontId="6" fillId="0" borderId="61" xfId="0" applyFont="1" applyBorder="1"/>
    <xf numFmtId="0" fontId="10" fillId="0" borderId="62" xfId="0" applyFont="1" applyBorder="1" applyAlignment="1">
      <alignment horizontal="center"/>
    </xf>
    <xf numFmtId="0" fontId="6" fillId="0" borderId="62" xfId="0" applyFont="1" applyBorder="1"/>
    <xf numFmtId="0" fontId="6" fillId="0" borderId="60" xfId="0" applyFont="1" applyBorder="1" applyAlignment="1">
      <alignment wrapText="1"/>
    </xf>
    <xf numFmtId="0" fontId="6" fillId="0" borderId="41" xfId="0" applyFont="1" applyBorder="1" applyAlignment="1">
      <alignment horizontal="center"/>
    </xf>
    <xf numFmtId="0" fontId="6" fillId="0" borderId="40" xfId="0" applyFont="1" applyBorder="1" applyAlignment="1">
      <alignment horizontal="center"/>
    </xf>
    <xf numFmtId="0" fontId="6" fillId="0" borderId="3" xfId="0" applyFont="1" applyBorder="1" applyAlignment="1">
      <alignment horizontal="center"/>
    </xf>
    <xf numFmtId="0" fontId="6" fillId="0" borderId="5" xfId="0" applyFont="1" applyBorder="1" applyAlignment="1">
      <alignment horizontal="center"/>
    </xf>
    <xf numFmtId="0" fontId="6" fillId="0" borderId="9" xfId="0" applyFont="1" applyBorder="1" applyAlignment="1">
      <alignment horizontal="center"/>
    </xf>
    <xf numFmtId="0" fontId="10" fillId="0" borderId="43" xfId="0" applyFont="1" applyBorder="1"/>
    <xf numFmtId="0" fontId="10" fillId="0" borderId="21" xfId="0" applyFont="1" applyBorder="1"/>
    <xf numFmtId="0" fontId="6" fillId="0" borderId="16" xfId="0" applyFont="1" applyBorder="1"/>
    <xf numFmtId="0" fontId="10" fillId="0" borderId="19" xfId="0" applyFont="1" applyBorder="1"/>
    <xf numFmtId="0" fontId="6" fillId="0" borderId="13" xfId="0" applyFont="1" applyBorder="1"/>
    <xf numFmtId="0" fontId="6" fillId="0" borderId="14" xfId="0" applyFont="1" applyBorder="1"/>
    <xf numFmtId="0" fontId="6" fillId="0" borderId="19" xfId="0" applyFont="1" applyBorder="1"/>
    <xf numFmtId="0" fontId="6" fillId="0" borderId="39" xfId="0" applyFont="1" applyBorder="1" applyAlignment="1">
      <alignment horizontal="center"/>
    </xf>
    <xf numFmtId="0" fontId="6" fillId="0" borderId="0" xfId="0" applyFont="1" applyAlignment="1">
      <alignment vertical="top" wrapText="1"/>
    </xf>
    <xf numFmtId="0" fontId="6" fillId="0" borderId="4" xfId="0" applyFont="1" applyBorder="1" applyAlignment="1">
      <alignment vertical="top"/>
    </xf>
    <xf numFmtId="0" fontId="9" fillId="4" borderId="0" xfId="0" applyFont="1" applyFill="1"/>
    <xf numFmtId="0" fontId="13" fillId="4" borderId="0" xfId="0" applyFont="1" applyFill="1"/>
    <xf numFmtId="0" fontId="6" fillId="5" borderId="1" xfId="0" applyFont="1" applyFill="1" applyBorder="1"/>
    <xf numFmtId="0" fontId="6" fillId="9" borderId="42" xfId="0" applyFont="1" applyFill="1" applyBorder="1"/>
    <xf numFmtId="0" fontId="6" fillId="9" borderId="16" xfId="0" applyFont="1" applyFill="1" applyBorder="1"/>
    <xf numFmtId="0" fontId="6" fillId="9" borderId="14" xfId="0" applyFont="1" applyFill="1" applyBorder="1"/>
    <xf numFmtId="0" fontId="6" fillId="9" borderId="13" xfId="0" applyFont="1" applyFill="1" applyBorder="1"/>
    <xf numFmtId="0" fontId="10" fillId="0" borderId="43" xfId="0" applyFont="1" applyBorder="1" applyAlignment="1">
      <alignment wrapText="1"/>
    </xf>
    <xf numFmtId="0" fontId="6" fillId="9" borderId="42" xfId="0" applyFont="1" applyFill="1" applyBorder="1" applyAlignment="1">
      <alignment vertical="center"/>
    </xf>
    <xf numFmtId="0" fontId="6" fillId="9" borderId="8" xfId="0" applyFont="1" applyFill="1" applyBorder="1"/>
    <xf numFmtId="0" fontId="6" fillId="9" borderId="38" xfId="0" applyFont="1" applyFill="1" applyBorder="1"/>
    <xf numFmtId="0" fontId="10" fillId="6" borderId="0" xfId="0" applyFont="1" applyFill="1"/>
    <xf numFmtId="0" fontId="6" fillId="0" borderId="21" xfId="0" applyFont="1" applyBorder="1"/>
    <xf numFmtId="0" fontId="6" fillId="0" borderId="36" xfId="0" applyFont="1" applyBorder="1" applyAlignment="1">
      <alignment horizontal="center"/>
    </xf>
    <xf numFmtId="0" fontId="6" fillId="0" borderId="20" xfId="0" applyFont="1" applyBorder="1" applyAlignment="1">
      <alignment horizontal="center"/>
    </xf>
    <xf numFmtId="0" fontId="6" fillId="0" borderId="12" xfId="0" applyFont="1" applyBorder="1"/>
    <xf numFmtId="0" fontId="6" fillId="0" borderId="1" xfId="0" applyFont="1" applyBorder="1"/>
    <xf numFmtId="0" fontId="6" fillId="9" borderId="63" xfId="0" applyFont="1" applyFill="1" applyBorder="1"/>
    <xf numFmtId="0" fontId="10" fillId="6" borderId="4" xfId="0" applyFont="1" applyFill="1" applyBorder="1"/>
    <xf numFmtId="0" fontId="6" fillId="9" borderId="48" xfId="0" applyFont="1" applyFill="1" applyBorder="1"/>
    <xf numFmtId="0" fontId="6" fillId="0" borderId="49" xfId="0" applyFont="1" applyBorder="1"/>
    <xf numFmtId="0" fontId="6" fillId="0" borderId="3" xfId="0" applyFont="1" applyBorder="1" applyAlignment="1">
      <alignment horizontal="right"/>
    </xf>
    <xf numFmtId="0" fontId="6" fillId="0" borderId="0" xfId="0" applyFont="1" applyAlignment="1">
      <alignment horizontal="left"/>
    </xf>
    <xf numFmtId="165" fontId="6" fillId="0" borderId="0" xfId="0" applyNumberFormat="1" applyFont="1" applyAlignment="1">
      <alignment horizontal="left"/>
    </xf>
    <xf numFmtId="0" fontId="6" fillId="4" borderId="0" xfId="0" applyFont="1" applyFill="1" applyAlignment="1">
      <alignment horizontal="center"/>
    </xf>
    <xf numFmtId="0" fontId="6" fillId="0" borderId="11" xfId="0" applyFont="1" applyBorder="1" applyAlignment="1">
      <alignment horizontal="center"/>
    </xf>
    <xf numFmtId="0" fontId="6" fillId="0" borderId="34" xfId="0" applyFont="1" applyBorder="1"/>
    <xf numFmtId="0" fontId="6" fillId="0" borderId="64" xfId="0" applyFont="1" applyBorder="1"/>
    <xf numFmtId="0" fontId="6" fillId="0" borderId="66" xfId="0" applyFont="1" applyBorder="1"/>
    <xf numFmtId="0" fontId="6" fillId="0" borderId="47" xfId="0" applyFont="1" applyBorder="1" applyAlignment="1">
      <alignment horizontal="center"/>
    </xf>
    <xf numFmtId="0" fontId="6" fillId="0" borderId="19" xfId="0" applyFont="1" applyBorder="1" applyAlignment="1">
      <alignment horizontal="center"/>
    </xf>
    <xf numFmtId="0" fontId="6" fillId="0" borderId="12" xfId="0" applyFont="1" applyBorder="1" applyAlignment="1">
      <alignment horizontal="center"/>
    </xf>
    <xf numFmtId="0" fontId="6" fillId="0" borderId="49" xfId="0" applyFont="1" applyBorder="1" applyAlignment="1">
      <alignment horizontal="center"/>
    </xf>
    <xf numFmtId="0" fontId="10" fillId="0" borderId="37" xfId="0" applyFont="1" applyBorder="1"/>
    <xf numFmtId="0" fontId="10" fillId="0" borderId="64" xfId="0" applyFont="1" applyBorder="1"/>
    <xf numFmtId="0" fontId="10" fillId="0" borderId="66" xfId="0" applyFont="1" applyBorder="1"/>
    <xf numFmtId="0" fontId="10" fillId="0" borderId="35" xfId="0" applyFont="1" applyBorder="1"/>
    <xf numFmtId="0" fontId="10" fillId="6" borderId="0" xfId="0" applyFont="1" applyFill="1" applyAlignment="1">
      <alignment horizontal="center"/>
    </xf>
    <xf numFmtId="0" fontId="10" fillId="7" borderId="10" xfId="0" applyFont="1" applyFill="1" applyBorder="1" applyAlignment="1">
      <alignment horizontal="center"/>
    </xf>
    <xf numFmtId="0" fontId="10" fillId="0" borderId="0" xfId="0" applyFont="1" applyAlignment="1">
      <alignment vertical="top" wrapText="1"/>
    </xf>
    <xf numFmtId="0" fontId="6" fillId="9" borderId="14" xfId="0" applyFont="1" applyFill="1" applyBorder="1" applyAlignment="1">
      <alignment horizontal="center"/>
    </xf>
    <xf numFmtId="0" fontId="6" fillId="9" borderId="13" xfId="0" applyFont="1" applyFill="1" applyBorder="1" applyAlignment="1">
      <alignment horizontal="center"/>
    </xf>
    <xf numFmtId="0" fontId="6" fillId="0" borderId="14" xfId="0" applyFont="1" applyBorder="1" applyAlignment="1">
      <alignment horizontal="center"/>
    </xf>
    <xf numFmtId="0" fontId="6" fillId="0" borderId="13" xfId="0" applyFont="1" applyBorder="1" applyAlignment="1">
      <alignment horizontal="center"/>
    </xf>
    <xf numFmtId="0" fontId="10" fillId="9" borderId="42" xfId="0" applyFont="1" applyFill="1" applyBorder="1" applyAlignment="1">
      <alignment horizontal="center"/>
    </xf>
    <xf numFmtId="0" fontId="6" fillId="0" borderId="43" xfId="0" quotePrefix="1" applyFont="1" applyBorder="1" applyAlignment="1">
      <alignment horizontal="center"/>
    </xf>
    <xf numFmtId="0" fontId="6" fillId="0" borderId="42" xfId="0" quotePrefix="1" applyFont="1" applyBorder="1" applyAlignment="1">
      <alignment horizontal="center"/>
    </xf>
    <xf numFmtId="0" fontId="6" fillId="9" borderId="42" xfId="0" applyFont="1" applyFill="1" applyBorder="1" applyAlignment="1">
      <alignment horizontal="center"/>
    </xf>
    <xf numFmtId="0" fontId="6" fillId="0" borderId="0" xfId="0" applyFont="1" applyAlignment="1">
      <alignment wrapText="1"/>
    </xf>
    <xf numFmtId="0" fontId="6" fillId="0" borderId="32" xfId="0" applyFont="1" applyBorder="1" applyAlignment="1">
      <alignment horizontal="right"/>
    </xf>
    <xf numFmtId="0" fontId="10" fillId="0" borderId="45" xfId="0" applyFont="1" applyBorder="1" applyAlignment="1">
      <alignment horizontal="center" wrapText="1"/>
    </xf>
    <xf numFmtId="0" fontId="10" fillId="0" borderId="46" xfId="0" quotePrefix="1" applyFont="1" applyBorder="1" applyAlignment="1">
      <alignment horizontal="center" wrapText="1"/>
    </xf>
    <xf numFmtId="0" fontId="10" fillId="0" borderId="45" xfId="0" quotePrefix="1" applyFont="1" applyBorder="1" applyAlignment="1">
      <alignment horizontal="center" wrapText="1"/>
    </xf>
    <xf numFmtId="0" fontId="6" fillId="8" borderId="0" xfId="0" applyFont="1" applyFill="1" applyAlignment="1">
      <alignment horizontal="center"/>
    </xf>
    <xf numFmtId="0" fontId="6" fillId="0" borderId="0" xfId="0" applyFont="1" applyAlignment="1">
      <alignment horizontal="center" wrapText="1"/>
    </xf>
    <xf numFmtId="0" fontId="6" fillId="0" borderId="4" xfId="0" applyFont="1" applyBorder="1" applyAlignment="1">
      <alignment horizontal="right"/>
    </xf>
    <xf numFmtId="0" fontId="6" fillId="0" borderId="5" xfId="0" applyFont="1" applyBorder="1" applyAlignment="1">
      <alignment horizontal="right"/>
    </xf>
    <xf numFmtId="0" fontId="6" fillId="0" borderId="9" xfId="0" applyFont="1" applyBorder="1" applyAlignment="1">
      <alignment horizontal="right"/>
    </xf>
    <xf numFmtId="0" fontId="10" fillId="0" borderId="0" xfId="0" applyFont="1" applyAlignment="1">
      <alignment horizontal="left"/>
    </xf>
    <xf numFmtId="0" fontId="8" fillId="0" borderId="0" xfId="0" applyFont="1" applyAlignment="1">
      <alignment horizontal="left"/>
    </xf>
    <xf numFmtId="0" fontId="9" fillId="0" borderId="0" xfId="0" applyFont="1"/>
    <xf numFmtId="0" fontId="10" fillId="6" borderId="0" xfId="0" applyFont="1" applyFill="1" applyAlignment="1">
      <alignment horizontal="right"/>
    </xf>
    <xf numFmtId="0" fontId="6" fillId="7" borderId="10" xfId="0" applyFont="1" applyFill="1" applyBorder="1"/>
    <xf numFmtId="0" fontId="6" fillId="7" borderId="10" xfId="0" applyFont="1" applyFill="1" applyBorder="1" applyAlignment="1">
      <alignment horizontal="center"/>
    </xf>
    <xf numFmtId="0" fontId="6" fillId="7" borderId="2" xfId="0" applyFont="1" applyFill="1" applyBorder="1" applyAlignment="1">
      <alignment horizontal="center"/>
    </xf>
    <xf numFmtId="0" fontId="10" fillId="6" borderId="4" xfId="0" applyFont="1" applyFill="1" applyBorder="1" applyAlignment="1">
      <alignment horizontal="center"/>
    </xf>
    <xf numFmtId="0" fontId="8" fillId="0" borderId="0" xfId="0" applyFont="1"/>
    <xf numFmtId="0" fontId="6" fillId="9" borderId="16" xfId="0" applyFont="1" applyFill="1" applyBorder="1" applyAlignment="1">
      <alignment horizontal="right"/>
    </xf>
    <xf numFmtId="0" fontId="6" fillId="0" borderId="14" xfId="0" applyFont="1" applyBorder="1" applyAlignment="1">
      <alignment horizontal="right"/>
    </xf>
    <xf numFmtId="0" fontId="6" fillId="0" borderId="15" xfId="0" applyFont="1" applyBorder="1" applyAlignment="1">
      <alignment horizontal="left"/>
    </xf>
    <xf numFmtId="0" fontId="6" fillId="0" borderId="12" xfId="0" applyFont="1" applyBorder="1" applyAlignment="1">
      <alignment horizontal="left"/>
    </xf>
    <xf numFmtId="0" fontId="16" fillId="0" borderId="45" xfId="2" applyFont="1" applyBorder="1" applyAlignment="1">
      <alignment horizontal="center"/>
    </xf>
    <xf numFmtId="14" fontId="17" fillId="0" borderId="44" xfId="2" applyNumberFormat="1" applyFont="1" applyBorder="1" applyAlignment="1">
      <alignment horizontal="center"/>
    </xf>
    <xf numFmtId="14" fontId="17" fillId="0" borderId="32" xfId="2" applyNumberFormat="1" applyFont="1" applyBorder="1" applyAlignment="1">
      <alignment horizontal="center"/>
    </xf>
    <xf numFmtId="0" fontId="6" fillId="2" borderId="16" xfId="0" applyFont="1" applyFill="1" applyBorder="1"/>
    <xf numFmtId="0" fontId="6" fillId="2" borderId="14" xfId="0" applyFont="1" applyFill="1" applyBorder="1"/>
    <xf numFmtId="164" fontId="6" fillId="2" borderId="13" xfId="0" applyNumberFormat="1" applyFont="1" applyFill="1" applyBorder="1"/>
    <xf numFmtId="0" fontId="6" fillId="2" borderId="13" xfId="0" applyFont="1" applyFill="1" applyBorder="1"/>
    <xf numFmtId="0" fontId="6" fillId="0" borderId="4" xfId="0" applyFont="1" applyBorder="1" applyAlignment="1">
      <alignment wrapText="1"/>
    </xf>
    <xf numFmtId="0" fontId="16" fillId="0" borderId="65" xfId="2" applyFont="1" applyBorder="1" applyAlignment="1">
      <alignment horizontal="center"/>
    </xf>
    <xf numFmtId="0" fontId="17" fillId="0" borderId="3" xfId="2" applyFont="1" applyBorder="1" applyAlignment="1">
      <alignment horizontal="center"/>
    </xf>
    <xf numFmtId="14" fontId="6" fillId="0" borderId="0" xfId="0" applyNumberFormat="1" applyFont="1"/>
    <xf numFmtId="0" fontId="17" fillId="0" borderId="66" xfId="2" applyFont="1" applyBorder="1" applyAlignment="1">
      <alignment horizontal="center"/>
    </xf>
    <xf numFmtId="0" fontId="17" fillId="0" borderId="3" xfId="2" applyFont="1" applyBorder="1" applyAlignment="1">
      <alignment horizontal="left"/>
    </xf>
    <xf numFmtId="0" fontId="6" fillId="9" borderId="34" xfId="0" applyFont="1" applyFill="1" applyBorder="1"/>
    <xf numFmtId="0" fontId="6" fillId="9" borderId="44" xfId="0" applyFont="1" applyFill="1" applyBorder="1"/>
    <xf numFmtId="0" fontId="6" fillId="9" borderId="32" xfId="0" applyFont="1" applyFill="1" applyBorder="1"/>
    <xf numFmtId="10" fontId="6" fillId="0" borderId="0" xfId="0" applyNumberFormat="1" applyFont="1" applyAlignment="1">
      <alignment wrapText="1"/>
    </xf>
    <xf numFmtId="0" fontId="6" fillId="0" borderId="0" xfId="1" applyFont="1" applyAlignment="1">
      <alignment vertical="top" wrapText="1"/>
    </xf>
    <xf numFmtId="10" fontId="6" fillId="0" borderId="0" xfId="1" applyNumberFormat="1" applyFont="1"/>
    <xf numFmtId="0" fontId="6" fillId="9" borderId="42" xfId="1" applyFont="1" applyFill="1" applyBorder="1" applyAlignment="1">
      <alignment horizontal="center" vertical="center" wrapText="1"/>
    </xf>
    <xf numFmtId="0" fontId="6" fillId="8" borderId="43" xfId="1" applyFont="1" applyFill="1" applyBorder="1" applyAlignment="1">
      <alignment horizontal="center" vertical="center" wrapText="1"/>
    </xf>
    <xf numFmtId="0" fontId="6" fillId="8" borderId="45" xfId="1" applyFont="1" applyFill="1" applyBorder="1" applyAlignment="1">
      <alignment horizontal="center" vertical="center" wrapText="1"/>
    </xf>
    <xf numFmtId="0" fontId="8" fillId="5" borderId="3" xfId="1" applyFont="1" applyFill="1" applyBorder="1"/>
    <xf numFmtId="0" fontId="6" fillId="5" borderId="0" xfId="1" applyFont="1" applyFill="1"/>
    <xf numFmtId="0" fontId="6" fillId="5" borderId="4" xfId="1" applyFont="1" applyFill="1" applyBorder="1"/>
    <xf numFmtId="0" fontId="10" fillId="4" borderId="1" xfId="1" applyFont="1" applyFill="1" applyBorder="1"/>
    <xf numFmtId="0" fontId="6" fillId="4" borderId="10" xfId="1" applyFont="1" applyFill="1" applyBorder="1"/>
    <xf numFmtId="0" fontId="6" fillId="4" borderId="2" xfId="1" applyFont="1" applyFill="1" applyBorder="1"/>
    <xf numFmtId="0" fontId="10" fillId="4" borderId="3" xfId="1" applyFont="1" applyFill="1" applyBorder="1"/>
    <xf numFmtId="0" fontId="6" fillId="4" borderId="4" xfId="1" applyFont="1" applyFill="1" applyBorder="1"/>
    <xf numFmtId="10" fontId="6" fillId="3" borderId="0" xfId="1" applyNumberFormat="1" applyFont="1" applyFill="1" applyAlignment="1">
      <alignment wrapText="1"/>
    </xf>
    <xf numFmtId="10" fontId="6" fillId="3" borderId="4" xfId="1" applyNumberFormat="1" applyFont="1" applyFill="1" applyBorder="1" applyAlignment="1">
      <alignment wrapText="1"/>
    </xf>
    <xf numFmtId="10" fontId="6" fillId="3" borderId="11" xfId="1" applyNumberFormat="1" applyFont="1" applyFill="1" applyBorder="1" applyAlignment="1">
      <alignment wrapText="1"/>
    </xf>
    <xf numFmtId="10" fontId="6" fillId="3" borderId="11" xfId="1" applyNumberFormat="1" applyFont="1" applyFill="1" applyBorder="1"/>
    <xf numFmtId="10" fontId="6" fillId="3" borderId="9" xfId="1" applyNumberFormat="1" applyFont="1" applyFill="1" applyBorder="1"/>
    <xf numFmtId="0" fontId="10" fillId="0" borderId="67" xfId="1" applyFont="1" applyBorder="1" applyAlignment="1">
      <alignment wrapText="1"/>
    </xf>
    <xf numFmtId="0" fontId="10" fillId="0" borderId="7" xfId="1" applyFont="1" applyBorder="1" applyAlignment="1">
      <alignment wrapText="1"/>
    </xf>
    <xf numFmtId="10" fontId="6" fillId="3" borderId="67" xfId="1" applyNumberFormat="1" applyFont="1" applyFill="1" applyBorder="1"/>
    <xf numFmtId="10" fontId="6" fillId="3" borderId="67" xfId="1" applyNumberFormat="1" applyFont="1" applyFill="1" applyBorder="1" applyAlignment="1">
      <alignment wrapText="1"/>
    </xf>
    <xf numFmtId="10" fontId="6" fillId="3" borderId="7" xfId="1" applyNumberFormat="1" applyFont="1" applyFill="1" applyBorder="1" applyAlignment="1">
      <alignment wrapText="1"/>
    </xf>
    <xf numFmtId="10" fontId="0" fillId="0" borderId="0" xfId="0" applyNumberFormat="1"/>
    <xf numFmtId="0" fontId="0" fillId="0" borderId="11" xfId="0" applyBorder="1"/>
    <xf numFmtId="0" fontId="19" fillId="0" borderId="47" xfId="0" applyFont="1" applyBorder="1" applyAlignment="1">
      <alignment horizontal="center"/>
    </xf>
    <xf numFmtId="0" fontId="10" fillId="0" borderId="34" xfId="0" quotePrefix="1" applyFont="1" applyBorder="1" applyAlignment="1">
      <alignment horizontal="center" wrapText="1"/>
    </xf>
    <xf numFmtId="0" fontId="10" fillId="9" borderId="45" xfId="0" applyFont="1" applyFill="1" applyBorder="1" applyAlignment="1">
      <alignment horizontal="center"/>
    </xf>
    <xf numFmtId="0" fontId="6" fillId="0" borderId="0" xfId="1" applyFont="1" applyAlignment="1">
      <alignment horizontal="center" vertical="center" wrapText="1"/>
    </xf>
    <xf numFmtId="0" fontId="6" fillId="9" borderId="45" xfId="1" applyFont="1" applyFill="1" applyBorder="1" applyAlignment="1">
      <alignment horizontal="center" vertical="center" wrapText="1"/>
    </xf>
    <xf numFmtId="0" fontId="6" fillId="10" borderId="45" xfId="1" applyFont="1" applyFill="1" applyBorder="1" applyAlignment="1">
      <alignment horizontal="center" vertical="center" wrapText="1"/>
    </xf>
    <xf numFmtId="10" fontId="6" fillId="0" borderId="0" xfId="3" applyNumberFormat="1" applyFont="1"/>
    <xf numFmtId="10" fontId="6" fillId="10" borderId="45" xfId="3" applyNumberFormat="1" applyFont="1" applyFill="1" applyBorder="1" applyAlignment="1">
      <alignment horizontal="center" vertical="center" wrapText="1"/>
    </xf>
    <xf numFmtId="0" fontId="20" fillId="0" borderId="0" xfId="1" applyFont="1" applyAlignment="1">
      <alignment horizontal="left" vertical="center" wrapText="1"/>
    </xf>
    <xf numFmtId="0" fontId="6" fillId="0" borderId="3" xfId="0" applyFont="1" applyBorder="1" applyAlignment="1">
      <alignment horizontal="left" vertical="top" wrapText="1"/>
    </xf>
    <xf numFmtId="0" fontId="6" fillId="0" borderId="0" xfId="0" applyFont="1" applyAlignment="1">
      <alignment horizontal="left" vertical="top" wrapText="1"/>
    </xf>
    <xf numFmtId="0" fontId="6" fillId="0" borderId="4" xfId="0" applyFont="1" applyBorder="1" applyAlignment="1">
      <alignment horizontal="left" vertical="top" wrapText="1"/>
    </xf>
    <xf numFmtId="0" fontId="10" fillId="5" borderId="3" xfId="0" applyFont="1" applyFill="1" applyBorder="1" applyAlignment="1">
      <alignment horizontal="left"/>
    </xf>
    <xf numFmtId="0" fontId="10" fillId="5" borderId="0" xfId="0" applyFont="1" applyFill="1" applyAlignment="1">
      <alignment horizontal="left"/>
    </xf>
    <xf numFmtId="0" fontId="10" fillId="5" borderId="4" xfId="0" applyFont="1" applyFill="1" applyBorder="1" applyAlignment="1">
      <alignment horizontal="left"/>
    </xf>
    <xf numFmtId="0" fontId="6" fillId="5" borderId="3" xfId="0" applyFont="1" applyFill="1" applyBorder="1" applyAlignment="1">
      <alignment horizontal="left"/>
    </xf>
    <xf numFmtId="0" fontId="6" fillId="5" borderId="0" xfId="0" applyFont="1" applyFill="1" applyAlignment="1">
      <alignment horizontal="left"/>
    </xf>
    <xf numFmtId="0" fontId="6" fillId="5" borderId="4" xfId="0" applyFont="1" applyFill="1" applyBorder="1" applyAlignment="1">
      <alignment horizontal="left"/>
    </xf>
    <xf numFmtId="0" fontId="10" fillId="5" borderId="3" xfId="0" applyFont="1" applyFill="1" applyBorder="1" applyAlignment="1">
      <alignment horizontal="left" vertical="top" wrapText="1"/>
    </xf>
    <xf numFmtId="0" fontId="10" fillId="5" borderId="0" xfId="0" applyFont="1" applyFill="1" applyAlignment="1">
      <alignment horizontal="left" vertical="top" wrapText="1"/>
    </xf>
    <xf numFmtId="0" fontId="10" fillId="5" borderId="4" xfId="0" applyFont="1" applyFill="1" applyBorder="1" applyAlignment="1">
      <alignment horizontal="left" vertical="top" wrapText="1"/>
    </xf>
    <xf numFmtId="0" fontId="6" fillId="0" borderId="5" xfId="0" applyFont="1" applyBorder="1" applyAlignment="1">
      <alignment horizontal="left" vertical="top" wrapText="1"/>
    </xf>
    <xf numFmtId="0" fontId="6" fillId="0" borderId="11" xfId="0" applyFont="1" applyBorder="1" applyAlignment="1">
      <alignment horizontal="left" vertical="top" wrapText="1"/>
    </xf>
    <xf numFmtId="0" fontId="10" fillId="9" borderId="0" xfId="0" applyFont="1" applyFill="1" applyAlignment="1">
      <alignment horizontal="left"/>
    </xf>
    <xf numFmtId="0" fontId="6" fillId="0" borderId="9" xfId="0" applyFont="1" applyBorder="1" applyAlignment="1">
      <alignment horizontal="left" vertical="top" wrapText="1"/>
    </xf>
    <xf numFmtId="0" fontId="10" fillId="9" borderId="0" xfId="0" quotePrefix="1" applyFont="1" applyFill="1" applyAlignment="1">
      <alignment horizontal="left"/>
    </xf>
    <xf numFmtId="0" fontId="6" fillId="0" borderId="3" xfId="0" applyFont="1" applyBorder="1" applyAlignment="1">
      <alignment horizontal="left"/>
    </xf>
    <xf numFmtId="0" fontId="6" fillId="0" borderId="0" xfId="0" applyFont="1" applyAlignment="1">
      <alignment horizontal="left"/>
    </xf>
    <xf numFmtId="0" fontId="6" fillId="0" borderId="4" xfId="0" applyFont="1" applyBorder="1" applyAlignment="1">
      <alignment horizontal="left"/>
    </xf>
    <xf numFmtId="0" fontId="6" fillId="0" borderId="3" xfId="0" applyFont="1" applyBorder="1" applyAlignment="1">
      <alignment horizontal="left" wrapText="1"/>
    </xf>
    <xf numFmtId="0" fontId="6" fillId="0" borderId="0" xfId="0" applyFont="1" applyAlignment="1">
      <alignment horizontal="left" wrapText="1"/>
    </xf>
    <xf numFmtId="0" fontId="6" fillId="0" borderId="4" xfId="0" applyFont="1" applyBorder="1" applyAlignment="1">
      <alignment horizontal="left" wrapText="1"/>
    </xf>
    <xf numFmtId="0" fontId="6" fillId="8" borderId="0" xfId="0" quotePrefix="1" applyFont="1" applyFill="1" applyAlignment="1">
      <alignment horizontal="right"/>
    </xf>
    <xf numFmtId="0" fontId="6" fillId="8" borderId="0" xfId="0" applyFont="1" applyFill="1" applyAlignment="1">
      <alignment horizontal="right"/>
    </xf>
    <xf numFmtId="0" fontId="6" fillId="0" borderId="3" xfId="0" applyFont="1" applyBorder="1" applyAlignment="1">
      <alignment wrapText="1"/>
    </xf>
    <xf numFmtId="0" fontId="6" fillId="0" borderId="0" xfId="0" applyFont="1" applyAlignment="1">
      <alignment wrapText="1"/>
    </xf>
    <xf numFmtId="0" fontId="6" fillId="0" borderId="4" xfId="0" applyFont="1" applyBorder="1" applyAlignment="1">
      <alignment wrapText="1"/>
    </xf>
    <xf numFmtId="0" fontId="6" fillId="0" borderId="5" xfId="0" applyFont="1" applyBorder="1" applyAlignment="1">
      <alignment horizontal="left" wrapText="1"/>
    </xf>
    <xf numFmtId="0" fontId="6" fillId="0" borderId="11" xfId="0" applyFont="1" applyBorder="1" applyAlignment="1">
      <alignment horizontal="left" wrapText="1"/>
    </xf>
    <xf numFmtId="0" fontId="6" fillId="0" borderId="9" xfId="0" applyFont="1" applyBorder="1" applyAlignment="1">
      <alignment horizontal="left" wrapText="1"/>
    </xf>
    <xf numFmtId="0" fontId="10" fillId="6" borderId="3" xfId="0" applyFont="1" applyFill="1" applyBorder="1" applyAlignment="1">
      <alignment horizontal="left"/>
    </xf>
    <xf numFmtId="0" fontId="10" fillId="6" borderId="0" xfId="0" applyFont="1" applyFill="1" applyAlignment="1">
      <alignment horizontal="left"/>
    </xf>
    <xf numFmtId="0" fontId="10" fillId="6" borderId="4" xfId="0" applyFont="1" applyFill="1" applyBorder="1" applyAlignment="1">
      <alignment horizontal="left"/>
    </xf>
    <xf numFmtId="10" fontId="10" fillId="0" borderId="0" xfId="3" applyNumberFormat="1" applyFont="1" applyAlignment="1">
      <alignment horizontal="left"/>
    </xf>
    <xf numFmtId="0" fontId="6" fillId="10" borderId="0" xfId="1" applyFont="1" applyFill="1" applyAlignment="1">
      <alignment horizontal="center" vertical="center"/>
    </xf>
    <xf numFmtId="0" fontId="6" fillId="10" borderId="0" xfId="1" applyFont="1" applyFill="1" applyAlignment="1">
      <alignment horizontal="left" wrapText="1"/>
    </xf>
    <xf numFmtId="0" fontId="6" fillId="10" borderId="0" xfId="1" applyFont="1" applyFill="1" applyAlignment="1">
      <alignment horizontal="left" vertical="top" wrapText="1"/>
    </xf>
    <xf numFmtId="0" fontId="10" fillId="0" borderId="0" xfId="1" applyFont="1" applyAlignment="1">
      <alignment horizontal="left"/>
    </xf>
    <xf numFmtId="0" fontId="10" fillId="0" borderId="6" xfId="1" applyFont="1" applyBorder="1" applyAlignment="1">
      <alignment horizontal="center" wrapText="1"/>
    </xf>
    <xf numFmtId="0" fontId="10" fillId="0" borderId="7" xfId="1" applyFont="1" applyBorder="1" applyAlignment="1">
      <alignment horizontal="center" wrapText="1"/>
    </xf>
    <xf numFmtId="0" fontId="10" fillId="8" borderId="0" xfId="1" applyFont="1" applyFill="1" applyAlignment="1">
      <alignment horizontal="center" wrapText="1"/>
    </xf>
    <xf numFmtId="0" fontId="6" fillId="5" borderId="3" xfId="1" applyFont="1" applyFill="1" applyBorder="1" applyAlignment="1">
      <alignment horizontal="left" vertical="top" wrapText="1"/>
    </xf>
    <xf numFmtId="0" fontId="6" fillId="5" borderId="0" xfId="1" applyFont="1" applyFill="1" applyAlignment="1">
      <alignment horizontal="left" vertical="top" wrapText="1"/>
    </xf>
    <xf numFmtId="0" fontId="6" fillId="5" borderId="4" xfId="1" applyFont="1" applyFill="1" applyBorder="1" applyAlignment="1">
      <alignment horizontal="left" vertical="top" wrapText="1"/>
    </xf>
    <xf numFmtId="0" fontId="6" fillId="5" borderId="5" xfId="1" quotePrefix="1" applyFont="1" applyFill="1" applyBorder="1" applyAlignment="1">
      <alignment horizontal="left" vertical="top" wrapText="1"/>
    </xf>
    <xf numFmtId="0" fontId="6" fillId="5" borderId="11" xfId="1" quotePrefix="1" applyFont="1" applyFill="1" applyBorder="1" applyAlignment="1">
      <alignment horizontal="left" vertical="top" wrapText="1"/>
    </xf>
    <xf numFmtId="0" fontId="6" fillId="5" borderId="9" xfId="1" quotePrefix="1" applyFont="1" applyFill="1" applyBorder="1" applyAlignment="1">
      <alignment horizontal="left" vertical="top" wrapText="1"/>
    </xf>
    <xf numFmtId="0" fontId="6" fillId="0" borderId="1" xfId="1" applyFont="1" applyBorder="1" applyAlignment="1">
      <alignment horizontal="left" vertical="top" wrapText="1"/>
    </xf>
    <xf numFmtId="0" fontId="6" fillId="0" borderId="10" xfId="1" applyFont="1" applyBorder="1" applyAlignment="1">
      <alignment horizontal="left" vertical="top" wrapText="1"/>
    </xf>
    <xf numFmtId="0" fontId="6" fillId="0" borderId="2" xfId="1" applyFont="1" applyBorder="1" applyAlignment="1">
      <alignment horizontal="left" vertical="top" wrapText="1"/>
    </xf>
    <xf numFmtId="0" fontId="6" fillId="0" borderId="3" xfId="1" applyFont="1" applyBorder="1" applyAlignment="1">
      <alignment horizontal="left" vertical="top" wrapText="1"/>
    </xf>
    <xf numFmtId="0" fontId="6" fillId="0" borderId="0" xfId="1" applyFont="1" applyAlignment="1">
      <alignment horizontal="left" vertical="top" wrapText="1"/>
    </xf>
    <xf numFmtId="0" fontId="6" fillId="0" borderId="4" xfId="1" applyFont="1" applyBorder="1" applyAlignment="1">
      <alignment horizontal="left" vertical="top" wrapText="1"/>
    </xf>
    <xf numFmtId="0" fontId="6" fillId="10" borderId="5" xfId="1" applyFont="1" applyFill="1" applyBorder="1" applyAlignment="1">
      <alignment horizontal="left" vertical="top" wrapText="1"/>
    </xf>
    <xf numFmtId="0" fontId="6" fillId="10" borderId="11" xfId="1" applyFont="1" applyFill="1" applyBorder="1" applyAlignment="1">
      <alignment horizontal="left" vertical="top" wrapText="1"/>
    </xf>
    <xf numFmtId="0" fontId="6" fillId="10" borderId="9" xfId="1" applyFont="1" applyFill="1" applyBorder="1" applyAlignment="1">
      <alignment horizontal="left" vertical="top" wrapText="1"/>
    </xf>
    <xf numFmtId="0" fontId="10" fillId="0" borderId="3" xfId="1" applyFont="1" applyBorder="1" applyAlignment="1">
      <alignment horizontal="center" wrapText="1"/>
    </xf>
    <xf numFmtId="0" fontId="10" fillId="0" borderId="4" xfId="1" applyFont="1" applyBorder="1" applyAlignment="1">
      <alignment horizontal="center" wrapText="1"/>
    </xf>
    <xf numFmtId="0" fontId="10" fillId="0" borderId="5" xfId="1" applyFont="1" applyBorder="1" applyAlignment="1">
      <alignment horizontal="center" wrapText="1"/>
    </xf>
    <xf numFmtId="0" fontId="10" fillId="0" borderId="9" xfId="1" applyFont="1" applyBorder="1" applyAlignment="1">
      <alignment horizontal="center" wrapText="1"/>
    </xf>
  </cellXfs>
  <cellStyles count="4">
    <cellStyle name="Prozent" xfId="3" builtinId="5"/>
    <cellStyle name="Standard" xfId="0" builtinId="0"/>
    <cellStyle name="Standard 2" xfId="1" xr:uid="{00000000-0005-0000-0000-000003000000}"/>
    <cellStyle name="Standard_Tabelle1" xfId="2" xr:uid="{00000000-0005-0000-0000-000004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Stabdiagramm</a:t>
            </a:r>
          </a:p>
        </c:rich>
      </c:tx>
      <c:overlay val="0"/>
    </c:title>
    <c:autoTitleDeleted val="0"/>
    <c:plotArea>
      <c:layout>
        <c:manualLayout>
          <c:layoutTarget val="inner"/>
          <c:xMode val="edge"/>
          <c:yMode val="edge"/>
          <c:x val="8.6386089238845151E-2"/>
          <c:y val="0.14441034659996507"/>
          <c:w val="0.68331496062992125"/>
          <c:h val="0.68724418734741766"/>
        </c:manualLayout>
      </c:layout>
      <c:barChart>
        <c:barDir val="col"/>
        <c:grouping val="clustered"/>
        <c:varyColors val="0"/>
        <c:ser>
          <c:idx val="0"/>
          <c:order val="0"/>
          <c:tx>
            <c:strRef>
              <c:f>Aufgabe1!$G$34</c:f>
              <c:strCache>
                <c:ptCount val="1"/>
                <c:pt idx="0">
                  <c:v>absolute
 H.: h(aj)</c:v>
                </c:pt>
              </c:strCache>
            </c:strRef>
          </c:tx>
          <c:invertIfNegative val="0"/>
          <c:cat>
            <c:numRef>
              <c:f>Aufgabe1!$F$50:$F$56</c:f>
              <c:numCache>
                <c:formatCode>General</c:formatCode>
                <c:ptCount val="7"/>
                <c:pt idx="0">
                  <c:v>0</c:v>
                </c:pt>
                <c:pt idx="1">
                  <c:v>1</c:v>
                </c:pt>
                <c:pt idx="2">
                  <c:v>2</c:v>
                </c:pt>
                <c:pt idx="3">
                  <c:v>3</c:v>
                </c:pt>
                <c:pt idx="4">
                  <c:v>4</c:v>
                </c:pt>
                <c:pt idx="5">
                  <c:v>5</c:v>
                </c:pt>
                <c:pt idx="6">
                  <c:v>6</c:v>
                </c:pt>
              </c:numCache>
            </c:numRef>
          </c:cat>
          <c:val>
            <c:numRef>
              <c:f>Aufgabe1!$G$35:$G$41</c:f>
              <c:numCache>
                <c:formatCode>General</c:formatCode>
                <c:ptCount val="7"/>
                <c:pt idx="0">
                  <c:v>10</c:v>
                </c:pt>
                <c:pt idx="1">
                  <c:v>6</c:v>
                </c:pt>
                <c:pt idx="2">
                  <c:v>3</c:v>
                </c:pt>
                <c:pt idx="3">
                  <c:v>6</c:v>
                </c:pt>
                <c:pt idx="4">
                  <c:v>0</c:v>
                </c:pt>
                <c:pt idx="5">
                  <c:v>3</c:v>
                </c:pt>
                <c:pt idx="6">
                  <c:v>2</c:v>
                </c:pt>
              </c:numCache>
            </c:numRef>
          </c:val>
          <c:extLst>
            <c:ext xmlns:c16="http://schemas.microsoft.com/office/drawing/2014/chart" uri="{C3380CC4-5D6E-409C-BE32-E72D297353CC}">
              <c16:uniqueId val="{00000000-BF59-4E12-BCBF-9C83A5486F33}"/>
            </c:ext>
          </c:extLst>
        </c:ser>
        <c:dLbls>
          <c:showLegendKey val="0"/>
          <c:showVal val="0"/>
          <c:showCatName val="0"/>
          <c:showSerName val="0"/>
          <c:showPercent val="0"/>
          <c:showBubbleSize val="0"/>
        </c:dLbls>
        <c:gapWidth val="150"/>
        <c:axId val="179195904"/>
        <c:axId val="179197440"/>
      </c:barChart>
      <c:catAx>
        <c:axId val="179195904"/>
        <c:scaling>
          <c:orientation val="minMax"/>
        </c:scaling>
        <c:delete val="0"/>
        <c:axPos val="b"/>
        <c:numFmt formatCode="General" sourceLinked="1"/>
        <c:majorTickMark val="out"/>
        <c:minorTickMark val="none"/>
        <c:tickLblPos val="nextTo"/>
        <c:crossAx val="179197440"/>
        <c:crosses val="autoZero"/>
        <c:auto val="1"/>
        <c:lblAlgn val="ctr"/>
        <c:lblOffset val="100"/>
        <c:noMultiLvlLbl val="0"/>
      </c:catAx>
      <c:valAx>
        <c:axId val="179197440"/>
        <c:scaling>
          <c:orientation val="minMax"/>
        </c:scaling>
        <c:delete val="0"/>
        <c:axPos val="l"/>
        <c:majorGridlines/>
        <c:numFmt formatCode="General" sourceLinked="1"/>
        <c:majorTickMark val="out"/>
        <c:minorTickMark val="none"/>
        <c:tickLblPos val="nextTo"/>
        <c:crossAx val="179195904"/>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de-DE"/>
              <a:t>Kreissektorendiagramm</a:t>
            </a:r>
          </a:p>
        </c:rich>
      </c:tx>
      <c:overlay val="0"/>
    </c:title>
    <c:autoTitleDeleted val="0"/>
    <c:plotArea>
      <c:layout/>
      <c:pieChart>
        <c:varyColors val="1"/>
        <c:ser>
          <c:idx val="0"/>
          <c:order val="0"/>
          <c:dLbls>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numRef>
              <c:f>Aufgabe1!$F$35:$F$41</c:f>
              <c:numCache>
                <c:formatCode>General</c:formatCode>
                <c:ptCount val="7"/>
                <c:pt idx="0">
                  <c:v>0</c:v>
                </c:pt>
                <c:pt idx="1">
                  <c:v>1</c:v>
                </c:pt>
                <c:pt idx="2">
                  <c:v>2</c:v>
                </c:pt>
                <c:pt idx="3">
                  <c:v>3</c:v>
                </c:pt>
                <c:pt idx="4">
                  <c:v>4</c:v>
                </c:pt>
                <c:pt idx="5">
                  <c:v>5</c:v>
                </c:pt>
                <c:pt idx="6">
                  <c:v>6</c:v>
                </c:pt>
              </c:numCache>
            </c:numRef>
          </c:cat>
          <c:val>
            <c:numRef>
              <c:f>Aufgabe1!$G$35:$G$41</c:f>
              <c:numCache>
                <c:formatCode>General</c:formatCode>
                <c:ptCount val="7"/>
                <c:pt idx="0">
                  <c:v>10</c:v>
                </c:pt>
                <c:pt idx="1">
                  <c:v>6</c:v>
                </c:pt>
                <c:pt idx="2">
                  <c:v>3</c:v>
                </c:pt>
                <c:pt idx="3">
                  <c:v>6</c:v>
                </c:pt>
                <c:pt idx="4">
                  <c:v>0</c:v>
                </c:pt>
                <c:pt idx="5">
                  <c:v>3</c:v>
                </c:pt>
                <c:pt idx="6">
                  <c:v>2</c:v>
                </c:pt>
              </c:numCache>
            </c:numRef>
          </c:val>
          <c:extLst>
            <c:ext xmlns:c16="http://schemas.microsoft.com/office/drawing/2014/chart" uri="{C3380CC4-5D6E-409C-BE32-E72D297353CC}">
              <c16:uniqueId val="{00000000-C527-4316-8EE9-A41E695BC4B4}"/>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DAX 1999 bis 2010</a:t>
            </a:r>
          </a:p>
        </c:rich>
      </c:tx>
      <c:overlay val="0"/>
    </c:title>
    <c:autoTitleDeleted val="0"/>
    <c:plotArea>
      <c:layout/>
      <c:lineChart>
        <c:grouping val="standard"/>
        <c:varyColors val="0"/>
        <c:ser>
          <c:idx val="0"/>
          <c:order val="0"/>
          <c:marker>
            <c:symbol val="none"/>
          </c:marker>
          <c:cat>
            <c:numRef>
              <c:f>'Aufgabe 4'!$B$54:$B$4955</c:f>
              <c:numCache>
                <c:formatCode>m/d/yyyy</c:formatCode>
                <c:ptCount val="4902"/>
                <c:pt idx="0">
                  <c:v>33203</c:v>
                </c:pt>
                <c:pt idx="1">
                  <c:v>33204</c:v>
                </c:pt>
                <c:pt idx="2">
                  <c:v>33205</c:v>
                </c:pt>
                <c:pt idx="3">
                  <c:v>33206</c:v>
                </c:pt>
                <c:pt idx="4">
                  <c:v>33207</c:v>
                </c:pt>
                <c:pt idx="5">
                  <c:v>33210</c:v>
                </c:pt>
                <c:pt idx="6">
                  <c:v>33211</c:v>
                </c:pt>
                <c:pt idx="7">
                  <c:v>33212</c:v>
                </c:pt>
                <c:pt idx="8">
                  <c:v>33213</c:v>
                </c:pt>
                <c:pt idx="9">
                  <c:v>33214</c:v>
                </c:pt>
                <c:pt idx="10">
                  <c:v>33217</c:v>
                </c:pt>
                <c:pt idx="11">
                  <c:v>33218</c:v>
                </c:pt>
                <c:pt idx="12">
                  <c:v>33219</c:v>
                </c:pt>
                <c:pt idx="13">
                  <c:v>33220</c:v>
                </c:pt>
                <c:pt idx="14">
                  <c:v>33221</c:v>
                </c:pt>
                <c:pt idx="15">
                  <c:v>33224</c:v>
                </c:pt>
                <c:pt idx="16">
                  <c:v>33225</c:v>
                </c:pt>
                <c:pt idx="17">
                  <c:v>33226</c:v>
                </c:pt>
                <c:pt idx="18">
                  <c:v>33227</c:v>
                </c:pt>
                <c:pt idx="19">
                  <c:v>33228</c:v>
                </c:pt>
                <c:pt idx="20">
                  <c:v>33234</c:v>
                </c:pt>
                <c:pt idx="21">
                  <c:v>33235</c:v>
                </c:pt>
                <c:pt idx="22">
                  <c:v>33240</c:v>
                </c:pt>
                <c:pt idx="23">
                  <c:v>33241</c:v>
                </c:pt>
                <c:pt idx="24">
                  <c:v>33242</c:v>
                </c:pt>
                <c:pt idx="25">
                  <c:v>33245</c:v>
                </c:pt>
                <c:pt idx="26">
                  <c:v>33246</c:v>
                </c:pt>
                <c:pt idx="27">
                  <c:v>33247</c:v>
                </c:pt>
                <c:pt idx="28">
                  <c:v>33248</c:v>
                </c:pt>
                <c:pt idx="29">
                  <c:v>33249</c:v>
                </c:pt>
                <c:pt idx="30">
                  <c:v>33252</c:v>
                </c:pt>
                <c:pt idx="31">
                  <c:v>33253</c:v>
                </c:pt>
                <c:pt idx="32">
                  <c:v>33254</c:v>
                </c:pt>
                <c:pt idx="33">
                  <c:v>33255</c:v>
                </c:pt>
                <c:pt idx="34">
                  <c:v>33256</c:v>
                </c:pt>
                <c:pt idx="35">
                  <c:v>33259</c:v>
                </c:pt>
                <c:pt idx="36">
                  <c:v>33260</c:v>
                </c:pt>
                <c:pt idx="37">
                  <c:v>33261</c:v>
                </c:pt>
                <c:pt idx="38">
                  <c:v>33262</c:v>
                </c:pt>
                <c:pt idx="39">
                  <c:v>33263</c:v>
                </c:pt>
                <c:pt idx="40">
                  <c:v>33266</c:v>
                </c:pt>
                <c:pt idx="41">
                  <c:v>33267</c:v>
                </c:pt>
                <c:pt idx="42">
                  <c:v>33268</c:v>
                </c:pt>
                <c:pt idx="43">
                  <c:v>33269</c:v>
                </c:pt>
                <c:pt idx="44">
                  <c:v>33270</c:v>
                </c:pt>
                <c:pt idx="45">
                  <c:v>33273</c:v>
                </c:pt>
                <c:pt idx="46">
                  <c:v>33274</c:v>
                </c:pt>
                <c:pt idx="47">
                  <c:v>33275</c:v>
                </c:pt>
                <c:pt idx="48">
                  <c:v>33276</c:v>
                </c:pt>
                <c:pt idx="49">
                  <c:v>33277</c:v>
                </c:pt>
                <c:pt idx="50">
                  <c:v>33280</c:v>
                </c:pt>
                <c:pt idx="51">
                  <c:v>33281</c:v>
                </c:pt>
                <c:pt idx="52">
                  <c:v>33282</c:v>
                </c:pt>
                <c:pt idx="53">
                  <c:v>33283</c:v>
                </c:pt>
                <c:pt idx="54">
                  <c:v>33284</c:v>
                </c:pt>
                <c:pt idx="55">
                  <c:v>33287</c:v>
                </c:pt>
                <c:pt idx="56">
                  <c:v>33288</c:v>
                </c:pt>
                <c:pt idx="57">
                  <c:v>33289</c:v>
                </c:pt>
                <c:pt idx="58">
                  <c:v>33290</c:v>
                </c:pt>
                <c:pt idx="59">
                  <c:v>33291</c:v>
                </c:pt>
                <c:pt idx="60">
                  <c:v>33294</c:v>
                </c:pt>
                <c:pt idx="61">
                  <c:v>33295</c:v>
                </c:pt>
                <c:pt idx="62">
                  <c:v>33296</c:v>
                </c:pt>
                <c:pt idx="63">
                  <c:v>33297</c:v>
                </c:pt>
                <c:pt idx="64">
                  <c:v>33298</c:v>
                </c:pt>
                <c:pt idx="65">
                  <c:v>33301</c:v>
                </c:pt>
                <c:pt idx="66">
                  <c:v>33302</c:v>
                </c:pt>
                <c:pt idx="67">
                  <c:v>33303</c:v>
                </c:pt>
                <c:pt idx="68">
                  <c:v>33304</c:v>
                </c:pt>
                <c:pt idx="69">
                  <c:v>33305</c:v>
                </c:pt>
                <c:pt idx="70">
                  <c:v>33308</c:v>
                </c:pt>
                <c:pt idx="71">
                  <c:v>33309</c:v>
                </c:pt>
                <c:pt idx="72">
                  <c:v>33310</c:v>
                </c:pt>
                <c:pt idx="73">
                  <c:v>33311</c:v>
                </c:pt>
                <c:pt idx="74">
                  <c:v>33312</c:v>
                </c:pt>
                <c:pt idx="75">
                  <c:v>33315</c:v>
                </c:pt>
                <c:pt idx="76">
                  <c:v>33316</c:v>
                </c:pt>
                <c:pt idx="77">
                  <c:v>33317</c:v>
                </c:pt>
                <c:pt idx="78">
                  <c:v>33318</c:v>
                </c:pt>
                <c:pt idx="79">
                  <c:v>33319</c:v>
                </c:pt>
                <c:pt idx="80">
                  <c:v>33322</c:v>
                </c:pt>
                <c:pt idx="81">
                  <c:v>33323</c:v>
                </c:pt>
                <c:pt idx="82">
                  <c:v>33324</c:v>
                </c:pt>
                <c:pt idx="83">
                  <c:v>33325</c:v>
                </c:pt>
                <c:pt idx="84">
                  <c:v>33330</c:v>
                </c:pt>
                <c:pt idx="85">
                  <c:v>33331</c:v>
                </c:pt>
                <c:pt idx="86">
                  <c:v>33332</c:v>
                </c:pt>
                <c:pt idx="87">
                  <c:v>33333</c:v>
                </c:pt>
                <c:pt idx="88">
                  <c:v>33336</c:v>
                </c:pt>
                <c:pt idx="89">
                  <c:v>33337</c:v>
                </c:pt>
                <c:pt idx="90">
                  <c:v>33338</c:v>
                </c:pt>
                <c:pt idx="91">
                  <c:v>33339</c:v>
                </c:pt>
                <c:pt idx="92">
                  <c:v>33340</c:v>
                </c:pt>
                <c:pt idx="93">
                  <c:v>33343</c:v>
                </c:pt>
                <c:pt idx="94">
                  <c:v>33344</c:v>
                </c:pt>
                <c:pt idx="95">
                  <c:v>33345</c:v>
                </c:pt>
                <c:pt idx="96">
                  <c:v>33346</c:v>
                </c:pt>
                <c:pt idx="97">
                  <c:v>33347</c:v>
                </c:pt>
                <c:pt idx="98">
                  <c:v>33350</c:v>
                </c:pt>
                <c:pt idx="99">
                  <c:v>33351</c:v>
                </c:pt>
                <c:pt idx="100">
                  <c:v>33352</c:v>
                </c:pt>
                <c:pt idx="101">
                  <c:v>33353</c:v>
                </c:pt>
                <c:pt idx="102">
                  <c:v>33354</c:v>
                </c:pt>
                <c:pt idx="103">
                  <c:v>33357</c:v>
                </c:pt>
                <c:pt idx="104">
                  <c:v>33358</c:v>
                </c:pt>
                <c:pt idx="105">
                  <c:v>33360</c:v>
                </c:pt>
                <c:pt idx="106">
                  <c:v>33361</c:v>
                </c:pt>
                <c:pt idx="107">
                  <c:v>33364</c:v>
                </c:pt>
                <c:pt idx="108">
                  <c:v>33365</c:v>
                </c:pt>
                <c:pt idx="109">
                  <c:v>33366</c:v>
                </c:pt>
                <c:pt idx="110">
                  <c:v>33368</c:v>
                </c:pt>
                <c:pt idx="111">
                  <c:v>33371</c:v>
                </c:pt>
                <c:pt idx="112">
                  <c:v>33372</c:v>
                </c:pt>
                <c:pt idx="113">
                  <c:v>33373</c:v>
                </c:pt>
                <c:pt idx="114">
                  <c:v>33374</c:v>
                </c:pt>
                <c:pt idx="115">
                  <c:v>33375</c:v>
                </c:pt>
                <c:pt idx="116">
                  <c:v>33379</c:v>
                </c:pt>
                <c:pt idx="117">
                  <c:v>33380</c:v>
                </c:pt>
                <c:pt idx="118">
                  <c:v>33381</c:v>
                </c:pt>
                <c:pt idx="119">
                  <c:v>33382</c:v>
                </c:pt>
                <c:pt idx="120">
                  <c:v>33385</c:v>
                </c:pt>
                <c:pt idx="121">
                  <c:v>33386</c:v>
                </c:pt>
                <c:pt idx="122">
                  <c:v>33387</c:v>
                </c:pt>
                <c:pt idx="123">
                  <c:v>33389</c:v>
                </c:pt>
                <c:pt idx="124">
                  <c:v>33392</c:v>
                </c:pt>
                <c:pt idx="125">
                  <c:v>33393</c:v>
                </c:pt>
                <c:pt idx="126">
                  <c:v>33394</c:v>
                </c:pt>
                <c:pt idx="127">
                  <c:v>33395</c:v>
                </c:pt>
                <c:pt idx="128">
                  <c:v>33396</c:v>
                </c:pt>
                <c:pt idx="129">
                  <c:v>33399</c:v>
                </c:pt>
                <c:pt idx="130">
                  <c:v>33400</c:v>
                </c:pt>
                <c:pt idx="131">
                  <c:v>33401</c:v>
                </c:pt>
                <c:pt idx="132">
                  <c:v>33402</c:v>
                </c:pt>
                <c:pt idx="133">
                  <c:v>33403</c:v>
                </c:pt>
                <c:pt idx="134">
                  <c:v>33406</c:v>
                </c:pt>
                <c:pt idx="135">
                  <c:v>33407</c:v>
                </c:pt>
                <c:pt idx="136">
                  <c:v>33408</c:v>
                </c:pt>
                <c:pt idx="137">
                  <c:v>33409</c:v>
                </c:pt>
                <c:pt idx="138">
                  <c:v>33410</c:v>
                </c:pt>
                <c:pt idx="139">
                  <c:v>33413</c:v>
                </c:pt>
                <c:pt idx="140">
                  <c:v>33414</c:v>
                </c:pt>
                <c:pt idx="141">
                  <c:v>33415</c:v>
                </c:pt>
                <c:pt idx="142">
                  <c:v>33416</c:v>
                </c:pt>
                <c:pt idx="143">
                  <c:v>33417</c:v>
                </c:pt>
                <c:pt idx="144">
                  <c:v>33420</c:v>
                </c:pt>
                <c:pt idx="145">
                  <c:v>33421</c:v>
                </c:pt>
                <c:pt idx="146">
                  <c:v>33422</c:v>
                </c:pt>
                <c:pt idx="147">
                  <c:v>33423</c:v>
                </c:pt>
                <c:pt idx="148">
                  <c:v>33424</c:v>
                </c:pt>
                <c:pt idx="149">
                  <c:v>33427</c:v>
                </c:pt>
                <c:pt idx="150">
                  <c:v>33428</c:v>
                </c:pt>
                <c:pt idx="151">
                  <c:v>33429</c:v>
                </c:pt>
                <c:pt idx="152">
                  <c:v>33430</c:v>
                </c:pt>
                <c:pt idx="153">
                  <c:v>33431</c:v>
                </c:pt>
                <c:pt idx="154">
                  <c:v>33434</c:v>
                </c:pt>
                <c:pt idx="155">
                  <c:v>33435</c:v>
                </c:pt>
                <c:pt idx="156">
                  <c:v>33436</c:v>
                </c:pt>
                <c:pt idx="157">
                  <c:v>33437</c:v>
                </c:pt>
                <c:pt idx="158">
                  <c:v>33438</c:v>
                </c:pt>
                <c:pt idx="159">
                  <c:v>33441</c:v>
                </c:pt>
                <c:pt idx="160">
                  <c:v>33442</c:v>
                </c:pt>
                <c:pt idx="161">
                  <c:v>33443</c:v>
                </c:pt>
                <c:pt idx="162">
                  <c:v>33444</c:v>
                </c:pt>
                <c:pt idx="163">
                  <c:v>33445</c:v>
                </c:pt>
                <c:pt idx="164">
                  <c:v>33448</c:v>
                </c:pt>
                <c:pt idx="165">
                  <c:v>33449</c:v>
                </c:pt>
                <c:pt idx="166">
                  <c:v>33450</c:v>
                </c:pt>
                <c:pt idx="167">
                  <c:v>33451</c:v>
                </c:pt>
                <c:pt idx="168">
                  <c:v>33452</c:v>
                </c:pt>
                <c:pt idx="169">
                  <c:v>33455</c:v>
                </c:pt>
                <c:pt idx="170">
                  <c:v>33456</c:v>
                </c:pt>
                <c:pt idx="171">
                  <c:v>33457</c:v>
                </c:pt>
                <c:pt idx="172">
                  <c:v>33458</c:v>
                </c:pt>
                <c:pt idx="173">
                  <c:v>33459</c:v>
                </c:pt>
                <c:pt idx="174">
                  <c:v>33462</c:v>
                </c:pt>
                <c:pt idx="175">
                  <c:v>33463</c:v>
                </c:pt>
                <c:pt idx="176">
                  <c:v>33464</c:v>
                </c:pt>
                <c:pt idx="177">
                  <c:v>33465</c:v>
                </c:pt>
                <c:pt idx="178">
                  <c:v>33466</c:v>
                </c:pt>
                <c:pt idx="179">
                  <c:v>33469</c:v>
                </c:pt>
                <c:pt idx="180">
                  <c:v>33470</c:v>
                </c:pt>
                <c:pt idx="181">
                  <c:v>33471</c:v>
                </c:pt>
                <c:pt idx="182">
                  <c:v>33472</c:v>
                </c:pt>
                <c:pt idx="183">
                  <c:v>33473</c:v>
                </c:pt>
                <c:pt idx="184">
                  <c:v>33476</c:v>
                </c:pt>
                <c:pt idx="185">
                  <c:v>33477</c:v>
                </c:pt>
                <c:pt idx="186">
                  <c:v>33478</c:v>
                </c:pt>
                <c:pt idx="187">
                  <c:v>33479</c:v>
                </c:pt>
                <c:pt idx="188">
                  <c:v>33480</c:v>
                </c:pt>
                <c:pt idx="189">
                  <c:v>33483</c:v>
                </c:pt>
                <c:pt idx="190">
                  <c:v>33484</c:v>
                </c:pt>
                <c:pt idx="191">
                  <c:v>33485</c:v>
                </c:pt>
                <c:pt idx="192">
                  <c:v>33486</c:v>
                </c:pt>
                <c:pt idx="193">
                  <c:v>33487</c:v>
                </c:pt>
                <c:pt idx="194">
                  <c:v>33490</c:v>
                </c:pt>
                <c:pt idx="195">
                  <c:v>33491</c:v>
                </c:pt>
                <c:pt idx="196">
                  <c:v>33492</c:v>
                </c:pt>
                <c:pt idx="197">
                  <c:v>33493</c:v>
                </c:pt>
                <c:pt idx="198">
                  <c:v>33494</c:v>
                </c:pt>
                <c:pt idx="199">
                  <c:v>33497</c:v>
                </c:pt>
                <c:pt idx="200">
                  <c:v>33498</c:v>
                </c:pt>
                <c:pt idx="201">
                  <c:v>33499</c:v>
                </c:pt>
                <c:pt idx="202">
                  <c:v>33500</c:v>
                </c:pt>
                <c:pt idx="203">
                  <c:v>33501</c:v>
                </c:pt>
                <c:pt idx="204">
                  <c:v>33504</c:v>
                </c:pt>
                <c:pt idx="205">
                  <c:v>33505</c:v>
                </c:pt>
                <c:pt idx="206">
                  <c:v>33506</c:v>
                </c:pt>
                <c:pt idx="207">
                  <c:v>33507</c:v>
                </c:pt>
                <c:pt idx="208">
                  <c:v>33508</c:v>
                </c:pt>
                <c:pt idx="209">
                  <c:v>33511</c:v>
                </c:pt>
                <c:pt idx="210">
                  <c:v>33512</c:v>
                </c:pt>
                <c:pt idx="211">
                  <c:v>33513</c:v>
                </c:pt>
                <c:pt idx="212">
                  <c:v>33515</c:v>
                </c:pt>
                <c:pt idx="213">
                  <c:v>33518</c:v>
                </c:pt>
                <c:pt idx="214">
                  <c:v>33519</c:v>
                </c:pt>
                <c:pt idx="215">
                  <c:v>33520</c:v>
                </c:pt>
                <c:pt idx="216">
                  <c:v>33521</c:v>
                </c:pt>
                <c:pt idx="217">
                  <c:v>33522</c:v>
                </c:pt>
                <c:pt idx="218">
                  <c:v>33525</c:v>
                </c:pt>
                <c:pt idx="219">
                  <c:v>33526</c:v>
                </c:pt>
                <c:pt idx="220">
                  <c:v>33527</c:v>
                </c:pt>
                <c:pt idx="221">
                  <c:v>33528</c:v>
                </c:pt>
                <c:pt idx="222">
                  <c:v>33529</c:v>
                </c:pt>
                <c:pt idx="223">
                  <c:v>33532</c:v>
                </c:pt>
                <c:pt idx="224">
                  <c:v>33533</c:v>
                </c:pt>
                <c:pt idx="225">
                  <c:v>33534</c:v>
                </c:pt>
                <c:pt idx="226">
                  <c:v>33535</c:v>
                </c:pt>
                <c:pt idx="227">
                  <c:v>33536</c:v>
                </c:pt>
                <c:pt idx="228">
                  <c:v>33539</c:v>
                </c:pt>
                <c:pt idx="229">
                  <c:v>33540</c:v>
                </c:pt>
                <c:pt idx="230">
                  <c:v>33541</c:v>
                </c:pt>
                <c:pt idx="231">
                  <c:v>33542</c:v>
                </c:pt>
                <c:pt idx="232">
                  <c:v>33543</c:v>
                </c:pt>
                <c:pt idx="233">
                  <c:v>33546</c:v>
                </c:pt>
                <c:pt idx="234">
                  <c:v>33547</c:v>
                </c:pt>
                <c:pt idx="235">
                  <c:v>33548</c:v>
                </c:pt>
                <c:pt idx="236">
                  <c:v>33549</c:v>
                </c:pt>
                <c:pt idx="237">
                  <c:v>33550</c:v>
                </c:pt>
                <c:pt idx="238">
                  <c:v>33553</c:v>
                </c:pt>
                <c:pt idx="239">
                  <c:v>33554</c:v>
                </c:pt>
                <c:pt idx="240">
                  <c:v>33555</c:v>
                </c:pt>
                <c:pt idx="241">
                  <c:v>33556</c:v>
                </c:pt>
                <c:pt idx="242">
                  <c:v>33557</c:v>
                </c:pt>
                <c:pt idx="243">
                  <c:v>33560</c:v>
                </c:pt>
                <c:pt idx="244">
                  <c:v>33561</c:v>
                </c:pt>
                <c:pt idx="245">
                  <c:v>33563</c:v>
                </c:pt>
                <c:pt idx="246">
                  <c:v>33564</c:v>
                </c:pt>
                <c:pt idx="247">
                  <c:v>33567</c:v>
                </c:pt>
                <c:pt idx="248">
                  <c:v>33568</c:v>
                </c:pt>
                <c:pt idx="249">
                  <c:v>33569</c:v>
                </c:pt>
                <c:pt idx="250">
                  <c:v>33570</c:v>
                </c:pt>
                <c:pt idx="251">
                  <c:v>33571</c:v>
                </c:pt>
                <c:pt idx="252">
                  <c:v>33574</c:v>
                </c:pt>
                <c:pt idx="253">
                  <c:v>33575</c:v>
                </c:pt>
                <c:pt idx="254">
                  <c:v>33576</c:v>
                </c:pt>
                <c:pt idx="255">
                  <c:v>33577</c:v>
                </c:pt>
                <c:pt idx="256">
                  <c:v>33578</c:v>
                </c:pt>
                <c:pt idx="257">
                  <c:v>33581</c:v>
                </c:pt>
                <c:pt idx="258">
                  <c:v>33582</c:v>
                </c:pt>
                <c:pt idx="259">
                  <c:v>33583</c:v>
                </c:pt>
                <c:pt idx="260">
                  <c:v>33584</c:v>
                </c:pt>
                <c:pt idx="261">
                  <c:v>33585</c:v>
                </c:pt>
                <c:pt idx="262">
                  <c:v>33588</c:v>
                </c:pt>
                <c:pt idx="263">
                  <c:v>33589</c:v>
                </c:pt>
                <c:pt idx="264">
                  <c:v>33590</c:v>
                </c:pt>
                <c:pt idx="265">
                  <c:v>33591</c:v>
                </c:pt>
                <c:pt idx="266">
                  <c:v>33592</c:v>
                </c:pt>
                <c:pt idx="267">
                  <c:v>33595</c:v>
                </c:pt>
                <c:pt idx="268">
                  <c:v>33599</c:v>
                </c:pt>
                <c:pt idx="269">
                  <c:v>33602</c:v>
                </c:pt>
                <c:pt idx="270">
                  <c:v>33605</c:v>
                </c:pt>
                <c:pt idx="271">
                  <c:v>33606</c:v>
                </c:pt>
                <c:pt idx="272">
                  <c:v>33609</c:v>
                </c:pt>
                <c:pt idx="273">
                  <c:v>33610</c:v>
                </c:pt>
                <c:pt idx="274">
                  <c:v>33611</c:v>
                </c:pt>
                <c:pt idx="275">
                  <c:v>33612</c:v>
                </c:pt>
                <c:pt idx="276">
                  <c:v>33613</c:v>
                </c:pt>
                <c:pt idx="277">
                  <c:v>33616</c:v>
                </c:pt>
                <c:pt idx="278">
                  <c:v>33617</c:v>
                </c:pt>
                <c:pt idx="279">
                  <c:v>33618</c:v>
                </c:pt>
                <c:pt idx="280">
                  <c:v>33619</c:v>
                </c:pt>
                <c:pt idx="281">
                  <c:v>33620</c:v>
                </c:pt>
                <c:pt idx="282">
                  <c:v>33623</c:v>
                </c:pt>
                <c:pt idx="283">
                  <c:v>33624</c:v>
                </c:pt>
                <c:pt idx="284">
                  <c:v>33625</c:v>
                </c:pt>
                <c:pt idx="285">
                  <c:v>33626</c:v>
                </c:pt>
                <c:pt idx="286">
                  <c:v>33627</c:v>
                </c:pt>
                <c:pt idx="287">
                  <c:v>33630</c:v>
                </c:pt>
                <c:pt idx="288">
                  <c:v>33631</c:v>
                </c:pt>
                <c:pt idx="289">
                  <c:v>33632</c:v>
                </c:pt>
                <c:pt idx="290">
                  <c:v>33633</c:v>
                </c:pt>
                <c:pt idx="291">
                  <c:v>33634</c:v>
                </c:pt>
                <c:pt idx="292">
                  <c:v>33637</c:v>
                </c:pt>
                <c:pt idx="293">
                  <c:v>33638</c:v>
                </c:pt>
                <c:pt idx="294">
                  <c:v>33639</c:v>
                </c:pt>
                <c:pt idx="295">
                  <c:v>33640</c:v>
                </c:pt>
                <c:pt idx="296">
                  <c:v>33641</c:v>
                </c:pt>
                <c:pt idx="297">
                  <c:v>33644</c:v>
                </c:pt>
                <c:pt idx="298">
                  <c:v>33645</c:v>
                </c:pt>
                <c:pt idx="299">
                  <c:v>33646</c:v>
                </c:pt>
                <c:pt idx="300">
                  <c:v>33647</c:v>
                </c:pt>
                <c:pt idx="301">
                  <c:v>33648</c:v>
                </c:pt>
                <c:pt idx="302">
                  <c:v>33651</c:v>
                </c:pt>
                <c:pt idx="303">
                  <c:v>33652</c:v>
                </c:pt>
                <c:pt idx="304">
                  <c:v>33653</c:v>
                </c:pt>
                <c:pt idx="305">
                  <c:v>33654</c:v>
                </c:pt>
                <c:pt idx="306">
                  <c:v>33655</c:v>
                </c:pt>
                <c:pt idx="307">
                  <c:v>33658</c:v>
                </c:pt>
                <c:pt idx="308">
                  <c:v>33659</c:v>
                </c:pt>
                <c:pt idx="309">
                  <c:v>33660</c:v>
                </c:pt>
                <c:pt idx="310">
                  <c:v>33661</c:v>
                </c:pt>
                <c:pt idx="311">
                  <c:v>33662</c:v>
                </c:pt>
                <c:pt idx="312">
                  <c:v>33665</c:v>
                </c:pt>
                <c:pt idx="313">
                  <c:v>33666</c:v>
                </c:pt>
                <c:pt idx="314">
                  <c:v>33667</c:v>
                </c:pt>
                <c:pt idx="315">
                  <c:v>33668</c:v>
                </c:pt>
                <c:pt idx="316">
                  <c:v>33669</c:v>
                </c:pt>
                <c:pt idx="317">
                  <c:v>33672</c:v>
                </c:pt>
                <c:pt idx="318">
                  <c:v>33673</c:v>
                </c:pt>
                <c:pt idx="319">
                  <c:v>33674</c:v>
                </c:pt>
                <c:pt idx="320">
                  <c:v>33675</c:v>
                </c:pt>
                <c:pt idx="321">
                  <c:v>33676</c:v>
                </c:pt>
                <c:pt idx="322">
                  <c:v>33679</c:v>
                </c:pt>
                <c:pt idx="323">
                  <c:v>33680</c:v>
                </c:pt>
                <c:pt idx="324">
                  <c:v>33681</c:v>
                </c:pt>
                <c:pt idx="325">
                  <c:v>33682</c:v>
                </c:pt>
                <c:pt idx="326">
                  <c:v>33683</c:v>
                </c:pt>
                <c:pt idx="327">
                  <c:v>33686</c:v>
                </c:pt>
                <c:pt idx="328">
                  <c:v>33687</c:v>
                </c:pt>
                <c:pt idx="329">
                  <c:v>33688</c:v>
                </c:pt>
                <c:pt idx="330">
                  <c:v>33689</c:v>
                </c:pt>
                <c:pt idx="331">
                  <c:v>33690</c:v>
                </c:pt>
                <c:pt idx="332">
                  <c:v>33693</c:v>
                </c:pt>
                <c:pt idx="333">
                  <c:v>33694</c:v>
                </c:pt>
                <c:pt idx="334">
                  <c:v>33695</c:v>
                </c:pt>
                <c:pt idx="335">
                  <c:v>33696</c:v>
                </c:pt>
                <c:pt idx="336">
                  <c:v>33697</c:v>
                </c:pt>
                <c:pt idx="337">
                  <c:v>33700</c:v>
                </c:pt>
                <c:pt idx="338">
                  <c:v>33701</c:v>
                </c:pt>
                <c:pt idx="339">
                  <c:v>33702</c:v>
                </c:pt>
                <c:pt idx="340">
                  <c:v>33703</c:v>
                </c:pt>
                <c:pt idx="341">
                  <c:v>33704</c:v>
                </c:pt>
                <c:pt idx="342">
                  <c:v>33707</c:v>
                </c:pt>
                <c:pt idx="343">
                  <c:v>33708</c:v>
                </c:pt>
                <c:pt idx="344">
                  <c:v>33709</c:v>
                </c:pt>
                <c:pt idx="345">
                  <c:v>33710</c:v>
                </c:pt>
                <c:pt idx="346">
                  <c:v>33715</c:v>
                </c:pt>
                <c:pt idx="347">
                  <c:v>33716</c:v>
                </c:pt>
                <c:pt idx="348">
                  <c:v>33717</c:v>
                </c:pt>
                <c:pt idx="349">
                  <c:v>33718</c:v>
                </c:pt>
                <c:pt idx="350">
                  <c:v>33721</c:v>
                </c:pt>
                <c:pt idx="351">
                  <c:v>33722</c:v>
                </c:pt>
                <c:pt idx="352">
                  <c:v>33723</c:v>
                </c:pt>
                <c:pt idx="353">
                  <c:v>33724</c:v>
                </c:pt>
                <c:pt idx="354">
                  <c:v>33728</c:v>
                </c:pt>
                <c:pt idx="355">
                  <c:v>33729</c:v>
                </c:pt>
                <c:pt idx="356">
                  <c:v>33730</c:v>
                </c:pt>
                <c:pt idx="357">
                  <c:v>33731</c:v>
                </c:pt>
                <c:pt idx="358">
                  <c:v>33732</c:v>
                </c:pt>
                <c:pt idx="359">
                  <c:v>33735</c:v>
                </c:pt>
                <c:pt idx="360">
                  <c:v>33736</c:v>
                </c:pt>
                <c:pt idx="361">
                  <c:v>33737</c:v>
                </c:pt>
                <c:pt idx="362">
                  <c:v>33738</c:v>
                </c:pt>
                <c:pt idx="363">
                  <c:v>33739</c:v>
                </c:pt>
                <c:pt idx="364">
                  <c:v>33742</c:v>
                </c:pt>
                <c:pt idx="365">
                  <c:v>33743</c:v>
                </c:pt>
                <c:pt idx="366">
                  <c:v>33744</c:v>
                </c:pt>
                <c:pt idx="367">
                  <c:v>33745</c:v>
                </c:pt>
                <c:pt idx="368">
                  <c:v>33746</c:v>
                </c:pt>
                <c:pt idx="369">
                  <c:v>33749</c:v>
                </c:pt>
                <c:pt idx="370">
                  <c:v>33750</c:v>
                </c:pt>
                <c:pt idx="371">
                  <c:v>33751</c:v>
                </c:pt>
                <c:pt idx="372">
                  <c:v>33753</c:v>
                </c:pt>
                <c:pt idx="373">
                  <c:v>33756</c:v>
                </c:pt>
                <c:pt idx="374">
                  <c:v>33757</c:v>
                </c:pt>
                <c:pt idx="375">
                  <c:v>33758</c:v>
                </c:pt>
                <c:pt idx="376">
                  <c:v>33759</c:v>
                </c:pt>
                <c:pt idx="377">
                  <c:v>33760</c:v>
                </c:pt>
                <c:pt idx="378">
                  <c:v>33764</c:v>
                </c:pt>
                <c:pt idx="379">
                  <c:v>33765</c:v>
                </c:pt>
                <c:pt idx="380">
                  <c:v>33766</c:v>
                </c:pt>
                <c:pt idx="381">
                  <c:v>33767</c:v>
                </c:pt>
                <c:pt idx="382">
                  <c:v>33770</c:v>
                </c:pt>
                <c:pt idx="383">
                  <c:v>33771</c:v>
                </c:pt>
                <c:pt idx="384">
                  <c:v>33772</c:v>
                </c:pt>
                <c:pt idx="385">
                  <c:v>33774</c:v>
                </c:pt>
                <c:pt idx="386">
                  <c:v>33777</c:v>
                </c:pt>
                <c:pt idx="387">
                  <c:v>33778</c:v>
                </c:pt>
                <c:pt idx="388">
                  <c:v>33779</c:v>
                </c:pt>
                <c:pt idx="389">
                  <c:v>33780</c:v>
                </c:pt>
                <c:pt idx="390">
                  <c:v>33781</c:v>
                </c:pt>
                <c:pt idx="391">
                  <c:v>33784</c:v>
                </c:pt>
                <c:pt idx="392">
                  <c:v>33785</c:v>
                </c:pt>
                <c:pt idx="393">
                  <c:v>33786</c:v>
                </c:pt>
                <c:pt idx="394">
                  <c:v>33787</c:v>
                </c:pt>
                <c:pt idx="395">
                  <c:v>33788</c:v>
                </c:pt>
                <c:pt idx="396">
                  <c:v>33791</c:v>
                </c:pt>
                <c:pt idx="397">
                  <c:v>33792</c:v>
                </c:pt>
                <c:pt idx="398">
                  <c:v>33793</c:v>
                </c:pt>
                <c:pt idx="399">
                  <c:v>33794</c:v>
                </c:pt>
                <c:pt idx="400">
                  <c:v>33795</c:v>
                </c:pt>
                <c:pt idx="401">
                  <c:v>33798</c:v>
                </c:pt>
                <c:pt idx="402">
                  <c:v>33799</c:v>
                </c:pt>
                <c:pt idx="403">
                  <c:v>33800</c:v>
                </c:pt>
                <c:pt idx="404">
                  <c:v>33801</c:v>
                </c:pt>
                <c:pt idx="405">
                  <c:v>33802</c:v>
                </c:pt>
                <c:pt idx="406">
                  <c:v>33805</c:v>
                </c:pt>
                <c:pt idx="407">
                  <c:v>33806</c:v>
                </c:pt>
                <c:pt idx="408">
                  <c:v>33807</c:v>
                </c:pt>
                <c:pt idx="409">
                  <c:v>33808</c:v>
                </c:pt>
                <c:pt idx="410">
                  <c:v>33809</c:v>
                </c:pt>
                <c:pt idx="411">
                  <c:v>33812</c:v>
                </c:pt>
                <c:pt idx="412">
                  <c:v>33813</c:v>
                </c:pt>
                <c:pt idx="413">
                  <c:v>33814</c:v>
                </c:pt>
                <c:pt idx="414">
                  <c:v>33815</c:v>
                </c:pt>
                <c:pt idx="415">
                  <c:v>33816</c:v>
                </c:pt>
                <c:pt idx="416">
                  <c:v>33819</c:v>
                </c:pt>
                <c:pt idx="417">
                  <c:v>33820</c:v>
                </c:pt>
                <c:pt idx="418">
                  <c:v>33821</c:v>
                </c:pt>
                <c:pt idx="419">
                  <c:v>33822</c:v>
                </c:pt>
                <c:pt idx="420">
                  <c:v>33823</c:v>
                </c:pt>
                <c:pt idx="421">
                  <c:v>33826</c:v>
                </c:pt>
                <c:pt idx="422">
                  <c:v>33827</c:v>
                </c:pt>
                <c:pt idx="423">
                  <c:v>33828</c:v>
                </c:pt>
                <c:pt idx="424">
                  <c:v>33829</c:v>
                </c:pt>
                <c:pt idx="425">
                  <c:v>33830</c:v>
                </c:pt>
                <c:pt idx="426">
                  <c:v>33833</c:v>
                </c:pt>
                <c:pt idx="427">
                  <c:v>33834</c:v>
                </c:pt>
                <c:pt idx="428">
                  <c:v>33835</c:v>
                </c:pt>
                <c:pt idx="429">
                  <c:v>33836</c:v>
                </c:pt>
                <c:pt idx="430">
                  <c:v>33837</c:v>
                </c:pt>
                <c:pt idx="431">
                  <c:v>33840</c:v>
                </c:pt>
                <c:pt idx="432">
                  <c:v>33841</c:v>
                </c:pt>
                <c:pt idx="433">
                  <c:v>33842</c:v>
                </c:pt>
                <c:pt idx="434">
                  <c:v>33843</c:v>
                </c:pt>
                <c:pt idx="435">
                  <c:v>33844</c:v>
                </c:pt>
                <c:pt idx="436">
                  <c:v>33847</c:v>
                </c:pt>
                <c:pt idx="437">
                  <c:v>33848</c:v>
                </c:pt>
                <c:pt idx="438">
                  <c:v>33849</c:v>
                </c:pt>
                <c:pt idx="439">
                  <c:v>33850</c:v>
                </c:pt>
                <c:pt idx="440">
                  <c:v>33851</c:v>
                </c:pt>
                <c:pt idx="441">
                  <c:v>33854</c:v>
                </c:pt>
                <c:pt idx="442">
                  <c:v>33855</c:v>
                </c:pt>
                <c:pt idx="443">
                  <c:v>33856</c:v>
                </c:pt>
                <c:pt idx="444">
                  <c:v>33857</c:v>
                </c:pt>
                <c:pt idx="445">
                  <c:v>33858</c:v>
                </c:pt>
                <c:pt idx="446">
                  <c:v>33861</c:v>
                </c:pt>
                <c:pt idx="447">
                  <c:v>33862</c:v>
                </c:pt>
                <c:pt idx="448">
                  <c:v>33863</c:v>
                </c:pt>
                <c:pt idx="449">
                  <c:v>33864</c:v>
                </c:pt>
                <c:pt idx="450">
                  <c:v>33865</c:v>
                </c:pt>
                <c:pt idx="451">
                  <c:v>33868</c:v>
                </c:pt>
                <c:pt idx="452">
                  <c:v>33869</c:v>
                </c:pt>
                <c:pt idx="453">
                  <c:v>33870</c:v>
                </c:pt>
                <c:pt idx="454">
                  <c:v>33871</c:v>
                </c:pt>
                <c:pt idx="455">
                  <c:v>33872</c:v>
                </c:pt>
                <c:pt idx="456">
                  <c:v>33875</c:v>
                </c:pt>
                <c:pt idx="457">
                  <c:v>33876</c:v>
                </c:pt>
                <c:pt idx="458">
                  <c:v>33877</c:v>
                </c:pt>
                <c:pt idx="459">
                  <c:v>33878</c:v>
                </c:pt>
                <c:pt idx="460">
                  <c:v>33879</c:v>
                </c:pt>
                <c:pt idx="461">
                  <c:v>33882</c:v>
                </c:pt>
                <c:pt idx="462">
                  <c:v>33883</c:v>
                </c:pt>
                <c:pt idx="463">
                  <c:v>33884</c:v>
                </c:pt>
                <c:pt idx="464">
                  <c:v>33885</c:v>
                </c:pt>
                <c:pt idx="465">
                  <c:v>33886</c:v>
                </c:pt>
                <c:pt idx="466">
                  <c:v>33889</c:v>
                </c:pt>
                <c:pt idx="467">
                  <c:v>33890</c:v>
                </c:pt>
                <c:pt idx="468">
                  <c:v>33891</c:v>
                </c:pt>
                <c:pt idx="469">
                  <c:v>33892</c:v>
                </c:pt>
                <c:pt idx="470">
                  <c:v>33893</c:v>
                </c:pt>
                <c:pt idx="471">
                  <c:v>33896</c:v>
                </c:pt>
                <c:pt idx="472">
                  <c:v>33897</c:v>
                </c:pt>
                <c:pt idx="473">
                  <c:v>33898</c:v>
                </c:pt>
                <c:pt idx="474">
                  <c:v>33899</c:v>
                </c:pt>
                <c:pt idx="475">
                  <c:v>33900</c:v>
                </c:pt>
                <c:pt idx="476">
                  <c:v>33903</c:v>
                </c:pt>
                <c:pt idx="477">
                  <c:v>33904</c:v>
                </c:pt>
                <c:pt idx="478">
                  <c:v>33905</c:v>
                </c:pt>
                <c:pt idx="479">
                  <c:v>33906</c:v>
                </c:pt>
                <c:pt idx="480">
                  <c:v>33907</c:v>
                </c:pt>
                <c:pt idx="481">
                  <c:v>33910</c:v>
                </c:pt>
                <c:pt idx="482">
                  <c:v>33911</c:v>
                </c:pt>
                <c:pt idx="483">
                  <c:v>33912</c:v>
                </c:pt>
                <c:pt idx="484">
                  <c:v>33913</c:v>
                </c:pt>
                <c:pt idx="485">
                  <c:v>33914</c:v>
                </c:pt>
                <c:pt idx="486">
                  <c:v>33917</c:v>
                </c:pt>
                <c:pt idx="487">
                  <c:v>33918</c:v>
                </c:pt>
                <c:pt idx="488">
                  <c:v>33919</c:v>
                </c:pt>
                <c:pt idx="489">
                  <c:v>33920</c:v>
                </c:pt>
                <c:pt idx="490">
                  <c:v>33921</c:v>
                </c:pt>
                <c:pt idx="491">
                  <c:v>33924</c:v>
                </c:pt>
                <c:pt idx="492">
                  <c:v>33925</c:v>
                </c:pt>
                <c:pt idx="493">
                  <c:v>33927</c:v>
                </c:pt>
                <c:pt idx="494">
                  <c:v>33928</c:v>
                </c:pt>
                <c:pt idx="495">
                  <c:v>33931</c:v>
                </c:pt>
                <c:pt idx="496">
                  <c:v>33932</c:v>
                </c:pt>
                <c:pt idx="497">
                  <c:v>33933</c:v>
                </c:pt>
                <c:pt idx="498">
                  <c:v>33934</c:v>
                </c:pt>
                <c:pt idx="499">
                  <c:v>33935</c:v>
                </c:pt>
                <c:pt idx="500">
                  <c:v>33938</c:v>
                </c:pt>
                <c:pt idx="501">
                  <c:v>33939</c:v>
                </c:pt>
                <c:pt idx="502">
                  <c:v>33940</c:v>
                </c:pt>
                <c:pt idx="503">
                  <c:v>33941</c:v>
                </c:pt>
                <c:pt idx="504">
                  <c:v>33942</c:v>
                </c:pt>
                <c:pt idx="505">
                  <c:v>33945</c:v>
                </c:pt>
                <c:pt idx="506">
                  <c:v>33946</c:v>
                </c:pt>
                <c:pt idx="507">
                  <c:v>33947</c:v>
                </c:pt>
                <c:pt idx="508">
                  <c:v>33948</c:v>
                </c:pt>
                <c:pt idx="509">
                  <c:v>33949</c:v>
                </c:pt>
                <c:pt idx="510">
                  <c:v>33952</c:v>
                </c:pt>
                <c:pt idx="511">
                  <c:v>33953</c:v>
                </c:pt>
                <c:pt idx="512">
                  <c:v>33954</c:v>
                </c:pt>
                <c:pt idx="513">
                  <c:v>33955</c:v>
                </c:pt>
                <c:pt idx="514">
                  <c:v>33956</c:v>
                </c:pt>
                <c:pt idx="515">
                  <c:v>33959</c:v>
                </c:pt>
                <c:pt idx="516">
                  <c:v>33960</c:v>
                </c:pt>
                <c:pt idx="517">
                  <c:v>33961</c:v>
                </c:pt>
                <c:pt idx="518">
                  <c:v>33966</c:v>
                </c:pt>
                <c:pt idx="519">
                  <c:v>33967</c:v>
                </c:pt>
                <c:pt idx="520">
                  <c:v>33968</c:v>
                </c:pt>
                <c:pt idx="521">
                  <c:v>33973</c:v>
                </c:pt>
                <c:pt idx="522">
                  <c:v>33974</c:v>
                </c:pt>
                <c:pt idx="523">
                  <c:v>33975</c:v>
                </c:pt>
                <c:pt idx="524">
                  <c:v>33976</c:v>
                </c:pt>
                <c:pt idx="525">
                  <c:v>33977</c:v>
                </c:pt>
                <c:pt idx="526">
                  <c:v>33980</c:v>
                </c:pt>
                <c:pt idx="527">
                  <c:v>33981</c:v>
                </c:pt>
                <c:pt idx="528">
                  <c:v>33982</c:v>
                </c:pt>
                <c:pt idx="529">
                  <c:v>33983</c:v>
                </c:pt>
                <c:pt idx="530">
                  <c:v>33984</c:v>
                </c:pt>
                <c:pt idx="531">
                  <c:v>33987</c:v>
                </c:pt>
                <c:pt idx="532">
                  <c:v>33988</c:v>
                </c:pt>
                <c:pt idx="533">
                  <c:v>33989</c:v>
                </c:pt>
                <c:pt idx="534">
                  <c:v>33990</c:v>
                </c:pt>
                <c:pt idx="535">
                  <c:v>33991</c:v>
                </c:pt>
                <c:pt idx="536">
                  <c:v>33994</c:v>
                </c:pt>
                <c:pt idx="537">
                  <c:v>33995</c:v>
                </c:pt>
                <c:pt idx="538">
                  <c:v>33996</c:v>
                </c:pt>
                <c:pt idx="539">
                  <c:v>33997</c:v>
                </c:pt>
                <c:pt idx="540">
                  <c:v>33998</c:v>
                </c:pt>
                <c:pt idx="541">
                  <c:v>34001</c:v>
                </c:pt>
                <c:pt idx="542">
                  <c:v>34002</c:v>
                </c:pt>
                <c:pt idx="543">
                  <c:v>34003</c:v>
                </c:pt>
                <c:pt idx="544">
                  <c:v>34004</c:v>
                </c:pt>
                <c:pt idx="545">
                  <c:v>34005</c:v>
                </c:pt>
                <c:pt idx="546">
                  <c:v>34008</c:v>
                </c:pt>
                <c:pt idx="547">
                  <c:v>34009</c:v>
                </c:pt>
                <c:pt idx="548">
                  <c:v>34010</c:v>
                </c:pt>
                <c:pt idx="549">
                  <c:v>34011</c:v>
                </c:pt>
                <c:pt idx="550">
                  <c:v>34012</c:v>
                </c:pt>
                <c:pt idx="551">
                  <c:v>34015</c:v>
                </c:pt>
                <c:pt idx="552">
                  <c:v>34016</c:v>
                </c:pt>
                <c:pt idx="553">
                  <c:v>34017</c:v>
                </c:pt>
                <c:pt idx="554">
                  <c:v>34018</c:v>
                </c:pt>
                <c:pt idx="555">
                  <c:v>34019</c:v>
                </c:pt>
                <c:pt idx="556">
                  <c:v>34022</c:v>
                </c:pt>
                <c:pt idx="557">
                  <c:v>34023</c:v>
                </c:pt>
                <c:pt idx="558">
                  <c:v>34024</c:v>
                </c:pt>
                <c:pt idx="559">
                  <c:v>34025</c:v>
                </c:pt>
                <c:pt idx="560">
                  <c:v>34026</c:v>
                </c:pt>
                <c:pt idx="561">
                  <c:v>34029</c:v>
                </c:pt>
                <c:pt idx="562">
                  <c:v>34030</c:v>
                </c:pt>
                <c:pt idx="563">
                  <c:v>34031</c:v>
                </c:pt>
                <c:pt idx="564">
                  <c:v>34032</c:v>
                </c:pt>
                <c:pt idx="565">
                  <c:v>34033</c:v>
                </c:pt>
                <c:pt idx="566">
                  <c:v>34036</c:v>
                </c:pt>
                <c:pt idx="567">
                  <c:v>34037</c:v>
                </c:pt>
                <c:pt idx="568">
                  <c:v>34038</c:v>
                </c:pt>
                <c:pt idx="569">
                  <c:v>34039</c:v>
                </c:pt>
                <c:pt idx="570">
                  <c:v>34040</c:v>
                </c:pt>
                <c:pt idx="571">
                  <c:v>34043</c:v>
                </c:pt>
                <c:pt idx="572">
                  <c:v>34044</c:v>
                </c:pt>
                <c:pt idx="573">
                  <c:v>34045</c:v>
                </c:pt>
                <c:pt idx="574">
                  <c:v>34046</c:v>
                </c:pt>
                <c:pt idx="575">
                  <c:v>34047</c:v>
                </c:pt>
                <c:pt idx="576">
                  <c:v>34050</c:v>
                </c:pt>
                <c:pt idx="577">
                  <c:v>34051</c:v>
                </c:pt>
                <c:pt idx="578">
                  <c:v>34052</c:v>
                </c:pt>
                <c:pt idx="579">
                  <c:v>34053</c:v>
                </c:pt>
                <c:pt idx="580">
                  <c:v>34054</c:v>
                </c:pt>
                <c:pt idx="581">
                  <c:v>34057</c:v>
                </c:pt>
                <c:pt idx="582">
                  <c:v>34058</c:v>
                </c:pt>
                <c:pt idx="583">
                  <c:v>34059</c:v>
                </c:pt>
                <c:pt idx="584">
                  <c:v>34060</c:v>
                </c:pt>
                <c:pt idx="585">
                  <c:v>34061</c:v>
                </c:pt>
                <c:pt idx="586">
                  <c:v>34064</c:v>
                </c:pt>
                <c:pt idx="587">
                  <c:v>34065</c:v>
                </c:pt>
                <c:pt idx="588">
                  <c:v>34066</c:v>
                </c:pt>
                <c:pt idx="589">
                  <c:v>34067</c:v>
                </c:pt>
                <c:pt idx="590">
                  <c:v>34072</c:v>
                </c:pt>
                <c:pt idx="591">
                  <c:v>34073</c:v>
                </c:pt>
                <c:pt idx="592">
                  <c:v>34074</c:v>
                </c:pt>
                <c:pt idx="593">
                  <c:v>34075</c:v>
                </c:pt>
                <c:pt idx="594">
                  <c:v>34078</c:v>
                </c:pt>
                <c:pt idx="595">
                  <c:v>34079</c:v>
                </c:pt>
                <c:pt idx="596">
                  <c:v>34080</c:v>
                </c:pt>
                <c:pt idx="597">
                  <c:v>34081</c:v>
                </c:pt>
                <c:pt idx="598">
                  <c:v>34082</c:v>
                </c:pt>
                <c:pt idx="599">
                  <c:v>34085</c:v>
                </c:pt>
                <c:pt idx="600">
                  <c:v>34086</c:v>
                </c:pt>
                <c:pt idx="601">
                  <c:v>34087</c:v>
                </c:pt>
                <c:pt idx="602">
                  <c:v>34088</c:v>
                </c:pt>
                <c:pt idx="603">
                  <c:v>34089</c:v>
                </c:pt>
                <c:pt idx="604">
                  <c:v>34092</c:v>
                </c:pt>
                <c:pt idx="605">
                  <c:v>34093</c:v>
                </c:pt>
                <c:pt idx="606">
                  <c:v>34094</c:v>
                </c:pt>
                <c:pt idx="607">
                  <c:v>34095</c:v>
                </c:pt>
                <c:pt idx="608">
                  <c:v>34096</c:v>
                </c:pt>
                <c:pt idx="609">
                  <c:v>34099</c:v>
                </c:pt>
                <c:pt idx="610">
                  <c:v>34100</c:v>
                </c:pt>
                <c:pt idx="611">
                  <c:v>34101</c:v>
                </c:pt>
                <c:pt idx="612">
                  <c:v>34102</c:v>
                </c:pt>
                <c:pt idx="613">
                  <c:v>34103</c:v>
                </c:pt>
                <c:pt idx="614">
                  <c:v>34106</c:v>
                </c:pt>
                <c:pt idx="615">
                  <c:v>34107</c:v>
                </c:pt>
                <c:pt idx="616">
                  <c:v>34108</c:v>
                </c:pt>
                <c:pt idx="617">
                  <c:v>34110</c:v>
                </c:pt>
                <c:pt idx="618">
                  <c:v>34113</c:v>
                </c:pt>
                <c:pt idx="619">
                  <c:v>34114</c:v>
                </c:pt>
                <c:pt idx="620">
                  <c:v>34115</c:v>
                </c:pt>
                <c:pt idx="621">
                  <c:v>34116</c:v>
                </c:pt>
                <c:pt idx="622">
                  <c:v>34117</c:v>
                </c:pt>
                <c:pt idx="623">
                  <c:v>34121</c:v>
                </c:pt>
                <c:pt idx="624">
                  <c:v>34122</c:v>
                </c:pt>
                <c:pt idx="625">
                  <c:v>34123</c:v>
                </c:pt>
                <c:pt idx="626">
                  <c:v>34124</c:v>
                </c:pt>
                <c:pt idx="627">
                  <c:v>34127</c:v>
                </c:pt>
                <c:pt idx="628">
                  <c:v>34128</c:v>
                </c:pt>
                <c:pt idx="629">
                  <c:v>34129</c:v>
                </c:pt>
                <c:pt idx="630">
                  <c:v>34131</c:v>
                </c:pt>
                <c:pt idx="631">
                  <c:v>34134</c:v>
                </c:pt>
                <c:pt idx="632">
                  <c:v>34135</c:v>
                </c:pt>
                <c:pt idx="633">
                  <c:v>34136</c:v>
                </c:pt>
                <c:pt idx="634">
                  <c:v>34137</c:v>
                </c:pt>
                <c:pt idx="635">
                  <c:v>34138</c:v>
                </c:pt>
                <c:pt idx="636">
                  <c:v>34141</c:v>
                </c:pt>
                <c:pt idx="637">
                  <c:v>34142</c:v>
                </c:pt>
                <c:pt idx="638">
                  <c:v>34143</c:v>
                </c:pt>
                <c:pt idx="639">
                  <c:v>34144</c:v>
                </c:pt>
                <c:pt idx="640">
                  <c:v>34145</c:v>
                </c:pt>
                <c:pt idx="641">
                  <c:v>34148</c:v>
                </c:pt>
                <c:pt idx="642">
                  <c:v>34149</c:v>
                </c:pt>
                <c:pt idx="643">
                  <c:v>34150</c:v>
                </c:pt>
                <c:pt idx="644">
                  <c:v>34151</c:v>
                </c:pt>
                <c:pt idx="645">
                  <c:v>34152</c:v>
                </c:pt>
                <c:pt idx="646">
                  <c:v>34155</c:v>
                </c:pt>
                <c:pt idx="647">
                  <c:v>34156</c:v>
                </c:pt>
                <c:pt idx="648">
                  <c:v>34157</c:v>
                </c:pt>
                <c:pt idx="649">
                  <c:v>34158</c:v>
                </c:pt>
                <c:pt idx="650">
                  <c:v>34159</c:v>
                </c:pt>
                <c:pt idx="651">
                  <c:v>34162</c:v>
                </c:pt>
                <c:pt idx="652">
                  <c:v>34163</c:v>
                </c:pt>
                <c:pt idx="653">
                  <c:v>34164</c:v>
                </c:pt>
                <c:pt idx="654">
                  <c:v>34165</c:v>
                </c:pt>
                <c:pt idx="655">
                  <c:v>34166</c:v>
                </c:pt>
                <c:pt idx="656">
                  <c:v>34169</c:v>
                </c:pt>
                <c:pt idx="657">
                  <c:v>34170</c:v>
                </c:pt>
                <c:pt idx="658">
                  <c:v>34171</c:v>
                </c:pt>
                <c:pt idx="659">
                  <c:v>34172</c:v>
                </c:pt>
                <c:pt idx="660">
                  <c:v>34173</c:v>
                </c:pt>
                <c:pt idx="661">
                  <c:v>34176</c:v>
                </c:pt>
                <c:pt idx="662">
                  <c:v>34177</c:v>
                </c:pt>
                <c:pt idx="663">
                  <c:v>34178</c:v>
                </c:pt>
                <c:pt idx="664">
                  <c:v>34179</c:v>
                </c:pt>
                <c:pt idx="665">
                  <c:v>34180</c:v>
                </c:pt>
                <c:pt idx="666">
                  <c:v>34183</c:v>
                </c:pt>
                <c:pt idx="667">
                  <c:v>34184</c:v>
                </c:pt>
                <c:pt idx="668">
                  <c:v>34185</c:v>
                </c:pt>
                <c:pt idx="669">
                  <c:v>34186</c:v>
                </c:pt>
                <c:pt idx="670">
                  <c:v>34187</c:v>
                </c:pt>
                <c:pt idx="671">
                  <c:v>34190</c:v>
                </c:pt>
                <c:pt idx="672">
                  <c:v>34191</c:v>
                </c:pt>
                <c:pt idx="673">
                  <c:v>34192</c:v>
                </c:pt>
                <c:pt idx="674">
                  <c:v>34193</c:v>
                </c:pt>
                <c:pt idx="675">
                  <c:v>34194</c:v>
                </c:pt>
                <c:pt idx="676">
                  <c:v>34197</c:v>
                </c:pt>
                <c:pt idx="677">
                  <c:v>34198</c:v>
                </c:pt>
                <c:pt idx="678">
                  <c:v>34199</c:v>
                </c:pt>
                <c:pt idx="679">
                  <c:v>34200</c:v>
                </c:pt>
                <c:pt idx="680">
                  <c:v>34201</c:v>
                </c:pt>
                <c:pt idx="681">
                  <c:v>34204</c:v>
                </c:pt>
                <c:pt idx="682">
                  <c:v>34205</c:v>
                </c:pt>
                <c:pt idx="683">
                  <c:v>34206</c:v>
                </c:pt>
                <c:pt idx="684">
                  <c:v>34207</c:v>
                </c:pt>
                <c:pt idx="685">
                  <c:v>34208</c:v>
                </c:pt>
                <c:pt idx="686">
                  <c:v>34211</c:v>
                </c:pt>
                <c:pt idx="687">
                  <c:v>34212</c:v>
                </c:pt>
                <c:pt idx="688">
                  <c:v>34213</c:v>
                </c:pt>
                <c:pt idx="689">
                  <c:v>34214</c:v>
                </c:pt>
                <c:pt idx="690">
                  <c:v>34215</c:v>
                </c:pt>
                <c:pt idx="691">
                  <c:v>34218</c:v>
                </c:pt>
                <c:pt idx="692">
                  <c:v>34219</c:v>
                </c:pt>
                <c:pt idx="693">
                  <c:v>34220</c:v>
                </c:pt>
                <c:pt idx="694">
                  <c:v>34221</c:v>
                </c:pt>
                <c:pt idx="695">
                  <c:v>34222</c:v>
                </c:pt>
                <c:pt idx="696">
                  <c:v>34225</c:v>
                </c:pt>
                <c:pt idx="697">
                  <c:v>34226</c:v>
                </c:pt>
                <c:pt idx="698">
                  <c:v>34227</c:v>
                </c:pt>
                <c:pt idx="699">
                  <c:v>34228</c:v>
                </c:pt>
                <c:pt idx="700">
                  <c:v>34229</c:v>
                </c:pt>
                <c:pt idx="701">
                  <c:v>34232</c:v>
                </c:pt>
                <c:pt idx="702">
                  <c:v>34233</c:v>
                </c:pt>
                <c:pt idx="703">
                  <c:v>34234</c:v>
                </c:pt>
                <c:pt idx="704">
                  <c:v>34235</c:v>
                </c:pt>
                <c:pt idx="705">
                  <c:v>34236</c:v>
                </c:pt>
                <c:pt idx="706">
                  <c:v>34239</c:v>
                </c:pt>
                <c:pt idx="707">
                  <c:v>34240</c:v>
                </c:pt>
                <c:pt idx="708">
                  <c:v>34241</c:v>
                </c:pt>
                <c:pt idx="709">
                  <c:v>34242</c:v>
                </c:pt>
                <c:pt idx="710">
                  <c:v>34243</c:v>
                </c:pt>
                <c:pt idx="711">
                  <c:v>34246</c:v>
                </c:pt>
                <c:pt idx="712">
                  <c:v>34247</c:v>
                </c:pt>
                <c:pt idx="713">
                  <c:v>34248</c:v>
                </c:pt>
                <c:pt idx="714">
                  <c:v>34249</c:v>
                </c:pt>
                <c:pt idx="715">
                  <c:v>34250</c:v>
                </c:pt>
                <c:pt idx="716">
                  <c:v>34253</c:v>
                </c:pt>
                <c:pt idx="717">
                  <c:v>34254</c:v>
                </c:pt>
                <c:pt idx="718">
                  <c:v>34255</c:v>
                </c:pt>
                <c:pt idx="719">
                  <c:v>34256</c:v>
                </c:pt>
                <c:pt idx="720">
                  <c:v>34257</c:v>
                </c:pt>
                <c:pt idx="721">
                  <c:v>34260</c:v>
                </c:pt>
                <c:pt idx="722">
                  <c:v>34261</c:v>
                </c:pt>
                <c:pt idx="723">
                  <c:v>34262</c:v>
                </c:pt>
                <c:pt idx="724">
                  <c:v>34263</c:v>
                </c:pt>
                <c:pt idx="725">
                  <c:v>34264</c:v>
                </c:pt>
                <c:pt idx="726">
                  <c:v>34267</c:v>
                </c:pt>
                <c:pt idx="727">
                  <c:v>34268</c:v>
                </c:pt>
                <c:pt idx="728">
                  <c:v>34269</c:v>
                </c:pt>
                <c:pt idx="729">
                  <c:v>34270</c:v>
                </c:pt>
                <c:pt idx="730">
                  <c:v>34271</c:v>
                </c:pt>
                <c:pt idx="731">
                  <c:v>34274</c:v>
                </c:pt>
                <c:pt idx="732">
                  <c:v>34275</c:v>
                </c:pt>
                <c:pt idx="733">
                  <c:v>34276</c:v>
                </c:pt>
                <c:pt idx="734">
                  <c:v>34277</c:v>
                </c:pt>
                <c:pt idx="735">
                  <c:v>34278</c:v>
                </c:pt>
                <c:pt idx="736">
                  <c:v>34281</c:v>
                </c:pt>
                <c:pt idx="737">
                  <c:v>34282</c:v>
                </c:pt>
                <c:pt idx="738">
                  <c:v>34283</c:v>
                </c:pt>
                <c:pt idx="739">
                  <c:v>34284</c:v>
                </c:pt>
                <c:pt idx="740">
                  <c:v>34285</c:v>
                </c:pt>
                <c:pt idx="741">
                  <c:v>34288</c:v>
                </c:pt>
                <c:pt idx="742">
                  <c:v>34289</c:v>
                </c:pt>
                <c:pt idx="743">
                  <c:v>34291</c:v>
                </c:pt>
                <c:pt idx="744">
                  <c:v>34292</c:v>
                </c:pt>
                <c:pt idx="745">
                  <c:v>34295</c:v>
                </c:pt>
                <c:pt idx="746">
                  <c:v>34296</c:v>
                </c:pt>
                <c:pt idx="747">
                  <c:v>34297</c:v>
                </c:pt>
                <c:pt idx="748">
                  <c:v>34298</c:v>
                </c:pt>
                <c:pt idx="749">
                  <c:v>34299</c:v>
                </c:pt>
                <c:pt idx="750">
                  <c:v>34302</c:v>
                </c:pt>
                <c:pt idx="751">
                  <c:v>34303</c:v>
                </c:pt>
                <c:pt idx="752">
                  <c:v>34304</c:v>
                </c:pt>
                <c:pt idx="753">
                  <c:v>34305</c:v>
                </c:pt>
                <c:pt idx="754">
                  <c:v>34306</c:v>
                </c:pt>
                <c:pt idx="755">
                  <c:v>34309</c:v>
                </c:pt>
                <c:pt idx="756">
                  <c:v>34310</c:v>
                </c:pt>
                <c:pt idx="757">
                  <c:v>34311</c:v>
                </c:pt>
                <c:pt idx="758">
                  <c:v>34312</c:v>
                </c:pt>
                <c:pt idx="759">
                  <c:v>34313</c:v>
                </c:pt>
                <c:pt idx="760">
                  <c:v>34316</c:v>
                </c:pt>
                <c:pt idx="761">
                  <c:v>34317</c:v>
                </c:pt>
                <c:pt idx="762">
                  <c:v>34318</c:v>
                </c:pt>
                <c:pt idx="763">
                  <c:v>34319</c:v>
                </c:pt>
                <c:pt idx="764">
                  <c:v>34320</c:v>
                </c:pt>
                <c:pt idx="765">
                  <c:v>34323</c:v>
                </c:pt>
                <c:pt idx="766">
                  <c:v>34324</c:v>
                </c:pt>
                <c:pt idx="767">
                  <c:v>34325</c:v>
                </c:pt>
                <c:pt idx="768">
                  <c:v>34326</c:v>
                </c:pt>
                <c:pt idx="769">
                  <c:v>34330</c:v>
                </c:pt>
                <c:pt idx="770">
                  <c:v>34331</c:v>
                </c:pt>
                <c:pt idx="771">
                  <c:v>34332</c:v>
                </c:pt>
                <c:pt idx="772">
                  <c:v>34333</c:v>
                </c:pt>
                <c:pt idx="773">
                  <c:v>34337</c:v>
                </c:pt>
                <c:pt idx="774">
                  <c:v>34338</c:v>
                </c:pt>
                <c:pt idx="775">
                  <c:v>34339</c:v>
                </c:pt>
                <c:pt idx="776">
                  <c:v>34340</c:v>
                </c:pt>
                <c:pt idx="777">
                  <c:v>34341</c:v>
                </c:pt>
                <c:pt idx="778">
                  <c:v>34344</c:v>
                </c:pt>
                <c:pt idx="779">
                  <c:v>34345</c:v>
                </c:pt>
                <c:pt idx="780">
                  <c:v>34346</c:v>
                </c:pt>
                <c:pt idx="781">
                  <c:v>34347</c:v>
                </c:pt>
                <c:pt idx="782">
                  <c:v>34348</c:v>
                </c:pt>
                <c:pt idx="783">
                  <c:v>34351</c:v>
                </c:pt>
                <c:pt idx="784">
                  <c:v>34352</c:v>
                </c:pt>
                <c:pt idx="785">
                  <c:v>34353</c:v>
                </c:pt>
                <c:pt idx="786">
                  <c:v>34354</c:v>
                </c:pt>
                <c:pt idx="787">
                  <c:v>34355</c:v>
                </c:pt>
                <c:pt idx="788">
                  <c:v>34358</c:v>
                </c:pt>
                <c:pt idx="789">
                  <c:v>34359</c:v>
                </c:pt>
                <c:pt idx="790">
                  <c:v>34360</c:v>
                </c:pt>
                <c:pt idx="791">
                  <c:v>34361</c:v>
                </c:pt>
                <c:pt idx="792">
                  <c:v>34362</c:v>
                </c:pt>
                <c:pt idx="793">
                  <c:v>34365</c:v>
                </c:pt>
                <c:pt idx="794">
                  <c:v>34366</c:v>
                </c:pt>
                <c:pt idx="795">
                  <c:v>34367</c:v>
                </c:pt>
                <c:pt idx="796">
                  <c:v>34368</c:v>
                </c:pt>
                <c:pt idx="797">
                  <c:v>34369</c:v>
                </c:pt>
                <c:pt idx="798">
                  <c:v>34372</c:v>
                </c:pt>
                <c:pt idx="799">
                  <c:v>34373</c:v>
                </c:pt>
                <c:pt idx="800">
                  <c:v>34374</c:v>
                </c:pt>
                <c:pt idx="801">
                  <c:v>34375</c:v>
                </c:pt>
                <c:pt idx="802">
                  <c:v>34376</c:v>
                </c:pt>
                <c:pt idx="803">
                  <c:v>34379</c:v>
                </c:pt>
                <c:pt idx="804">
                  <c:v>34380</c:v>
                </c:pt>
                <c:pt idx="805">
                  <c:v>34381</c:v>
                </c:pt>
                <c:pt idx="806">
                  <c:v>34382</c:v>
                </c:pt>
                <c:pt idx="807">
                  <c:v>34383</c:v>
                </c:pt>
                <c:pt idx="808">
                  <c:v>34386</c:v>
                </c:pt>
                <c:pt idx="809">
                  <c:v>34387</c:v>
                </c:pt>
                <c:pt idx="810">
                  <c:v>34388</c:v>
                </c:pt>
                <c:pt idx="811">
                  <c:v>34389</c:v>
                </c:pt>
                <c:pt idx="812">
                  <c:v>34390</c:v>
                </c:pt>
                <c:pt idx="813">
                  <c:v>34393</c:v>
                </c:pt>
                <c:pt idx="814">
                  <c:v>34394</c:v>
                </c:pt>
                <c:pt idx="815">
                  <c:v>34395</c:v>
                </c:pt>
                <c:pt idx="816">
                  <c:v>34396</c:v>
                </c:pt>
                <c:pt idx="817">
                  <c:v>34397</c:v>
                </c:pt>
                <c:pt idx="818">
                  <c:v>34400</c:v>
                </c:pt>
                <c:pt idx="819">
                  <c:v>34401</c:v>
                </c:pt>
                <c:pt idx="820">
                  <c:v>34402</c:v>
                </c:pt>
                <c:pt idx="821">
                  <c:v>34403</c:v>
                </c:pt>
                <c:pt idx="822">
                  <c:v>34404</c:v>
                </c:pt>
                <c:pt idx="823">
                  <c:v>34407</c:v>
                </c:pt>
                <c:pt idx="824">
                  <c:v>34408</c:v>
                </c:pt>
                <c:pt idx="825">
                  <c:v>34409</c:v>
                </c:pt>
                <c:pt idx="826">
                  <c:v>34410</c:v>
                </c:pt>
                <c:pt idx="827">
                  <c:v>34411</c:v>
                </c:pt>
                <c:pt idx="828">
                  <c:v>34414</c:v>
                </c:pt>
                <c:pt idx="829">
                  <c:v>34415</c:v>
                </c:pt>
                <c:pt idx="830">
                  <c:v>34416</c:v>
                </c:pt>
                <c:pt idx="831">
                  <c:v>34417</c:v>
                </c:pt>
                <c:pt idx="832">
                  <c:v>34418</c:v>
                </c:pt>
                <c:pt idx="833">
                  <c:v>34421</c:v>
                </c:pt>
                <c:pt idx="834">
                  <c:v>34422</c:v>
                </c:pt>
                <c:pt idx="835">
                  <c:v>34423</c:v>
                </c:pt>
                <c:pt idx="836">
                  <c:v>34424</c:v>
                </c:pt>
                <c:pt idx="837">
                  <c:v>34429</c:v>
                </c:pt>
                <c:pt idx="838">
                  <c:v>34430</c:v>
                </c:pt>
                <c:pt idx="839">
                  <c:v>34431</c:v>
                </c:pt>
                <c:pt idx="840">
                  <c:v>34432</c:v>
                </c:pt>
                <c:pt idx="841">
                  <c:v>34435</c:v>
                </c:pt>
                <c:pt idx="842">
                  <c:v>34436</c:v>
                </c:pt>
                <c:pt idx="843">
                  <c:v>34437</c:v>
                </c:pt>
                <c:pt idx="844">
                  <c:v>34438</c:v>
                </c:pt>
                <c:pt idx="845">
                  <c:v>34439</c:v>
                </c:pt>
                <c:pt idx="846">
                  <c:v>34442</c:v>
                </c:pt>
                <c:pt idx="847">
                  <c:v>34443</c:v>
                </c:pt>
                <c:pt idx="848">
                  <c:v>34444</c:v>
                </c:pt>
                <c:pt idx="849">
                  <c:v>34445</c:v>
                </c:pt>
                <c:pt idx="850">
                  <c:v>34446</c:v>
                </c:pt>
                <c:pt idx="851">
                  <c:v>34449</c:v>
                </c:pt>
                <c:pt idx="852">
                  <c:v>34450</c:v>
                </c:pt>
                <c:pt idx="853">
                  <c:v>34451</c:v>
                </c:pt>
                <c:pt idx="854">
                  <c:v>34452</c:v>
                </c:pt>
                <c:pt idx="855">
                  <c:v>34453</c:v>
                </c:pt>
                <c:pt idx="856">
                  <c:v>34456</c:v>
                </c:pt>
                <c:pt idx="857">
                  <c:v>34457</c:v>
                </c:pt>
                <c:pt idx="858">
                  <c:v>34458</c:v>
                </c:pt>
                <c:pt idx="859">
                  <c:v>34459</c:v>
                </c:pt>
                <c:pt idx="860">
                  <c:v>34460</c:v>
                </c:pt>
                <c:pt idx="861">
                  <c:v>34463</c:v>
                </c:pt>
                <c:pt idx="862">
                  <c:v>34464</c:v>
                </c:pt>
                <c:pt idx="863">
                  <c:v>34465</c:v>
                </c:pt>
                <c:pt idx="864">
                  <c:v>34467</c:v>
                </c:pt>
                <c:pt idx="865">
                  <c:v>34470</c:v>
                </c:pt>
                <c:pt idx="866">
                  <c:v>34471</c:v>
                </c:pt>
                <c:pt idx="867">
                  <c:v>34472</c:v>
                </c:pt>
                <c:pt idx="868">
                  <c:v>34473</c:v>
                </c:pt>
                <c:pt idx="869">
                  <c:v>34474</c:v>
                </c:pt>
                <c:pt idx="870">
                  <c:v>34478</c:v>
                </c:pt>
                <c:pt idx="871">
                  <c:v>34479</c:v>
                </c:pt>
                <c:pt idx="872">
                  <c:v>34480</c:v>
                </c:pt>
                <c:pt idx="873">
                  <c:v>34481</c:v>
                </c:pt>
                <c:pt idx="874">
                  <c:v>34484</c:v>
                </c:pt>
                <c:pt idx="875">
                  <c:v>34485</c:v>
                </c:pt>
                <c:pt idx="876">
                  <c:v>34486</c:v>
                </c:pt>
                <c:pt idx="877">
                  <c:v>34488</c:v>
                </c:pt>
                <c:pt idx="878">
                  <c:v>34491</c:v>
                </c:pt>
                <c:pt idx="879">
                  <c:v>34492</c:v>
                </c:pt>
                <c:pt idx="880">
                  <c:v>34493</c:v>
                </c:pt>
                <c:pt idx="881">
                  <c:v>34494</c:v>
                </c:pt>
                <c:pt idx="882">
                  <c:v>34495</c:v>
                </c:pt>
                <c:pt idx="883">
                  <c:v>34498</c:v>
                </c:pt>
                <c:pt idx="884">
                  <c:v>34499</c:v>
                </c:pt>
                <c:pt idx="885">
                  <c:v>34500</c:v>
                </c:pt>
                <c:pt idx="886">
                  <c:v>34501</c:v>
                </c:pt>
                <c:pt idx="887">
                  <c:v>34502</c:v>
                </c:pt>
                <c:pt idx="888">
                  <c:v>34505</c:v>
                </c:pt>
                <c:pt idx="889">
                  <c:v>34506</c:v>
                </c:pt>
                <c:pt idx="890">
                  <c:v>34507</c:v>
                </c:pt>
                <c:pt idx="891">
                  <c:v>34508</c:v>
                </c:pt>
                <c:pt idx="892">
                  <c:v>34509</c:v>
                </c:pt>
                <c:pt idx="893">
                  <c:v>34512</c:v>
                </c:pt>
                <c:pt idx="894">
                  <c:v>34513</c:v>
                </c:pt>
                <c:pt idx="895">
                  <c:v>34514</c:v>
                </c:pt>
                <c:pt idx="896">
                  <c:v>34515</c:v>
                </c:pt>
                <c:pt idx="897">
                  <c:v>34516</c:v>
                </c:pt>
                <c:pt idx="898">
                  <c:v>34519</c:v>
                </c:pt>
                <c:pt idx="899">
                  <c:v>34520</c:v>
                </c:pt>
                <c:pt idx="900">
                  <c:v>34521</c:v>
                </c:pt>
                <c:pt idx="901">
                  <c:v>34522</c:v>
                </c:pt>
                <c:pt idx="902">
                  <c:v>34523</c:v>
                </c:pt>
                <c:pt idx="903">
                  <c:v>34526</c:v>
                </c:pt>
                <c:pt idx="904">
                  <c:v>34527</c:v>
                </c:pt>
                <c:pt idx="905">
                  <c:v>34528</c:v>
                </c:pt>
                <c:pt idx="906">
                  <c:v>34529</c:v>
                </c:pt>
                <c:pt idx="907">
                  <c:v>34530</c:v>
                </c:pt>
                <c:pt idx="908">
                  <c:v>34533</c:v>
                </c:pt>
                <c:pt idx="909">
                  <c:v>34534</c:v>
                </c:pt>
                <c:pt idx="910">
                  <c:v>34535</c:v>
                </c:pt>
                <c:pt idx="911">
                  <c:v>34536</c:v>
                </c:pt>
                <c:pt idx="912">
                  <c:v>34537</c:v>
                </c:pt>
                <c:pt idx="913">
                  <c:v>34540</c:v>
                </c:pt>
                <c:pt idx="914">
                  <c:v>34541</c:v>
                </c:pt>
                <c:pt idx="915">
                  <c:v>34542</c:v>
                </c:pt>
                <c:pt idx="916">
                  <c:v>34543</c:v>
                </c:pt>
                <c:pt idx="917">
                  <c:v>34544</c:v>
                </c:pt>
                <c:pt idx="918">
                  <c:v>34547</c:v>
                </c:pt>
                <c:pt idx="919">
                  <c:v>34548</c:v>
                </c:pt>
                <c:pt idx="920">
                  <c:v>34549</c:v>
                </c:pt>
                <c:pt idx="921">
                  <c:v>34550</c:v>
                </c:pt>
                <c:pt idx="922">
                  <c:v>34551</c:v>
                </c:pt>
                <c:pt idx="923">
                  <c:v>34554</c:v>
                </c:pt>
                <c:pt idx="924">
                  <c:v>34555</c:v>
                </c:pt>
                <c:pt idx="925">
                  <c:v>34556</c:v>
                </c:pt>
                <c:pt idx="926">
                  <c:v>34557</c:v>
                </c:pt>
                <c:pt idx="927">
                  <c:v>34558</c:v>
                </c:pt>
                <c:pt idx="928">
                  <c:v>34561</c:v>
                </c:pt>
                <c:pt idx="929">
                  <c:v>34562</c:v>
                </c:pt>
                <c:pt idx="930">
                  <c:v>34563</c:v>
                </c:pt>
                <c:pt idx="931">
                  <c:v>34564</c:v>
                </c:pt>
                <c:pt idx="932">
                  <c:v>34565</c:v>
                </c:pt>
                <c:pt idx="933">
                  <c:v>34568</c:v>
                </c:pt>
                <c:pt idx="934">
                  <c:v>34569</c:v>
                </c:pt>
                <c:pt idx="935">
                  <c:v>34570</c:v>
                </c:pt>
                <c:pt idx="936">
                  <c:v>34571</c:v>
                </c:pt>
                <c:pt idx="937">
                  <c:v>34572</c:v>
                </c:pt>
                <c:pt idx="938">
                  <c:v>34575</c:v>
                </c:pt>
                <c:pt idx="939">
                  <c:v>34576</c:v>
                </c:pt>
                <c:pt idx="940">
                  <c:v>34577</c:v>
                </c:pt>
                <c:pt idx="941">
                  <c:v>34578</c:v>
                </c:pt>
                <c:pt idx="942">
                  <c:v>34579</c:v>
                </c:pt>
                <c:pt idx="943">
                  <c:v>34582</c:v>
                </c:pt>
                <c:pt idx="944">
                  <c:v>34583</c:v>
                </c:pt>
                <c:pt idx="945">
                  <c:v>34584</c:v>
                </c:pt>
                <c:pt idx="946">
                  <c:v>34585</c:v>
                </c:pt>
                <c:pt idx="947">
                  <c:v>34586</c:v>
                </c:pt>
                <c:pt idx="948">
                  <c:v>34589</c:v>
                </c:pt>
                <c:pt idx="949">
                  <c:v>34590</c:v>
                </c:pt>
                <c:pt idx="950">
                  <c:v>34591</c:v>
                </c:pt>
                <c:pt idx="951">
                  <c:v>34592</c:v>
                </c:pt>
                <c:pt idx="952">
                  <c:v>34593</c:v>
                </c:pt>
                <c:pt idx="953">
                  <c:v>34596</c:v>
                </c:pt>
                <c:pt idx="954">
                  <c:v>34597</c:v>
                </c:pt>
                <c:pt idx="955">
                  <c:v>34598</c:v>
                </c:pt>
                <c:pt idx="956">
                  <c:v>34599</c:v>
                </c:pt>
                <c:pt idx="957">
                  <c:v>34600</c:v>
                </c:pt>
                <c:pt idx="958">
                  <c:v>34603</c:v>
                </c:pt>
                <c:pt idx="959">
                  <c:v>34604</c:v>
                </c:pt>
                <c:pt idx="960">
                  <c:v>34605</c:v>
                </c:pt>
                <c:pt idx="961">
                  <c:v>34606</c:v>
                </c:pt>
                <c:pt idx="962">
                  <c:v>34607</c:v>
                </c:pt>
                <c:pt idx="963">
                  <c:v>34611</c:v>
                </c:pt>
                <c:pt idx="964">
                  <c:v>34612</c:v>
                </c:pt>
                <c:pt idx="965">
                  <c:v>34613</c:v>
                </c:pt>
                <c:pt idx="966">
                  <c:v>34614</c:v>
                </c:pt>
                <c:pt idx="967">
                  <c:v>34617</c:v>
                </c:pt>
                <c:pt idx="968">
                  <c:v>34618</c:v>
                </c:pt>
                <c:pt idx="969">
                  <c:v>34619</c:v>
                </c:pt>
                <c:pt idx="970">
                  <c:v>34620</c:v>
                </c:pt>
                <c:pt idx="971">
                  <c:v>34621</c:v>
                </c:pt>
                <c:pt idx="972">
                  <c:v>34624</c:v>
                </c:pt>
                <c:pt idx="973">
                  <c:v>34625</c:v>
                </c:pt>
                <c:pt idx="974">
                  <c:v>34626</c:v>
                </c:pt>
                <c:pt idx="975">
                  <c:v>34627</c:v>
                </c:pt>
                <c:pt idx="976">
                  <c:v>34628</c:v>
                </c:pt>
                <c:pt idx="977">
                  <c:v>34631</c:v>
                </c:pt>
                <c:pt idx="978">
                  <c:v>34632</c:v>
                </c:pt>
                <c:pt idx="979">
                  <c:v>34633</c:v>
                </c:pt>
                <c:pt idx="980">
                  <c:v>34634</c:v>
                </c:pt>
                <c:pt idx="981">
                  <c:v>34635</c:v>
                </c:pt>
                <c:pt idx="982">
                  <c:v>34638</c:v>
                </c:pt>
                <c:pt idx="983">
                  <c:v>34639</c:v>
                </c:pt>
                <c:pt idx="984">
                  <c:v>34640</c:v>
                </c:pt>
                <c:pt idx="985">
                  <c:v>34641</c:v>
                </c:pt>
                <c:pt idx="986">
                  <c:v>34642</c:v>
                </c:pt>
                <c:pt idx="987">
                  <c:v>34645</c:v>
                </c:pt>
                <c:pt idx="988">
                  <c:v>34646</c:v>
                </c:pt>
                <c:pt idx="989">
                  <c:v>34647</c:v>
                </c:pt>
                <c:pt idx="990">
                  <c:v>34648</c:v>
                </c:pt>
                <c:pt idx="991">
                  <c:v>34649</c:v>
                </c:pt>
                <c:pt idx="992">
                  <c:v>34652</c:v>
                </c:pt>
                <c:pt idx="993">
                  <c:v>34653</c:v>
                </c:pt>
                <c:pt idx="994">
                  <c:v>34655</c:v>
                </c:pt>
                <c:pt idx="995">
                  <c:v>34656</c:v>
                </c:pt>
                <c:pt idx="996">
                  <c:v>34659</c:v>
                </c:pt>
                <c:pt idx="997">
                  <c:v>34660</c:v>
                </c:pt>
                <c:pt idx="998">
                  <c:v>34661</c:v>
                </c:pt>
                <c:pt idx="999">
                  <c:v>34662</c:v>
                </c:pt>
                <c:pt idx="1000">
                  <c:v>34663</c:v>
                </c:pt>
                <c:pt idx="1001">
                  <c:v>34666</c:v>
                </c:pt>
                <c:pt idx="1002">
                  <c:v>34667</c:v>
                </c:pt>
                <c:pt idx="1003">
                  <c:v>34668</c:v>
                </c:pt>
                <c:pt idx="1004">
                  <c:v>34669</c:v>
                </c:pt>
                <c:pt idx="1005">
                  <c:v>34670</c:v>
                </c:pt>
                <c:pt idx="1006">
                  <c:v>34673</c:v>
                </c:pt>
                <c:pt idx="1007">
                  <c:v>34674</c:v>
                </c:pt>
                <c:pt idx="1008">
                  <c:v>34675</c:v>
                </c:pt>
                <c:pt idx="1009">
                  <c:v>34676</c:v>
                </c:pt>
                <c:pt idx="1010">
                  <c:v>34677</c:v>
                </c:pt>
                <c:pt idx="1011">
                  <c:v>34680</c:v>
                </c:pt>
                <c:pt idx="1012">
                  <c:v>34681</c:v>
                </c:pt>
                <c:pt idx="1013">
                  <c:v>34682</c:v>
                </c:pt>
                <c:pt idx="1014">
                  <c:v>34683</c:v>
                </c:pt>
                <c:pt idx="1015">
                  <c:v>34684</c:v>
                </c:pt>
                <c:pt idx="1016">
                  <c:v>34687</c:v>
                </c:pt>
                <c:pt idx="1017">
                  <c:v>34688</c:v>
                </c:pt>
                <c:pt idx="1018">
                  <c:v>34689</c:v>
                </c:pt>
                <c:pt idx="1019">
                  <c:v>34690</c:v>
                </c:pt>
                <c:pt idx="1020">
                  <c:v>34691</c:v>
                </c:pt>
                <c:pt idx="1021">
                  <c:v>34695</c:v>
                </c:pt>
                <c:pt idx="1022">
                  <c:v>34696</c:v>
                </c:pt>
                <c:pt idx="1023">
                  <c:v>34697</c:v>
                </c:pt>
                <c:pt idx="1024">
                  <c:v>34698</c:v>
                </c:pt>
                <c:pt idx="1025">
                  <c:v>34701</c:v>
                </c:pt>
                <c:pt idx="1026">
                  <c:v>34702</c:v>
                </c:pt>
                <c:pt idx="1027">
                  <c:v>34703</c:v>
                </c:pt>
                <c:pt idx="1028">
                  <c:v>34704</c:v>
                </c:pt>
                <c:pt idx="1029">
                  <c:v>34705</c:v>
                </c:pt>
                <c:pt idx="1030">
                  <c:v>34708</c:v>
                </c:pt>
                <c:pt idx="1031">
                  <c:v>34709</c:v>
                </c:pt>
                <c:pt idx="1032">
                  <c:v>34710</c:v>
                </c:pt>
                <c:pt idx="1033">
                  <c:v>34711</c:v>
                </c:pt>
                <c:pt idx="1034">
                  <c:v>34712</c:v>
                </c:pt>
                <c:pt idx="1035">
                  <c:v>34715</c:v>
                </c:pt>
                <c:pt idx="1036">
                  <c:v>34716</c:v>
                </c:pt>
                <c:pt idx="1037">
                  <c:v>34717</c:v>
                </c:pt>
                <c:pt idx="1038">
                  <c:v>34718</c:v>
                </c:pt>
                <c:pt idx="1039">
                  <c:v>34719</c:v>
                </c:pt>
                <c:pt idx="1040">
                  <c:v>34722</c:v>
                </c:pt>
                <c:pt idx="1041">
                  <c:v>34723</c:v>
                </c:pt>
                <c:pt idx="1042">
                  <c:v>34724</c:v>
                </c:pt>
                <c:pt idx="1043">
                  <c:v>34725</c:v>
                </c:pt>
                <c:pt idx="1044">
                  <c:v>34726</c:v>
                </c:pt>
                <c:pt idx="1045">
                  <c:v>34729</c:v>
                </c:pt>
                <c:pt idx="1046">
                  <c:v>34730</c:v>
                </c:pt>
                <c:pt idx="1047">
                  <c:v>34731</c:v>
                </c:pt>
                <c:pt idx="1048">
                  <c:v>34732</c:v>
                </c:pt>
                <c:pt idx="1049">
                  <c:v>34733</c:v>
                </c:pt>
                <c:pt idx="1050">
                  <c:v>34736</c:v>
                </c:pt>
                <c:pt idx="1051">
                  <c:v>34737</c:v>
                </c:pt>
                <c:pt idx="1052">
                  <c:v>34738</c:v>
                </c:pt>
                <c:pt idx="1053">
                  <c:v>34739</c:v>
                </c:pt>
                <c:pt idx="1054">
                  <c:v>34740</c:v>
                </c:pt>
                <c:pt idx="1055">
                  <c:v>34743</c:v>
                </c:pt>
                <c:pt idx="1056">
                  <c:v>34744</c:v>
                </c:pt>
                <c:pt idx="1057">
                  <c:v>34745</c:v>
                </c:pt>
                <c:pt idx="1058">
                  <c:v>34746</c:v>
                </c:pt>
                <c:pt idx="1059">
                  <c:v>34747</c:v>
                </c:pt>
                <c:pt idx="1060">
                  <c:v>34750</c:v>
                </c:pt>
                <c:pt idx="1061">
                  <c:v>34751</c:v>
                </c:pt>
                <c:pt idx="1062">
                  <c:v>34752</c:v>
                </c:pt>
                <c:pt idx="1063">
                  <c:v>34753</c:v>
                </c:pt>
                <c:pt idx="1064">
                  <c:v>34754</c:v>
                </c:pt>
                <c:pt idx="1065">
                  <c:v>34757</c:v>
                </c:pt>
                <c:pt idx="1066">
                  <c:v>34758</c:v>
                </c:pt>
                <c:pt idx="1067">
                  <c:v>34759</c:v>
                </c:pt>
                <c:pt idx="1068">
                  <c:v>34760</c:v>
                </c:pt>
                <c:pt idx="1069">
                  <c:v>34761</c:v>
                </c:pt>
                <c:pt idx="1070">
                  <c:v>34764</c:v>
                </c:pt>
                <c:pt idx="1071">
                  <c:v>34765</c:v>
                </c:pt>
                <c:pt idx="1072">
                  <c:v>34766</c:v>
                </c:pt>
                <c:pt idx="1073">
                  <c:v>34767</c:v>
                </c:pt>
                <c:pt idx="1074">
                  <c:v>34768</c:v>
                </c:pt>
                <c:pt idx="1075">
                  <c:v>34771</c:v>
                </c:pt>
                <c:pt idx="1076">
                  <c:v>34772</c:v>
                </c:pt>
                <c:pt idx="1077">
                  <c:v>34773</c:v>
                </c:pt>
                <c:pt idx="1078">
                  <c:v>34774</c:v>
                </c:pt>
                <c:pt idx="1079">
                  <c:v>34775</c:v>
                </c:pt>
                <c:pt idx="1080">
                  <c:v>34778</c:v>
                </c:pt>
                <c:pt idx="1081">
                  <c:v>34779</c:v>
                </c:pt>
                <c:pt idx="1082">
                  <c:v>34780</c:v>
                </c:pt>
                <c:pt idx="1083">
                  <c:v>34781</c:v>
                </c:pt>
                <c:pt idx="1084">
                  <c:v>34782</c:v>
                </c:pt>
                <c:pt idx="1085">
                  <c:v>34785</c:v>
                </c:pt>
                <c:pt idx="1086">
                  <c:v>34786</c:v>
                </c:pt>
                <c:pt idx="1087">
                  <c:v>34787</c:v>
                </c:pt>
                <c:pt idx="1088">
                  <c:v>34788</c:v>
                </c:pt>
                <c:pt idx="1089">
                  <c:v>34789</c:v>
                </c:pt>
                <c:pt idx="1090">
                  <c:v>34792</c:v>
                </c:pt>
                <c:pt idx="1091">
                  <c:v>34793</c:v>
                </c:pt>
                <c:pt idx="1092">
                  <c:v>34794</c:v>
                </c:pt>
                <c:pt idx="1093">
                  <c:v>34795</c:v>
                </c:pt>
                <c:pt idx="1094">
                  <c:v>34796</c:v>
                </c:pt>
                <c:pt idx="1095">
                  <c:v>34799</c:v>
                </c:pt>
                <c:pt idx="1096">
                  <c:v>34800</c:v>
                </c:pt>
                <c:pt idx="1097">
                  <c:v>34801</c:v>
                </c:pt>
                <c:pt idx="1098">
                  <c:v>34802</c:v>
                </c:pt>
                <c:pt idx="1099">
                  <c:v>34807</c:v>
                </c:pt>
                <c:pt idx="1100">
                  <c:v>34808</c:v>
                </c:pt>
                <c:pt idx="1101">
                  <c:v>34809</c:v>
                </c:pt>
                <c:pt idx="1102">
                  <c:v>34810</c:v>
                </c:pt>
                <c:pt idx="1103">
                  <c:v>34813</c:v>
                </c:pt>
                <c:pt idx="1104">
                  <c:v>34814</c:v>
                </c:pt>
                <c:pt idx="1105">
                  <c:v>34815</c:v>
                </c:pt>
                <c:pt idx="1106">
                  <c:v>34816</c:v>
                </c:pt>
                <c:pt idx="1107">
                  <c:v>34817</c:v>
                </c:pt>
                <c:pt idx="1108">
                  <c:v>34821</c:v>
                </c:pt>
                <c:pt idx="1109">
                  <c:v>34822</c:v>
                </c:pt>
                <c:pt idx="1110">
                  <c:v>34823</c:v>
                </c:pt>
                <c:pt idx="1111">
                  <c:v>34824</c:v>
                </c:pt>
                <c:pt idx="1112">
                  <c:v>34827</c:v>
                </c:pt>
                <c:pt idx="1113">
                  <c:v>34828</c:v>
                </c:pt>
                <c:pt idx="1114">
                  <c:v>34829</c:v>
                </c:pt>
                <c:pt idx="1115">
                  <c:v>34830</c:v>
                </c:pt>
                <c:pt idx="1116">
                  <c:v>34831</c:v>
                </c:pt>
                <c:pt idx="1117">
                  <c:v>34834</c:v>
                </c:pt>
                <c:pt idx="1118">
                  <c:v>34835</c:v>
                </c:pt>
                <c:pt idx="1119">
                  <c:v>34836</c:v>
                </c:pt>
                <c:pt idx="1120">
                  <c:v>34837</c:v>
                </c:pt>
                <c:pt idx="1121">
                  <c:v>34838</c:v>
                </c:pt>
                <c:pt idx="1122">
                  <c:v>34841</c:v>
                </c:pt>
                <c:pt idx="1123">
                  <c:v>34842</c:v>
                </c:pt>
                <c:pt idx="1124">
                  <c:v>34843</c:v>
                </c:pt>
                <c:pt idx="1125">
                  <c:v>34845</c:v>
                </c:pt>
                <c:pt idx="1126">
                  <c:v>34848</c:v>
                </c:pt>
                <c:pt idx="1127">
                  <c:v>34849</c:v>
                </c:pt>
                <c:pt idx="1128">
                  <c:v>34850</c:v>
                </c:pt>
                <c:pt idx="1129">
                  <c:v>34851</c:v>
                </c:pt>
                <c:pt idx="1130">
                  <c:v>34852</c:v>
                </c:pt>
                <c:pt idx="1131">
                  <c:v>34856</c:v>
                </c:pt>
                <c:pt idx="1132">
                  <c:v>34857</c:v>
                </c:pt>
                <c:pt idx="1133">
                  <c:v>34858</c:v>
                </c:pt>
                <c:pt idx="1134">
                  <c:v>34859</c:v>
                </c:pt>
                <c:pt idx="1135">
                  <c:v>34862</c:v>
                </c:pt>
                <c:pt idx="1136">
                  <c:v>34863</c:v>
                </c:pt>
                <c:pt idx="1137">
                  <c:v>34864</c:v>
                </c:pt>
                <c:pt idx="1138">
                  <c:v>34866</c:v>
                </c:pt>
                <c:pt idx="1139">
                  <c:v>34869</c:v>
                </c:pt>
                <c:pt idx="1140">
                  <c:v>34870</c:v>
                </c:pt>
                <c:pt idx="1141">
                  <c:v>34871</c:v>
                </c:pt>
                <c:pt idx="1142">
                  <c:v>34872</c:v>
                </c:pt>
                <c:pt idx="1143">
                  <c:v>34873</c:v>
                </c:pt>
                <c:pt idx="1144">
                  <c:v>34876</c:v>
                </c:pt>
                <c:pt idx="1145">
                  <c:v>34877</c:v>
                </c:pt>
                <c:pt idx="1146">
                  <c:v>34878</c:v>
                </c:pt>
                <c:pt idx="1147">
                  <c:v>34879</c:v>
                </c:pt>
                <c:pt idx="1148">
                  <c:v>34880</c:v>
                </c:pt>
                <c:pt idx="1149">
                  <c:v>34883</c:v>
                </c:pt>
                <c:pt idx="1150">
                  <c:v>34884</c:v>
                </c:pt>
                <c:pt idx="1151">
                  <c:v>34885</c:v>
                </c:pt>
                <c:pt idx="1152">
                  <c:v>34886</c:v>
                </c:pt>
                <c:pt idx="1153">
                  <c:v>34887</c:v>
                </c:pt>
                <c:pt idx="1154">
                  <c:v>34890</c:v>
                </c:pt>
                <c:pt idx="1155">
                  <c:v>34891</c:v>
                </c:pt>
                <c:pt idx="1156">
                  <c:v>34892</c:v>
                </c:pt>
                <c:pt idx="1157">
                  <c:v>34893</c:v>
                </c:pt>
                <c:pt idx="1158">
                  <c:v>34894</c:v>
                </c:pt>
                <c:pt idx="1159">
                  <c:v>34897</c:v>
                </c:pt>
                <c:pt idx="1160">
                  <c:v>34898</c:v>
                </c:pt>
                <c:pt idx="1161">
                  <c:v>34899</c:v>
                </c:pt>
                <c:pt idx="1162">
                  <c:v>34900</c:v>
                </c:pt>
                <c:pt idx="1163">
                  <c:v>34901</c:v>
                </c:pt>
                <c:pt idx="1164">
                  <c:v>34904</c:v>
                </c:pt>
                <c:pt idx="1165">
                  <c:v>34905</c:v>
                </c:pt>
                <c:pt idx="1166">
                  <c:v>34906</c:v>
                </c:pt>
                <c:pt idx="1167">
                  <c:v>34907</c:v>
                </c:pt>
                <c:pt idx="1168">
                  <c:v>34908</c:v>
                </c:pt>
                <c:pt idx="1169">
                  <c:v>34911</c:v>
                </c:pt>
                <c:pt idx="1170">
                  <c:v>34912</c:v>
                </c:pt>
                <c:pt idx="1171">
                  <c:v>34913</c:v>
                </c:pt>
                <c:pt idx="1172">
                  <c:v>34914</c:v>
                </c:pt>
                <c:pt idx="1173">
                  <c:v>34915</c:v>
                </c:pt>
                <c:pt idx="1174">
                  <c:v>34918</c:v>
                </c:pt>
                <c:pt idx="1175">
                  <c:v>34919</c:v>
                </c:pt>
                <c:pt idx="1176">
                  <c:v>34920</c:v>
                </c:pt>
                <c:pt idx="1177">
                  <c:v>34921</c:v>
                </c:pt>
                <c:pt idx="1178">
                  <c:v>34922</c:v>
                </c:pt>
                <c:pt idx="1179">
                  <c:v>34925</c:v>
                </c:pt>
                <c:pt idx="1180">
                  <c:v>34926</c:v>
                </c:pt>
                <c:pt idx="1181">
                  <c:v>34927</c:v>
                </c:pt>
                <c:pt idx="1182">
                  <c:v>34928</c:v>
                </c:pt>
                <c:pt idx="1183">
                  <c:v>34929</c:v>
                </c:pt>
                <c:pt idx="1184">
                  <c:v>34932</c:v>
                </c:pt>
                <c:pt idx="1185">
                  <c:v>34933</c:v>
                </c:pt>
                <c:pt idx="1186">
                  <c:v>34934</c:v>
                </c:pt>
                <c:pt idx="1187">
                  <c:v>34935</c:v>
                </c:pt>
                <c:pt idx="1188">
                  <c:v>34936</c:v>
                </c:pt>
                <c:pt idx="1189">
                  <c:v>34939</c:v>
                </c:pt>
                <c:pt idx="1190">
                  <c:v>34940</c:v>
                </c:pt>
                <c:pt idx="1191">
                  <c:v>34941</c:v>
                </c:pt>
                <c:pt idx="1192">
                  <c:v>34942</c:v>
                </c:pt>
                <c:pt idx="1193">
                  <c:v>34943</c:v>
                </c:pt>
                <c:pt idx="1194">
                  <c:v>34946</c:v>
                </c:pt>
                <c:pt idx="1195">
                  <c:v>34947</c:v>
                </c:pt>
                <c:pt idx="1196">
                  <c:v>34948</c:v>
                </c:pt>
                <c:pt idx="1197">
                  <c:v>34949</c:v>
                </c:pt>
                <c:pt idx="1198">
                  <c:v>34950</c:v>
                </c:pt>
                <c:pt idx="1199">
                  <c:v>34953</c:v>
                </c:pt>
                <c:pt idx="1200">
                  <c:v>34954</c:v>
                </c:pt>
                <c:pt idx="1201">
                  <c:v>34955</c:v>
                </c:pt>
                <c:pt idx="1202">
                  <c:v>34956</c:v>
                </c:pt>
                <c:pt idx="1203">
                  <c:v>34957</c:v>
                </c:pt>
                <c:pt idx="1204">
                  <c:v>34960</c:v>
                </c:pt>
                <c:pt idx="1205">
                  <c:v>34961</c:v>
                </c:pt>
                <c:pt idx="1206">
                  <c:v>34962</c:v>
                </c:pt>
                <c:pt idx="1207">
                  <c:v>34963</c:v>
                </c:pt>
                <c:pt idx="1208">
                  <c:v>34964</c:v>
                </c:pt>
                <c:pt idx="1209">
                  <c:v>34967</c:v>
                </c:pt>
                <c:pt idx="1210">
                  <c:v>34968</c:v>
                </c:pt>
                <c:pt idx="1211">
                  <c:v>34969</c:v>
                </c:pt>
                <c:pt idx="1212">
                  <c:v>34970</c:v>
                </c:pt>
                <c:pt idx="1213">
                  <c:v>34971</c:v>
                </c:pt>
                <c:pt idx="1214">
                  <c:v>34974</c:v>
                </c:pt>
                <c:pt idx="1215">
                  <c:v>34976</c:v>
                </c:pt>
                <c:pt idx="1216">
                  <c:v>34977</c:v>
                </c:pt>
                <c:pt idx="1217">
                  <c:v>34978</c:v>
                </c:pt>
                <c:pt idx="1218">
                  <c:v>34981</c:v>
                </c:pt>
                <c:pt idx="1219">
                  <c:v>34982</c:v>
                </c:pt>
                <c:pt idx="1220">
                  <c:v>34983</c:v>
                </c:pt>
                <c:pt idx="1221">
                  <c:v>34984</c:v>
                </c:pt>
                <c:pt idx="1222">
                  <c:v>34985</c:v>
                </c:pt>
                <c:pt idx="1223">
                  <c:v>34988</c:v>
                </c:pt>
                <c:pt idx="1224">
                  <c:v>34989</c:v>
                </c:pt>
                <c:pt idx="1225">
                  <c:v>34990</c:v>
                </c:pt>
                <c:pt idx="1226">
                  <c:v>34991</c:v>
                </c:pt>
                <c:pt idx="1227">
                  <c:v>34992</c:v>
                </c:pt>
                <c:pt idx="1228">
                  <c:v>34995</c:v>
                </c:pt>
                <c:pt idx="1229">
                  <c:v>34996</c:v>
                </c:pt>
                <c:pt idx="1230">
                  <c:v>34997</c:v>
                </c:pt>
                <c:pt idx="1231">
                  <c:v>34998</c:v>
                </c:pt>
                <c:pt idx="1232">
                  <c:v>34999</c:v>
                </c:pt>
                <c:pt idx="1233">
                  <c:v>35002</c:v>
                </c:pt>
                <c:pt idx="1234">
                  <c:v>35003</c:v>
                </c:pt>
                <c:pt idx="1235">
                  <c:v>35004</c:v>
                </c:pt>
                <c:pt idx="1236">
                  <c:v>35005</c:v>
                </c:pt>
                <c:pt idx="1237">
                  <c:v>35006</c:v>
                </c:pt>
                <c:pt idx="1238">
                  <c:v>35009</c:v>
                </c:pt>
                <c:pt idx="1239">
                  <c:v>35010</c:v>
                </c:pt>
                <c:pt idx="1240">
                  <c:v>35011</c:v>
                </c:pt>
                <c:pt idx="1241">
                  <c:v>35012</c:v>
                </c:pt>
                <c:pt idx="1242">
                  <c:v>35013</c:v>
                </c:pt>
                <c:pt idx="1243">
                  <c:v>35016</c:v>
                </c:pt>
                <c:pt idx="1244">
                  <c:v>35017</c:v>
                </c:pt>
                <c:pt idx="1245">
                  <c:v>35018</c:v>
                </c:pt>
                <c:pt idx="1246">
                  <c:v>35019</c:v>
                </c:pt>
                <c:pt idx="1247">
                  <c:v>35020</c:v>
                </c:pt>
                <c:pt idx="1248">
                  <c:v>35023</c:v>
                </c:pt>
                <c:pt idx="1249">
                  <c:v>35024</c:v>
                </c:pt>
                <c:pt idx="1250">
                  <c:v>35025</c:v>
                </c:pt>
                <c:pt idx="1251">
                  <c:v>35026</c:v>
                </c:pt>
                <c:pt idx="1252">
                  <c:v>35027</c:v>
                </c:pt>
                <c:pt idx="1253">
                  <c:v>35030</c:v>
                </c:pt>
                <c:pt idx="1254">
                  <c:v>35031</c:v>
                </c:pt>
                <c:pt idx="1255">
                  <c:v>35032</c:v>
                </c:pt>
                <c:pt idx="1256">
                  <c:v>35033</c:v>
                </c:pt>
                <c:pt idx="1257">
                  <c:v>35034</c:v>
                </c:pt>
                <c:pt idx="1258">
                  <c:v>35037</c:v>
                </c:pt>
                <c:pt idx="1259">
                  <c:v>35038</c:v>
                </c:pt>
                <c:pt idx="1260">
                  <c:v>35039</c:v>
                </c:pt>
                <c:pt idx="1261">
                  <c:v>35040</c:v>
                </c:pt>
                <c:pt idx="1262">
                  <c:v>35041</c:v>
                </c:pt>
                <c:pt idx="1263">
                  <c:v>35044</c:v>
                </c:pt>
                <c:pt idx="1264">
                  <c:v>35045</c:v>
                </c:pt>
                <c:pt idx="1265">
                  <c:v>35046</c:v>
                </c:pt>
                <c:pt idx="1266">
                  <c:v>35047</c:v>
                </c:pt>
                <c:pt idx="1267">
                  <c:v>35048</c:v>
                </c:pt>
                <c:pt idx="1268">
                  <c:v>35051</c:v>
                </c:pt>
                <c:pt idx="1269">
                  <c:v>35052</c:v>
                </c:pt>
                <c:pt idx="1270">
                  <c:v>35053</c:v>
                </c:pt>
                <c:pt idx="1271">
                  <c:v>35054</c:v>
                </c:pt>
                <c:pt idx="1272">
                  <c:v>35055</c:v>
                </c:pt>
                <c:pt idx="1273">
                  <c:v>35060</c:v>
                </c:pt>
                <c:pt idx="1274">
                  <c:v>35061</c:v>
                </c:pt>
                <c:pt idx="1275">
                  <c:v>35062</c:v>
                </c:pt>
                <c:pt idx="1276">
                  <c:v>35066</c:v>
                </c:pt>
                <c:pt idx="1277">
                  <c:v>35067</c:v>
                </c:pt>
                <c:pt idx="1278">
                  <c:v>35068</c:v>
                </c:pt>
                <c:pt idx="1279">
                  <c:v>35069</c:v>
                </c:pt>
                <c:pt idx="1280">
                  <c:v>35072</c:v>
                </c:pt>
                <c:pt idx="1281">
                  <c:v>35073</c:v>
                </c:pt>
                <c:pt idx="1282">
                  <c:v>35074</c:v>
                </c:pt>
                <c:pt idx="1283">
                  <c:v>35075</c:v>
                </c:pt>
                <c:pt idx="1284">
                  <c:v>35076</c:v>
                </c:pt>
                <c:pt idx="1285">
                  <c:v>35079</c:v>
                </c:pt>
                <c:pt idx="1286">
                  <c:v>35080</c:v>
                </c:pt>
                <c:pt idx="1287">
                  <c:v>35081</c:v>
                </c:pt>
                <c:pt idx="1288">
                  <c:v>35082</c:v>
                </c:pt>
                <c:pt idx="1289">
                  <c:v>35083</c:v>
                </c:pt>
                <c:pt idx="1290">
                  <c:v>35086</c:v>
                </c:pt>
                <c:pt idx="1291">
                  <c:v>35087</c:v>
                </c:pt>
                <c:pt idx="1292">
                  <c:v>35088</c:v>
                </c:pt>
                <c:pt idx="1293">
                  <c:v>35089</c:v>
                </c:pt>
                <c:pt idx="1294">
                  <c:v>35090</c:v>
                </c:pt>
                <c:pt idx="1295">
                  <c:v>35093</c:v>
                </c:pt>
                <c:pt idx="1296">
                  <c:v>35094</c:v>
                </c:pt>
                <c:pt idx="1297">
                  <c:v>35095</c:v>
                </c:pt>
                <c:pt idx="1298">
                  <c:v>35096</c:v>
                </c:pt>
                <c:pt idx="1299">
                  <c:v>35097</c:v>
                </c:pt>
                <c:pt idx="1300">
                  <c:v>35100</c:v>
                </c:pt>
                <c:pt idx="1301">
                  <c:v>35101</c:v>
                </c:pt>
                <c:pt idx="1302">
                  <c:v>35102</c:v>
                </c:pt>
                <c:pt idx="1303">
                  <c:v>35103</c:v>
                </c:pt>
                <c:pt idx="1304">
                  <c:v>35104</c:v>
                </c:pt>
                <c:pt idx="1305">
                  <c:v>35107</c:v>
                </c:pt>
                <c:pt idx="1306">
                  <c:v>35108</c:v>
                </c:pt>
                <c:pt idx="1307">
                  <c:v>35109</c:v>
                </c:pt>
                <c:pt idx="1308">
                  <c:v>35110</c:v>
                </c:pt>
                <c:pt idx="1309">
                  <c:v>35111</c:v>
                </c:pt>
                <c:pt idx="1310">
                  <c:v>35114</c:v>
                </c:pt>
                <c:pt idx="1311">
                  <c:v>35115</c:v>
                </c:pt>
                <c:pt idx="1312">
                  <c:v>35116</c:v>
                </c:pt>
                <c:pt idx="1313">
                  <c:v>35117</c:v>
                </c:pt>
                <c:pt idx="1314">
                  <c:v>35118</c:v>
                </c:pt>
                <c:pt idx="1315">
                  <c:v>35121</c:v>
                </c:pt>
                <c:pt idx="1316">
                  <c:v>35122</c:v>
                </c:pt>
                <c:pt idx="1317">
                  <c:v>35123</c:v>
                </c:pt>
                <c:pt idx="1318">
                  <c:v>35124</c:v>
                </c:pt>
                <c:pt idx="1319">
                  <c:v>35125</c:v>
                </c:pt>
                <c:pt idx="1320">
                  <c:v>35128</c:v>
                </c:pt>
                <c:pt idx="1321">
                  <c:v>35129</c:v>
                </c:pt>
                <c:pt idx="1322">
                  <c:v>35130</c:v>
                </c:pt>
                <c:pt idx="1323">
                  <c:v>35131</c:v>
                </c:pt>
                <c:pt idx="1324">
                  <c:v>35132</c:v>
                </c:pt>
                <c:pt idx="1325">
                  <c:v>35135</c:v>
                </c:pt>
                <c:pt idx="1326">
                  <c:v>35136</c:v>
                </c:pt>
                <c:pt idx="1327">
                  <c:v>35137</c:v>
                </c:pt>
                <c:pt idx="1328">
                  <c:v>35138</c:v>
                </c:pt>
                <c:pt idx="1329">
                  <c:v>35139</c:v>
                </c:pt>
                <c:pt idx="1330">
                  <c:v>35142</c:v>
                </c:pt>
                <c:pt idx="1331">
                  <c:v>35143</c:v>
                </c:pt>
                <c:pt idx="1332">
                  <c:v>35144</c:v>
                </c:pt>
                <c:pt idx="1333">
                  <c:v>35145</c:v>
                </c:pt>
                <c:pt idx="1334">
                  <c:v>35146</c:v>
                </c:pt>
                <c:pt idx="1335">
                  <c:v>35149</c:v>
                </c:pt>
                <c:pt idx="1336">
                  <c:v>35150</c:v>
                </c:pt>
                <c:pt idx="1337">
                  <c:v>35151</c:v>
                </c:pt>
                <c:pt idx="1338">
                  <c:v>35152</c:v>
                </c:pt>
                <c:pt idx="1339">
                  <c:v>35153</c:v>
                </c:pt>
                <c:pt idx="1340">
                  <c:v>35156</c:v>
                </c:pt>
                <c:pt idx="1341">
                  <c:v>35157</c:v>
                </c:pt>
                <c:pt idx="1342">
                  <c:v>35158</c:v>
                </c:pt>
                <c:pt idx="1343">
                  <c:v>35159</c:v>
                </c:pt>
                <c:pt idx="1344">
                  <c:v>35164</c:v>
                </c:pt>
                <c:pt idx="1345">
                  <c:v>35165</c:v>
                </c:pt>
                <c:pt idx="1346">
                  <c:v>35166</c:v>
                </c:pt>
                <c:pt idx="1347">
                  <c:v>35167</c:v>
                </c:pt>
                <c:pt idx="1348">
                  <c:v>35170</c:v>
                </c:pt>
                <c:pt idx="1349">
                  <c:v>35171</c:v>
                </c:pt>
                <c:pt idx="1350">
                  <c:v>35172</c:v>
                </c:pt>
                <c:pt idx="1351">
                  <c:v>35173</c:v>
                </c:pt>
                <c:pt idx="1352">
                  <c:v>35174</c:v>
                </c:pt>
                <c:pt idx="1353">
                  <c:v>35177</c:v>
                </c:pt>
                <c:pt idx="1354">
                  <c:v>35178</c:v>
                </c:pt>
                <c:pt idx="1355">
                  <c:v>35179</c:v>
                </c:pt>
                <c:pt idx="1356">
                  <c:v>35180</c:v>
                </c:pt>
                <c:pt idx="1357">
                  <c:v>35181</c:v>
                </c:pt>
                <c:pt idx="1358">
                  <c:v>35184</c:v>
                </c:pt>
                <c:pt idx="1359">
                  <c:v>35185</c:v>
                </c:pt>
                <c:pt idx="1360">
                  <c:v>35187</c:v>
                </c:pt>
                <c:pt idx="1361">
                  <c:v>35188</c:v>
                </c:pt>
                <c:pt idx="1362">
                  <c:v>35191</c:v>
                </c:pt>
                <c:pt idx="1363">
                  <c:v>35192</c:v>
                </c:pt>
                <c:pt idx="1364">
                  <c:v>35193</c:v>
                </c:pt>
                <c:pt idx="1365">
                  <c:v>35194</c:v>
                </c:pt>
                <c:pt idx="1366">
                  <c:v>35195</c:v>
                </c:pt>
                <c:pt idx="1367">
                  <c:v>35198</c:v>
                </c:pt>
                <c:pt idx="1368">
                  <c:v>35199</c:v>
                </c:pt>
                <c:pt idx="1369">
                  <c:v>35200</c:v>
                </c:pt>
                <c:pt idx="1370">
                  <c:v>35202</c:v>
                </c:pt>
                <c:pt idx="1371">
                  <c:v>35205</c:v>
                </c:pt>
                <c:pt idx="1372">
                  <c:v>35206</c:v>
                </c:pt>
                <c:pt idx="1373">
                  <c:v>35207</c:v>
                </c:pt>
                <c:pt idx="1374">
                  <c:v>35208</c:v>
                </c:pt>
                <c:pt idx="1375">
                  <c:v>35209</c:v>
                </c:pt>
                <c:pt idx="1376">
                  <c:v>35213</c:v>
                </c:pt>
                <c:pt idx="1377">
                  <c:v>35214</c:v>
                </c:pt>
                <c:pt idx="1378">
                  <c:v>35215</c:v>
                </c:pt>
                <c:pt idx="1379">
                  <c:v>35216</c:v>
                </c:pt>
                <c:pt idx="1380">
                  <c:v>35219</c:v>
                </c:pt>
                <c:pt idx="1381">
                  <c:v>35220</c:v>
                </c:pt>
                <c:pt idx="1382">
                  <c:v>35221</c:v>
                </c:pt>
                <c:pt idx="1383">
                  <c:v>35223</c:v>
                </c:pt>
                <c:pt idx="1384">
                  <c:v>35226</c:v>
                </c:pt>
                <c:pt idx="1385">
                  <c:v>35227</c:v>
                </c:pt>
                <c:pt idx="1386">
                  <c:v>35228</c:v>
                </c:pt>
                <c:pt idx="1387">
                  <c:v>35229</c:v>
                </c:pt>
                <c:pt idx="1388">
                  <c:v>35230</c:v>
                </c:pt>
                <c:pt idx="1389">
                  <c:v>35233</c:v>
                </c:pt>
                <c:pt idx="1390">
                  <c:v>35234</c:v>
                </c:pt>
                <c:pt idx="1391">
                  <c:v>35235</c:v>
                </c:pt>
                <c:pt idx="1392">
                  <c:v>35236</c:v>
                </c:pt>
                <c:pt idx="1393">
                  <c:v>35237</c:v>
                </c:pt>
                <c:pt idx="1394">
                  <c:v>35240</c:v>
                </c:pt>
                <c:pt idx="1395">
                  <c:v>35241</c:v>
                </c:pt>
                <c:pt idx="1396">
                  <c:v>35242</c:v>
                </c:pt>
                <c:pt idx="1397">
                  <c:v>35243</c:v>
                </c:pt>
                <c:pt idx="1398">
                  <c:v>35244</c:v>
                </c:pt>
                <c:pt idx="1399">
                  <c:v>35247</c:v>
                </c:pt>
                <c:pt idx="1400">
                  <c:v>35248</c:v>
                </c:pt>
                <c:pt idx="1401">
                  <c:v>35249</c:v>
                </c:pt>
                <c:pt idx="1402">
                  <c:v>35250</c:v>
                </c:pt>
                <c:pt idx="1403">
                  <c:v>35251</c:v>
                </c:pt>
                <c:pt idx="1404">
                  <c:v>35254</c:v>
                </c:pt>
                <c:pt idx="1405">
                  <c:v>35255</c:v>
                </c:pt>
                <c:pt idx="1406">
                  <c:v>35256</c:v>
                </c:pt>
                <c:pt idx="1407">
                  <c:v>35257</c:v>
                </c:pt>
                <c:pt idx="1408">
                  <c:v>35258</c:v>
                </c:pt>
                <c:pt idx="1409">
                  <c:v>35261</c:v>
                </c:pt>
                <c:pt idx="1410">
                  <c:v>35262</c:v>
                </c:pt>
                <c:pt idx="1411">
                  <c:v>35263</c:v>
                </c:pt>
                <c:pt idx="1412">
                  <c:v>35264</c:v>
                </c:pt>
                <c:pt idx="1413">
                  <c:v>35265</c:v>
                </c:pt>
                <c:pt idx="1414">
                  <c:v>35268</c:v>
                </c:pt>
                <c:pt idx="1415">
                  <c:v>35269</c:v>
                </c:pt>
                <c:pt idx="1416">
                  <c:v>35270</c:v>
                </c:pt>
                <c:pt idx="1417">
                  <c:v>35271</c:v>
                </c:pt>
                <c:pt idx="1418">
                  <c:v>35272</c:v>
                </c:pt>
                <c:pt idx="1419">
                  <c:v>35275</c:v>
                </c:pt>
                <c:pt idx="1420">
                  <c:v>35276</c:v>
                </c:pt>
                <c:pt idx="1421">
                  <c:v>35277</c:v>
                </c:pt>
                <c:pt idx="1422">
                  <c:v>35278</c:v>
                </c:pt>
                <c:pt idx="1423">
                  <c:v>35279</c:v>
                </c:pt>
                <c:pt idx="1424">
                  <c:v>35282</c:v>
                </c:pt>
                <c:pt idx="1425">
                  <c:v>35283</c:v>
                </c:pt>
                <c:pt idx="1426">
                  <c:v>35284</c:v>
                </c:pt>
                <c:pt idx="1427">
                  <c:v>35285</c:v>
                </c:pt>
                <c:pt idx="1428">
                  <c:v>35286</c:v>
                </c:pt>
                <c:pt idx="1429">
                  <c:v>35289</c:v>
                </c:pt>
                <c:pt idx="1430">
                  <c:v>35290</c:v>
                </c:pt>
                <c:pt idx="1431">
                  <c:v>35291</c:v>
                </c:pt>
                <c:pt idx="1432">
                  <c:v>35292</c:v>
                </c:pt>
                <c:pt idx="1433">
                  <c:v>35293</c:v>
                </c:pt>
                <c:pt idx="1434">
                  <c:v>35296</c:v>
                </c:pt>
                <c:pt idx="1435">
                  <c:v>35297</c:v>
                </c:pt>
                <c:pt idx="1436">
                  <c:v>35298</c:v>
                </c:pt>
                <c:pt idx="1437">
                  <c:v>35299</c:v>
                </c:pt>
                <c:pt idx="1438">
                  <c:v>35300</c:v>
                </c:pt>
                <c:pt idx="1439">
                  <c:v>35303</c:v>
                </c:pt>
                <c:pt idx="1440">
                  <c:v>35304</c:v>
                </c:pt>
                <c:pt idx="1441">
                  <c:v>35305</c:v>
                </c:pt>
                <c:pt idx="1442">
                  <c:v>35306</c:v>
                </c:pt>
                <c:pt idx="1443">
                  <c:v>35307</c:v>
                </c:pt>
                <c:pt idx="1444">
                  <c:v>35310</c:v>
                </c:pt>
                <c:pt idx="1445">
                  <c:v>35311</c:v>
                </c:pt>
                <c:pt idx="1446">
                  <c:v>35312</c:v>
                </c:pt>
                <c:pt idx="1447">
                  <c:v>35313</c:v>
                </c:pt>
                <c:pt idx="1448">
                  <c:v>35314</c:v>
                </c:pt>
                <c:pt idx="1449">
                  <c:v>35317</c:v>
                </c:pt>
                <c:pt idx="1450">
                  <c:v>35318</c:v>
                </c:pt>
                <c:pt idx="1451">
                  <c:v>35319</c:v>
                </c:pt>
                <c:pt idx="1452">
                  <c:v>35320</c:v>
                </c:pt>
                <c:pt idx="1453">
                  <c:v>35321</c:v>
                </c:pt>
                <c:pt idx="1454">
                  <c:v>35324</c:v>
                </c:pt>
                <c:pt idx="1455">
                  <c:v>35325</c:v>
                </c:pt>
                <c:pt idx="1456">
                  <c:v>35326</c:v>
                </c:pt>
                <c:pt idx="1457">
                  <c:v>35327</c:v>
                </c:pt>
                <c:pt idx="1458">
                  <c:v>35328</c:v>
                </c:pt>
                <c:pt idx="1459">
                  <c:v>35331</c:v>
                </c:pt>
                <c:pt idx="1460">
                  <c:v>35332</c:v>
                </c:pt>
                <c:pt idx="1461">
                  <c:v>35333</c:v>
                </c:pt>
                <c:pt idx="1462">
                  <c:v>35334</c:v>
                </c:pt>
                <c:pt idx="1463">
                  <c:v>35335</c:v>
                </c:pt>
                <c:pt idx="1464">
                  <c:v>35338</c:v>
                </c:pt>
                <c:pt idx="1465">
                  <c:v>35339</c:v>
                </c:pt>
                <c:pt idx="1466">
                  <c:v>35340</c:v>
                </c:pt>
                <c:pt idx="1467">
                  <c:v>35342</c:v>
                </c:pt>
                <c:pt idx="1468">
                  <c:v>35345</c:v>
                </c:pt>
                <c:pt idx="1469">
                  <c:v>35346</c:v>
                </c:pt>
                <c:pt idx="1470">
                  <c:v>35347</c:v>
                </c:pt>
                <c:pt idx="1471">
                  <c:v>35348</c:v>
                </c:pt>
                <c:pt idx="1472">
                  <c:v>35349</c:v>
                </c:pt>
                <c:pt idx="1473">
                  <c:v>35352</c:v>
                </c:pt>
                <c:pt idx="1474">
                  <c:v>35353</c:v>
                </c:pt>
                <c:pt idx="1475">
                  <c:v>35354</c:v>
                </c:pt>
                <c:pt idx="1476">
                  <c:v>35355</c:v>
                </c:pt>
                <c:pt idx="1477">
                  <c:v>35356</c:v>
                </c:pt>
                <c:pt idx="1478">
                  <c:v>35359</c:v>
                </c:pt>
                <c:pt idx="1479">
                  <c:v>35360</c:v>
                </c:pt>
                <c:pt idx="1480">
                  <c:v>35361</c:v>
                </c:pt>
                <c:pt idx="1481">
                  <c:v>35362</c:v>
                </c:pt>
                <c:pt idx="1482">
                  <c:v>35363</c:v>
                </c:pt>
                <c:pt idx="1483">
                  <c:v>35366</c:v>
                </c:pt>
                <c:pt idx="1484">
                  <c:v>35367</c:v>
                </c:pt>
                <c:pt idx="1485">
                  <c:v>35368</c:v>
                </c:pt>
                <c:pt idx="1486">
                  <c:v>35369</c:v>
                </c:pt>
                <c:pt idx="1487">
                  <c:v>35370</c:v>
                </c:pt>
                <c:pt idx="1488">
                  <c:v>35373</c:v>
                </c:pt>
                <c:pt idx="1489">
                  <c:v>35374</c:v>
                </c:pt>
                <c:pt idx="1490">
                  <c:v>35375</c:v>
                </c:pt>
                <c:pt idx="1491">
                  <c:v>35376</c:v>
                </c:pt>
                <c:pt idx="1492">
                  <c:v>35377</c:v>
                </c:pt>
                <c:pt idx="1493">
                  <c:v>35380</c:v>
                </c:pt>
                <c:pt idx="1494">
                  <c:v>35381</c:v>
                </c:pt>
                <c:pt idx="1495">
                  <c:v>35382</c:v>
                </c:pt>
                <c:pt idx="1496">
                  <c:v>35383</c:v>
                </c:pt>
                <c:pt idx="1497">
                  <c:v>35384</c:v>
                </c:pt>
                <c:pt idx="1498">
                  <c:v>35387</c:v>
                </c:pt>
                <c:pt idx="1499">
                  <c:v>35388</c:v>
                </c:pt>
                <c:pt idx="1500">
                  <c:v>35389</c:v>
                </c:pt>
                <c:pt idx="1501">
                  <c:v>35390</c:v>
                </c:pt>
                <c:pt idx="1502">
                  <c:v>35391</c:v>
                </c:pt>
                <c:pt idx="1503">
                  <c:v>35394</c:v>
                </c:pt>
                <c:pt idx="1504">
                  <c:v>35395</c:v>
                </c:pt>
                <c:pt idx="1505">
                  <c:v>35396</c:v>
                </c:pt>
                <c:pt idx="1506">
                  <c:v>35397</c:v>
                </c:pt>
                <c:pt idx="1507">
                  <c:v>35398</c:v>
                </c:pt>
                <c:pt idx="1508">
                  <c:v>35401</c:v>
                </c:pt>
                <c:pt idx="1509">
                  <c:v>35402</c:v>
                </c:pt>
                <c:pt idx="1510">
                  <c:v>35403</c:v>
                </c:pt>
                <c:pt idx="1511">
                  <c:v>35404</c:v>
                </c:pt>
                <c:pt idx="1512">
                  <c:v>35405</c:v>
                </c:pt>
                <c:pt idx="1513">
                  <c:v>35408</c:v>
                </c:pt>
                <c:pt idx="1514">
                  <c:v>35409</c:v>
                </c:pt>
                <c:pt idx="1515">
                  <c:v>35410</c:v>
                </c:pt>
                <c:pt idx="1516">
                  <c:v>35411</c:v>
                </c:pt>
                <c:pt idx="1517">
                  <c:v>35412</c:v>
                </c:pt>
                <c:pt idx="1518">
                  <c:v>35415</c:v>
                </c:pt>
                <c:pt idx="1519">
                  <c:v>35416</c:v>
                </c:pt>
                <c:pt idx="1520">
                  <c:v>35417</c:v>
                </c:pt>
                <c:pt idx="1521">
                  <c:v>35418</c:v>
                </c:pt>
                <c:pt idx="1522">
                  <c:v>35419</c:v>
                </c:pt>
                <c:pt idx="1523">
                  <c:v>35422</c:v>
                </c:pt>
                <c:pt idx="1524">
                  <c:v>35426</c:v>
                </c:pt>
                <c:pt idx="1525">
                  <c:v>35429</c:v>
                </c:pt>
                <c:pt idx="1526">
                  <c:v>35432</c:v>
                </c:pt>
                <c:pt idx="1527">
                  <c:v>35433</c:v>
                </c:pt>
                <c:pt idx="1528">
                  <c:v>35436</c:v>
                </c:pt>
                <c:pt idx="1529">
                  <c:v>35437</c:v>
                </c:pt>
                <c:pt idx="1530">
                  <c:v>35438</c:v>
                </c:pt>
                <c:pt idx="1531">
                  <c:v>35439</c:v>
                </c:pt>
                <c:pt idx="1532">
                  <c:v>35440</c:v>
                </c:pt>
                <c:pt idx="1533">
                  <c:v>35443</c:v>
                </c:pt>
                <c:pt idx="1534">
                  <c:v>35444</c:v>
                </c:pt>
                <c:pt idx="1535">
                  <c:v>35445</c:v>
                </c:pt>
                <c:pt idx="1536">
                  <c:v>35446</c:v>
                </c:pt>
                <c:pt idx="1537">
                  <c:v>35447</c:v>
                </c:pt>
                <c:pt idx="1538">
                  <c:v>35450</c:v>
                </c:pt>
                <c:pt idx="1539">
                  <c:v>35451</c:v>
                </c:pt>
                <c:pt idx="1540">
                  <c:v>35452</c:v>
                </c:pt>
                <c:pt idx="1541">
                  <c:v>35453</c:v>
                </c:pt>
                <c:pt idx="1542">
                  <c:v>35454</c:v>
                </c:pt>
                <c:pt idx="1543">
                  <c:v>35457</c:v>
                </c:pt>
                <c:pt idx="1544">
                  <c:v>35458</c:v>
                </c:pt>
                <c:pt idx="1545">
                  <c:v>35459</c:v>
                </c:pt>
                <c:pt idx="1546">
                  <c:v>35460</c:v>
                </c:pt>
                <c:pt idx="1547">
                  <c:v>35461</c:v>
                </c:pt>
                <c:pt idx="1548">
                  <c:v>35464</c:v>
                </c:pt>
                <c:pt idx="1549">
                  <c:v>35465</c:v>
                </c:pt>
                <c:pt idx="1550">
                  <c:v>35466</c:v>
                </c:pt>
                <c:pt idx="1551">
                  <c:v>35467</c:v>
                </c:pt>
                <c:pt idx="1552">
                  <c:v>35468</c:v>
                </c:pt>
                <c:pt idx="1553">
                  <c:v>35471</c:v>
                </c:pt>
                <c:pt idx="1554">
                  <c:v>35472</c:v>
                </c:pt>
                <c:pt idx="1555">
                  <c:v>35473</c:v>
                </c:pt>
                <c:pt idx="1556">
                  <c:v>35474</c:v>
                </c:pt>
                <c:pt idx="1557">
                  <c:v>35475</c:v>
                </c:pt>
                <c:pt idx="1558">
                  <c:v>35478</c:v>
                </c:pt>
                <c:pt idx="1559">
                  <c:v>35479</c:v>
                </c:pt>
                <c:pt idx="1560">
                  <c:v>35480</c:v>
                </c:pt>
                <c:pt idx="1561">
                  <c:v>35481</c:v>
                </c:pt>
                <c:pt idx="1562">
                  <c:v>35482</c:v>
                </c:pt>
                <c:pt idx="1563">
                  <c:v>35485</c:v>
                </c:pt>
                <c:pt idx="1564">
                  <c:v>35486</c:v>
                </c:pt>
                <c:pt idx="1565">
                  <c:v>35487</c:v>
                </c:pt>
                <c:pt idx="1566">
                  <c:v>35488</c:v>
                </c:pt>
                <c:pt idx="1567">
                  <c:v>35489</c:v>
                </c:pt>
                <c:pt idx="1568">
                  <c:v>35492</c:v>
                </c:pt>
                <c:pt idx="1569">
                  <c:v>35493</c:v>
                </c:pt>
                <c:pt idx="1570">
                  <c:v>35494</c:v>
                </c:pt>
                <c:pt idx="1571">
                  <c:v>35495</c:v>
                </c:pt>
                <c:pt idx="1572">
                  <c:v>35496</c:v>
                </c:pt>
                <c:pt idx="1573">
                  <c:v>35499</c:v>
                </c:pt>
                <c:pt idx="1574">
                  <c:v>35500</c:v>
                </c:pt>
                <c:pt idx="1575">
                  <c:v>35501</c:v>
                </c:pt>
                <c:pt idx="1576">
                  <c:v>35502</c:v>
                </c:pt>
                <c:pt idx="1577">
                  <c:v>35503</c:v>
                </c:pt>
                <c:pt idx="1578">
                  <c:v>35506</c:v>
                </c:pt>
                <c:pt idx="1579">
                  <c:v>35507</c:v>
                </c:pt>
                <c:pt idx="1580">
                  <c:v>35508</c:v>
                </c:pt>
                <c:pt idx="1581">
                  <c:v>35509</c:v>
                </c:pt>
                <c:pt idx="1582">
                  <c:v>35510</c:v>
                </c:pt>
                <c:pt idx="1583">
                  <c:v>35513</c:v>
                </c:pt>
                <c:pt idx="1584">
                  <c:v>35514</c:v>
                </c:pt>
                <c:pt idx="1585">
                  <c:v>35515</c:v>
                </c:pt>
                <c:pt idx="1586">
                  <c:v>35516</c:v>
                </c:pt>
                <c:pt idx="1587">
                  <c:v>35521</c:v>
                </c:pt>
                <c:pt idx="1588">
                  <c:v>35522</c:v>
                </c:pt>
                <c:pt idx="1589">
                  <c:v>35523</c:v>
                </c:pt>
                <c:pt idx="1590">
                  <c:v>35524</c:v>
                </c:pt>
                <c:pt idx="1591">
                  <c:v>35527</c:v>
                </c:pt>
                <c:pt idx="1592">
                  <c:v>35528</c:v>
                </c:pt>
                <c:pt idx="1593">
                  <c:v>35529</c:v>
                </c:pt>
                <c:pt idx="1594">
                  <c:v>35530</c:v>
                </c:pt>
                <c:pt idx="1595">
                  <c:v>35531</c:v>
                </c:pt>
                <c:pt idx="1596">
                  <c:v>35534</c:v>
                </c:pt>
                <c:pt idx="1597">
                  <c:v>35535</c:v>
                </c:pt>
                <c:pt idx="1598">
                  <c:v>35536</c:v>
                </c:pt>
                <c:pt idx="1599">
                  <c:v>35537</c:v>
                </c:pt>
                <c:pt idx="1600">
                  <c:v>35538</c:v>
                </c:pt>
                <c:pt idx="1601">
                  <c:v>35541</c:v>
                </c:pt>
                <c:pt idx="1602">
                  <c:v>35542</c:v>
                </c:pt>
                <c:pt idx="1603">
                  <c:v>35543</c:v>
                </c:pt>
                <c:pt idx="1604">
                  <c:v>35544</c:v>
                </c:pt>
                <c:pt idx="1605">
                  <c:v>35545</c:v>
                </c:pt>
                <c:pt idx="1606">
                  <c:v>35548</c:v>
                </c:pt>
                <c:pt idx="1607">
                  <c:v>35549</c:v>
                </c:pt>
                <c:pt idx="1608">
                  <c:v>35550</c:v>
                </c:pt>
                <c:pt idx="1609">
                  <c:v>35552</c:v>
                </c:pt>
                <c:pt idx="1610">
                  <c:v>35555</c:v>
                </c:pt>
                <c:pt idx="1611">
                  <c:v>35556</c:v>
                </c:pt>
                <c:pt idx="1612">
                  <c:v>35557</c:v>
                </c:pt>
                <c:pt idx="1613">
                  <c:v>35559</c:v>
                </c:pt>
                <c:pt idx="1614">
                  <c:v>35562</c:v>
                </c:pt>
                <c:pt idx="1615">
                  <c:v>35563</c:v>
                </c:pt>
                <c:pt idx="1616">
                  <c:v>35564</c:v>
                </c:pt>
                <c:pt idx="1617">
                  <c:v>35565</c:v>
                </c:pt>
                <c:pt idx="1618">
                  <c:v>35566</c:v>
                </c:pt>
                <c:pt idx="1619">
                  <c:v>35570</c:v>
                </c:pt>
                <c:pt idx="1620">
                  <c:v>35571</c:v>
                </c:pt>
                <c:pt idx="1621">
                  <c:v>35572</c:v>
                </c:pt>
                <c:pt idx="1622">
                  <c:v>35573</c:v>
                </c:pt>
                <c:pt idx="1623">
                  <c:v>35576</c:v>
                </c:pt>
                <c:pt idx="1624">
                  <c:v>35577</c:v>
                </c:pt>
                <c:pt idx="1625">
                  <c:v>35578</c:v>
                </c:pt>
                <c:pt idx="1626">
                  <c:v>35580</c:v>
                </c:pt>
                <c:pt idx="1627">
                  <c:v>35583</c:v>
                </c:pt>
                <c:pt idx="1628">
                  <c:v>35584</c:v>
                </c:pt>
                <c:pt idx="1629">
                  <c:v>35585</c:v>
                </c:pt>
                <c:pt idx="1630">
                  <c:v>35586</c:v>
                </c:pt>
                <c:pt idx="1631">
                  <c:v>35587</c:v>
                </c:pt>
                <c:pt idx="1632">
                  <c:v>35590</c:v>
                </c:pt>
                <c:pt idx="1633">
                  <c:v>35591</c:v>
                </c:pt>
                <c:pt idx="1634">
                  <c:v>35592</c:v>
                </c:pt>
                <c:pt idx="1635">
                  <c:v>35593</c:v>
                </c:pt>
                <c:pt idx="1636">
                  <c:v>35594</c:v>
                </c:pt>
                <c:pt idx="1637">
                  <c:v>35597</c:v>
                </c:pt>
                <c:pt idx="1638">
                  <c:v>35598</c:v>
                </c:pt>
                <c:pt idx="1639">
                  <c:v>35599</c:v>
                </c:pt>
                <c:pt idx="1640">
                  <c:v>35600</c:v>
                </c:pt>
                <c:pt idx="1641">
                  <c:v>35601</c:v>
                </c:pt>
                <c:pt idx="1642">
                  <c:v>35604</c:v>
                </c:pt>
                <c:pt idx="1643">
                  <c:v>35605</c:v>
                </c:pt>
                <c:pt idx="1644">
                  <c:v>35606</c:v>
                </c:pt>
                <c:pt idx="1645">
                  <c:v>35607</c:v>
                </c:pt>
                <c:pt idx="1646">
                  <c:v>35608</c:v>
                </c:pt>
                <c:pt idx="1647">
                  <c:v>35611</c:v>
                </c:pt>
                <c:pt idx="1648">
                  <c:v>35612</c:v>
                </c:pt>
                <c:pt idx="1649">
                  <c:v>35613</c:v>
                </c:pt>
                <c:pt idx="1650">
                  <c:v>35614</c:v>
                </c:pt>
                <c:pt idx="1651">
                  <c:v>35615</c:v>
                </c:pt>
                <c:pt idx="1652">
                  <c:v>35618</c:v>
                </c:pt>
                <c:pt idx="1653">
                  <c:v>35619</c:v>
                </c:pt>
                <c:pt idx="1654">
                  <c:v>35620</c:v>
                </c:pt>
                <c:pt idx="1655">
                  <c:v>35621</c:v>
                </c:pt>
                <c:pt idx="1656">
                  <c:v>35622</c:v>
                </c:pt>
                <c:pt idx="1657">
                  <c:v>35625</c:v>
                </c:pt>
                <c:pt idx="1658">
                  <c:v>35626</c:v>
                </c:pt>
                <c:pt idx="1659">
                  <c:v>35627</c:v>
                </c:pt>
                <c:pt idx="1660">
                  <c:v>35628</c:v>
                </c:pt>
                <c:pt idx="1661">
                  <c:v>35629</c:v>
                </c:pt>
                <c:pt idx="1662">
                  <c:v>35632</c:v>
                </c:pt>
                <c:pt idx="1663">
                  <c:v>35633</c:v>
                </c:pt>
                <c:pt idx="1664">
                  <c:v>35634</c:v>
                </c:pt>
                <c:pt idx="1665">
                  <c:v>35635</c:v>
                </c:pt>
                <c:pt idx="1666">
                  <c:v>35636</c:v>
                </c:pt>
                <c:pt idx="1667">
                  <c:v>35639</c:v>
                </c:pt>
                <c:pt idx="1668">
                  <c:v>35640</c:v>
                </c:pt>
                <c:pt idx="1669">
                  <c:v>35641</c:v>
                </c:pt>
                <c:pt idx="1670">
                  <c:v>35642</c:v>
                </c:pt>
                <c:pt idx="1671">
                  <c:v>35643</c:v>
                </c:pt>
                <c:pt idx="1672">
                  <c:v>35646</c:v>
                </c:pt>
                <c:pt idx="1673">
                  <c:v>35647</c:v>
                </c:pt>
                <c:pt idx="1674">
                  <c:v>35648</c:v>
                </c:pt>
                <c:pt idx="1675">
                  <c:v>35649</c:v>
                </c:pt>
                <c:pt idx="1676">
                  <c:v>35650</c:v>
                </c:pt>
                <c:pt idx="1677">
                  <c:v>35653</c:v>
                </c:pt>
                <c:pt idx="1678">
                  <c:v>35654</c:v>
                </c:pt>
                <c:pt idx="1679">
                  <c:v>35655</c:v>
                </c:pt>
                <c:pt idx="1680">
                  <c:v>35656</c:v>
                </c:pt>
                <c:pt idx="1681">
                  <c:v>35657</c:v>
                </c:pt>
                <c:pt idx="1682">
                  <c:v>35660</c:v>
                </c:pt>
                <c:pt idx="1683">
                  <c:v>35661</c:v>
                </c:pt>
                <c:pt idx="1684">
                  <c:v>35662</c:v>
                </c:pt>
                <c:pt idx="1685">
                  <c:v>35663</c:v>
                </c:pt>
                <c:pt idx="1686">
                  <c:v>35664</c:v>
                </c:pt>
                <c:pt idx="1687">
                  <c:v>35667</c:v>
                </c:pt>
                <c:pt idx="1688">
                  <c:v>35668</c:v>
                </c:pt>
                <c:pt idx="1689">
                  <c:v>35669</c:v>
                </c:pt>
                <c:pt idx="1690">
                  <c:v>35670</c:v>
                </c:pt>
                <c:pt idx="1691">
                  <c:v>35671</c:v>
                </c:pt>
                <c:pt idx="1692">
                  <c:v>35674</c:v>
                </c:pt>
                <c:pt idx="1693">
                  <c:v>35675</c:v>
                </c:pt>
                <c:pt idx="1694">
                  <c:v>35676</c:v>
                </c:pt>
                <c:pt idx="1695">
                  <c:v>35677</c:v>
                </c:pt>
                <c:pt idx="1696">
                  <c:v>35678</c:v>
                </c:pt>
                <c:pt idx="1697">
                  <c:v>35681</c:v>
                </c:pt>
                <c:pt idx="1698">
                  <c:v>35682</c:v>
                </c:pt>
                <c:pt idx="1699">
                  <c:v>35683</c:v>
                </c:pt>
                <c:pt idx="1700">
                  <c:v>35684</c:v>
                </c:pt>
                <c:pt idx="1701">
                  <c:v>35685</c:v>
                </c:pt>
                <c:pt idx="1702">
                  <c:v>35688</c:v>
                </c:pt>
                <c:pt idx="1703">
                  <c:v>35689</c:v>
                </c:pt>
                <c:pt idx="1704">
                  <c:v>35690</c:v>
                </c:pt>
                <c:pt idx="1705">
                  <c:v>35691</c:v>
                </c:pt>
                <c:pt idx="1706">
                  <c:v>35692</c:v>
                </c:pt>
                <c:pt idx="1707">
                  <c:v>35695</c:v>
                </c:pt>
                <c:pt idx="1708">
                  <c:v>35696</c:v>
                </c:pt>
                <c:pt idx="1709">
                  <c:v>35697</c:v>
                </c:pt>
                <c:pt idx="1710">
                  <c:v>35698</c:v>
                </c:pt>
                <c:pt idx="1711">
                  <c:v>35699</c:v>
                </c:pt>
                <c:pt idx="1712">
                  <c:v>35702</c:v>
                </c:pt>
                <c:pt idx="1713">
                  <c:v>35703</c:v>
                </c:pt>
                <c:pt idx="1714">
                  <c:v>35704</c:v>
                </c:pt>
                <c:pt idx="1715">
                  <c:v>35705</c:v>
                </c:pt>
                <c:pt idx="1716">
                  <c:v>35709</c:v>
                </c:pt>
                <c:pt idx="1717">
                  <c:v>35710</c:v>
                </c:pt>
                <c:pt idx="1718">
                  <c:v>35711</c:v>
                </c:pt>
                <c:pt idx="1719">
                  <c:v>35712</c:v>
                </c:pt>
                <c:pt idx="1720">
                  <c:v>35713</c:v>
                </c:pt>
                <c:pt idx="1721">
                  <c:v>35716</c:v>
                </c:pt>
                <c:pt idx="1722">
                  <c:v>35717</c:v>
                </c:pt>
                <c:pt idx="1723">
                  <c:v>35718</c:v>
                </c:pt>
                <c:pt idx="1724">
                  <c:v>35719</c:v>
                </c:pt>
                <c:pt idx="1725">
                  <c:v>35720</c:v>
                </c:pt>
                <c:pt idx="1726">
                  <c:v>35723</c:v>
                </c:pt>
                <c:pt idx="1727">
                  <c:v>35724</c:v>
                </c:pt>
                <c:pt idx="1728">
                  <c:v>35725</c:v>
                </c:pt>
                <c:pt idx="1729">
                  <c:v>35726</c:v>
                </c:pt>
                <c:pt idx="1730">
                  <c:v>35727</c:v>
                </c:pt>
                <c:pt idx="1731">
                  <c:v>35730</c:v>
                </c:pt>
                <c:pt idx="1732">
                  <c:v>35731</c:v>
                </c:pt>
                <c:pt idx="1733">
                  <c:v>35732</c:v>
                </c:pt>
                <c:pt idx="1734">
                  <c:v>35733</c:v>
                </c:pt>
                <c:pt idx="1735">
                  <c:v>35734</c:v>
                </c:pt>
                <c:pt idx="1736">
                  <c:v>35737</c:v>
                </c:pt>
                <c:pt idx="1737">
                  <c:v>35738</c:v>
                </c:pt>
                <c:pt idx="1738">
                  <c:v>35739</c:v>
                </c:pt>
                <c:pt idx="1739">
                  <c:v>35740</c:v>
                </c:pt>
                <c:pt idx="1740">
                  <c:v>35741</c:v>
                </c:pt>
                <c:pt idx="1741">
                  <c:v>35744</c:v>
                </c:pt>
                <c:pt idx="1742">
                  <c:v>35745</c:v>
                </c:pt>
                <c:pt idx="1743">
                  <c:v>35746</c:v>
                </c:pt>
                <c:pt idx="1744">
                  <c:v>35747</c:v>
                </c:pt>
                <c:pt idx="1745">
                  <c:v>35748</c:v>
                </c:pt>
                <c:pt idx="1746">
                  <c:v>35751</c:v>
                </c:pt>
                <c:pt idx="1747">
                  <c:v>35752</c:v>
                </c:pt>
                <c:pt idx="1748">
                  <c:v>35753</c:v>
                </c:pt>
                <c:pt idx="1749">
                  <c:v>35754</c:v>
                </c:pt>
                <c:pt idx="1750">
                  <c:v>35755</c:v>
                </c:pt>
                <c:pt idx="1751">
                  <c:v>35758</c:v>
                </c:pt>
                <c:pt idx="1752">
                  <c:v>35759</c:v>
                </c:pt>
                <c:pt idx="1753">
                  <c:v>35760</c:v>
                </c:pt>
                <c:pt idx="1754">
                  <c:v>35761</c:v>
                </c:pt>
                <c:pt idx="1755">
                  <c:v>35762</c:v>
                </c:pt>
                <c:pt idx="1756">
                  <c:v>35765</c:v>
                </c:pt>
                <c:pt idx="1757">
                  <c:v>35766</c:v>
                </c:pt>
                <c:pt idx="1758">
                  <c:v>35767</c:v>
                </c:pt>
                <c:pt idx="1759">
                  <c:v>35768</c:v>
                </c:pt>
                <c:pt idx="1760">
                  <c:v>35769</c:v>
                </c:pt>
                <c:pt idx="1761">
                  <c:v>35772</c:v>
                </c:pt>
                <c:pt idx="1762">
                  <c:v>35773</c:v>
                </c:pt>
                <c:pt idx="1763">
                  <c:v>35774</c:v>
                </c:pt>
                <c:pt idx="1764">
                  <c:v>35775</c:v>
                </c:pt>
                <c:pt idx="1765">
                  <c:v>35776</c:v>
                </c:pt>
                <c:pt idx="1766">
                  <c:v>35779</c:v>
                </c:pt>
                <c:pt idx="1767">
                  <c:v>35780</c:v>
                </c:pt>
                <c:pt idx="1768">
                  <c:v>35781</c:v>
                </c:pt>
                <c:pt idx="1769">
                  <c:v>35782</c:v>
                </c:pt>
                <c:pt idx="1770">
                  <c:v>35783</c:v>
                </c:pt>
                <c:pt idx="1771">
                  <c:v>35786</c:v>
                </c:pt>
                <c:pt idx="1772">
                  <c:v>35787</c:v>
                </c:pt>
                <c:pt idx="1773">
                  <c:v>35793</c:v>
                </c:pt>
                <c:pt idx="1774">
                  <c:v>35794</c:v>
                </c:pt>
                <c:pt idx="1775">
                  <c:v>35797</c:v>
                </c:pt>
                <c:pt idx="1776">
                  <c:v>35800</c:v>
                </c:pt>
                <c:pt idx="1777">
                  <c:v>35801</c:v>
                </c:pt>
                <c:pt idx="1778">
                  <c:v>35802</c:v>
                </c:pt>
                <c:pt idx="1779">
                  <c:v>35803</c:v>
                </c:pt>
                <c:pt idx="1780">
                  <c:v>35804</c:v>
                </c:pt>
                <c:pt idx="1781">
                  <c:v>35807</c:v>
                </c:pt>
                <c:pt idx="1782">
                  <c:v>35808</c:v>
                </c:pt>
                <c:pt idx="1783">
                  <c:v>35809</c:v>
                </c:pt>
                <c:pt idx="1784">
                  <c:v>35810</c:v>
                </c:pt>
                <c:pt idx="1785">
                  <c:v>35811</c:v>
                </c:pt>
                <c:pt idx="1786">
                  <c:v>35814</c:v>
                </c:pt>
                <c:pt idx="1787">
                  <c:v>35815</c:v>
                </c:pt>
                <c:pt idx="1788">
                  <c:v>35816</c:v>
                </c:pt>
                <c:pt idx="1789">
                  <c:v>35817</c:v>
                </c:pt>
                <c:pt idx="1790">
                  <c:v>35818</c:v>
                </c:pt>
                <c:pt idx="1791">
                  <c:v>35821</c:v>
                </c:pt>
                <c:pt idx="1792">
                  <c:v>35822</c:v>
                </c:pt>
                <c:pt idx="1793">
                  <c:v>35823</c:v>
                </c:pt>
                <c:pt idx="1794">
                  <c:v>35824</c:v>
                </c:pt>
                <c:pt idx="1795">
                  <c:v>35825</c:v>
                </c:pt>
                <c:pt idx="1796">
                  <c:v>35828</c:v>
                </c:pt>
                <c:pt idx="1797">
                  <c:v>35829</c:v>
                </c:pt>
                <c:pt idx="1798">
                  <c:v>35830</c:v>
                </c:pt>
                <c:pt idx="1799">
                  <c:v>35831</c:v>
                </c:pt>
                <c:pt idx="1800">
                  <c:v>35832</c:v>
                </c:pt>
                <c:pt idx="1801">
                  <c:v>35835</c:v>
                </c:pt>
                <c:pt idx="1802">
                  <c:v>35836</c:v>
                </c:pt>
                <c:pt idx="1803">
                  <c:v>35837</c:v>
                </c:pt>
                <c:pt idx="1804">
                  <c:v>35838</c:v>
                </c:pt>
                <c:pt idx="1805">
                  <c:v>35839</c:v>
                </c:pt>
                <c:pt idx="1806">
                  <c:v>35842</c:v>
                </c:pt>
                <c:pt idx="1807">
                  <c:v>35843</c:v>
                </c:pt>
                <c:pt idx="1808">
                  <c:v>35844</c:v>
                </c:pt>
                <c:pt idx="1809">
                  <c:v>35845</c:v>
                </c:pt>
                <c:pt idx="1810">
                  <c:v>35846</c:v>
                </c:pt>
                <c:pt idx="1811">
                  <c:v>35849</c:v>
                </c:pt>
                <c:pt idx="1812">
                  <c:v>35850</c:v>
                </c:pt>
                <c:pt idx="1813">
                  <c:v>35851</c:v>
                </c:pt>
                <c:pt idx="1814">
                  <c:v>35852</c:v>
                </c:pt>
                <c:pt idx="1815">
                  <c:v>35853</c:v>
                </c:pt>
                <c:pt idx="1816">
                  <c:v>35856</c:v>
                </c:pt>
                <c:pt idx="1817">
                  <c:v>35857</c:v>
                </c:pt>
                <c:pt idx="1818">
                  <c:v>35858</c:v>
                </c:pt>
                <c:pt idx="1819">
                  <c:v>35859</c:v>
                </c:pt>
                <c:pt idx="1820">
                  <c:v>35860</c:v>
                </c:pt>
                <c:pt idx="1821">
                  <c:v>35863</c:v>
                </c:pt>
                <c:pt idx="1822">
                  <c:v>35864</c:v>
                </c:pt>
                <c:pt idx="1823">
                  <c:v>35865</c:v>
                </c:pt>
                <c:pt idx="1824">
                  <c:v>35866</c:v>
                </c:pt>
                <c:pt idx="1825">
                  <c:v>35867</c:v>
                </c:pt>
                <c:pt idx="1826">
                  <c:v>35870</c:v>
                </c:pt>
                <c:pt idx="1827">
                  <c:v>35871</c:v>
                </c:pt>
                <c:pt idx="1828">
                  <c:v>35872</c:v>
                </c:pt>
                <c:pt idx="1829">
                  <c:v>35873</c:v>
                </c:pt>
                <c:pt idx="1830">
                  <c:v>35874</c:v>
                </c:pt>
                <c:pt idx="1831">
                  <c:v>35877</c:v>
                </c:pt>
                <c:pt idx="1832">
                  <c:v>35878</c:v>
                </c:pt>
                <c:pt idx="1833">
                  <c:v>35879</c:v>
                </c:pt>
                <c:pt idx="1834">
                  <c:v>35880</c:v>
                </c:pt>
                <c:pt idx="1835">
                  <c:v>35881</c:v>
                </c:pt>
                <c:pt idx="1836">
                  <c:v>35884</c:v>
                </c:pt>
                <c:pt idx="1837">
                  <c:v>35885</c:v>
                </c:pt>
                <c:pt idx="1838">
                  <c:v>35886</c:v>
                </c:pt>
                <c:pt idx="1839">
                  <c:v>35887</c:v>
                </c:pt>
                <c:pt idx="1840">
                  <c:v>35888</c:v>
                </c:pt>
                <c:pt idx="1841">
                  <c:v>35891</c:v>
                </c:pt>
                <c:pt idx="1842">
                  <c:v>35892</c:v>
                </c:pt>
                <c:pt idx="1843">
                  <c:v>35893</c:v>
                </c:pt>
                <c:pt idx="1844">
                  <c:v>35894</c:v>
                </c:pt>
                <c:pt idx="1845">
                  <c:v>35899</c:v>
                </c:pt>
                <c:pt idx="1846">
                  <c:v>35900</c:v>
                </c:pt>
                <c:pt idx="1847">
                  <c:v>35901</c:v>
                </c:pt>
                <c:pt idx="1848">
                  <c:v>35902</c:v>
                </c:pt>
                <c:pt idx="1849">
                  <c:v>35905</c:v>
                </c:pt>
                <c:pt idx="1850">
                  <c:v>35906</c:v>
                </c:pt>
                <c:pt idx="1851">
                  <c:v>35907</c:v>
                </c:pt>
                <c:pt idx="1852">
                  <c:v>35908</c:v>
                </c:pt>
                <c:pt idx="1853">
                  <c:v>35909</c:v>
                </c:pt>
                <c:pt idx="1854">
                  <c:v>35912</c:v>
                </c:pt>
                <c:pt idx="1855">
                  <c:v>35913</c:v>
                </c:pt>
                <c:pt idx="1856">
                  <c:v>35914</c:v>
                </c:pt>
                <c:pt idx="1857">
                  <c:v>35915</c:v>
                </c:pt>
                <c:pt idx="1858">
                  <c:v>35919</c:v>
                </c:pt>
                <c:pt idx="1859">
                  <c:v>35920</c:v>
                </c:pt>
                <c:pt idx="1860">
                  <c:v>35921</c:v>
                </c:pt>
                <c:pt idx="1861">
                  <c:v>35922</c:v>
                </c:pt>
                <c:pt idx="1862">
                  <c:v>35923</c:v>
                </c:pt>
                <c:pt idx="1863">
                  <c:v>35926</c:v>
                </c:pt>
                <c:pt idx="1864">
                  <c:v>35927</c:v>
                </c:pt>
                <c:pt idx="1865">
                  <c:v>35928</c:v>
                </c:pt>
                <c:pt idx="1866">
                  <c:v>35929</c:v>
                </c:pt>
                <c:pt idx="1867">
                  <c:v>35930</c:v>
                </c:pt>
                <c:pt idx="1868">
                  <c:v>35933</c:v>
                </c:pt>
                <c:pt idx="1869">
                  <c:v>35934</c:v>
                </c:pt>
                <c:pt idx="1870">
                  <c:v>35935</c:v>
                </c:pt>
                <c:pt idx="1871">
                  <c:v>35937</c:v>
                </c:pt>
                <c:pt idx="1872">
                  <c:v>35940</c:v>
                </c:pt>
                <c:pt idx="1873">
                  <c:v>35941</c:v>
                </c:pt>
                <c:pt idx="1874">
                  <c:v>35942</c:v>
                </c:pt>
                <c:pt idx="1875">
                  <c:v>35943</c:v>
                </c:pt>
                <c:pt idx="1876">
                  <c:v>35944</c:v>
                </c:pt>
                <c:pt idx="1877">
                  <c:v>35948</c:v>
                </c:pt>
                <c:pt idx="1878">
                  <c:v>35949</c:v>
                </c:pt>
                <c:pt idx="1879">
                  <c:v>35950</c:v>
                </c:pt>
                <c:pt idx="1880">
                  <c:v>35951</c:v>
                </c:pt>
                <c:pt idx="1881">
                  <c:v>35954</c:v>
                </c:pt>
                <c:pt idx="1882">
                  <c:v>35955</c:v>
                </c:pt>
                <c:pt idx="1883">
                  <c:v>35956</c:v>
                </c:pt>
                <c:pt idx="1884">
                  <c:v>35958</c:v>
                </c:pt>
                <c:pt idx="1885">
                  <c:v>35961</c:v>
                </c:pt>
                <c:pt idx="1886">
                  <c:v>35962</c:v>
                </c:pt>
                <c:pt idx="1887">
                  <c:v>35963</c:v>
                </c:pt>
                <c:pt idx="1888">
                  <c:v>35964</c:v>
                </c:pt>
                <c:pt idx="1889">
                  <c:v>35965</c:v>
                </c:pt>
                <c:pt idx="1890">
                  <c:v>35968</c:v>
                </c:pt>
                <c:pt idx="1891">
                  <c:v>35969</c:v>
                </c:pt>
                <c:pt idx="1892">
                  <c:v>35970</c:v>
                </c:pt>
                <c:pt idx="1893">
                  <c:v>35971</c:v>
                </c:pt>
                <c:pt idx="1894">
                  <c:v>35972</c:v>
                </c:pt>
                <c:pt idx="1895">
                  <c:v>35975</c:v>
                </c:pt>
                <c:pt idx="1896">
                  <c:v>35976</c:v>
                </c:pt>
                <c:pt idx="1897">
                  <c:v>35977</c:v>
                </c:pt>
                <c:pt idx="1898">
                  <c:v>35978</c:v>
                </c:pt>
                <c:pt idx="1899">
                  <c:v>35979</c:v>
                </c:pt>
                <c:pt idx="1900">
                  <c:v>35982</c:v>
                </c:pt>
                <c:pt idx="1901">
                  <c:v>35983</c:v>
                </c:pt>
                <c:pt idx="1902">
                  <c:v>35984</c:v>
                </c:pt>
                <c:pt idx="1903">
                  <c:v>35985</c:v>
                </c:pt>
                <c:pt idx="1904">
                  <c:v>35986</c:v>
                </c:pt>
                <c:pt idx="1905">
                  <c:v>35989</c:v>
                </c:pt>
                <c:pt idx="1906">
                  <c:v>35990</c:v>
                </c:pt>
                <c:pt idx="1907">
                  <c:v>35991</c:v>
                </c:pt>
                <c:pt idx="1908">
                  <c:v>35992</c:v>
                </c:pt>
                <c:pt idx="1909">
                  <c:v>35993</c:v>
                </c:pt>
                <c:pt idx="1910">
                  <c:v>35996</c:v>
                </c:pt>
                <c:pt idx="1911">
                  <c:v>35997</c:v>
                </c:pt>
                <c:pt idx="1912">
                  <c:v>35998</c:v>
                </c:pt>
                <c:pt idx="1913">
                  <c:v>35999</c:v>
                </c:pt>
                <c:pt idx="1914">
                  <c:v>36000</c:v>
                </c:pt>
                <c:pt idx="1915">
                  <c:v>36003</c:v>
                </c:pt>
                <c:pt idx="1916">
                  <c:v>36004</c:v>
                </c:pt>
                <c:pt idx="1917">
                  <c:v>36005</c:v>
                </c:pt>
                <c:pt idx="1918">
                  <c:v>36006</c:v>
                </c:pt>
                <c:pt idx="1919">
                  <c:v>36007</c:v>
                </c:pt>
                <c:pt idx="1920">
                  <c:v>36010</c:v>
                </c:pt>
                <c:pt idx="1921">
                  <c:v>36011</c:v>
                </c:pt>
                <c:pt idx="1922">
                  <c:v>36012</c:v>
                </c:pt>
                <c:pt idx="1923">
                  <c:v>36013</c:v>
                </c:pt>
                <c:pt idx="1924">
                  <c:v>36014</c:v>
                </c:pt>
                <c:pt idx="1925">
                  <c:v>36017</c:v>
                </c:pt>
                <c:pt idx="1926">
                  <c:v>36018</c:v>
                </c:pt>
                <c:pt idx="1927">
                  <c:v>36019</c:v>
                </c:pt>
                <c:pt idx="1928">
                  <c:v>36020</c:v>
                </c:pt>
                <c:pt idx="1929">
                  <c:v>36021</c:v>
                </c:pt>
                <c:pt idx="1930">
                  <c:v>36024</c:v>
                </c:pt>
                <c:pt idx="1931">
                  <c:v>36025</c:v>
                </c:pt>
                <c:pt idx="1932">
                  <c:v>36026</c:v>
                </c:pt>
                <c:pt idx="1933">
                  <c:v>36027</c:v>
                </c:pt>
                <c:pt idx="1934">
                  <c:v>36028</c:v>
                </c:pt>
                <c:pt idx="1935">
                  <c:v>36031</c:v>
                </c:pt>
                <c:pt idx="1936">
                  <c:v>36032</c:v>
                </c:pt>
                <c:pt idx="1937">
                  <c:v>36033</c:v>
                </c:pt>
                <c:pt idx="1938">
                  <c:v>36034</c:v>
                </c:pt>
                <c:pt idx="1939">
                  <c:v>36035</c:v>
                </c:pt>
                <c:pt idx="1940">
                  <c:v>36038</c:v>
                </c:pt>
                <c:pt idx="1941">
                  <c:v>36039</c:v>
                </c:pt>
                <c:pt idx="1942">
                  <c:v>36040</c:v>
                </c:pt>
                <c:pt idx="1943">
                  <c:v>36041</c:v>
                </c:pt>
                <c:pt idx="1944">
                  <c:v>36042</c:v>
                </c:pt>
                <c:pt idx="1945">
                  <c:v>36045</c:v>
                </c:pt>
                <c:pt idx="1946">
                  <c:v>36046</c:v>
                </c:pt>
                <c:pt idx="1947">
                  <c:v>36047</c:v>
                </c:pt>
                <c:pt idx="1948">
                  <c:v>36048</c:v>
                </c:pt>
                <c:pt idx="1949">
                  <c:v>36049</c:v>
                </c:pt>
                <c:pt idx="1950">
                  <c:v>36052</c:v>
                </c:pt>
                <c:pt idx="1951">
                  <c:v>36053</c:v>
                </c:pt>
                <c:pt idx="1952">
                  <c:v>36054</c:v>
                </c:pt>
                <c:pt idx="1953">
                  <c:v>36055</c:v>
                </c:pt>
                <c:pt idx="1954">
                  <c:v>36056</c:v>
                </c:pt>
                <c:pt idx="1955">
                  <c:v>36059</c:v>
                </c:pt>
                <c:pt idx="1956">
                  <c:v>36060</c:v>
                </c:pt>
                <c:pt idx="1957">
                  <c:v>36061</c:v>
                </c:pt>
                <c:pt idx="1958">
                  <c:v>36062</c:v>
                </c:pt>
                <c:pt idx="1959">
                  <c:v>36063</c:v>
                </c:pt>
                <c:pt idx="1960">
                  <c:v>36066</c:v>
                </c:pt>
                <c:pt idx="1961">
                  <c:v>36067</c:v>
                </c:pt>
                <c:pt idx="1962">
                  <c:v>36068</c:v>
                </c:pt>
                <c:pt idx="1963">
                  <c:v>36069</c:v>
                </c:pt>
                <c:pt idx="1964">
                  <c:v>36070</c:v>
                </c:pt>
                <c:pt idx="1965">
                  <c:v>36073</c:v>
                </c:pt>
                <c:pt idx="1966">
                  <c:v>36074</c:v>
                </c:pt>
                <c:pt idx="1967">
                  <c:v>36075</c:v>
                </c:pt>
                <c:pt idx="1968">
                  <c:v>36076</c:v>
                </c:pt>
                <c:pt idx="1969">
                  <c:v>36077</c:v>
                </c:pt>
                <c:pt idx="1970">
                  <c:v>36080</c:v>
                </c:pt>
                <c:pt idx="1971">
                  <c:v>36081</c:v>
                </c:pt>
                <c:pt idx="1972">
                  <c:v>36082</c:v>
                </c:pt>
                <c:pt idx="1973">
                  <c:v>36083</c:v>
                </c:pt>
                <c:pt idx="1974">
                  <c:v>36084</c:v>
                </c:pt>
                <c:pt idx="1975">
                  <c:v>36087</c:v>
                </c:pt>
                <c:pt idx="1976">
                  <c:v>36088</c:v>
                </c:pt>
                <c:pt idx="1977">
                  <c:v>36089</c:v>
                </c:pt>
                <c:pt idx="1978">
                  <c:v>36090</c:v>
                </c:pt>
                <c:pt idx="1979">
                  <c:v>36091</c:v>
                </c:pt>
                <c:pt idx="1980">
                  <c:v>36094</c:v>
                </c:pt>
                <c:pt idx="1981">
                  <c:v>36095</c:v>
                </c:pt>
                <c:pt idx="1982">
                  <c:v>36096</c:v>
                </c:pt>
                <c:pt idx="1983">
                  <c:v>36097</c:v>
                </c:pt>
                <c:pt idx="1984">
                  <c:v>36098</c:v>
                </c:pt>
                <c:pt idx="1985">
                  <c:v>36101</c:v>
                </c:pt>
                <c:pt idx="1986">
                  <c:v>36102</c:v>
                </c:pt>
                <c:pt idx="1987">
                  <c:v>36103</c:v>
                </c:pt>
                <c:pt idx="1988">
                  <c:v>36104</c:v>
                </c:pt>
                <c:pt idx="1989">
                  <c:v>36105</c:v>
                </c:pt>
                <c:pt idx="1990">
                  <c:v>36108</c:v>
                </c:pt>
                <c:pt idx="1991">
                  <c:v>36109</c:v>
                </c:pt>
                <c:pt idx="1992">
                  <c:v>36110</c:v>
                </c:pt>
                <c:pt idx="1993">
                  <c:v>36111</c:v>
                </c:pt>
                <c:pt idx="1994">
                  <c:v>36112</c:v>
                </c:pt>
                <c:pt idx="1995">
                  <c:v>36115</c:v>
                </c:pt>
                <c:pt idx="1996">
                  <c:v>36116</c:v>
                </c:pt>
                <c:pt idx="1997">
                  <c:v>36117</c:v>
                </c:pt>
                <c:pt idx="1998">
                  <c:v>36118</c:v>
                </c:pt>
                <c:pt idx="1999">
                  <c:v>36119</c:v>
                </c:pt>
                <c:pt idx="2000">
                  <c:v>36122</c:v>
                </c:pt>
                <c:pt idx="2001">
                  <c:v>36123</c:v>
                </c:pt>
                <c:pt idx="2002">
                  <c:v>36124</c:v>
                </c:pt>
                <c:pt idx="2003">
                  <c:v>36125</c:v>
                </c:pt>
                <c:pt idx="2004">
                  <c:v>36126</c:v>
                </c:pt>
                <c:pt idx="2005">
                  <c:v>36129</c:v>
                </c:pt>
                <c:pt idx="2006">
                  <c:v>36130</c:v>
                </c:pt>
                <c:pt idx="2007">
                  <c:v>36131</c:v>
                </c:pt>
                <c:pt idx="2008">
                  <c:v>36132</c:v>
                </c:pt>
                <c:pt idx="2009">
                  <c:v>36133</c:v>
                </c:pt>
                <c:pt idx="2010">
                  <c:v>36136</c:v>
                </c:pt>
                <c:pt idx="2011">
                  <c:v>36137</c:v>
                </c:pt>
                <c:pt idx="2012">
                  <c:v>36138</c:v>
                </c:pt>
                <c:pt idx="2013">
                  <c:v>36139</c:v>
                </c:pt>
                <c:pt idx="2014">
                  <c:v>36140</c:v>
                </c:pt>
                <c:pt idx="2015">
                  <c:v>36143</c:v>
                </c:pt>
                <c:pt idx="2016">
                  <c:v>36144</c:v>
                </c:pt>
                <c:pt idx="2017">
                  <c:v>36145</c:v>
                </c:pt>
                <c:pt idx="2018">
                  <c:v>36146</c:v>
                </c:pt>
                <c:pt idx="2019">
                  <c:v>36147</c:v>
                </c:pt>
                <c:pt idx="2020">
                  <c:v>36150</c:v>
                </c:pt>
                <c:pt idx="2021">
                  <c:v>36151</c:v>
                </c:pt>
                <c:pt idx="2022">
                  <c:v>36152</c:v>
                </c:pt>
                <c:pt idx="2023">
                  <c:v>36157</c:v>
                </c:pt>
                <c:pt idx="2024">
                  <c:v>36158</c:v>
                </c:pt>
                <c:pt idx="2025">
                  <c:v>36159</c:v>
                </c:pt>
                <c:pt idx="2026">
                  <c:v>36164</c:v>
                </c:pt>
                <c:pt idx="2027">
                  <c:v>36165</c:v>
                </c:pt>
                <c:pt idx="2028">
                  <c:v>36166</c:v>
                </c:pt>
                <c:pt idx="2029">
                  <c:v>36167</c:v>
                </c:pt>
                <c:pt idx="2030">
                  <c:v>36168</c:v>
                </c:pt>
                <c:pt idx="2031">
                  <c:v>36171</c:v>
                </c:pt>
                <c:pt idx="2032">
                  <c:v>36172</c:v>
                </c:pt>
                <c:pt idx="2033">
                  <c:v>36173</c:v>
                </c:pt>
                <c:pt idx="2034">
                  <c:v>36174</c:v>
                </c:pt>
                <c:pt idx="2035">
                  <c:v>36175</c:v>
                </c:pt>
                <c:pt idx="2036">
                  <c:v>36178</c:v>
                </c:pt>
                <c:pt idx="2037">
                  <c:v>36179</c:v>
                </c:pt>
                <c:pt idx="2038">
                  <c:v>36180</c:v>
                </c:pt>
                <c:pt idx="2039">
                  <c:v>36181</c:v>
                </c:pt>
                <c:pt idx="2040">
                  <c:v>36182</c:v>
                </c:pt>
                <c:pt idx="2041">
                  <c:v>36185</c:v>
                </c:pt>
                <c:pt idx="2042">
                  <c:v>36186</c:v>
                </c:pt>
                <c:pt idx="2043">
                  <c:v>36187</c:v>
                </c:pt>
                <c:pt idx="2044">
                  <c:v>36188</c:v>
                </c:pt>
                <c:pt idx="2045">
                  <c:v>36189</c:v>
                </c:pt>
                <c:pt idx="2046">
                  <c:v>36192</c:v>
                </c:pt>
                <c:pt idx="2047">
                  <c:v>36193</c:v>
                </c:pt>
                <c:pt idx="2048">
                  <c:v>36194</c:v>
                </c:pt>
                <c:pt idx="2049">
                  <c:v>36195</c:v>
                </c:pt>
                <c:pt idx="2050">
                  <c:v>36196</c:v>
                </c:pt>
                <c:pt idx="2051">
                  <c:v>36199</c:v>
                </c:pt>
                <c:pt idx="2052">
                  <c:v>36200</c:v>
                </c:pt>
                <c:pt idx="2053">
                  <c:v>36201</c:v>
                </c:pt>
                <c:pt idx="2054">
                  <c:v>36202</c:v>
                </c:pt>
                <c:pt idx="2055">
                  <c:v>36203</c:v>
                </c:pt>
                <c:pt idx="2056">
                  <c:v>36206</c:v>
                </c:pt>
                <c:pt idx="2057">
                  <c:v>36207</c:v>
                </c:pt>
                <c:pt idx="2058">
                  <c:v>36208</c:v>
                </c:pt>
                <c:pt idx="2059">
                  <c:v>36209</c:v>
                </c:pt>
                <c:pt idx="2060">
                  <c:v>36210</c:v>
                </c:pt>
                <c:pt idx="2061">
                  <c:v>36213</c:v>
                </c:pt>
                <c:pt idx="2062">
                  <c:v>36214</c:v>
                </c:pt>
                <c:pt idx="2063">
                  <c:v>36215</c:v>
                </c:pt>
                <c:pt idx="2064">
                  <c:v>36216</c:v>
                </c:pt>
                <c:pt idx="2065">
                  <c:v>36217</c:v>
                </c:pt>
                <c:pt idx="2066">
                  <c:v>36220</c:v>
                </c:pt>
                <c:pt idx="2067">
                  <c:v>36221</c:v>
                </c:pt>
                <c:pt idx="2068">
                  <c:v>36222</c:v>
                </c:pt>
                <c:pt idx="2069">
                  <c:v>36223</c:v>
                </c:pt>
                <c:pt idx="2070">
                  <c:v>36224</c:v>
                </c:pt>
                <c:pt idx="2071">
                  <c:v>36227</c:v>
                </c:pt>
                <c:pt idx="2072">
                  <c:v>36228</c:v>
                </c:pt>
                <c:pt idx="2073">
                  <c:v>36229</c:v>
                </c:pt>
                <c:pt idx="2074">
                  <c:v>36230</c:v>
                </c:pt>
                <c:pt idx="2075">
                  <c:v>36231</c:v>
                </c:pt>
                <c:pt idx="2076">
                  <c:v>36234</c:v>
                </c:pt>
                <c:pt idx="2077">
                  <c:v>36235</c:v>
                </c:pt>
                <c:pt idx="2078">
                  <c:v>36236</c:v>
                </c:pt>
                <c:pt idx="2079">
                  <c:v>36237</c:v>
                </c:pt>
                <c:pt idx="2080">
                  <c:v>36238</c:v>
                </c:pt>
                <c:pt idx="2081">
                  <c:v>36241</c:v>
                </c:pt>
                <c:pt idx="2082">
                  <c:v>36242</c:v>
                </c:pt>
                <c:pt idx="2083">
                  <c:v>36243</c:v>
                </c:pt>
                <c:pt idx="2084">
                  <c:v>36244</c:v>
                </c:pt>
                <c:pt idx="2085">
                  <c:v>36245</c:v>
                </c:pt>
                <c:pt idx="2086">
                  <c:v>36248</c:v>
                </c:pt>
                <c:pt idx="2087">
                  <c:v>36249</c:v>
                </c:pt>
                <c:pt idx="2088">
                  <c:v>36250</c:v>
                </c:pt>
                <c:pt idx="2089">
                  <c:v>36251</c:v>
                </c:pt>
                <c:pt idx="2090">
                  <c:v>36256</c:v>
                </c:pt>
                <c:pt idx="2091">
                  <c:v>36257</c:v>
                </c:pt>
                <c:pt idx="2092">
                  <c:v>36258</c:v>
                </c:pt>
                <c:pt idx="2093">
                  <c:v>36259</c:v>
                </c:pt>
                <c:pt idx="2094">
                  <c:v>36262</c:v>
                </c:pt>
                <c:pt idx="2095">
                  <c:v>36263</c:v>
                </c:pt>
                <c:pt idx="2096">
                  <c:v>36264</c:v>
                </c:pt>
                <c:pt idx="2097">
                  <c:v>36265</c:v>
                </c:pt>
                <c:pt idx="2098">
                  <c:v>36266</c:v>
                </c:pt>
                <c:pt idx="2099">
                  <c:v>36269</c:v>
                </c:pt>
                <c:pt idx="2100">
                  <c:v>36270</c:v>
                </c:pt>
                <c:pt idx="2101">
                  <c:v>36271</c:v>
                </c:pt>
                <c:pt idx="2102">
                  <c:v>36272</c:v>
                </c:pt>
                <c:pt idx="2103">
                  <c:v>36273</c:v>
                </c:pt>
                <c:pt idx="2104">
                  <c:v>36276</c:v>
                </c:pt>
                <c:pt idx="2105">
                  <c:v>36277</c:v>
                </c:pt>
                <c:pt idx="2106">
                  <c:v>36278</c:v>
                </c:pt>
                <c:pt idx="2107">
                  <c:v>36279</c:v>
                </c:pt>
                <c:pt idx="2108">
                  <c:v>36280</c:v>
                </c:pt>
                <c:pt idx="2109">
                  <c:v>36283</c:v>
                </c:pt>
                <c:pt idx="2110">
                  <c:v>36284</c:v>
                </c:pt>
                <c:pt idx="2111">
                  <c:v>36285</c:v>
                </c:pt>
                <c:pt idx="2112">
                  <c:v>36286</c:v>
                </c:pt>
                <c:pt idx="2113">
                  <c:v>36287</c:v>
                </c:pt>
                <c:pt idx="2114">
                  <c:v>36290</c:v>
                </c:pt>
                <c:pt idx="2115">
                  <c:v>36291</c:v>
                </c:pt>
                <c:pt idx="2116">
                  <c:v>36292</c:v>
                </c:pt>
                <c:pt idx="2117">
                  <c:v>36294</c:v>
                </c:pt>
                <c:pt idx="2118">
                  <c:v>36297</c:v>
                </c:pt>
                <c:pt idx="2119">
                  <c:v>36298</c:v>
                </c:pt>
                <c:pt idx="2120">
                  <c:v>36299</c:v>
                </c:pt>
                <c:pt idx="2121">
                  <c:v>36300</c:v>
                </c:pt>
                <c:pt idx="2122">
                  <c:v>36301</c:v>
                </c:pt>
                <c:pt idx="2123">
                  <c:v>36305</c:v>
                </c:pt>
                <c:pt idx="2124">
                  <c:v>36306</c:v>
                </c:pt>
                <c:pt idx="2125">
                  <c:v>36307</c:v>
                </c:pt>
                <c:pt idx="2126">
                  <c:v>36308</c:v>
                </c:pt>
                <c:pt idx="2127">
                  <c:v>36311</c:v>
                </c:pt>
                <c:pt idx="2128">
                  <c:v>36312</c:v>
                </c:pt>
                <c:pt idx="2129">
                  <c:v>36313</c:v>
                </c:pt>
                <c:pt idx="2130">
                  <c:v>36315</c:v>
                </c:pt>
                <c:pt idx="2131">
                  <c:v>36318</c:v>
                </c:pt>
                <c:pt idx="2132">
                  <c:v>36319</c:v>
                </c:pt>
                <c:pt idx="2133">
                  <c:v>36320</c:v>
                </c:pt>
                <c:pt idx="2134">
                  <c:v>36321</c:v>
                </c:pt>
                <c:pt idx="2135">
                  <c:v>36322</c:v>
                </c:pt>
                <c:pt idx="2136">
                  <c:v>36325</c:v>
                </c:pt>
                <c:pt idx="2137">
                  <c:v>36326</c:v>
                </c:pt>
                <c:pt idx="2138">
                  <c:v>36327</c:v>
                </c:pt>
                <c:pt idx="2139">
                  <c:v>36328</c:v>
                </c:pt>
                <c:pt idx="2140">
                  <c:v>36329</c:v>
                </c:pt>
                <c:pt idx="2141">
                  <c:v>36332</c:v>
                </c:pt>
                <c:pt idx="2142">
                  <c:v>36333</c:v>
                </c:pt>
                <c:pt idx="2143">
                  <c:v>36334</c:v>
                </c:pt>
                <c:pt idx="2144">
                  <c:v>36335</c:v>
                </c:pt>
                <c:pt idx="2145">
                  <c:v>36336</c:v>
                </c:pt>
                <c:pt idx="2146">
                  <c:v>36339</c:v>
                </c:pt>
                <c:pt idx="2147">
                  <c:v>36340</c:v>
                </c:pt>
                <c:pt idx="2148">
                  <c:v>36341</c:v>
                </c:pt>
                <c:pt idx="2149">
                  <c:v>36342</c:v>
                </c:pt>
                <c:pt idx="2150">
                  <c:v>36343</c:v>
                </c:pt>
                <c:pt idx="2151">
                  <c:v>36346</c:v>
                </c:pt>
                <c:pt idx="2152">
                  <c:v>36347</c:v>
                </c:pt>
                <c:pt idx="2153">
                  <c:v>36348</c:v>
                </c:pt>
                <c:pt idx="2154">
                  <c:v>36349</c:v>
                </c:pt>
                <c:pt idx="2155">
                  <c:v>36350</c:v>
                </c:pt>
                <c:pt idx="2156">
                  <c:v>36353</c:v>
                </c:pt>
                <c:pt idx="2157">
                  <c:v>36354</c:v>
                </c:pt>
                <c:pt idx="2158">
                  <c:v>36355</c:v>
                </c:pt>
                <c:pt idx="2159">
                  <c:v>36356</c:v>
                </c:pt>
                <c:pt idx="2160">
                  <c:v>36357</c:v>
                </c:pt>
                <c:pt idx="2161">
                  <c:v>36360</c:v>
                </c:pt>
                <c:pt idx="2162">
                  <c:v>36361</c:v>
                </c:pt>
                <c:pt idx="2163">
                  <c:v>36362</c:v>
                </c:pt>
                <c:pt idx="2164">
                  <c:v>36363</c:v>
                </c:pt>
                <c:pt idx="2165">
                  <c:v>36364</c:v>
                </c:pt>
                <c:pt idx="2166">
                  <c:v>36367</c:v>
                </c:pt>
                <c:pt idx="2167">
                  <c:v>36368</c:v>
                </c:pt>
                <c:pt idx="2168">
                  <c:v>36369</c:v>
                </c:pt>
                <c:pt idx="2169">
                  <c:v>36370</c:v>
                </c:pt>
                <c:pt idx="2170">
                  <c:v>36371</c:v>
                </c:pt>
                <c:pt idx="2171">
                  <c:v>36374</c:v>
                </c:pt>
                <c:pt idx="2172">
                  <c:v>36375</c:v>
                </c:pt>
                <c:pt idx="2173">
                  <c:v>36376</c:v>
                </c:pt>
                <c:pt idx="2174">
                  <c:v>36377</c:v>
                </c:pt>
                <c:pt idx="2175">
                  <c:v>36378</c:v>
                </c:pt>
                <c:pt idx="2176">
                  <c:v>36381</c:v>
                </c:pt>
                <c:pt idx="2177">
                  <c:v>36382</c:v>
                </c:pt>
                <c:pt idx="2178">
                  <c:v>36383</c:v>
                </c:pt>
                <c:pt idx="2179">
                  <c:v>36384</c:v>
                </c:pt>
                <c:pt idx="2180">
                  <c:v>36385</c:v>
                </c:pt>
                <c:pt idx="2181">
                  <c:v>36388</c:v>
                </c:pt>
                <c:pt idx="2182">
                  <c:v>36389</c:v>
                </c:pt>
                <c:pt idx="2183">
                  <c:v>36390</c:v>
                </c:pt>
                <c:pt idx="2184">
                  <c:v>36391</c:v>
                </c:pt>
                <c:pt idx="2185">
                  <c:v>36392</c:v>
                </c:pt>
                <c:pt idx="2186">
                  <c:v>36395</c:v>
                </c:pt>
                <c:pt idx="2187">
                  <c:v>36396</c:v>
                </c:pt>
                <c:pt idx="2188">
                  <c:v>36397</c:v>
                </c:pt>
                <c:pt idx="2189">
                  <c:v>36398</c:v>
                </c:pt>
                <c:pt idx="2190">
                  <c:v>36399</c:v>
                </c:pt>
                <c:pt idx="2191">
                  <c:v>36402</c:v>
                </c:pt>
                <c:pt idx="2192">
                  <c:v>36403</c:v>
                </c:pt>
                <c:pt idx="2193">
                  <c:v>36404</c:v>
                </c:pt>
                <c:pt idx="2194">
                  <c:v>36405</c:v>
                </c:pt>
                <c:pt idx="2195">
                  <c:v>36406</c:v>
                </c:pt>
                <c:pt idx="2196">
                  <c:v>36409</c:v>
                </c:pt>
                <c:pt idx="2197">
                  <c:v>36410</c:v>
                </c:pt>
                <c:pt idx="2198">
                  <c:v>36411</c:v>
                </c:pt>
                <c:pt idx="2199">
                  <c:v>36412</c:v>
                </c:pt>
                <c:pt idx="2200">
                  <c:v>36413</c:v>
                </c:pt>
                <c:pt idx="2201">
                  <c:v>36416</c:v>
                </c:pt>
                <c:pt idx="2202">
                  <c:v>36417</c:v>
                </c:pt>
                <c:pt idx="2203">
                  <c:v>36418</c:v>
                </c:pt>
                <c:pt idx="2204">
                  <c:v>36419</c:v>
                </c:pt>
                <c:pt idx="2205">
                  <c:v>36420</c:v>
                </c:pt>
                <c:pt idx="2206">
                  <c:v>36423</c:v>
                </c:pt>
                <c:pt idx="2207">
                  <c:v>36424</c:v>
                </c:pt>
                <c:pt idx="2208">
                  <c:v>36425</c:v>
                </c:pt>
                <c:pt idx="2209">
                  <c:v>36426</c:v>
                </c:pt>
                <c:pt idx="2210">
                  <c:v>36427</c:v>
                </c:pt>
                <c:pt idx="2211">
                  <c:v>36430</c:v>
                </c:pt>
                <c:pt idx="2212">
                  <c:v>36431</c:v>
                </c:pt>
                <c:pt idx="2213">
                  <c:v>36432</c:v>
                </c:pt>
                <c:pt idx="2214">
                  <c:v>36433</c:v>
                </c:pt>
                <c:pt idx="2215">
                  <c:v>36434</c:v>
                </c:pt>
                <c:pt idx="2216">
                  <c:v>36437</c:v>
                </c:pt>
                <c:pt idx="2217">
                  <c:v>36438</c:v>
                </c:pt>
                <c:pt idx="2218">
                  <c:v>36439</c:v>
                </c:pt>
                <c:pt idx="2219">
                  <c:v>36440</c:v>
                </c:pt>
                <c:pt idx="2220">
                  <c:v>36441</c:v>
                </c:pt>
                <c:pt idx="2221">
                  <c:v>36444</c:v>
                </c:pt>
                <c:pt idx="2222">
                  <c:v>36445</c:v>
                </c:pt>
                <c:pt idx="2223">
                  <c:v>36446</c:v>
                </c:pt>
                <c:pt idx="2224">
                  <c:v>36447</c:v>
                </c:pt>
                <c:pt idx="2225">
                  <c:v>36448</c:v>
                </c:pt>
                <c:pt idx="2226">
                  <c:v>36451</c:v>
                </c:pt>
                <c:pt idx="2227">
                  <c:v>36452</c:v>
                </c:pt>
                <c:pt idx="2228">
                  <c:v>36453</c:v>
                </c:pt>
                <c:pt idx="2229">
                  <c:v>36454</c:v>
                </c:pt>
                <c:pt idx="2230">
                  <c:v>36455</c:v>
                </c:pt>
                <c:pt idx="2231">
                  <c:v>36458</c:v>
                </c:pt>
                <c:pt idx="2232">
                  <c:v>36459</c:v>
                </c:pt>
                <c:pt idx="2233">
                  <c:v>36460</c:v>
                </c:pt>
                <c:pt idx="2234">
                  <c:v>36461</c:v>
                </c:pt>
                <c:pt idx="2235">
                  <c:v>36462</c:v>
                </c:pt>
                <c:pt idx="2236">
                  <c:v>36465</c:v>
                </c:pt>
                <c:pt idx="2237">
                  <c:v>36466</c:v>
                </c:pt>
                <c:pt idx="2238">
                  <c:v>36467</c:v>
                </c:pt>
                <c:pt idx="2239">
                  <c:v>36468</c:v>
                </c:pt>
                <c:pt idx="2240">
                  <c:v>36469</c:v>
                </c:pt>
                <c:pt idx="2241">
                  <c:v>36472</c:v>
                </c:pt>
                <c:pt idx="2242">
                  <c:v>36473</c:v>
                </c:pt>
                <c:pt idx="2243">
                  <c:v>36474</c:v>
                </c:pt>
                <c:pt idx="2244">
                  <c:v>36475</c:v>
                </c:pt>
                <c:pt idx="2245">
                  <c:v>36476</c:v>
                </c:pt>
                <c:pt idx="2246">
                  <c:v>36479</c:v>
                </c:pt>
                <c:pt idx="2247">
                  <c:v>36480</c:v>
                </c:pt>
                <c:pt idx="2248">
                  <c:v>36481</c:v>
                </c:pt>
                <c:pt idx="2249">
                  <c:v>36482</c:v>
                </c:pt>
                <c:pt idx="2250">
                  <c:v>36483</c:v>
                </c:pt>
                <c:pt idx="2251">
                  <c:v>36486</c:v>
                </c:pt>
                <c:pt idx="2252">
                  <c:v>36487</c:v>
                </c:pt>
                <c:pt idx="2253">
                  <c:v>36488</c:v>
                </c:pt>
                <c:pt idx="2254">
                  <c:v>36489</c:v>
                </c:pt>
                <c:pt idx="2255">
                  <c:v>36490</c:v>
                </c:pt>
                <c:pt idx="2256">
                  <c:v>36493</c:v>
                </c:pt>
                <c:pt idx="2257">
                  <c:v>36494</c:v>
                </c:pt>
                <c:pt idx="2258">
                  <c:v>36495</c:v>
                </c:pt>
                <c:pt idx="2259">
                  <c:v>36496</c:v>
                </c:pt>
                <c:pt idx="2260">
                  <c:v>36497</c:v>
                </c:pt>
                <c:pt idx="2261">
                  <c:v>36500</c:v>
                </c:pt>
                <c:pt idx="2262">
                  <c:v>36501</c:v>
                </c:pt>
                <c:pt idx="2263">
                  <c:v>36502</c:v>
                </c:pt>
                <c:pt idx="2264">
                  <c:v>36503</c:v>
                </c:pt>
                <c:pt idx="2265">
                  <c:v>36504</c:v>
                </c:pt>
                <c:pt idx="2266">
                  <c:v>36507</c:v>
                </c:pt>
                <c:pt idx="2267">
                  <c:v>36508</c:v>
                </c:pt>
                <c:pt idx="2268">
                  <c:v>36509</c:v>
                </c:pt>
                <c:pt idx="2269">
                  <c:v>36510</c:v>
                </c:pt>
                <c:pt idx="2270">
                  <c:v>36511</c:v>
                </c:pt>
                <c:pt idx="2271">
                  <c:v>36514</c:v>
                </c:pt>
                <c:pt idx="2272">
                  <c:v>36515</c:v>
                </c:pt>
                <c:pt idx="2273">
                  <c:v>36516</c:v>
                </c:pt>
                <c:pt idx="2274">
                  <c:v>36517</c:v>
                </c:pt>
                <c:pt idx="2275">
                  <c:v>36521</c:v>
                </c:pt>
                <c:pt idx="2276">
                  <c:v>36522</c:v>
                </c:pt>
                <c:pt idx="2277">
                  <c:v>36523</c:v>
                </c:pt>
                <c:pt idx="2278">
                  <c:v>36524</c:v>
                </c:pt>
                <c:pt idx="2279">
                  <c:v>36528</c:v>
                </c:pt>
                <c:pt idx="2280">
                  <c:v>36529</c:v>
                </c:pt>
                <c:pt idx="2281">
                  <c:v>36530</c:v>
                </c:pt>
                <c:pt idx="2282">
                  <c:v>36531</c:v>
                </c:pt>
                <c:pt idx="2283">
                  <c:v>36532</c:v>
                </c:pt>
                <c:pt idx="2284">
                  <c:v>36535</c:v>
                </c:pt>
                <c:pt idx="2285">
                  <c:v>36536</c:v>
                </c:pt>
                <c:pt idx="2286">
                  <c:v>36537</c:v>
                </c:pt>
                <c:pt idx="2287">
                  <c:v>36538</c:v>
                </c:pt>
                <c:pt idx="2288">
                  <c:v>36539</c:v>
                </c:pt>
                <c:pt idx="2289">
                  <c:v>36542</c:v>
                </c:pt>
                <c:pt idx="2290">
                  <c:v>36543</c:v>
                </c:pt>
                <c:pt idx="2291">
                  <c:v>36544</c:v>
                </c:pt>
                <c:pt idx="2292">
                  <c:v>36545</c:v>
                </c:pt>
                <c:pt idx="2293">
                  <c:v>36546</c:v>
                </c:pt>
                <c:pt idx="2294">
                  <c:v>36549</c:v>
                </c:pt>
                <c:pt idx="2295">
                  <c:v>36550</c:v>
                </c:pt>
                <c:pt idx="2296">
                  <c:v>36551</c:v>
                </c:pt>
                <c:pt idx="2297">
                  <c:v>36552</c:v>
                </c:pt>
                <c:pt idx="2298">
                  <c:v>36553</c:v>
                </c:pt>
                <c:pt idx="2299">
                  <c:v>36556</c:v>
                </c:pt>
                <c:pt idx="2300">
                  <c:v>36557</c:v>
                </c:pt>
                <c:pt idx="2301">
                  <c:v>36558</c:v>
                </c:pt>
                <c:pt idx="2302">
                  <c:v>36559</c:v>
                </c:pt>
                <c:pt idx="2303">
                  <c:v>36560</c:v>
                </c:pt>
                <c:pt idx="2304">
                  <c:v>36563</c:v>
                </c:pt>
                <c:pt idx="2305">
                  <c:v>36564</c:v>
                </c:pt>
                <c:pt idx="2306">
                  <c:v>36565</c:v>
                </c:pt>
                <c:pt idx="2307">
                  <c:v>36566</c:v>
                </c:pt>
                <c:pt idx="2308">
                  <c:v>36567</c:v>
                </c:pt>
                <c:pt idx="2309">
                  <c:v>36570</c:v>
                </c:pt>
                <c:pt idx="2310">
                  <c:v>36571</c:v>
                </c:pt>
                <c:pt idx="2311">
                  <c:v>36572</c:v>
                </c:pt>
                <c:pt idx="2312">
                  <c:v>36573</c:v>
                </c:pt>
                <c:pt idx="2313">
                  <c:v>36574</c:v>
                </c:pt>
                <c:pt idx="2314">
                  <c:v>36577</c:v>
                </c:pt>
                <c:pt idx="2315">
                  <c:v>36578</c:v>
                </c:pt>
                <c:pt idx="2316">
                  <c:v>36579</c:v>
                </c:pt>
                <c:pt idx="2317">
                  <c:v>36580</c:v>
                </c:pt>
                <c:pt idx="2318">
                  <c:v>36581</c:v>
                </c:pt>
                <c:pt idx="2319">
                  <c:v>36584</c:v>
                </c:pt>
                <c:pt idx="2320">
                  <c:v>36585</c:v>
                </c:pt>
                <c:pt idx="2321">
                  <c:v>36586</c:v>
                </c:pt>
                <c:pt idx="2322">
                  <c:v>36587</c:v>
                </c:pt>
                <c:pt idx="2323">
                  <c:v>36588</c:v>
                </c:pt>
                <c:pt idx="2324">
                  <c:v>36591</c:v>
                </c:pt>
                <c:pt idx="2325">
                  <c:v>36592</c:v>
                </c:pt>
                <c:pt idx="2326">
                  <c:v>36593</c:v>
                </c:pt>
                <c:pt idx="2327">
                  <c:v>36594</c:v>
                </c:pt>
                <c:pt idx="2328">
                  <c:v>36595</c:v>
                </c:pt>
                <c:pt idx="2329">
                  <c:v>36598</c:v>
                </c:pt>
                <c:pt idx="2330">
                  <c:v>36599</c:v>
                </c:pt>
                <c:pt idx="2331">
                  <c:v>36600</c:v>
                </c:pt>
                <c:pt idx="2332">
                  <c:v>36601</c:v>
                </c:pt>
                <c:pt idx="2333">
                  <c:v>36602</c:v>
                </c:pt>
                <c:pt idx="2334">
                  <c:v>36605</c:v>
                </c:pt>
                <c:pt idx="2335">
                  <c:v>36606</c:v>
                </c:pt>
                <c:pt idx="2336">
                  <c:v>36607</c:v>
                </c:pt>
                <c:pt idx="2337">
                  <c:v>36608</c:v>
                </c:pt>
                <c:pt idx="2338">
                  <c:v>36609</c:v>
                </c:pt>
                <c:pt idx="2339">
                  <c:v>36612</c:v>
                </c:pt>
                <c:pt idx="2340">
                  <c:v>36613</c:v>
                </c:pt>
                <c:pt idx="2341">
                  <c:v>36614</c:v>
                </c:pt>
                <c:pt idx="2342">
                  <c:v>36615</c:v>
                </c:pt>
                <c:pt idx="2343">
                  <c:v>36616</c:v>
                </c:pt>
                <c:pt idx="2344">
                  <c:v>36619</c:v>
                </c:pt>
                <c:pt idx="2345">
                  <c:v>36620</c:v>
                </c:pt>
                <c:pt idx="2346">
                  <c:v>36621</c:v>
                </c:pt>
                <c:pt idx="2347">
                  <c:v>36622</c:v>
                </c:pt>
                <c:pt idx="2348">
                  <c:v>36623</c:v>
                </c:pt>
                <c:pt idx="2349">
                  <c:v>36626</c:v>
                </c:pt>
                <c:pt idx="2350">
                  <c:v>36627</c:v>
                </c:pt>
                <c:pt idx="2351">
                  <c:v>36628</c:v>
                </c:pt>
                <c:pt idx="2352">
                  <c:v>36629</c:v>
                </c:pt>
                <c:pt idx="2353">
                  <c:v>36630</c:v>
                </c:pt>
                <c:pt idx="2354">
                  <c:v>36633</c:v>
                </c:pt>
                <c:pt idx="2355">
                  <c:v>36634</c:v>
                </c:pt>
                <c:pt idx="2356">
                  <c:v>36635</c:v>
                </c:pt>
                <c:pt idx="2357">
                  <c:v>36636</c:v>
                </c:pt>
                <c:pt idx="2358">
                  <c:v>36641</c:v>
                </c:pt>
                <c:pt idx="2359">
                  <c:v>36642</c:v>
                </c:pt>
                <c:pt idx="2360">
                  <c:v>36643</c:v>
                </c:pt>
                <c:pt idx="2361">
                  <c:v>36644</c:v>
                </c:pt>
                <c:pt idx="2362">
                  <c:v>36648</c:v>
                </c:pt>
                <c:pt idx="2363">
                  <c:v>36649</c:v>
                </c:pt>
                <c:pt idx="2364">
                  <c:v>36650</c:v>
                </c:pt>
                <c:pt idx="2365">
                  <c:v>36651</c:v>
                </c:pt>
                <c:pt idx="2366">
                  <c:v>36654</c:v>
                </c:pt>
                <c:pt idx="2367">
                  <c:v>36655</c:v>
                </c:pt>
                <c:pt idx="2368">
                  <c:v>36656</c:v>
                </c:pt>
                <c:pt idx="2369">
                  <c:v>36657</c:v>
                </c:pt>
                <c:pt idx="2370">
                  <c:v>36658</c:v>
                </c:pt>
                <c:pt idx="2371">
                  <c:v>36661</c:v>
                </c:pt>
                <c:pt idx="2372">
                  <c:v>36662</c:v>
                </c:pt>
                <c:pt idx="2373">
                  <c:v>36663</c:v>
                </c:pt>
                <c:pt idx="2374">
                  <c:v>36664</c:v>
                </c:pt>
                <c:pt idx="2375">
                  <c:v>36665</c:v>
                </c:pt>
                <c:pt idx="2376">
                  <c:v>36668</c:v>
                </c:pt>
                <c:pt idx="2377">
                  <c:v>36669</c:v>
                </c:pt>
                <c:pt idx="2378">
                  <c:v>36670</c:v>
                </c:pt>
                <c:pt idx="2379">
                  <c:v>36671</c:v>
                </c:pt>
                <c:pt idx="2380">
                  <c:v>36672</c:v>
                </c:pt>
                <c:pt idx="2381">
                  <c:v>36675</c:v>
                </c:pt>
                <c:pt idx="2382">
                  <c:v>36676</c:v>
                </c:pt>
                <c:pt idx="2383">
                  <c:v>36677</c:v>
                </c:pt>
                <c:pt idx="2384">
                  <c:v>36678</c:v>
                </c:pt>
                <c:pt idx="2385">
                  <c:v>36679</c:v>
                </c:pt>
                <c:pt idx="2386">
                  <c:v>36682</c:v>
                </c:pt>
                <c:pt idx="2387">
                  <c:v>36683</c:v>
                </c:pt>
                <c:pt idx="2388">
                  <c:v>36684</c:v>
                </c:pt>
                <c:pt idx="2389">
                  <c:v>36685</c:v>
                </c:pt>
                <c:pt idx="2390">
                  <c:v>36686</c:v>
                </c:pt>
                <c:pt idx="2391">
                  <c:v>36689</c:v>
                </c:pt>
                <c:pt idx="2392">
                  <c:v>36690</c:v>
                </c:pt>
                <c:pt idx="2393">
                  <c:v>36691</c:v>
                </c:pt>
                <c:pt idx="2394">
                  <c:v>36692</c:v>
                </c:pt>
                <c:pt idx="2395">
                  <c:v>36693</c:v>
                </c:pt>
                <c:pt idx="2396">
                  <c:v>36696</c:v>
                </c:pt>
                <c:pt idx="2397">
                  <c:v>36697</c:v>
                </c:pt>
                <c:pt idx="2398">
                  <c:v>36698</c:v>
                </c:pt>
                <c:pt idx="2399">
                  <c:v>36699</c:v>
                </c:pt>
                <c:pt idx="2400">
                  <c:v>36700</c:v>
                </c:pt>
                <c:pt idx="2401">
                  <c:v>36703</c:v>
                </c:pt>
                <c:pt idx="2402">
                  <c:v>36704</c:v>
                </c:pt>
                <c:pt idx="2403">
                  <c:v>36705</c:v>
                </c:pt>
                <c:pt idx="2404">
                  <c:v>36706</c:v>
                </c:pt>
                <c:pt idx="2405">
                  <c:v>36707</c:v>
                </c:pt>
                <c:pt idx="2406">
                  <c:v>36710</c:v>
                </c:pt>
                <c:pt idx="2407">
                  <c:v>36711</c:v>
                </c:pt>
                <c:pt idx="2408">
                  <c:v>36712</c:v>
                </c:pt>
                <c:pt idx="2409">
                  <c:v>36713</c:v>
                </c:pt>
                <c:pt idx="2410">
                  <c:v>36714</c:v>
                </c:pt>
                <c:pt idx="2411">
                  <c:v>36717</c:v>
                </c:pt>
                <c:pt idx="2412">
                  <c:v>36718</c:v>
                </c:pt>
                <c:pt idx="2413">
                  <c:v>36719</c:v>
                </c:pt>
                <c:pt idx="2414">
                  <c:v>36720</c:v>
                </c:pt>
                <c:pt idx="2415">
                  <c:v>36721</c:v>
                </c:pt>
                <c:pt idx="2416">
                  <c:v>36724</c:v>
                </c:pt>
                <c:pt idx="2417">
                  <c:v>36725</c:v>
                </c:pt>
                <c:pt idx="2418">
                  <c:v>36726</c:v>
                </c:pt>
                <c:pt idx="2419">
                  <c:v>36727</c:v>
                </c:pt>
                <c:pt idx="2420">
                  <c:v>36728</c:v>
                </c:pt>
                <c:pt idx="2421">
                  <c:v>36731</c:v>
                </c:pt>
                <c:pt idx="2422">
                  <c:v>36732</c:v>
                </c:pt>
                <c:pt idx="2423">
                  <c:v>36733</c:v>
                </c:pt>
                <c:pt idx="2424">
                  <c:v>36734</c:v>
                </c:pt>
                <c:pt idx="2425">
                  <c:v>36735</c:v>
                </c:pt>
                <c:pt idx="2426">
                  <c:v>36738</c:v>
                </c:pt>
                <c:pt idx="2427">
                  <c:v>36739</c:v>
                </c:pt>
                <c:pt idx="2428">
                  <c:v>36740</c:v>
                </c:pt>
                <c:pt idx="2429">
                  <c:v>36741</c:v>
                </c:pt>
                <c:pt idx="2430">
                  <c:v>36742</c:v>
                </c:pt>
                <c:pt idx="2431">
                  <c:v>36745</c:v>
                </c:pt>
                <c:pt idx="2432">
                  <c:v>36746</c:v>
                </c:pt>
                <c:pt idx="2433">
                  <c:v>36747</c:v>
                </c:pt>
                <c:pt idx="2434">
                  <c:v>36748</c:v>
                </c:pt>
                <c:pt idx="2435">
                  <c:v>36749</c:v>
                </c:pt>
                <c:pt idx="2436">
                  <c:v>36752</c:v>
                </c:pt>
                <c:pt idx="2437">
                  <c:v>36753</c:v>
                </c:pt>
                <c:pt idx="2438">
                  <c:v>36754</c:v>
                </c:pt>
                <c:pt idx="2439">
                  <c:v>36755</c:v>
                </c:pt>
                <c:pt idx="2440">
                  <c:v>36756</c:v>
                </c:pt>
                <c:pt idx="2441">
                  <c:v>36759</c:v>
                </c:pt>
                <c:pt idx="2442">
                  <c:v>36760</c:v>
                </c:pt>
                <c:pt idx="2443">
                  <c:v>36761</c:v>
                </c:pt>
                <c:pt idx="2444">
                  <c:v>36762</c:v>
                </c:pt>
                <c:pt idx="2445">
                  <c:v>36763</c:v>
                </c:pt>
                <c:pt idx="2446">
                  <c:v>36766</c:v>
                </c:pt>
                <c:pt idx="2447">
                  <c:v>36767</c:v>
                </c:pt>
                <c:pt idx="2448">
                  <c:v>36768</c:v>
                </c:pt>
                <c:pt idx="2449">
                  <c:v>36769</c:v>
                </c:pt>
                <c:pt idx="2450">
                  <c:v>36770</c:v>
                </c:pt>
                <c:pt idx="2451">
                  <c:v>36773</c:v>
                </c:pt>
                <c:pt idx="2452">
                  <c:v>36774</c:v>
                </c:pt>
                <c:pt idx="2453">
                  <c:v>36775</c:v>
                </c:pt>
                <c:pt idx="2454">
                  <c:v>36776</c:v>
                </c:pt>
                <c:pt idx="2455">
                  <c:v>36777</c:v>
                </c:pt>
                <c:pt idx="2456">
                  <c:v>36780</c:v>
                </c:pt>
                <c:pt idx="2457">
                  <c:v>36781</c:v>
                </c:pt>
                <c:pt idx="2458">
                  <c:v>36782</c:v>
                </c:pt>
                <c:pt idx="2459">
                  <c:v>36783</c:v>
                </c:pt>
                <c:pt idx="2460">
                  <c:v>36784</c:v>
                </c:pt>
                <c:pt idx="2461">
                  <c:v>36787</c:v>
                </c:pt>
                <c:pt idx="2462">
                  <c:v>36788</c:v>
                </c:pt>
                <c:pt idx="2463">
                  <c:v>36789</c:v>
                </c:pt>
                <c:pt idx="2464">
                  <c:v>36790</c:v>
                </c:pt>
                <c:pt idx="2465">
                  <c:v>36791</c:v>
                </c:pt>
                <c:pt idx="2466">
                  <c:v>36794</c:v>
                </c:pt>
                <c:pt idx="2467">
                  <c:v>36795</c:v>
                </c:pt>
                <c:pt idx="2468">
                  <c:v>36796</c:v>
                </c:pt>
                <c:pt idx="2469">
                  <c:v>36797</c:v>
                </c:pt>
                <c:pt idx="2470">
                  <c:v>36798</c:v>
                </c:pt>
                <c:pt idx="2471">
                  <c:v>36801</c:v>
                </c:pt>
                <c:pt idx="2472">
                  <c:v>36803</c:v>
                </c:pt>
                <c:pt idx="2473">
                  <c:v>36804</c:v>
                </c:pt>
                <c:pt idx="2474">
                  <c:v>36805</c:v>
                </c:pt>
                <c:pt idx="2475">
                  <c:v>36808</c:v>
                </c:pt>
                <c:pt idx="2476">
                  <c:v>36809</c:v>
                </c:pt>
                <c:pt idx="2477">
                  <c:v>36810</c:v>
                </c:pt>
                <c:pt idx="2478">
                  <c:v>36811</c:v>
                </c:pt>
                <c:pt idx="2479">
                  <c:v>36812</c:v>
                </c:pt>
                <c:pt idx="2480">
                  <c:v>36815</c:v>
                </c:pt>
                <c:pt idx="2481">
                  <c:v>36816</c:v>
                </c:pt>
                <c:pt idx="2482">
                  <c:v>36817</c:v>
                </c:pt>
                <c:pt idx="2483">
                  <c:v>36818</c:v>
                </c:pt>
                <c:pt idx="2484">
                  <c:v>36819</c:v>
                </c:pt>
                <c:pt idx="2485">
                  <c:v>36822</c:v>
                </c:pt>
                <c:pt idx="2486">
                  <c:v>36823</c:v>
                </c:pt>
                <c:pt idx="2487">
                  <c:v>36824</c:v>
                </c:pt>
                <c:pt idx="2488">
                  <c:v>36825</c:v>
                </c:pt>
                <c:pt idx="2489">
                  <c:v>36826</c:v>
                </c:pt>
                <c:pt idx="2490">
                  <c:v>36829</c:v>
                </c:pt>
                <c:pt idx="2491">
                  <c:v>36830</c:v>
                </c:pt>
                <c:pt idx="2492">
                  <c:v>36831</c:v>
                </c:pt>
                <c:pt idx="2493">
                  <c:v>36832</c:v>
                </c:pt>
                <c:pt idx="2494">
                  <c:v>36833</c:v>
                </c:pt>
                <c:pt idx="2495">
                  <c:v>36836</c:v>
                </c:pt>
                <c:pt idx="2496">
                  <c:v>36837</c:v>
                </c:pt>
                <c:pt idx="2497">
                  <c:v>36838</c:v>
                </c:pt>
                <c:pt idx="2498">
                  <c:v>36839</c:v>
                </c:pt>
                <c:pt idx="2499">
                  <c:v>36840</c:v>
                </c:pt>
                <c:pt idx="2500">
                  <c:v>36843</c:v>
                </c:pt>
                <c:pt idx="2501">
                  <c:v>36844</c:v>
                </c:pt>
                <c:pt idx="2502">
                  <c:v>36845</c:v>
                </c:pt>
                <c:pt idx="2503">
                  <c:v>36846</c:v>
                </c:pt>
                <c:pt idx="2504">
                  <c:v>36847</c:v>
                </c:pt>
                <c:pt idx="2505">
                  <c:v>36850</c:v>
                </c:pt>
                <c:pt idx="2506">
                  <c:v>36851</c:v>
                </c:pt>
                <c:pt idx="2507">
                  <c:v>36852</c:v>
                </c:pt>
                <c:pt idx="2508">
                  <c:v>36853</c:v>
                </c:pt>
                <c:pt idx="2509">
                  <c:v>36854</c:v>
                </c:pt>
                <c:pt idx="2510">
                  <c:v>36857</c:v>
                </c:pt>
                <c:pt idx="2511">
                  <c:v>36858</c:v>
                </c:pt>
                <c:pt idx="2512">
                  <c:v>36859</c:v>
                </c:pt>
                <c:pt idx="2513">
                  <c:v>36860</c:v>
                </c:pt>
                <c:pt idx="2514">
                  <c:v>36861</c:v>
                </c:pt>
                <c:pt idx="2515">
                  <c:v>36864</c:v>
                </c:pt>
                <c:pt idx="2516">
                  <c:v>36865</c:v>
                </c:pt>
                <c:pt idx="2517">
                  <c:v>36866</c:v>
                </c:pt>
                <c:pt idx="2518">
                  <c:v>36867</c:v>
                </c:pt>
                <c:pt idx="2519">
                  <c:v>36868</c:v>
                </c:pt>
                <c:pt idx="2520">
                  <c:v>36871</c:v>
                </c:pt>
                <c:pt idx="2521">
                  <c:v>36872</c:v>
                </c:pt>
                <c:pt idx="2522">
                  <c:v>36873</c:v>
                </c:pt>
                <c:pt idx="2523">
                  <c:v>36874</c:v>
                </c:pt>
                <c:pt idx="2524">
                  <c:v>36875</c:v>
                </c:pt>
                <c:pt idx="2525">
                  <c:v>36878</c:v>
                </c:pt>
                <c:pt idx="2526">
                  <c:v>36879</c:v>
                </c:pt>
                <c:pt idx="2527">
                  <c:v>36880</c:v>
                </c:pt>
                <c:pt idx="2528">
                  <c:v>36881</c:v>
                </c:pt>
                <c:pt idx="2529">
                  <c:v>36882</c:v>
                </c:pt>
                <c:pt idx="2530">
                  <c:v>36887</c:v>
                </c:pt>
                <c:pt idx="2531">
                  <c:v>36888</c:v>
                </c:pt>
                <c:pt idx="2532">
                  <c:v>36889</c:v>
                </c:pt>
                <c:pt idx="2533">
                  <c:v>36893</c:v>
                </c:pt>
                <c:pt idx="2534">
                  <c:v>36894</c:v>
                </c:pt>
                <c:pt idx="2535">
                  <c:v>36895</c:v>
                </c:pt>
                <c:pt idx="2536">
                  <c:v>36896</c:v>
                </c:pt>
                <c:pt idx="2537">
                  <c:v>36899</c:v>
                </c:pt>
                <c:pt idx="2538">
                  <c:v>36900</c:v>
                </c:pt>
                <c:pt idx="2539">
                  <c:v>36901</c:v>
                </c:pt>
                <c:pt idx="2540">
                  <c:v>36902</c:v>
                </c:pt>
                <c:pt idx="2541">
                  <c:v>36903</c:v>
                </c:pt>
                <c:pt idx="2542">
                  <c:v>36906</c:v>
                </c:pt>
                <c:pt idx="2543">
                  <c:v>36907</c:v>
                </c:pt>
                <c:pt idx="2544">
                  <c:v>36908</c:v>
                </c:pt>
                <c:pt idx="2545">
                  <c:v>36909</c:v>
                </c:pt>
                <c:pt idx="2546">
                  <c:v>36910</c:v>
                </c:pt>
                <c:pt idx="2547">
                  <c:v>36913</c:v>
                </c:pt>
                <c:pt idx="2548">
                  <c:v>36914</c:v>
                </c:pt>
                <c:pt idx="2549">
                  <c:v>36915</c:v>
                </c:pt>
                <c:pt idx="2550">
                  <c:v>36916</c:v>
                </c:pt>
                <c:pt idx="2551">
                  <c:v>36917</c:v>
                </c:pt>
                <c:pt idx="2552">
                  <c:v>36920</c:v>
                </c:pt>
                <c:pt idx="2553">
                  <c:v>36921</c:v>
                </c:pt>
                <c:pt idx="2554">
                  <c:v>36922</c:v>
                </c:pt>
                <c:pt idx="2555">
                  <c:v>36923</c:v>
                </c:pt>
                <c:pt idx="2556">
                  <c:v>36924</c:v>
                </c:pt>
                <c:pt idx="2557">
                  <c:v>36927</c:v>
                </c:pt>
                <c:pt idx="2558">
                  <c:v>36928</c:v>
                </c:pt>
                <c:pt idx="2559">
                  <c:v>36929</c:v>
                </c:pt>
                <c:pt idx="2560">
                  <c:v>36930</c:v>
                </c:pt>
                <c:pt idx="2561">
                  <c:v>36931</c:v>
                </c:pt>
                <c:pt idx="2562">
                  <c:v>36934</c:v>
                </c:pt>
                <c:pt idx="2563">
                  <c:v>36935</c:v>
                </c:pt>
                <c:pt idx="2564">
                  <c:v>36936</c:v>
                </c:pt>
                <c:pt idx="2565">
                  <c:v>36937</c:v>
                </c:pt>
                <c:pt idx="2566">
                  <c:v>36938</c:v>
                </c:pt>
                <c:pt idx="2567">
                  <c:v>36941</c:v>
                </c:pt>
                <c:pt idx="2568">
                  <c:v>36942</c:v>
                </c:pt>
                <c:pt idx="2569">
                  <c:v>36943</c:v>
                </c:pt>
                <c:pt idx="2570">
                  <c:v>36944</c:v>
                </c:pt>
                <c:pt idx="2571">
                  <c:v>36945</c:v>
                </c:pt>
                <c:pt idx="2572">
                  <c:v>36948</c:v>
                </c:pt>
                <c:pt idx="2573">
                  <c:v>36949</c:v>
                </c:pt>
                <c:pt idx="2574">
                  <c:v>36950</c:v>
                </c:pt>
                <c:pt idx="2575">
                  <c:v>36951</c:v>
                </c:pt>
                <c:pt idx="2576">
                  <c:v>36952</c:v>
                </c:pt>
                <c:pt idx="2577">
                  <c:v>36955</c:v>
                </c:pt>
                <c:pt idx="2578">
                  <c:v>36956</c:v>
                </c:pt>
                <c:pt idx="2579">
                  <c:v>36957</c:v>
                </c:pt>
                <c:pt idx="2580">
                  <c:v>36958</c:v>
                </c:pt>
                <c:pt idx="2581">
                  <c:v>36959</c:v>
                </c:pt>
                <c:pt idx="2582">
                  <c:v>36962</c:v>
                </c:pt>
                <c:pt idx="2583">
                  <c:v>36963</c:v>
                </c:pt>
                <c:pt idx="2584">
                  <c:v>36964</c:v>
                </c:pt>
                <c:pt idx="2585">
                  <c:v>36965</c:v>
                </c:pt>
                <c:pt idx="2586">
                  <c:v>36966</c:v>
                </c:pt>
                <c:pt idx="2587">
                  <c:v>36969</c:v>
                </c:pt>
                <c:pt idx="2588">
                  <c:v>36970</c:v>
                </c:pt>
                <c:pt idx="2589">
                  <c:v>36971</c:v>
                </c:pt>
                <c:pt idx="2590">
                  <c:v>36972</c:v>
                </c:pt>
                <c:pt idx="2591">
                  <c:v>36973</c:v>
                </c:pt>
                <c:pt idx="2592">
                  <c:v>36976</c:v>
                </c:pt>
                <c:pt idx="2593">
                  <c:v>36977</c:v>
                </c:pt>
                <c:pt idx="2594">
                  <c:v>36978</c:v>
                </c:pt>
                <c:pt idx="2595">
                  <c:v>36979</c:v>
                </c:pt>
                <c:pt idx="2596">
                  <c:v>36980</c:v>
                </c:pt>
                <c:pt idx="2597">
                  <c:v>36983</c:v>
                </c:pt>
                <c:pt idx="2598">
                  <c:v>36984</c:v>
                </c:pt>
                <c:pt idx="2599">
                  <c:v>36985</c:v>
                </c:pt>
                <c:pt idx="2600">
                  <c:v>36986</c:v>
                </c:pt>
                <c:pt idx="2601">
                  <c:v>36987</c:v>
                </c:pt>
                <c:pt idx="2602">
                  <c:v>36990</c:v>
                </c:pt>
                <c:pt idx="2603">
                  <c:v>36991</c:v>
                </c:pt>
                <c:pt idx="2604">
                  <c:v>36992</c:v>
                </c:pt>
                <c:pt idx="2605">
                  <c:v>36993</c:v>
                </c:pt>
                <c:pt idx="2606">
                  <c:v>36998</c:v>
                </c:pt>
                <c:pt idx="2607">
                  <c:v>36999</c:v>
                </c:pt>
                <c:pt idx="2608">
                  <c:v>37000</c:v>
                </c:pt>
                <c:pt idx="2609">
                  <c:v>37001</c:v>
                </c:pt>
                <c:pt idx="2610">
                  <c:v>37004</c:v>
                </c:pt>
                <c:pt idx="2611">
                  <c:v>37005</c:v>
                </c:pt>
                <c:pt idx="2612">
                  <c:v>37006</c:v>
                </c:pt>
                <c:pt idx="2613">
                  <c:v>37007</c:v>
                </c:pt>
                <c:pt idx="2614">
                  <c:v>37008</c:v>
                </c:pt>
                <c:pt idx="2615">
                  <c:v>37011</c:v>
                </c:pt>
                <c:pt idx="2616">
                  <c:v>37013</c:v>
                </c:pt>
                <c:pt idx="2617">
                  <c:v>37014</c:v>
                </c:pt>
                <c:pt idx="2618">
                  <c:v>37015</c:v>
                </c:pt>
                <c:pt idx="2619">
                  <c:v>37018</c:v>
                </c:pt>
                <c:pt idx="2620">
                  <c:v>37019</c:v>
                </c:pt>
                <c:pt idx="2621">
                  <c:v>37020</c:v>
                </c:pt>
                <c:pt idx="2622">
                  <c:v>37021</c:v>
                </c:pt>
                <c:pt idx="2623">
                  <c:v>37022</c:v>
                </c:pt>
                <c:pt idx="2624">
                  <c:v>37025</c:v>
                </c:pt>
                <c:pt idx="2625">
                  <c:v>37026</c:v>
                </c:pt>
                <c:pt idx="2626">
                  <c:v>37027</c:v>
                </c:pt>
                <c:pt idx="2627">
                  <c:v>37028</c:v>
                </c:pt>
                <c:pt idx="2628">
                  <c:v>37029</c:v>
                </c:pt>
                <c:pt idx="2629">
                  <c:v>37032</c:v>
                </c:pt>
                <c:pt idx="2630">
                  <c:v>37033</c:v>
                </c:pt>
                <c:pt idx="2631">
                  <c:v>37034</c:v>
                </c:pt>
                <c:pt idx="2632">
                  <c:v>37035</c:v>
                </c:pt>
                <c:pt idx="2633">
                  <c:v>37036</c:v>
                </c:pt>
                <c:pt idx="2634">
                  <c:v>37039</c:v>
                </c:pt>
                <c:pt idx="2635">
                  <c:v>37040</c:v>
                </c:pt>
                <c:pt idx="2636">
                  <c:v>37041</c:v>
                </c:pt>
                <c:pt idx="2637">
                  <c:v>37042</c:v>
                </c:pt>
                <c:pt idx="2638">
                  <c:v>37043</c:v>
                </c:pt>
                <c:pt idx="2639">
                  <c:v>37046</c:v>
                </c:pt>
                <c:pt idx="2640">
                  <c:v>37047</c:v>
                </c:pt>
                <c:pt idx="2641">
                  <c:v>37048</c:v>
                </c:pt>
                <c:pt idx="2642">
                  <c:v>37049</c:v>
                </c:pt>
                <c:pt idx="2643">
                  <c:v>37050</c:v>
                </c:pt>
                <c:pt idx="2644">
                  <c:v>37053</c:v>
                </c:pt>
                <c:pt idx="2645">
                  <c:v>37054</c:v>
                </c:pt>
                <c:pt idx="2646">
                  <c:v>37055</c:v>
                </c:pt>
                <c:pt idx="2647">
                  <c:v>37056</c:v>
                </c:pt>
                <c:pt idx="2648">
                  <c:v>37057</c:v>
                </c:pt>
                <c:pt idx="2649">
                  <c:v>37060</c:v>
                </c:pt>
                <c:pt idx="2650">
                  <c:v>37061</c:v>
                </c:pt>
                <c:pt idx="2651">
                  <c:v>37062</c:v>
                </c:pt>
                <c:pt idx="2652">
                  <c:v>37063</c:v>
                </c:pt>
                <c:pt idx="2653">
                  <c:v>37064</c:v>
                </c:pt>
                <c:pt idx="2654">
                  <c:v>37067</c:v>
                </c:pt>
                <c:pt idx="2655">
                  <c:v>37068</c:v>
                </c:pt>
                <c:pt idx="2656">
                  <c:v>37069</c:v>
                </c:pt>
                <c:pt idx="2657">
                  <c:v>37070</c:v>
                </c:pt>
                <c:pt idx="2658">
                  <c:v>37071</c:v>
                </c:pt>
                <c:pt idx="2659">
                  <c:v>37074</c:v>
                </c:pt>
                <c:pt idx="2660">
                  <c:v>37075</c:v>
                </c:pt>
                <c:pt idx="2661">
                  <c:v>37076</c:v>
                </c:pt>
                <c:pt idx="2662">
                  <c:v>37077</c:v>
                </c:pt>
                <c:pt idx="2663">
                  <c:v>37078</c:v>
                </c:pt>
                <c:pt idx="2664">
                  <c:v>37081</c:v>
                </c:pt>
                <c:pt idx="2665">
                  <c:v>37082</c:v>
                </c:pt>
                <c:pt idx="2666">
                  <c:v>37083</c:v>
                </c:pt>
                <c:pt idx="2667">
                  <c:v>37084</c:v>
                </c:pt>
                <c:pt idx="2668">
                  <c:v>37085</c:v>
                </c:pt>
                <c:pt idx="2669">
                  <c:v>37088</c:v>
                </c:pt>
                <c:pt idx="2670">
                  <c:v>37089</c:v>
                </c:pt>
                <c:pt idx="2671">
                  <c:v>37090</c:v>
                </c:pt>
                <c:pt idx="2672">
                  <c:v>37091</c:v>
                </c:pt>
                <c:pt idx="2673">
                  <c:v>37092</c:v>
                </c:pt>
                <c:pt idx="2674">
                  <c:v>37095</c:v>
                </c:pt>
                <c:pt idx="2675">
                  <c:v>37096</c:v>
                </c:pt>
                <c:pt idx="2676">
                  <c:v>37097</c:v>
                </c:pt>
                <c:pt idx="2677">
                  <c:v>37098</c:v>
                </c:pt>
                <c:pt idx="2678">
                  <c:v>37099</c:v>
                </c:pt>
                <c:pt idx="2679">
                  <c:v>37102</c:v>
                </c:pt>
                <c:pt idx="2680">
                  <c:v>37103</c:v>
                </c:pt>
                <c:pt idx="2681">
                  <c:v>37104</c:v>
                </c:pt>
                <c:pt idx="2682">
                  <c:v>37105</c:v>
                </c:pt>
                <c:pt idx="2683">
                  <c:v>37106</c:v>
                </c:pt>
                <c:pt idx="2684">
                  <c:v>37109</c:v>
                </c:pt>
                <c:pt idx="2685">
                  <c:v>37110</c:v>
                </c:pt>
                <c:pt idx="2686">
                  <c:v>37111</c:v>
                </c:pt>
                <c:pt idx="2687">
                  <c:v>37112</c:v>
                </c:pt>
                <c:pt idx="2688">
                  <c:v>37113</c:v>
                </c:pt>
                <c:pt idx="2689">
                  <c:v>37116</c:v>
                </c:pt>
                <c:pt idx="2690">
                  <c:v>37117</c:v>
                </c:pt>
                <c:pt idx="2691">
                  <c:v>37118</c:v>
                </c:pt>
                <c:pt idx="2692">
                  <c:v>37119</c:v>
                </c:pt>
                <c:pt idx="2693">
                  <c:v>37120</c:v>
                </c:pt>
                <c:pt idx="2694">
                  <c:v>37123</c:v>
                </c:pt>
                <c:pt idx="2695">
                  <c:v>37124</c:v>
                </c:pt>
                <c:pt idx="2696">
                  <c:v>37125</c:v>
                </c:pt>
                <c:pt idx="2697">
                  <c:v>37126</c:v>
                </c:pt>
                <c:pt idx="2698">
                  <c:v>37127</c:v>
                </c:pt>
                <c:pt idx="2699">
                  <c:v>37130</c:v>
                </c:pt>
                <c:pt idx="2700">
                  <c:v>37131</c:v>
                </c:pt>
                <c:pt idx="2701">
                  <c:v>37132</c:v>
                </c:pt>
                <c:pt idx="2702">
                  <c:v>37133</c:v>
                </c:pt>
                <c:pt idx="2703">
                  <c:v>37134</c:v>
                </c:pt>
                <c:pt idx="2704">
                  <c:v>37137</c:v>
                </c:pt>
                <c:pt idx="2705">
                  <c:v>37138</c:v>
                </c:pt>
                <c:pt idx="2706">
                  <c:v>37139</c:v>
                </c:pt>
                <c:pt idx="2707">
                  <c:v>37140</c:v>
                </c:pt>
                <c:pt idx="2708">
                  <c:v>37141</c:v>
                </c:pt>
                <c:pt idx="2709">
                  <c:v>37144</c:v>
                </c:pt>
                <c:pt idx="2710">
                  <c:v>37146</c:v>
                </c:pt>
                <c:pt idx="2711">
                  <c:v>37147</c:v>
                </c:pt>
                <c:pt idx="2712">
                  <c:v>37148</c:v>
                </c:pt>
                <c:pt idx="2713">
                  <c:v>37151</c:v>
                </c:pt>
                <c:pt idx="2714">
                  <c:v>37152</c:v>
                </c:pt>
                <c:pt idx="2715">
                  <c:v>37153</c:v>
                </c:pt>
                <c:pt idx="2716">
                  <c:v>37154</c:v>
                </c:pt>
                <c:pt idx="2717">
                  <c:v>37155</c:v>
                </c:pt>
                <c:pt idx="2718">
                  <c:v>37158</c:v>
                </c:pt>
                <c:pt idx="2719">
                  <c:v>37159</c:v>
                </c:pt>
                <c:pt idx="2720">
                  <c:v>37160</c:v>
                </c:pt>
                <c:pt idx="2721">
                  <c:v>37161</c:v>
                </c:pt>
                <c:pt idx="2722">
                  <c:v>37162</c:v>
                </c:pt>
                <c:pt idx="2723">
                  <c:v>37165</c:v>
                </c:pt>
                <c:pt idx="2724">
                  <c:v>37166</c:v>
                </c:pt>
                <c:pt idx="2725">
                  <c:v>37167</c:v>
                </c:pt>
                <c:pt idx="2726">
                  <c:v>37168</c:v>
                </c:pt>
                <c:pt idx="2727">
                  <c:v>37169</c:v>
                </c:pt>
                <c:pt idx="2728">
                  <c:v>37172</c:v>
                </c:pt>
                <c:pt idx="2729">
                  <c:v>37173</c:v>
                </c:pt>
                <c:pt idx="2730">
                  <c:v>37174</c:v>
                </c:pt>
                <c:pt idx="2731">
                  <c:v>37175</c:v>
                </c:pt>
                <c:pt idx="2732">
                  <c:v>37176</c:v>
                </c:pt>
                <c:pt idx="2733">
                  <c:v>37179</c:v>
                </c:pt>
                <c:pt idx="2734">
                  <c:v>37180</c:v>
                </c:pt>
                <c:pt idx="2735">
                  <c:v>37181</c:v>
                </c:pt>
                <c:pt idx="2736">
                  <c:v>37182</c:v>
                </c:pt>
                <c:pt idx="2737">
                  <c:v>37183</c:v>
                </c:pt>
                <c:pt idx="2738">
                  <c:v>37186</c:v>
                </c:pt>
                <c:pt idx="2739">
                  <c:v>37187</c:v>
                </c:pt>
                <c:pt idx="2740">
                  <c:v>37188</c:v>
                </c:pt>
                <c:pt idx="2741">
                  <c:v>37189</c:v>
                </c:pt>
                <c:pt idx="2742">
                  <c:v>37190</c:v>
                </c:pt>
                <c:pt idx="2743">
                  <c:v>37193</c:v>
                </c:pt>
                <c:pt idx="2744">
                  <c:v>37194</c:v>
                </c:pt>
                <c:pt idx="2745">
                  <c:v>37195</c:v>
                </c:pt>
                <c:pt idx="2746">
                  <c:v>37196</c:v>
                </c:pt>
                <c:pt idx="2747">
                  <c:v>37197</c:v>
                </c:pt>
                <c:pt idx="2748">
                  <c:v>37200</c:v>
                </c:pt>
                <c:pt idx="2749">
                  <c:v>37201</c:v>
                </c:pt>
                <c:pt idx="2750">
                  <c:v>37202</c:v>
                </c:pt>
                <c:pt idx="2751">
                  <c:v>37203</c:v>
                </c:pt>
                <c:pt idx="2752">
                  <c:v>37204</c:v>
                </c:pt>
                <c:pt idx="2753">
                  <c:v>37207</c:v>
                </c:pt>
                <c:pt idx="2754">
                  <c:v>37208</c:v>
                </c:pt>
                <c:pt idx="2755">
                  <c:v>37209</c:v>
                </c:pt>
                <c:pt idx="2756">
                  <c:v>37210</c:v>
                </c:pt>
                <c:pt idx="2757">
                  <c:v>37211</c:v>
                </c:pt>
                <c:pt idx="2758">
                  <c:v>37214</c:v>
                </c:pt>
                <c:pt idx="2759">
                  <c:v>37215</c:v>
                </c:pt>
                <c:pt idx="2760">
                  <c:v>37216</c:v>
                </c:pt>
                <c:pt idx="2761">
                  <c:v>37217</c:v>
                </c:pt>
                <c:pt idx="2762">
                  <c:v>37218</c:v>
                </c:pt>
                <c:pt idx="2763">
                  <c:v>37221</c:v>
                </c:pt>
                <c:pt idx="2764">
                  <c:v>37222</c:v>
                </c:pt>
                <c:pt idx="2765">
                  <c:v>37223</c:v>
                </c:pt>
                <c:pt idx="2766">
                  <c:v>37224</c:v>
                </c:pt>
                <c:pt idx="2767">
                  <c:v>37225</c:v>
                </c:pt>
                <c:pt idx="2768">
                  <c:v>37228</c:v>
                </c:pt>
                <c:pt idx="2769">
                  <c:v>37229</c:v>
                </c:pt>
                <c:pt idx="2770">
                  <c:v>37230</c:v>
                </c:pt>
                <c:pt idx="2771">
                  <c:v>37231</c:v>
                </c:pt>
                <c:pt idx="2772">
                  <c:v>37232</c:v>
                </c:pt>
                <c:pt idx="2773">
                  <c:v>37235</c:v>
                </c:pt>
                <c:pt idx="2774">
                  <c:v>37236</c:v>
                </c:pt>
                <c:pt idx="2775">
                  <c:v>37237</c:v>
                </c:pt>
                <c:pt idx="2776">
                  <c:v>37238</c:v>
                </c:pt>
                <c:pt idx="2777">
                  <c:v>37239</c:v>
                </c:pt>
                <c:pt idx="2778">
                  <c:v>37242</c:v>
                </c:pt>
                <c:pt idx="2779">
                  <c:v>37243</c:v>
                </c:pt>
                <c:pt idx="2780">
                  <c:v>37244</c:v>
                </c:pt>
                <c:pt idx="2781">
                  <c:v>37245</c:v>
                </c:pt>
                <c:pt idx="2782">
                  <c:v>37246</c:v>
                </c:pt>
                <c:pt idx="2783">
                  <c:v>37252</c:v>
                </c:pt>
                <c:pt idx="2784">
                  <c:v>37253</c:v>
                </c:pt>
                <c:pt idx="2785">
                  <c:v>37258</c:v>
                </c:pt>
                <c:pt idx="2786">
                  <c:v>37259</c:v>
                </c:pt>
                <c:pt idx="2787">
                  <c:v>37260</c:v>
                </c:pt>
                <c:pt idx="2788">
                  <c:v>37263</c:v>
                </c:pt>
                <c:pt idx="2789">
                  <c:v>37264</c:v>
                </c:pt>
                <c:pt idx="2790">
                  <c:v>37265</c:v>
                </c:pt>
                <c:pt idx="2791">
                  <c:v>37266</c:v>
                </c:pt>
                <c:pt idx="2792">
                  <c:v>37267</c:v>
                </c:pt>
                <c:pt idx="2793">
                  <c:v>37270</c:v>
                </c:pt>
                <c:pt idx="2794">
                  <c:v>37271</c:v>
                </c:pt>
                <c:pt idx="2795">
                  <c:v>37272</c:v>
                </c:pt>
                <c:pt idx="2796">
                  <c:v>37273</c:v>
                </c:pt>
                <c:pt idx="2797">
                  <c:v>37274</c:v>
                </c:pt>
                <c:pt idx="2798">
                  <c:v>37277</c:v>
                </c:pt>
                <c:pt idx="2799">
                  <c:v>37278</c:v>
                </c:pt>
                <c:pt idx="2800">
                  <c:v>37279</c:v>
                </c:pt>
                <c:pt idx="2801">
                  <c:v>37280</c:v>
                </c:pt>
                <c:pt idx="2802">
                  <c:v>37281</c:v>
                </c:pt>
                <c:pt idx="2803">
                  <c:v>37284</c:v>
                </c:pt>
                <c:pt idx="2804">
                  <c:v>37285</c:v>
                </c:pt>
                <c:pt idx="2805">
                  <c:v>37286</c:v>
                </c:pt>
                <c:pt idx="2806">
                  <c:v>37287</c:v>
                </c:pt>
                <c:pt idx="2807">
                  <c:v>37288</c:v>
                </c:pt>
                <c:pt idx="2808">
                  <c:v>37291</c:v>
                </c:pt>
                <c:pt idx="2809">
                  <c:v>37292</c:v>
                </c:pt>
                <c:pt idx="2810">
                  <c:v>37293</c:v>
                </c:pt>
                <c:pt idx="2811">
                  <c:v>37294</c:v>
                </c:pt>
                <c:pt idx="2812">
                  <c:v>37295</c:v>
                </c:pt>
                <c:pt idx="2813">
                  <c:v>37298</c:v>
                </c:pt>
                <c:pt idx="2814">
                  <c:v>37299</c:v>
                </c:pt>
                <c:pt idx="2815">
                  <c:v>37300</c:v>
                </c:pt>
                <c:pt idx="2816">
                  <c:v>37301</c:v>
                </c:pt>
                <c:pt idx="2817">
                  <c:v>37302</c:v>
                </c:pt>
                <c:pt idx="2818">
                  <c:v>37305</c:v>
                </c:pt>
                <c:pt idx="2819">
                  <c:v>37306</c:v>
                </c:pt>
                <c:pt idx="2820">
                  <c:v>37307</c:v>
                </c:pt>
                <c:pt idx="2821">
                  <c:v>37308</c:v>
                </c:pt>
                <c:pt idx="2822">
                  <c:v>37309</c:v>
                </c:pt>
                <c:pt idx="2823">
                  <c:v>37312</c:v>
                </c:pt>
                <c:pt idx="2824">
                  <c:v>37313</c:v>
                </c:pt>
                <c:pt idx="2825">
                  <c:v>37314</c:v>
                </c:pt>
                <c:pt idx="2826">
                  <c:v>37315</c:v>
                </c:pt>
                <c:pt idx="2827">
                  <c:v>37316</c:v>
                </c:pt>
                <c:pt idx="2828">
                  <c:v>37319</c:v>
                </c:pt>
                <c:pt idx="2829">
                  <c:v>37320</c:v>
                </c:pt>
                <c:pt idx="2830">
                  <c:v>37321</c:v>
                </c:pt>
                <c:pt idx="2831">
                  <c:v>37322</c:v>
                </c:pt>
                <c:pt idx="2832">
                  <c:v>37323</c:v>
                </c:pt>
                <c:pt idx="2833">
                  <c:v>37326</c:v>
                </c:pt>
                <c:pt idx="2834">
                  <c:v>37327</c:v>
                </c:pt>
                <c:pt idx="2835">
                  <c:v>37328</c:v>
                </c:pt>
                <c:pt idx="2836">
                  <c:v>37329</c:v>
                </c:pt>
                <c:pt idx="2837">
                  <c:v>37330</c:v>
                </c:pt>
                <c:pt idx="2838">
                  <c:v>37333</c:v>
                </c:pt>
                <c:pt idx="2839">
                  <c:v>37334</c:v>
                </c:pt>
                <c:pt idx="2840">
                  <c:v>37335</c:v>
                </c:pt>
                <c:pt idx="2841">
                  <c:v>37336</c:v>
                </c:pt>
                <c:pt idx="2842">
                  <c:v>37337</c:v>
                </c:pt>
                <c:pt idx="2843">
                  <c:v>37340</c:v>
                </c:pt>
                <c:pt idx="2844">
                  <c:v>37341</c:v>
                </c:pt>
                <c:pt idx="2845">
                  <c:v>37342</c:v>
                </c:pt>
                <c:pt idx="2846">
                  <c:v>37343</c:v>
                </c:pt>
                <c:pt idx="2847">
                  <c:v>37348</c:v>
                </c:pt>
                <c:pt idx="2848">
                  <c:v>37349</c:v>
                </c:pt>
                <c:pt idx="2849">
                  <c:v>37350</c:v>
                </c:pt>
                <c:pt idx="2850">
                  <c:v>37351</c:v>
                </c:pt>
                <c:pt idx="2851">
                  <c:v>37354</c:v>
                </c:pt>
                <c:pt idx="2852">
                  <c:v>37355</c:v>
                </c:pt>
                <c:pt idx="2853">
                  <c:v>37356</c:v>
                </c:pt>
                <c:pt idx="2854">
                  <c:v>37357</c:v>
                </c:pt>
                <c:pt idx="2855">
                  <c:v>37358</c:v>
                </c:pt>
                <c:pt idx="2856">
                  <c:v>37361</c:v>
                </c:pt>
                <c:pt idx="2857">
                  <c:v>37362</c:v>
                </c:pt>
                <c:pt idx="2858">
                  <c:v>37363</c:v>
                </c:pt>
                <c:pt idx="2859">
                  <c:v>37364</c:v>
                </c:pt>
                <c:pt idx="2860">
                  <c:v>37365</c:v>
                </c:pt>
                <c:pt idx="2861">
                  <c:v>37368</c:v>
                </c:pt>
                <c:pt idx="2862">
                  <c:v>37369</c:v>
                </c:pt>
                <c:pt idx="2863">
                  <c:v>37370</c:v>
                </c:pt>
                <c:pt idx="2864">
                  <c:v>37371</c:v>
                </c:pt>
                <c:pt idx="2865">
                  <c:v>37372</c:v>
                </c:pt>
                <c:pt idx="2866">
                  <c:v>37375</c:v>
                </c:pt>
                <c:pt idx="2867">
                  <c:v>37376</c:v>
                </c:pt>
                <c:pt idx="2868">
                  <c:v>37378</c:v>
                </c:pt>
                <c:pt idx="2869">
                  <c:v>37379</c:v>
                </c:pt>
                <c:pt idx="2870">
                  <c:v>37382</c:v>
                </c:pt>
                <c:pt idx="2871">
                  <c:v>37383</c:v>
                </c:pt>
                <c:pt idx="2872">
                  <c:v>37384</c:v>
                </c:pt>
                <c:pt idx="2873">
                  <c:v>37385</c:v>
                </c:pt>
                <c:pt idx="2874">
                  <c:v>37386</c:v>
                </c:pt>
                <c:pt idx="2875">
                  <c:v>37389</c:v>
                </c:pt>
                <c:pt idx="2876">
                  <c:v>37390</c:v>
                </c:pt>
                <c:pt idx="2877">
                  <c:v>37391</c:v>
                </c:pt>
                <c:pt idx="2878">
                  <c:v>37392</c:v>
                </c:pt>
                <c:pt idx="2879">
                  <c:v>37393</c:v>
                </c:pt>
                <c:pt idx="2880">
                  <c:v>37396</c:v>
                </c:pt>
                <c:pt idx="2881">
                  <c:v>37397</c:v>
                </c:pt>
                <c:pt idx="2882">
                  <c:v>37398</c:v>
                </c:pt>
                <c:pt idx="2883">
                  <c:v>37399</c:v>
                </c:pt>
                <c:pt idx="2884">
                  <c:v>37400</c:v>
                </c:pt>
                <c:pt idx="2885">
                  <c:v>37403</c:v>
                </c:pt>
                <c:pt idx="2886">
                  <c:v>37404</c:v>
                </c:pt>
                <c:pt idx="2887">
                  <c:v>37405</c:v>
                </c:pt>
                <c:pt idx="2888">
                  <c:v>37406</c:v>
                </c:pt>
                <c:pt idx="2889">
                  <c:v>37407</c:v>
                </c:pt>
                <c:pt idx="2890">
                  <c:v>37410</c:v>
                </c:pt>
                <c:pt idx="2891">
                  <c:v>37411</c:v>
                </c:pt>
                <c:pt idx="2892">
                  <c:v>37412</c:v>
                </c:pt>
                <c:pt idx="2893">
                  <c:v>37413</c:v>
                </c:pt>
                <c:pt idx="2894">
                  <c:v>37414</c:v>
                </c:pt>
                <c:pt idx="2895">
                  <c:v>37417</c:v>
                </c:pt>
                <c:pt idx="2896">
                  <c:v>37418</c:v>
                </c:pt>
                <c:pt idx="2897">
                  <c:v>37419</c:v>
                </c:pt>
                <c:pt idx="2898">
                  <c:v>37420</c:v>
                </c:pt>
                <c:pt idx="2899">
                  <c:v>37421</c:v>
                </c:pt>
                <c:pt idx="2900">
                  <c:v>37424</c:v>
                </c:pt>
                <c:pt idx="2901">
                  <c:v>37425</c:v>
                </c:pt>
                <c:pt idx="2902">
                  <c:v>37426</c:v>
                </c:pt>
                <c:pt idx="2903">
                  <c:v>37427</c:v>
                </c:pt>
                <c:pt idx="2904">
                  <c:v>37428</c:v>
                </c:pt>
                <c:pt idx="2905">
                  <c:v>37431</c:v>
                </c:pt>
                <c:pt idx="2906">
                  <c:v>37432</c:v>
                </c:pt>
                <c:pt idx="2907">
                  <c:v>37433</c:v>
                </c:pt>
                <c:pt idx="2908">
                  <c:v>37434</c:v>
                </c:pt>
                <c:pt idx="2909">
                  <c:v>37435</c:v>
                </c:pt>
                <c:pt idx="2910">
                  <c:v>37438</c:v>
                </c:pt>
                <c:pt idx="2911">
                  <c:v>37439</c:v>
                </c:pt>
                <c:pt idx="2912">
                  <c:v>37440</c:v>
                </c:pt>
                <c:pt idx="2913">
                  <c:v>37441</c:v>
                </c:pt>
                <c:pt idx="2914">
                  <c:v>37442</c:v>
                </c:pt>
                <c:pt idx="2915">
                  <c:v>37445</c:v>
                </c:pt>
                <c:pt idx="2916">
                  <c:v>37446</c:v>
                </c:pt>
                <c:pt idx="2917">
                  <c:v>37447</c:v>
                </c:pt>
                <c:pt idx="2918">
                  <c:v>37448</c:v>
                </c:pt>
                <c:pt idx="2919">
                  <c:v>37449</c:v>
                </c:pt>
                <c:pt idx="2920">
                  <c:v>37452</c:v>
                </c:pt>
                <c:pt idx="2921">
                  <c:v>37453</c:v>
                </c:pt>
                <c:pt idx="2922">
                  <c:v>37454</c:v>
                </c:pt>
                <c:pt idx="2923">
                  <c:v>37455</c:v>
                </c:pt>
                <c:pt idx="2924">
                  <c:v>37456</c:v>
                </c:pt>
                <c:pt idx="2925">
                  <c:v>37459</c:v>
                </c:pt>
                <c:pt idx="2926">
                  <c:v>37460</c:v>
                </c:pt>
                <c:pt idx="2927">
                  <c:v>37461</c:v>
                </c:pt>
                <c:pt idx="2928">
                  <c:v>37462</c:v>
                </c:pt>
                <c:pt idx="2929">
                  <c:v>37463</c:v>
                </c:pt>
                <c:pt idx="2930">
                  <c:v>37466</c:v>
                </c:pt>
                <c:pt idx="2931">
                  <c:v>37467</c:v>
                </c:pt>
                <c:pt idx="2932">
                  <c:v>37468</c:v>
                </c:pt>
                <c:pt idx="2933">
                  <c:v>37469</c:v>
                </c:pt>
                <c:pt idx="2934">
                  <c:v>37470</c:v>
                </c:pt>
                <c:pt idx="2935">
                  <c:v>37473</c:v>
                </c:pt>
                <c:pt idx="2936">
                  <c:v>37474</c:v>
                </c:pt>
                <c:pt idx="2937">
                  <c:v>37475</c:v>
                </c:pt>
                <c:pt idx="2938">
                  <c:v>37476</c:v>
                </c:pt>
                <c:pt idx="2939">
                  <c:v>37477</c:v>
                </c:pt>
                <c:pt idx="2940">
                  <c:v>37480</c:v>
                </c:pt>
                <c:pt idx="2941">
                  <c:v>37481</c:v>
                </c:pt>
                <c:pt idx="2942">
                  <c:v>37482</c:v>
                </c:pt>
                <c:pt idx="2943">
                  <c:v>37483</c:v>
                </c:pt>
                <c:pt idx="2944">
                  <c:v>37484</c:v>
                </c:pt>
                <c:pt idx="2945">
                  <c:v>37487</c:v>
                </c:pt>
                <c:pt idx="2946">
                  <c:v>37488</c:v>
                </c:pt>
                <c:pt idx="2947">
                  <c:v>37489</c:v>
                </c:pt>
                <c:pt idx="2948">
                  <c:v>37490</c:v>
                </c:pt>
                <c:pt idx="2949">
                  <c:v>37491</c:v>
                </c:pt>
                <c:pt idx="2950">
                  <c:v>37494</c:v>
                </c:pt>
                <c:pt idx="2951">
                  <c:v>37495</c:v>
                </c:pt>
                <c:pt idx="2952">
                  <c:v>37496</c:v>
                </c:pt>
                <c:pt idx="2953">
                  <c:v>37497</c:v>
                </c:pt>
                <c:pt idx="2954">
                  <c:v>37498</c:v>
                </c:pt>
                <c:pt idx="2955">
                  <c:v>37501</c:v>
                </c:pt>
                <c:pt idx="2956">
                  <c:v>37502</c:v>
                </c:pt>
                <c:pt idx="2957">
                  <c:v>37503</c:v>
                </c:pt>
                <c:pt idx="2958">
                  <c:v>37504</c:v>
                </c:pt>
                <c:pt idx="2959">
                  <c:v>37505</c:v>
                </c:pt>
                <c:pt idx="2960">
                  <c:v>37508</c:v>
                </c:pt>
                <c:pt idx="2961">
                  <c:v>37509</c:v>
                </c:pt>
                <c:pt idx="2962">
                  <c:v>37510</c:v>
                </c:pt>
                <c:pt idx="2963">
                  <c:v>37511</c:v>
                </c:pt>
                <c:pt idx="2964">
                  <c:v>37512</c:v>
                </c:pt>
                <c:pt idx="2965">
                  <c:v>37515</c:v>
                </c:pt>
                <c:pt idx="2966">
                  <c:v>37516</c:v>
                </c:pt>
                <c:pt idx="2967">
                  <c:v>37517</c:v>
                </c:pt>
                <c:pt idx="2968">
                  <c:v>37518</c:v>
                </c:pt>
                <c:pt idx="2969">
                  <c:v>37519</c:v>
                </c:pt>
                <c:pt idx="2970">
                  <c:v>37522</c:v>
                </c:pt>
                <c:pt idx="2971">
                  <c:v>37523</c:v>
                </c:pt>
                <c:pt idx="2972">
                  <c:v>37524</c:v>
                </c:pt>
                <c:pt idx="2973">
                  <c:v>37525</c:v>
                </c:pt>
                <c:pt idx="2974">
                  <c:v>37526</c:v>
                </c:pt>
                <c:pt idx="2975">
                  <c:v>37529</c:v>
                </c:pt>
                <c:pt idx="2976">
                  <c:v>37530</c:v>
                </c:pt>
                <c:pt idx="2977">
                  <c:v>37531</c:v>
                </c:pt>
                <c:pt idx="2978">
                  <c:v>37532</c:v>
                </c:pt>
                <c:pt idx="2979">
                  <c:v>37533</c:v>
                </c:pt>
                <c:pt idx="2980">
                  <c:v>37536</c:v>
                </c:pt>
                <c:pt idx="2981">
                  <c:v>37537</c:v>
                </c:pt>
                <c:pt idx="2982">
                  <c:v>37538</c:v>
                </c:pt>
                <c:pt idx="2983">
                  <c:v>37539</c:v>
                </c:pt>
                <c:pt idx="2984">
                  <c:v>37540</c:v>
                </c:pt>
                <c:pt idx="2985">
                  <c:v>37543</c:v>
                </c:pt>
                <c:pt idx="2986">
                  <c:v>37544</c:v>
                </c:pt>
                <c:pt idx="2987">
                  <c:v>37545</c:v>
                </c:pt>
                <c:pt idx="2988">
                  <c:v>37546</c:v>
                </c:pt>
                <c:pt idx="2989">
                  <c:v>37547</c:v>
                </c:pt>
                <c:pt idx="2990">
                  <c:v>37550</c:v>
                </c:pt>
                <c:pt idx="2991">
                  <c:v>37551</c:v>
                </c:pt>
                <c:pt idx="2992">
                  <c:v>37552</c:v>
                </c:pt>
                <c:pt idx="2993">
                  <c:v>37553</c:v>
                </c:pt>
                <c:pt idx="2994">
                  <c:v>37554</c:v>
                </c:pt>
                <c:pt idx="2995">
                  <c:v>37557</c:v>
                </c:pt>
                <c:pt idx="2996">
                  <c:v>37558</c:v>
                </c:pt>
                <c:pt idx="2997">
                  <c:v>37559</c:v>
                </c:pt>
                <c:pt idx="2998">
                  <c:v>37560</c:v>
                </c:pt>
                <c:pt idx="2999">
                  <c:v>37561</c:v>
                </c:pt>
                <c:pt idx="3000">
                  <c:v>37564</c:v>
                </c:pt>
                <c:pt idx="3001">
                  <c:v>37565</c:v>
                </c:pt>
                <c:pt idx="3002">
                  <c:v>37566</c:v>
                </c:pt>
                <c:pt idx="3003">
                  <c:v>37567</c:v>
                </c:pt>
                <c:pt idx="3004">
                  <c:v>37568</c:v>
                </c:pt>
                <c:pt idx="3005">
                  <c:v>37571</c:v>
                </c:pt>
                <c:pt idx="3006">
                  <c:v>37572</c:v>
                </c:pt>
                <c:pt idx="3007">
                  <c:v>37573</c:v>
                </c:pt>
                <c:pt idx="3008">
                  <c:v>37574</c:v>
                </c:pt>
                <c:pt idx="3009">
                  <c:v>37575</c:v>
                </c:pt>
                <c:pt idx="3010">
                  <c:v>37578</c:v>
                </c:pt>
                <c:pt idx="3011">
                  <c:v>37579</c:v>
                </c:pt>
                <c:pt idx="3012">
                  <c:v>37580</c:v>
                </c:pt>
                <c:pt idx="3013">
                  <c:v>37581</c:v>
                </c:pt>
                <c:pt idx="3014">
                  <c:v>37582</c:v>
                </c:pt>
                <c:pt idx="3015">
                  <c:v>37585</c:v>
                </c:pt>
                <c:pt idx="3016">
                  <c:v>37586</c:v>
                </c:pt>
                <c:pt idx="3017">
                  <c:v>37587</c:v>
                </c:pt>
                <c:pt idx="3018">
                  <c:v>37588</c:v>
                </c:pt>
                <c:pt idx="3019">
                  <c:v>37589</c:v>
                </c:pt>
                <c:pt idx="3020">
                  <c:v>37592</c:v>
                </c:pt>
                <c:pt idx="3021">
                  <c:v>37593</c:v>
                </c:pt>
                <c:pt idx="3022">
                  <c:v>37594</c:v>
                </c:pt>
                <c:pt idx="3023">
                  <c:v>37595</c:v>
                </c:pt>
                <c:pt idx="3024">
                  <c:v>37596</c:v>
                </c:pt>
                <c:pt idx="3025">
                  <c:v>37599</c:v>
                </c:pt>
                <c:pt idx="3026">
                  <c:v>37600</c:v>
                </c:pt>
                <c:pt idx="3027">
                  <c:v>37601</c:v>
                </c:pt>
                <c:pt idx="3028">
                  <c:v>37602</c:v>
                </c:pt>
                <c:pt idx="3029">
                  <c:v>37603</c:v>
                </c:pt>
                <c:pt idx="3030">
                  <c:v>37606</c:v>
                </c:pt>
                <c:pt idx="3031">
                  <c:v>37607</c:v>
                </c:pt>
                <c:pt idx="3032">
                  <c:v>37608</c:v>
                </c:pt>
                <c:pt idx="3033">
                  <c:v>37609</c:v>
                </c:pt>
                <c:pt idx="3034">
                  <c:v>37610</c:v>
                </c:pt>
                <c:pt idx="3035">
                  <c:v>37613</c:v>
                </c:pt>
                <c:pt idx="3036">
                  <c:v>37617</c:v>
                </c:pt>
                <c:pt idx="3037">
                  <c:v>37620</c:v>
                </c:pt>
                <c:pt idx="3038">
                  <c:v>37623</c:v>
                </c:pt>
                <c:pt idx="3039">
                  <c:v>37624</c:v>
                </c:pt>
                <c:pt idx="3040">
                  <c:v>37627</c:v>
                </c:pt>
                <c:pt idx="3041">
                  <c:v>37628</c:v>
                </c:pt>
                <c:pt idx="3042">
                  <c:v>37629</c:v>
                </c:pt>
                <c:pt idx="3043">
                  <c:v>37630</c:v>
                </c:pt>
                <c:pt idx="3044">
                  <c:v>37631</c:v>
                </c:pt>
                <c:pt idx="3045">
                  <c:v>37634</c:v>
                </c:pt>
                <c:pt idx="3046">
                  <c:v>37635</c:v>
                </c:pt>
                <c:pt idx="3047">
                  <c:v>37636</c:v>
                </c:pt>
                <c:pt idx="3048">
                  <c:v>37637</c:v>
                </c:pt>
                <c:pt idx="3049">
                  <c:v>37638</c:v>
                </c:pt>
                <c:pt idx="3050">
                  <c:v>37641</c:v>
                </c:pt>
                <c:pt idx="3051">
                  <c:v>37642</c:v>
                </c:pt>
                <c:pt idx="3052">
                  <c:v>37643</c:v>
                </c:pt>
                <c:pt idx="3053">
                  <c:v>37644</c:v>
                </c:pt>
                <c:pt idx="3054">
                  <c:v>37645</c:v>
                </c:pt>
                <c:pt idx="3055">
                  <c:v>37648</c:v>
                </c:pt>
                <c:pt idx="3056">
                  <c:v>37649</c:v>
                </c:pt>
                <c:pt idx="3057">
                  <c:v>37650</c:v>
                </c:pt>
                <c:pt idx="3058">
                  <c:v>37651</c:v>
                </c:pt>
                <c:pt idx="3059">
                  <c:v>37652</c:v>
                </c:pt>
                <c:pt idx="3060">
                  <c:v>37655</c:v>
                </c:pt>
                <c:pt idx="3061">
                  <c:v>37656</c:v>
                </c:pt>
                <c:pt idx="3062">
                  <c:v>37657</c:v>
                </c:pt>
                <c:pt idx="3063">
                  <c:v>37658</c:v>
                </c:pt>
                <c:pt idx="3064">
                  <c:v>37659</c:v>
                </c:pt>
                <c:pt idx="3065">
                  <c:v>37662</c:v>
                </c:pt>
                <c:pt idx="3066">
                  <c:v>37663</c:v>
                </c:pt>
                <c:pt idx="3067">
                  <c:v>37664</c:v>
                </c:pt>
                <c:pt idx="3068">
                  <c:v>37665</c:v>
                </c:pt>
                <c:pt idx="3069">
                  <c:v>37666</c:v>
                </c:pt>
                <c:pt idx="3070">
                  <c:v>37669</c:v>
                </c:pt>
                <c:pt idx="3071">
                  <c:v>37670</c:v>
                </c:pt>
                <c:pt idx="3072">
                  <c:v>37671</c:v>
                </c:pt>
                <c:pt idx="3073">
                  <c:v>37672</c:v>
                </c:pt>
                <c:pt idx="3074">
                  <c:v>37673</c:v>
                </c:pt>
                <c:pt idx="3075">
                  <c:v>37676</c:v>
                </c:pt>
                <c:pt idx="3076">
                  <c:v>37677</c:v>
                </c:pt>
                <c:pt idx="3077">
                  <c:v>37678</c:v>
                </c:pt>
                <c:pt idx="3078">
                  <c:v>37679</c:v>
                </c:pt>
                <c:pt idx="3079">
                  <c:v>37680</c:v>
                </c:pt>
                <c:pt idx="3080">
                  <c:v>37683</c:v>
                </c:pt>
                <c:pt idx="3081">
                  <c:v>37684</c:v>
                </c:pt>
                <c:pt idx="3082">
                  <c:v>37685</c:v>
                </c:pt>
                <c:pt idx="3083">
                  <c:v>37686</c:v>
                </c:pt>
                <c:pt idx="3084">
                  <c:v>37687</c:v>
                </c:pt>
                <c:pt idx="3085">
                  <c:v>37690</c:v>
                </c:pt>
                <c:pt idx="3086">
                  <c:v>37691</c:v>
                </c:pt>
                <c:pt idx="3087">
                  <c:v>37692</c:v>
                </c:pt>
                <c:pt idx="3088">
                  <c:v>37693</c:v>
                </c:pt>
                <c:pt idx="3089">
                  <c:v>37694</c:v>
                </c:pt>
                <c:pt idx="3090">
                  <c:v>37697</c:v>
                </c:pt>
                <c:pt idx="3091">
                  <c:v>37698</c:v>
                </c:pt>
                <c:pt idx="3092">
                  <c:v>37699</c:v>
                </c:pt>
                <c:pt idx="3093">
                  <c:v>37700</c:v>
                </c:pt>
                <c:pt idx="3094">
                  <c:v>37701</c:v>
                </c:pt>
                <c:pt idx="3095">
                  <c:v>37704</c:v>
                </c:pt>
                <c:pt idx="3096">
                  <c:v>37705</c:v>
                </c:pt>
                <c:pt idx="3097">
                  <c:v>37706</c:v>
                </c:pt>
                <c:pt idx="3098">
                  <c:v>37707</c:v>
                </c:pt>
                <c:pt idx="3099">
                  <c:v>37708</c:v>
                </c:pt>
                <c:pt idx="3100">
                  <c:v>37711</c:v>
                </c:pt>
                <c:pt idx="3101">
                  <c:v>37712</c:v>
                </c:pt>
                <c:pt idx="3102">
                  <c:v>37713</c:v>
                </c:pt>
                <c:pt idx="3103">
                  <c:v>37714</c:v>
                </c:pt>
                <c:pt idx="3104">
                  <c:v>37715</c:v>
                </c:pt>
                <c:pt idx="3105">
                  <c:v>37718</c:v>
                </c:pt>
                <c:pt idx="3106">
                  <c:v>37719</c:v>
                </c:pt>
                <c:pt idx="3107">
                  <c:v>37720</c:v>
                </c:pt>
                <c:pt idx="3108">
                  <c:v>37721</c:v>
                </c:pt>
                <c:pt idx="3109">
                  <c:v>37722</c:v>
                </c:pt>
                <c:pt idx="3110">
                  <c:v>37725</c:v>
                </c:pt>
                <c:pt idx="3111">
                  <c:v>37726</c:v>
                </c:pt>
                <c:pt idx="3112">
                  <c:v>37727</c:v>
                </c:pt>
                <c:pt idx="3113">
                  <c:v>37728</c:v>
                </c:pt>
                <c:pt idx="3114">
                  <c:v>37733</c:v>
                </c:pt>
                <c:pt idx="3115">
                  <c:v>37734</c:v>
                </c:pt>
                <c:pt idx="3116">
                  <c:v>37735</c:v>
                </c:pt>
                <c:pt idx="3117">
                  <c:v>37736</c:v>
                </c:pt>
                <c:pt idx="3118">
                  <c:v>37739</c:v>
                </c:pt>
                <c:pt idx="3119">
                  <c:v>37740</c:v>
                </c:pt>
                <c:pt idx="3120">
                  <c:v>37741</c:v>
                </c:pt>
                <c:pt idx="3121">
                  <c:v>37743</c:v>
                </c:pt>
                <c:pt idx="3122">
                  <c:v>37746</c:v>
                </c:pt>
                <c:pt idx="3123">
                  <c:v>37747</c:v>
                </c:pt>
                <c:pt idx="3124">
                  <c:v>37748</c:v>
                </c:pt>
                <c:pt idx="3125">
                  <c:v>37749</c:v>
                </c:pt>
                <c:pt idx="3126">
                  <c:v>37750</c:v>
                </c:pt>
                <c:pt idx="3127">
                  <c:v>37753</c:v>
                </c:pt>
                <c:pt idx="3128">
                  <c:v>37754</c:v>
                </c:pt>
                <c:pt idx="3129">
                  <c:v>37755</c:v>
                </c:pt>
                <c:pt idx="3130">
                  <c:v>37756</c:v>
                </c:pt>
                <c:pt idx="3131">
                  <c:v>37757</c:v>
                </c:pt>
                <c:pt idx="3132">
                  <c:v>37760</c:v>
                </c:pt>
                <c:pt idx="3133">
                  <c:v>37761</c:v>
                </c:pt>
                <c:pt idx="3134">
                  <c:v>37762</c:v>
                </c:pt>
                <c:pt idx="3135">
                  <c:v>37763</c:v>
                </c:pt>
                <c:pt idx="3136">
                  <c:v>37764</c:v>
                </c:pt>
                <c:pt idx="3137">
                  <c:v>37767</c:v>
                </c:pt>
                <c:pt idx="3138">
                  <c:v>37768</c:v>
                </c:pt>
                <c:pt idx="3139">
                  <c:v>37769</c:v>
                </c:pt>
                <c:pt idx="3140">
                  <c:v>37770</c:v>
                </c:pt>
                <c:pt idx="3141">
                  <c:v>37771</c:v>
                </c:pt>
                <c:pt idx="3142">
                  <c:v>37774</c:v>
                </c:pt>
                <c:pt idx="3143">
                  <c:v>37775</c:v>
                </c:pt>
                <c:pt idx="3144">
                  <c:v>37776</c:v>
                </c:pt>
                <c:pt idx="3145">
                  <c:v>37777</c:v>
                </c:pt>
                <c:pt idx="3146">
                  <c:v>37778</c:v>
                </c:pt>
                <c:pt idx="3147">
                  <c:v>37781</c:v>
                </c:pt>
                <c:pt idx="3148">
                  <c:v>37782</c:v>
                </c:pt>
                <c:pt idx="3149">
                  <c:v>37783</c:v>
                </c:pt>
                <c:pt idx="3150">
                  <c:v>37784</c:v>
                </c:pt>
                <c:pt idx="3151">
                  <c:v>37785</c:v>
                </c:pt>
                <c:pt idx="3152">
                  <c:v>37788</c:v>
                </c:pt>
                <c:pt idx="3153">
                  <c:v>37789</c:v>
                </c:pt>
                <c:pt idx="3154">
                  <c:v>37790</c:v>
                </c:pt>
                <c:pt idx="3155">
                  <c:v>37791</c:v>
                </c:pt>
                <c:pt idx="3156">
                  <c:v>37792</c:v>
                </c:pt>
                <c:pt idx="3157">
                  <c:v>37795</c:v>
                </c:pt>
                <c:pt idx="3158">
                  <c:v>37796</c:v>
                </c:pt>
                <c:pt idx="3159">
                  <c:v>37797</c:v>
                </c:pt>
                <c:pt idx="3160">
                  <c:v>37798</c:v>
                </c:pt>
                <c:pt idx="3161">
                  <c:v>37799</c:v>
                </c:pt>
                <c:pt idx="3162">
                  <c:v>37802</c:v>
                </c:pt>
                <c:pt idx="3163">
                  <c:v>37803</c:v>
                </c:pt>
                <c:pt idx="3164">
                  <c:v>37804</c:v>
                </c:pt>
                <c:pt idx="3165">
                  <c:v>37805</c:v>
                </c:pt>
                <c:pt idx="3166">
                  <c:v>37806</c:v>
                </c:pt>
                <c:pt idx="3167">
                  <c:v>37809</c:v>
                </c:pt>
                <c:pt idx="3168">
                  <c:v>37810</c:v>
                </c:pt>
                <c:pt idx="3169">
                  <c:v>37811</c:v>
                </c:pt>
                <c:pt idx="3170">
                  <c:v>37812</c:v>
                </c:pt>
                <c:pt idx="3171">
                  <c:v>37813</c:v>
                </c:pt>
                <c:pt idx="3172">
                  <c:v>37816</c:v>
                </c:pt>
                <c:pt idx="3173">
                  <c:v>37817</c:v>
                </c:pt>
                <c:pt idx="3174">
                  <c:v>37818</c:v>
                </c:pt>
                <c:pt idx="3175">
                  <c:v>37819</c:v>
                </c:pt>
                <c:pt idx="3176">
                  <c:v>37820</c:v>
                </c:pt>
                <c:pt idx="3177">
                  <c:v>37823</c:v>
                </c:pt>
                <c:pt idx="3178">
                  <c:v>37824</c:v>
                </c:pt>
                <c:pt idx="3179">
                  <c:v>37825</c:v>
                </c:pt>
                <c:pt idx="3180">
                  <c:v>37826</c:v>
                </c:pt>
                <c:pt idx="3181">
                  <c:v>37827</c:v>
                </c:pt>
                <c:pt idx="3182">
                  <c:v>37830</c:v>
                </c:pt>
                <c:pt idx="3183">
                  <c:v>37831</c:v>
                </c:pt>
                <c:pt idx="3184">
                  <c:v>37832</c:v>
                </c:pt>
                <c:pt idx="3185">
                  <c:v>37833</c:v>
                </c:pt>
                <c:pt idx="3186">
                  <c:v>37834</c:v>
                </c:pt>
                <c:pt idx="3187">
                  <c:v>37837</c:v>
                </c:pt>
                <c:pt idx="3188">
                  <c:v>37838</c:v>
                </c:pt>
                <c:pt idx="3189">
                  <c:v>37839</c:v>
                </c:pt>
                <c:pt idx="3190">
                  <c:v>37840</c:v>
                </c:pt>
                <c:pt idx="3191">
                  <c:v>37841</c:v>
                </c:pt>
                <c:pt idx="3192">
                  <c:v>37844</c:v>
                </c:pt>
                <c:pt idx="3193">
                  <c:v>37845</c:v>
                </c:pt>
                <c:pt idx="3194">
                  <c:v>37846</c:v>
                </c:pt>
                <c:pt idx="3195">
                  <c:v>37847</c:v>
                </c:pt>
                <c:pt idx="3196">
                  <c:v>37848</c:v>
                </c:pt>
                <c:pt idx="3197">
                  <c:v>37851</c:v>
                </c:pt>
                <c:pt idx="3198">
                  <c:v>37852</c:v>
                </c:pt>
                <c:pt idx="3199">
                  <c:v>37853</c:v>
                </c:pt>
                <c:pt idx="3200">
                  <c:v>37854</c:v>
                </c:pt>
                <c:pt idx="3201">
                  <c:v>37855</c:v>
                </c:pt>
                <c:pt idx="3202">
                  <c:v>37858</c:v>
                </c:pt>
                <c:pt idx="3203">
                  <c:v>37859</c:v>
                </c:pt>
                <c:pt idx="3204">
                  <c:v>37860</c:v>
                </c:pt>
                <c:pt idx="3205">
                  <c:v>37861</c:v>
                </c:pt>
                <c:pt idx="3206">
                  <c:v>37862</c:v>
                </c:pt>
                <c:pt idx="3207">
                  <c:v>37865</c:v>
                </c:pt>
                <c:pt idx="3208">
                  <c:v>37866</c:v>
                </c:pt>
                <c:pt idx="3209">
                  <c:v>37867</c:v>
                </c:pt>
                <c:pt idx="3210">
                  <c:v>37868</c:v>
                </c:pt>
                <c:pt idx="3211">
                  <c:v>37869</c:v>
                </c:pt>
                <c:pt idx="3212">
                  <c:v>37872</c:v>
                </c:pt>
                <c:pt idx="3213">
                  <c:v>37873</c:v>
                </c:pt>
                <c:pt idx="3214">
                  <c:v>37874</c:v>
                </c:pt>
                <c:pt idx="3215">
                  <c:v>37875</c:v>
                </c:pt>
                <c:pt idx="3216">
                  <c:v>37876</c:v>
                </c:pt>
                <c:pt idx="3217">
                  <c:v>37879</c:v>
                </c:pt>
                <c:pt idx="3218">
                  <c:v>37880</c:v>
                </c:pt>
                <c:pt idx="3219">
                  <c:v>37881</c:v>
                </c:pt>
                <c:pt idx="3220">
                  <c:v>37882</c:v>
                </c:pt>
                <c:pt idx="3221">
                  <c:v>37883</c:v>
                </c:pt>
                <c:pt idx="3222">
                  <c:v>37886</c:v>
                </c:pt>
                <c:pt idx="3223">
                  <c:v>37887</c:v>
                </c:pt>
                <c:pt idx="3224">
                  <c:v>37888</c:v>
                </c:pt>
                <c:pt idx="3225">
                  <c:v>37889</c:v>
                </c:pt>
                <c:pt idx="3226">
                  <c:v>37890</c:v>
                </c:pt>
                <c:pt idx="3227">
                  <c:v>37893</c:v>
                </c:pt>
                <c:pt idx="3228">
                  <c:v>37894</c:v>
                </c:pt>
                <c:pt idx="3229">
                  <c:v>37895</c:v>
                </c:pt>
                <c:pt idx="3230">
                  <c:v>37896</c:v>
                </c:pt>
                <c:pt idx="3231">
                  <c:v>37897</c:v>
                </c:pt>
                <c:pt idx="3232">
                  <c:v>37900</c:v>
                </c:pt>
                <c:pt idx="3233">
                  <c:v>37901</c:v>
                </c:pt>
                <c:pt idx="3234">
                  <c:v>37902</c:v>
                </c:pt>
                <c:pt idx="3235">
                  <c:v>37903</c:v>
                </c:pt>
                <c:pt idx="3236">
                  <c:v>37904</c:v>
                </c:pt>
                <c:pt idx="3237">
                  <c:v>37907</c:v>
                </c:pt>
                <c:pt idx="3238">
                  <c:v>37908</c:v>
                </c:pt>
                <c:pt idx="3239">
                  <c:v>37909</c:v>
                </c:pt>
                <c:pt idx="3240">
                  <c:v>37910</c:v>
                </c:pt>
                <c:pt idx="3241">
                  <c:v>37911</c:v>
                </c:pt>
                <c:pt idx="3242">
                  <c:v>37914</c:v>
                </c:pt>
                <c:pt idx="3243">
                  <c:v>37915</c:v>
                </c:pt>
                <c:pt idx="3244">
                  <c:v>37916</c:v>
                </c:pt>
                <c:pt idx="3245">
                  <c:v>37917</c:v>
                </c:pt>
                <c:pt idx="3246">
                  <c:v>37918</c:v>
                </c:pt>
                <c:pt idx="3247">
                  <c:v>37921</c:v>
                </c:pt>
                <c:pt idx="3248">
                  <c:v>37922</c:v>
                </c:pt>
                <c:pt idx="3249">
                  <c:v>37923</c:v>
                </c:pt>
                <c:pt idx="3250">
                  <c:v>37924</c:v>
                </c:pt>
                <c:pt idx="3251">
                  <c:v>37925</c:v>
                </c:pt>
                <c:pt idx="3252">
                  <c:v>37928</c:v>
                </c:pt>
                <c:pt idx="3253">
                  <c:v>37929</c:v>
                </c:pt>
                <c:pt idx="3254">
                  <c:v>37930</c:v>
                </c:pt>
                <c:pt idx="3255">
                  <c:v>37931</c:v>
                </c:pt>
                <c:pt idx="3256">
                  <c:v>37932</c:v>
                </c:pt>
                <c:pt idx="3257">
                  <c:v>37935</c:v>
                </c:pt>
                <c:pt idx="3258">
                  <c:v>37936</c:v>
                </c:pt>
                <c:pt idx="3259">
                  <c:v>37937</c:v>
                </c:pt>
                <c:pt idx="3260">
                  <c:v>37938</c:v>
                </c:pt>
                <c:pt idx="3261">
                  <c:v>37939</c:v>
                </c:pt>
                <c:pt idx="3262">
                  <c:v>37942</c:v>
                </c:pt>
                <c:pt idx="3263">
                  <c:v>37943</c:v>
                </c:pt>
                <c:pt idx="3264">
                  <c:v>37944</c:v>
                </c:pt>
                <c:pt idx="3265">
                  <c:v>37945</c:v>
                </c:pt>
                <c:pt idx="3266">
                  <c:v>37946</c:v>
                </c:pt>
                <c:pt idx="3267">
                  <c:v>37949</c:v>
                </c:pt>
                <c:pt idx="3268">
                  <c:v>37950</c:v>
                </c:pt>
                <c:pt idx="3269">
                  <c:v>37951</c:v>
                </c:pt>
                <c:pt idx="3270">
                  <c:v>37952</c:v>
                </c:pt>
                <c:pt idx="3271">
                  <c:v>37953</c:v>
                </c:pt>
                <c:pt idx="3272">
                  <c:v>37956</c:v>
                </c:pt>
                <c:pt idx="3273">
                  <c:v>37957</c:v>
                </c:pt>
                <c:pt idx="3274">
                  <c:v>37958</c:v>
                </c:pt>
                <c:pt idx="3275">
                  <c:v>37959</c:v>
                </c:pt>
                <c:pt idx="3276">
                  <c:v>37960</c:v>
                </c:pt>
                <c:pt idx="3277">
                  <c:v>37963</c:v>
                </c:pt>
                <c:pt idx="3278">
                  <c:v>37964</c:v>
                </c:pt>
                <c:pt idx="3279">
                  <c:v>37965</c:v>
                </c:pt>
                <c:pt idx="3280">
                  <c:v>37966</c:v>
                </c:pt>
                <c:pt idx="3281">
                  <c:v>37967</c:v>
                </c:pt>
                <c:pt idx="3282">
                  <c:v>37970</c:v>
                </c:pt>
                <c:pt idx="3283">
                  <c:v>37971</c:v>
                </c:pt>
                <c:pt idx="3284">
                  <c:v>37972</c:v>
                </c:pt>
                <c:pt idx="3285">
                  <c:v>37973</c:v>
                </c:pt>
                <c:pt idx="3286">
                  <c:v>37974</c:v>
                </c:pt>
                <c:pt idx="3287">
                  <c:v>37977</c:v>
                </c:pt>
                <c:pt idx="3288">
                  <c:v>37978</c:v>
                </c:pt>
                <c:pt idx="3289">
                  <c:v>37984</c:v>
                </c:pt>
                <c:pt idx="3290">
                  <c:v>37985</c:v>
                </c:pt>
                <c:pt idx="3291">
                  <c:v>37988</c:v>
                </c:pt>
                <c:pt idx="3292">
                  <c:v>37991</c:v>
                </c:pt>
                <c:pt idx="3293">
                  <c:v>37992</c:v>
                </c:pt>
                <c:pt idx="3294">
                  <c:v>37993</c:v>
                </c:pt>
                <c:pt idx="3295">
                  <c:v>37994</c:v>
                </c:pt>
                <c:pt idx="3296">
                  <c:v>37995</c:v>
                </c:pt>
                <c:pt idx="3297">
                  <c:v>37998</c:v>
                </c:pt>
                <c:pt idx="3298">
                  <c:v>37999</c:v>
                </c:pt>
                <c:pt idx="3299">
                  <c:v>38000</c:v>
                </c:pt>
                <c:pt idx="3300">
                  <c:v>38001</c:v>
                </c:pt>
                <c:pt idx="3301">
                  <c:v>38002</c:v>
                </c:pt>
                <c:pt idx="3302">
                  <c:v>38005</c:v>
                </c:pt>
                <c:pt idx="3303">
                  <c:v>38006</c:v>
                </c:pt>
                <c:pt idx="3304">
                  <c:v>38007</c:v>
                </c:pt>
                <c:pt idx="3305">
                  <c:v>38008</c:v>
                </c:pt>
                <c:pt idx="3306">
                  <c:v>38009</c:v>
                </c:pt>
                <c:pt idx="3307">
                  <c:v>38012</c:v>
                </c:pt>
                <c:pt idx="3308">
                  <c:v>38013</c:v>
                </c:pt>
                <c:pt idx="3309">
                  <c:v>38014</c:v>
                </c:pt>
                <c:pt idx="3310">
                  <c:v>38015</c:v>
                </c:pt>
                <c:pt idx="3311">
                  <c:v>38016</c:v>
                </c:pt>
                <c:pt idx="3312">
                  <c:v>38019</c:v>
                </c:pt>
                <c:pt idx="3313">
                  <c:v>38020</c:v>
                </c:pt>
                <c:pt idx="3314">
                  <c:v>38021</c:v>
                </c:pt>
                <c:pt idx="3315">
                  <c:v>38022</c:v>
                </c:pt>
                <c:pt idx="3316">
                  <c:v>38023</c:v>
                </c:pt>
                <c:pt idx="3317">
                  <c:v>38026</c:v>
                </c:pt>
                <c:pt idx="3318">
                  <c:v>38027</c:v>
                </c:pt>
                <c:pt idx="3319">
                  <c:v>38028</c:v>
                </c:pt>
                <c:pt idx="3320">
                  <c:v>38029</c:v>
                </c:pt>
                <c:pt idx="3321">
                  <c:v>38030</c:v>
                </c:pt>
                <c:pt idx="3322">
                  <c:v>38033</c:v>
                </c:pt>
                <c:pt idx="3323">
                  <c:v>38034</c:v>
                </c:pt>
                <c:pt idx="3324">
                  <c:v>38035</c:v>
                </c:pt>
                <c:pt idx="3325">
                  <c:v>38036</c:v>
                </c:pt>
                <c:pt idx="3326">
                  <c:v>38037</c:v>
                </c:pt>
                <c:pt idx="3327">
                  <c:v>38040</c:v>
                </c:pt>
                <c:pt idx="3328">
                  <c:v>38041</c:v>
                </c:pt>
                <c:pt idx="3329">
                  <c:v>38042</c:v>
                </c:pt>
                <c:pt idx="3330">
                  <c:v>38043</c:v>
                </c:pt>
                <c:pt idx="3331">
                  <c:v>38044</c:v>
                </c:pt>
                <c:pt idx="3332">
                  <c:v>38047</c:v>
                </c:pt>
                <c:pt idx="3333">
                  <c:v>38048</c:v>
                </c:pt>
                <c:pt idx="3334">
                  <c:v>38049</c:v>
                </c:pt>
                <c:pt idx="3335">
                  <c:v>38050</c:v>
                </c:pt>
                <c:pt idx="3336">
                  <c:v>38051</c:v>
                </c:pt>
                <c:pt idx="3337">
                  <c:v>38054</c:v>
                </c:pt>
                <c:pt idx="3338">
                  <c:v>38055</c:v>
                </c:pt>
                <c:pt idx="3339">
                  <c:v>38056</c:v>
                </c:pt>
                <c:pt idx="3340">
                  <c:v>38057</c:v>
                </c:pt>
                <c:pt idx="3341">
                  <c:v>38058</c:v>
                </c:pt>
                <c:pt idx="3342">
                  <c:v>38061</c:v>
                </c:pt>
                <c:pt idx="3343">
                  <c:v>38062</c:v>
                </c:pt>
                <c:pt idx="3344">
                  <c:v>38063</c:v>
                </c:pt>
                <c:pt idx="3345">
                  <c:v>38064</c:v>
                </c:pt>
                <c:pt idx="3346">
                  <c:v>38065</c:v>
                </c:pt>
                <c:pt idx="3347">
                  <c:v>38068</c:v>
                </c:pt>
                <c:pt idx="3348">
                  <c:v>38069</c:v>
                </c:pt>
                <c:pt idx="3349">
                  <c:v>38070</c:v>
                </c:pt>
                <c:pt idx="3350">
                  <c:v>38071</c:v>
                </c:pt>
                <c:pt idx="3351">
                  <c:v>38072</c:v>
                </c:pt>
                <c:pt idx="3352">
                  <c:v>38075</c:v>
                </c:pt>
                <c:pt idx="3353">
                  <c:v>38076</c:v>
                </c:pt>
                <c:pt idx="3354">
                  <c:v>38077</c:v>
                </c:pt>
                <c:pt idx="3355">
                  <c:v>38078</c:v>
                </c:pt>
                <c:pt idx="3356">
                  <c:v>38079</c:v>
                </c:pt>
                <c:pt idx="3357">
                  <c:v>38082</c:v>
                </c:pt>
                <c:pt idx="3358">
                  <c:v>38083</c:v>
                </c:pt>
                <c:pt idx="3359">
                  <c:v>38084</c:v>
                </c:pt>
                <c:pt idx="3360">
                  <c:v>38085</c:v>
                </c:pt>
                <c:pt idx="3361">
                  <c:v>38090</c:v>
                </c:pt>
                <c:pt idx="3362">
                  <c:v>38091</c:v>
                </c:pt>
                <c:pt idx="3363">
                  <c:v>38092</c:v>
                </c:pt>
                <c:pt idx="3364">
                  <c:v>38093</c:v>
                </c:pt>
                <c:pt idx="3365">
                  <c:v>38096</c:v>
                </c:pt>
                <c:pt idx="3366">
                  <c:v>38097</c:v>
                </c:pt>
                <c:pt idx="3367">
                  <c:v>38098</c:v>
                </c:pt>
                <c:pt idx="3368">
                  <c:v>38099</c:v>
                </c:pt>
                <c:pt idx="3369">
                  <c:v>38100</c:v>
                </c:pt>
                <c:pt idx="3370">
                  <c:v>38103</c:v>
                </c:pt>
                <c:pt idx="3371">
                  <c:v>38104</c:v>
                </c:pt>
                <c:pt idx="3372">
                  <c:v>38105</c:v>
                </c:pt>
                <c:pt idx="3373">
                  <c:v>38106</c:v>
                </c:pt>
                <c:pt idx="3374">
                  <c:v>38107</c:v>
                </c:pt>
                <c:pt idx="3375">
                  <c:v>38110</c:v>
                </c:pt>
                <c:pt idx="3376">
                  <c:v>38111</c:v>
                </c:pt>
                <c:pt idx="3377">
                  <c:v>38112</c:v>
                </c:pt>
                <c:pt idx="3378">
                  <c:v>38113</c:v>
                </c:pt>
                <c:pt idx="3379">
                  <c:v>38114</c:v>
                </c:pt>
                <c:pt idx="3380">
                  <c:v>38117</c:v>
                </c:pt>
                <c:pt idx="3381">
                  <c:v>38118</c:v>
                </c:pt>
                <c:pt idx="3382">
                  <c:v>38119</c:v>
                </c:pt>
                <c:pt idx="3383">
                  <c:v>38120</c:v>
                </c:pt>
                <c:pt idx="3384">
                  <c:v>38121</c:v>
                </c:pt>
                <c:pt idx="3385">
                  <c:v>38124</c:v>
                </c:pt>
                <c:pt idx="3386">
                  <c:v>38125</c:v>
                </c:pt>
                <c:pt idx="3387">
                  <c:v>38126</c:v>
                </c:pt>
                <c:pt idx="3388">
                  <c:v>38127</c:v>
                </c:pt>
                <c:pt idx="3389">
                  <c:v>38128</c:v>
                </c:pt>
                <c:pt idx="3390">
                  <c:v>38131</c:v>
                </c:pt>
                <c:pt idx="3391">
                  <c:v>38132</c:v>
                </c:pt>
                <c:pt idx="3392">
                  <c:v>38133</c:v>
                </c:pt>
                <c:pt idx="3393">
                  <c:v>38134</c:v>
                </c:pt>
                <c:pt idx="3394">
                  <c:v>38135</c:v>
                </c:pt>
                <c:pt idx="3395">
                  <c:v>38138</c:v>
                </c:pt>
                <c:pt idx="3396">
                  <c:v>38139</c:v>
                </c:pt>
                <c:pt idx="3397">
                  <c:v>38140</c:v>
                </c:pt>
                <c:pt idx="3398">
                  <c:v>38141</c:v>
                </c:pt>
                <c:pt idx="3399">
                  <c:v>38142</c:v>
                </c:pt>
                <c:pt idx="3400">
                  <c:v>38145</c:v>
                </c:pt>
                <c:pt idx="3401">
                  <c:v>38146</c:v>
                </c:pt>
                <c:pt idx="3402">
                  <c:v>38147</c:v>
                </c:pt>
                <c:pt idx="3403">
                  <c:v>38148</c:v>
                </c:pt>
                <c:pt idx="3404">
                  <c:v>38149</c:v>
                </c:pt>
                <c:pt idx="3405">
                  <c:v>38152</c:v>
                </c:pt>
                <c:pt idx="3406">
                  <c:v>38153</c:v>
                </c:pt>
                <c:pt idx="3407">
                  <c:v>38154</c:v>
                </c:pt>
                <c:pt idx="3408">
                  <c:v>38155</c:v>
                </c:pt>
                <c:pt idx="3409">
                  <c:v>38156</c:v>
                </c:pt>
                <c:pt idx="3410">
                  <c:v>38159</c:v>
                </c:pt>
                <c:pt idx="3411">
                  <c:v>38160</c:v>
                </c:pt>
                <c:pt idx="3412">
                  <c:v>38161</c:v>
                </c:pt>
                <c:pt idx="3413">
                  <c:v>38162</c:v>
                </c:pt>
                <c:pt idx="3414">
                  <c:v>38163</c:v>
                </c:pt>
                <c:pt idx="3415">
                  <c:v>38166</c:v>
                </c:pt>
                <c:pt idx="3416">
                  <c:v>38167</c:v>
                </c:pt>
                <c:pt idx="3417">
                  <c:v>38168</c:v>
                </c:pt>
                <c:pt idx="3418">
                  <c:v>38169</c:v>
                </c:pt>
                <c:pt idx="3419">
                  <c:v>38170</c:v>
                </c:pt>
                <c:pt idx="3420">
                  <c:v>38173</c:v>
                </c:pt>
                <c:pt idx="3421">
                  <c:v>38174</c:v>
                </c:pt>
                <c:pt idx="3422">
                  <c:v>38175</c:v>
                </c:pt>
                <c:pt idx="3423">
                  <c:v>38176</c:v>
                </c:pt>
                <c:pt idx="3424">
                  <c:v>38177</c:v>
                </c:pt>
                <c:pt idx="3425">
                  <c:v>38180</c:v>
                </c:pt>
                <c:pt idx="3426">
                  <c:v>38181</c:v>
                </c:pt>
                <c:pt idx="3427">
                  <c:v>38182</c:v>
                </c:pt>
                <c:pt idx="3428">
                  <c:v>38183</c:v>
                </c:pt>
                <c:pt idx="3429">
                  <c:v>38184</c:v>
                </c:pt>
                <c:pt idx="3430">
                  <c:v>38187</c:v>
                </c:pt>
                <c:pt idx="3431">
                  <c:v>38188</c:v>
                </c:pt>
                <c:pt idx="3432">
                  <c:v>38189</c:v>
                </c:pt>
                <c:pt idx="3433">
                  <c:v>38190</c:v>
                </c:pt>
                <c:pt idx="3434">
                  <c:v>38191</c:v>
                </c:pt>
                <c:pt idx="3435">
                  <c:v>38194</c:v>
                </c:pt>
                <c:pt idx="3436">
                  <c:v>38195</c:v>
                </c:pt>
                <c:pt idx="3437">
                  <c:v>38196</c:v>
                </c:pt>
                <c:pt idx="3438">
                  <c:v>38197</c:v>
                </c:pt>
                <c:pt idx="3439">
                  <c:v>38198</c:v>
                </c:pt>
                <c:pt idx="3440">
                  <c:v>38201</c:v>
                </c:pt>
                <c:pt idx="3441">
                  <c:v>38202</c:v>
                </c:pt>
                <c:pt idx="3442">
                  <c:v>38203</c:v>
                </c:pt>
                <c:pt idx="3443">
                  <c:v>38204</c:v>
                </c:pt>
                <c:pt idx="3444">
                  <c:v>38205</c:v>
                </c:pt>
                <c:pt idx="3445">
                  <c:v>38208</c:v>
                </c:pt>
                <c:pt idx="3446">
                  <c:v>38209</c:v>
                </c:pt>
                <c:pt idx="3447">
                  <c:v>38210</c:v>
                </c:pt>
                <c:pt idx="3448">
                  <c:v>38211</c:v>
                </c:pt>
                <c:pt idx="3449">
                  <c:v>38212</c:v>
                </c:pt>
                <c:pt idx="3450">
                  <c:v>38215</c:v>
                </c:pt>
                <c:pt idx="3451">
                  <c:v>38216</c:v>
                </c:pt>
                <c:pt idx="3452">
                  <c:v>38217</c:v>
                </c:pt>
                <c:pt idx="3453">
                  <c:v>38218</c:v>
                </c:pt>
                <c:pt idx="3454">
                  <c:v>38219</c:v>
                </c:pt>
                <c:pt idx="3455">
                  <c:v>38222</c:v>
                </c:pt>
                <c:pt idx="3456">
                  <c:v>38223</c:v>
                </c:pt>
                <c:pt idx="3457">
                  <c:v>38224</c:v>
                </c:pt>
                <c:pt idx="3458">
                  <c:v>38225</c:v>
                </c:pt>
                <c:pt idx="3459">
                  <c:v>38226</c:v>
                </c:pt>
                <c:pt idx="3460">
                  <c:v>38229</c:v>
                </c:pt>
                <c:pt idx="3461">
                  <c:v>38230</c:v>
                </c:pt>
                <c:pt idx="3462">
                  <c:v>38231</c:v>
                </c:pt>
                <c:pt idx="3463">
                  <c:v>38232</c:v>
                </c:pt>
                <c:pt idx="3464">
                  <c:v>38233</c:v>
                </c:pt>
                <c:pt idx="3465">
                  <c:v>38236</c:v>
                </c:pt>
                <c:pt idx="3466">
                  <c:v>38237</c:v>
                </c:pt>
                <c:pt idx="3467">
                  <c:v>38238</c:v>
                </c:pt>
                <c:pt idx="3468">
                  <c:v>38239</c:v>
                </c:pt>
                <c:pt idx="3469">
                  <c:v>38240</c:v>
                </c:pt>
                <c:pt idx="3470">
                  <c:v>38243</c:v>
                </c:pt>
                <c:pt idx="3471">
                  <c:v>38244</c:v>
                </c:pt>
                <c:pt idx="3472">
                  <c:v>38245</c:v>
                </c:pt>
                <c:pt idx="3473">
                  <c:v>38246</c:v>
                </c:pt>
                <c:pt idx="3474">
                  <c:v>38247</c:v>
                </c:pt>
                <c:pt idx="3475">
                  <c:v>38250</c:v>
                </c:pt>
                <c:pt idx="3476">
                  <c:v>38251</c:v>
                </c:pt>
                <c:pt idx="3477">
                  <c:v>38252</c:v>
                </c:pt>
                <c:pt idx="3478">
                  <c:v>38253</c:v>
                </c:pt>
                <c:pt idx="3479">
                  <c:v>38254</c:v>
                </c:pt>
                <c:pt idx="3480">
                  <c:v>38257</c:v>
                </c:pt>
                <c:pt idx="3481">
                  <c:v>38258</c:v>
                </c:pt>
                <c:pt idx="3482">
                  <c:v>38259</c:v>
                </c:pt>
                <c:pt idx="3483">
                  <c:v>38260</c:v>
                </c:pt>
                <c:pt idx="3484">
                  <c:v>38261</c:v>
                </c:pt>
                <c:pt idx="3485">
                  <c:v>38264</c:v>
                </c:pt>
                <c:pt idx="3486">
                  <c:v>38265</c:v>
                </c:pt>
                <c:pt idx="3487">
                  <c:v>38266</c:v>
                </c:pt>
                <c:pt idx="3488">
                  <c:v>38267</c:v>
                </c:pt>
                <c:pt idx="3489">
                  <c:v>38268</c:v>
                </c:pt>
                <c:pt idx="3490">
                  <c:v>38271</c:v>
                </c:pt>
                <c:pt idx="3491">
                  <c:v>38272</c:v>
                </c:pt>
                <c:pt idx="3492">
                  <c:v>38273</c:v>
                </c:pt>
                <c:pt idx="3493">
                  <c:v>38274</c:v>
                </c:pt>
                <c:pt idx="3494">
                  <c:v>38275</c:v>
                </c:pt>
                <c:pt idx="3495">
                  <c:v>38278</c:v>
                </c:pt>
                <c:pt idx="3496">
                  <c:v>38279</c:v>
                </c:pt>
                <c:pt idx="3497">
                  <c:v>38280</c:v>
                </c:pt>
                <c:pt idx="3498">
                  <c:v>38281</c:v>
                </c:pt>
                <c:pt idx="3499">
                  <c:v>38282</c:v>
                </c:pt>
                <c:pt idx="3500">
                  <c:v>38285</c:v>
                </c:pt>
                <c:pt idx="3501">
                  <c:v>38286</c:v>
                </c:pt>
                <c:pt idx="3502">
                  <c:v>38287</c:v>
                </c:pt>
                <c:pt idx="3503">
                  <c:v>38288</c:v>
                </c:pt>
                <c:pt idx="3504">
                  <c:v>38289</c:v>
                </c:pt>
                <c:pt idx="3505">
                  <c:v>38292</c:v>
                </c:pt>
                <c:pt idx="3506">
                  <c:v>38293</c:v>
                </c:pt>
                <c:pt idx="3507">
                  <c:v>38294</c:v>
                </c:pt>
                <c:pt idx="3508">
                  <c:v>38295</c:v>
                </c:pt>
                <c:pt idx="3509">
                  <c:v>38296</c:v>
                </c:pt>
                <c:pt idx="3510">
                  <c:v>38299</c:v>
                </c:pt>
                <c:pt idx="3511">
                  <c:v>38300</c:v>
                </c:pt>
                <c:pt idx="3512">
                  <c:v>38301</c:v>
                </c:pt>
                <c:pt idx="3513">
                  <c:v>38302</c:v>
                </c:pt>
                <c:pt idx="3514">
                  <c:v>38303</c:v>
                </c:pt>
                <c:pt idx="3515">
                  <c:v>38306</c:v>
                </c:pt>
                <c:pt idx="3516">
                  <c:v>38307</c:v>
                </c:pt>
                <c:pt idx="3517">
                  <c:v>38308</c:v>
                </c:pt>
                <c:pt idx="3518">
                  <c:v>38309</c:v>
                </c:pt>
                <c:pt idx="3519">
                  <c:v>38310</c:v>
                </c:pt>
                <c:pt idx="3520">
                  <c:v>38313</c:v>
                </c:pt>
                <c:pt idx="3521">
                  <c:v>38314</c:v>
                </c:pt>
                <c:pt idx="3522">
                  <c:v>38315</c:v>
                </c:pt>
                <c:pt idx="3523">
                  <c:v>38316</c:v>
                </c:pt>
                <c:pt idx="3524">
                  <c:v>38317</c:v>
                </c:pt>
                <c:pt idx="3525">
                  <c:v>38320</c:v>
                </c:pt>
                <c:pt idx="3526">
                  <c:v>38321</c:v>
                </c:pt>
                <c:pt idx="3527">
                  <c:v>38322</c:v>
                </c:pt>
                <c:pt idx="3528">
                  <c:v>38323</c:v>
                </c:pt>
                <c:pt idx="3529">
                  <c:v>38324</c:v>
                </c:pt>
                <c:pt idx="3530">
                  <c:v>38327</c:v>
                </c:pt>
                <c:pt idx="3531">
                  <c:v>38328</c:v>
                </c:pt>
                <c:pt idx="3532">
                  <c:v>38329</c:v>
                </c:pt>
                <c:pt idx="3533">
                  <c:v>38330</c:v>
                </c:pt>
                <c:pt idx="3534">
                  <c:v>38331</c:v>
                </c:pt>
                <c:pt idx="3535">
                  <c:v>38334</c:v>
                </c:pt>
                <c:pt idx="3536">
                  <c:v>38335</c:v>
                </c:pt>
                <c:pt idx="3537">
                  <c:v>38336</c:v>
                </c:pt>
                <c:pt idx="3538">
                  <c:v>38337</c:v>
                </c:pt>
                <c:pt idx="3539">
                  <c:v>38338</c:v>
                </c:pt>
                <c:pt idx="3540">
                  <c:v>38341</c:v>
                </c:pt>
                <c:pt idx="3541">
                  <c:v>38342</c:v>
                </c:pt>
                <c:pt idx="3542">
                  <c:v>38343</c:v>
                </c:pt>
                <c:pt idx="3543">
                  <c:v>38344</c:v>
                </c:pt>
                <c:pt idx="3544">
                  <c:v>38348</c:v>
                </c:pt>
                <c:pt idx="3545">
                  <c:v>38349</c:v>
                </c:pt>
                <c:pt idx="3546">
                  <c:v>38350</c:v>
                </c:pt>
                <c:pt idx="3547">
                  <c:v>38351</c:v>
                </c:pt>
                <c:pt idx="3548">
                  <c:v>38355</c:v>
                </c:pt>
                <c:pt idx="3549">
                  <c:v>38356</c:v>
                </c:pt>
                <c:pt idx="3550">
                  <c:v>38357</c:v>
                </c:pt>
                <c:pt idx="3551">
                  <c:v>38358</c:v>
                </c:pt>
                <c:pt idx="3552">
                  <c:v>38359</c:v>
                </c:pt>
                <c:pt idx="3553">
                  <c:v>38362</c:v>
                </c:pt>
                <c:pt idx="3554">
                  <c:v>38363</c:v>
                </c:pt>
                <c:pt idx="3555">
                  <c:v>38364</c:v>
                </c:pt>
                <c:pt idx="3556">
                  <c:v>38365</c:v>
                </c:pt>
                <c:pt idx="3557">
                  <c:v>38366</c:v>
                </c:pt>
                <c:pt idx="3558">
                  <c:v>38369</c:v>
                </c:pt>
                <c:pt idx="3559">
                  <c:v>38370</c:v>
                </c:pt>
                <c:pt idx="3560">
                  <c:v>38371</c:v>
                </c:pt>
                <c:pt idx="3561">
                  <c:v>38372</c:v>
                </c:pt>
                <c:pt idx="3562">
                  <c:v>38373</c:v>
                </c:pt>
                <c:pt idx="3563">
                  <c:v>38376</c:v>
                </c:pt>
                <c:pt idx="3564">
                  <c:v>38377</c:v>
                </c:pt>
                <c:pt idx="3565">
                  <c:v>38378</c:v>
                </c:pt>
                <c:pt idx="3566">
                  <c:v>38379</c:v>
                </c:pt>
                <c:pt idx="3567">
                  <c:v>38380</c:v>
                </c:pt>
                <c:pt idx="3568">
                  <c:v>38383</c:v>
                </c:pt>
                <c:pt idx="3569">
                  <c:v>38384</c:v>
                </c:pt>
                <c:pt idx="3570">
                  <c:v>38385</c:v>
                </c:pt>
                <c:pt idx="3571">
                  <c:v>38386</c:v>
                </c:pt>
                <c:pt idx="3572">
                  <c:v>38387</c:v>
                </c:pt>
                <c:pt idx="3573">
                  <c:v>38390</c:v>
                </c:pt>
                <c:pt idx="3574">
                  <c:v>38391</c:v>
                </c:pt>
                <c:pt idx="3575">
                  <c:v>38392</c:v>
                </c:pt>
                <c:pt idx="3576">
                  <c:v>38393</c:v>
                </c:pt>
                <c:pt idx="3577">
                  <c:v>38394</c:v>
                </c:pt>
                <c:pt idx="3578">
                  <c:v>38397</c:v>
                </c:pt>
                <c:pt idx="3579">
                  <c:v>38398</c:v>
                </c:pt>
                <c:pt idx="3580">
                  <c:v>38399</c:v>
                </c:pt>
                <c:pt idx="3581">
                  <c:v>38400</c:v>
                </c:pt>
                <c:pt idx="3582">
                  <c:v>38401</c:v>
                </c:pt>
                <c:pt idx="3583">
                  <c:v>38404</c:v>
                </c:pt>
                <c:pt idx="3584">
                  <c:v>38405</c:v>
                </c:pt>
                <c:pt idx="3585">
                  <c:v>38406</c:v>
                </c:pt>
                <c:pt idx="3586">
                  <c:v>38407</c:v>
                </c:pt>
                <c:pt idx="3587">
                  <c:v>38408</c:v>
                </c:pt>
                <c:pt idx="3588">
                  <c:v>38411</c:v>
                </c:pt>
                <c:pt idx="3589">
                  <c:v>38412</c:v>
                </c:pt>
                <c:pt idx="3590">
                  <c:v>38413</c:v>
                </c:pt>
                <c:pt idx="3591">
                  <c:v>38414</c:v>
                </c:pt>
                <c:pt idx="3592">
                  <c:v>38415</c:v>
                </c:pt>
                <c:pt idx="3593">
                  <c:v>38418</c:v>
                </c:pt>
                <c:pt idx="3594">
                  <c:v>38419</c:v>
                </c:pt>
                <c:pt idx="3595">
                  <c:v>38420</c:v>
                </c:pt>
                <c:pt idx="3596">
                  <c:v>38421</c:v>
                </c:pt>
                <c:pt idx="3597">
                  <c:v>38422</c:v>
                </c:pt>
                <c:pt idx="3598">
                  <c:v>38425</c:v>
                </c:pt>
                <c:pt idx="3599">
                  <c:v>38426</c:v>
                </c:pt>
                <c:pt idx="3600">
                  <c:v>38427</c:v>
                </c:pt>
                <c:pt idx="3601">
                  <c:v>38428</c:v>
                </c:pt>
                <c:pt idx="3602">
                  <c:v>38429</c:v>
                </c:pt>
                <c:pt idx="3603">
                  <c:v>38432</c:v>
                </c:pt>
                <c:pt idx="3604">
                  <c:v>38433</c:v>
                </c:pt>
                <c:pt idx="3605">
                  <c:v>38434</c:v>
                </c:pt>
                <c:pt idx="3606">
                  <c:v>38435</c:v>
                </c:pt>
                <c:pt idx="3607">
                  <c:v>38440</c:v>
                </c:pt>
                <c:pt idx="3608">
                  <c:v>38441</c:v>
                </c:pt>
                <c:pt idx="3609">
                  <c:v>38442</c:v>
                </c:pt>
                <c:pt idx="3610">
                  <c:v>38443</c:v>
                </c:pt>
                <c:pt idx="3611">
                  <c:v>38446</c:v>
                </c:pt>
                <c:pt idx="3612">
                  <c:v>38447</c:v>
                </c:pt>
                <c:pt idx="3613">
                  <c:v>38448</c:v>
                </c:pt>
                <c:pt idx="3614">
                  <c:v>38449</c:v>
                </c:pt>
                <c:pt idx="3615">
                  <c:v>38450</c:v>
                </c:pt>
                <c:pt idx="3616">
                  <c:v>38453</c:v>
                </c:pt>
                <c:pt idx="3617">
                  <c:v>38454</c:v>
                </c:pt>
                <c:pt idx="3618">
                  <c:v>38455</c:v>
                </c:pt>
                <c:pt idx="3619">
                  <c:v>38456</c:v>
                </c:pt>
                <c:pt idx="3620">
                  <c:v>38457</c:v>
                </c:pt>
                <c:pt idx="3621">
                  <c:v>38460</c:v>
                </c:pt>
                <c:pt idx="3622">
                  <c:v>38461</c:v>
                </c:pt>
                <c:pt idx="3623">
                  <c:v>38462</c:v>
                </c:pt>
                <c:pt idx="3624">
                  <c:v>38463</c:v>
                </c:pt>
                <c:pt idx="3625">
                  <c:v>38464</c:v>
                </c:pt>
                <c:pt idx="3626">
                  <c:v>38467</c:v>
                </c:pt>
                <c:pt idx="3627">
                  <c:v>38468</c:v>
                </c:pt>
                <c:pt idx="3628">
                  <c:v>38469</c:v>
                </c:pt>
                <c:pt idx="3629">
                  <c:v>38470</c:v>
                </c:pt>
                <c:pt idx="3630">
                  <c:v>38471</c:v>
                </c:pt>
                <c:pt idx="3631">
                  <c:v>38474</c:v>
                </c:pt>
                <c:pt idx="3632">
                  <c:v>38475</c:v>
                </c:pt>
                <c:pt idx="3633">
                  <c:v>38476</c:v>
                </c:pt>
                <c:pt idx="3634">
                  <c:v>38477</c:v>
                </c:pt>
                <c:pt idx="3635">
                  <c:v>38478</c:v>
                </c:pt>
                <c:pt idx="3636">
                  <c:v>38481</c:v>
                </c:pt>
                <c:pt idx="3637">
                  <c:v>38482</c:v>
                </c:pt>
                <c:pt idx="3638">
                  <c:v>38483</c:v>
                </c:pt>
                <c:pt idx="3639">
                  <c:v>38484</c:v>
                </c:pt>
                <c:pt idx="3640">
                  <c:v>38485</c:v>
                </c:pt>
                <c:pt idx="3641">
                  <c:v>38488</c:v>
                </c:pt>
                <c:pt idx="3642">
                  <c:v>38489</c:v>
                </c:pt>
                <c:pt idx="3643">
                  <c:v>38490</c:v>
                </c:pt>
                <c:pt idx="3644">
                  <c:v>38491</c:v>
                </c:pt>
                <c:pt idx="3645">
                  <c:v>38492</c:v>
                </c:pt>
                <c:pt idx="3646">
                  <c:v>38495</c:v>
                </c:pt>
                <c:pt idx="3647">
                  <c:v>38496</c:v>
                </c:pt>
                <c:pt idx="3648">
                  <c:v>38497</c:v>
                </c:pt>
                <c:pt idx="3649">
                  <c:v>38498</c:v>
                </c:pt>
                <c:pt idx="3650">
                  <c:v>38499</c:v>
                </c:pt>
                <c:pt idx="3651">
                  <c:v>38502</c:v>
                </c:pt>
                <c:pt idx="3652">
                  <c:v>38503</c:v>
                </c:pt>
                <c:pt idx="3653">
                  <c:v>38504</c:v>
                </c:pt>
                <c:pt idx="3654">
                  <c:v>38505</c:v>
                </c:pt>
                <c:pt idx="3655">
                  <c:v>38506</c:v>
                </c:pt>
                <c:pt idx="3656">
                  <c:v>38509</c:v>
                </c:pt>
                <c:pt idx="3657">
                  <c:v>38510</c:v>
                </c:pt>
                <c:pt idx="3658">
                  <c:v>38511</c:v>
                </c:pt>
                <c:pt idx="3659">
                  <c:v>38512</c:v>
                </c:pt>
                <c:pt idx="3660">
                  <c:v>38513</c:v>
                </c:pt>
                <c:pt idx="3661">
                  <c:v>38516</c:v>
                </c:pt>
                <c:pt idx="3662">
                  <c:v>38517</c:v>
                </c:pt>
                <c:pt idx="3663">
                  <c:v>38518</c:v>
                </c:pt>
                <c:pt idx="3664">
                  <c:v>38519</c:v>
                </c:pt>
                <c:pt idx="3665">
                  <c:v>38520</c:v>
                </c:pt>
                <c:pt idx="3666">
                  <c:v>38523</c:v>
                </c:pt>
                <c:pt idx="3667">
                  <c:v>38524</c:v>
                </c:pt>
                <c:pt idx="3668">
                  <c:v>38525</c:v>
                </c:pt>
                <c:pt idx="3669">
                  <c:v>38526</c:v>
                </c:pt>
                <c:pt idx="3670">
                  <c:v>38527</c:v>
                </c:pt>
                <c:pt idx="3671">
                  <c:v>38530</c:v>
                </c:pt>
                <c:pt idx="3672">
                  <c:v>38531</c:v>
                </c:pt>
                <c:pt idx="3673">
                  <c:v>38532</c:v>
                </c:pt>
                <c:pt idx="3674">
                  <c:v>38533</c:v>
                </c:pt>
                <c:pt idx="3675">
                  <c:v>38534</c:v>
                </c:pt>
                <c:pt idx="3676">
                  <c:v>38537</c:v>
                </c:pt>
                <c:pt idx="3677">
                  <c:v>38538</c:v>
                </c:pt>
                <c:pt idx="3678">
                  <c:v>38539</c:v>
                </c:pt>
                <c:pt idx="3679">
                  <c:v>38540</c:v>
                </c:pt>
                <c:pt idx="3680">
                  <c:v>38541</c:v>
                </c:pt>
                <c:pt idx="3681">
                  <c:v>38544</c:v>
                </c:pt>
                <c:pt idx="3682">
                  <c:v>38545</c:v>
                </c:pt>
                <c:pt idx="3683">
                  <c:v>38546</c:v>
                </c:pt>
                <c:pt idx="3684">
                  <c:v>38547</c:v>
                </c:pt>
                <c:pt idx="3685">
                  <c:v>38548</c:v>
                </c:pt>
                <c:pt idx="3686">
                  <c:v>38551</c:v>
                </c:pt>
                <c:pt idx="3687">
                  <c:v>38552</c:v>
                </c:pt>
                <c:pt idx="3688">
                  <c:v>38553</c:v>
                </c:pt>
                <c:pt idx="3689">
                  <c:v>38554</c:v>
                </c:pt>
                <c:pt idx="3690">
                  <c:v>38555</c:v>
                </c:pt>
                <c:pt idx="3691">
                  <c:v>38558</c:v>
                </c:pt>
                <c:pt idx="3692">
                  <c:v>38559</c:v>
                </c:pt>
                <c:pt idx="3693">
                  <c:v>38560</c:v>
                </c:pt>
                <c:pt idx="3694">
                  <c:v>38561</c:v>
                </c:pt>
                <c:pt idx="3695">
                  <c:v>38562</c:v>
                </c:pt>
                <c:pt idx="3696">
                  <c:v>38565</c:v>
                </c:pt>
                <c:pt idx="3697">
                  <c:v>38566</c:v>
                </c:pt>
                <c:pt idx="3698">
                  <c:v>38567</c:v>
                </c:pt>
                <c:pt idx="3699">
                  <c:v>38568</c:v>
                </c:pt>
                <c:pt idx="3700">
                  <c:v>38569</c:v>
                </c:pt>
                <c:pt idx="3701">
                  <c:v>38572</c:v>
                </c:pt>
                <c:pt idx="3702">
                  <c:v>38573</c:v>
                </c:pt>
                <c:pt idx="3703">
                  <c:v>38574</c:v>
                </c:pt>
                <c:pt idx="3704">
                  <c:v>38575</c:v>
                </c:pt>
                <c:pt idx="3705">
                  <c:v>38576</c:v>
                </c:pt>
                <c:pt idx="3706">
                  <c:v>38579</c:v>
                </c:pt>
                <c:pt idx="3707">
                  <c:v>38580</c:v>
                </c:pt>
                <c:pt idx="3708">
                  <c:v>38581</c:v>
                </c:pt>
                <c:pt idx="3709">
                  <c:v>38582</c:v>
                </c:pt>
                <c:pt idx="3710">
                  <c:v>38583</c:v>
                </c:pt>
                <c:pt idx="3711">
                  <c:v>38586</c:v>
                </c:pt>
                <c:pt idx="3712">
                  <c:v>38587</c:v>
                </c:pt>
                <c:pt idx="3713">
                  <c:v>38588</c:v>
                </c:pt>
                <c:pt idx="3714">
                  <c:v>38589</c:v>
                </c:pt>
                <c:pt idx="3715">
                  <c:v>38590</c:v>
                </c:pt>
                <c:pt idx="3716">
                  <c:v>38593</c:v>
                </c:pt>
                <c:pt idx="3717">
                  <c:v>38594</c:v>
                </c:pt>
                <c:pt idx="3718">
                  <c:v>38595</c:v>
                </c:pt>
                <c:pt idx="3719">
                  <c:v>38596</c:v>
                </c:pt>
                <c:pt idx="3720">
                  <c:v>38597</c:v>
                </c:pt>
                <c:pt idx="3721">
                  <c:v>38600</c:v>
                </c:pt>
                <c:pt idx="3722">
                  <c:v>38601</c:v>
                </c:pt>
                <c:pt idx="3723">
                  <c:v>38602</c:v>
                </c:pt>
                <c:pt idx="3724">
                  <c:v>38603</c:v>
                </c:pt>
                <c:pt idx="3725">
                  <c:v>38604</c:v>
                </c:pt>
                <c:pt idx="3726">
                  <c:v>38607</c:v>
                </c:pt>
                <c:pt idx="3727">
                  <c:v>38608</c:v>
                </c:pt>
                <c:pt idx="3728">
                  <c:v>38609</c:v>
                </c:pt>
                <c:pt idx="3729">
                  <c:v>38610</c:v>
                </c:pt>
                <c:pt idx="3730">
                  <c:v>38611</c:v>
                </c:pt>
                <c:pt idx="3731">
                  <c:v>38614</c:v>
                </c:pt>
                <c:pt idx="3732">
                  <c:v>38615</c:v>
                </c:pt>
                <c:pt idx="3733">
                  <c:v>38616</c:v>
                </c:pt>
                <c:pt idx="3734">
                  <c:v>38617</c:v>
                </c:pt>
                <c:pt idx="3735">
                  <c:v>38618</c:v>
                </c:pt>
                <c:pt idx="3736">
                  <c:v>38621</c:v>
                </c:pt>
                <c:pt idx="3737">
                  <c:v>38622</c:v>
                </c:pt>
                <c:pt idx="3738">
                  <c:v>38623</c:v>
                </c:pt>
                <c:pt idx="3739">
                  <c:v>38624</c:v>
                </c:pt>
                <c:pt idx="3740">
                  <c:v>38625</c:v>
                </c:pt>
                <c:pt idx="3741">
                  <c:v>38628</c:v>
                </c:pt>
                <c:pt idx="3742">
                  <c:v>38629</c:v>
                </c:pt>
                <c:pt idx="3743">
                  <c:v>38630</c:v>
                </c:pt>
                <c:pt idx="3744">
                  <c:v>38631</c:v>
                </c:pt>
                <c:pt idx="3745">
                  <c:v>38632</c:v>
                </c:pt>
                <c:pt idx="3746">
                  <c:v>38635</c:v>
                </c:pt>
                <c:pt idx="3747">
                  <c:v>38636</c:v>
                </c:pt>
                <c:pt idx="3748">
                  <c:v>38637</c:v>
                </c:pt>
                <c:pt idx="3749">
                  <c:v>38638</c:v>
                </c:pt>
                <c:pt idx="3750">
                  <c:v>38639</c:v>
                </c:pt>
                <c:pt idx="3751">
                  <c:v>38642</c:v>
                </c:pt>
                <c:pt idx="3752">
                  <c:v>38643</c:v>
                </c:pt>
                <c:pt idx="3753">
                  <c:v>38644</c:v>
                </c:pt>
                <c:pt idx="3754">
                  <c:v>38645</c:v>
                </c:pt>
                <c:pt idx="3755">
                  <c:v>38646</c:v>
                </c:pt>
                <c:pt idx="3756">
                  <c:v>38649</c:v>
                </c:pt>
                <c:pt idx="3757">
                  <c:v>38650</c:v>
                </c:pt>
                <c:pt idx="3758">
                  <c:v>38651</c:v>
                </c:pt>
                <c:pt idx="3759">
                  <c:v>38652</c:v>
                </c:pt>
                <c:pt idx="3760">
                  <c:v>38653</c:v>
                </c:pt>
                <c:pt idx="3761">
                  <c:v>38656</c:v>
                </c:pt>
                <c:pt idx="3762">
                  <c:v>38657</c:v>
                </c:pt>
                <c:pt idx="3763">
                  <c:v>38658</c:v>
                </c:pt>
                <c:pt idx="3764">
                  <c:v>38659</c:v>
                </c:pt>
                <c:pt idx="3765">
                  <c:v>38660</c:v>
                </c:pt>
                <c:pt idx="3766">
                  <c:v>38663</c:v>
                </c:pt>
                <c:pt idx="3767">
                  <c:v>38664</c:v>
                </c:pt>
                <c:pt idx="3768">
                  <c:v>38665</c:v>
                </c:pt>
                <c:pt idx="3769">
                  <c:v>38666</c:v>
                </c:pt>
                <c:pt idx="3770">
                  <c:v>38667</c:v>
                </c:pt>
                <c:pt idx="3771">
                  <c:v>38670</c:v>
                </c:pt>
                <c:pt idx="3772">
                  <c:v>38671</c:v>
                </c:pt>
                <c:pt idx="3773">
                  <c:v>38672</c:v>
                </c:pt>
                <c:pt idx="3774">
                  <c:v>38673</c:v>
                </c:pt>
                <c:pt idx="3775">
                  <c:v>38674</c:v>
                </c:pt>
                <c:pt idx="3776">
                  <c:v>38677</c:v>
                </c:pt>
                <c:pt idx="3777">
                  <c:v>38678</c:v>
                </c:pt>
                <c:pt idx="3778">
                  <c:v>38679</c:v>
                </c:pt>
                <c:pt idx="3779">
                  <c:v>38680</c:v>
                </c:pt>
                <c:pt idx="3780">
                  <c:v>38681</c:v>
                </c:pt>
                <c:pt idx="3781">
                  <c:v>38684</c:v>
                </c:pt>
                <c:pt idx="3782">
                  <c:v>38685</c:v>
                </c:pt>
                <c:pt idx="3783">
                  <c:v>38686</c:v>
                </c:pt>
                <c:pt idx="3784">
                  <c:v>38687</c:v>
                </c:pt>
                <c:pt idx="3785">
                  <c:v>38688</c:v>
                </c:pt>
                <c:pt idx="3786">
                  <c:v>38691</c:v>
                </c:pt>
                <c:pt idx="3787">
                  <c:v>38692</c:v>
                </c:pt>
                <c:pt idx="3788">
                  <c:v>38693</c:v>
                </c:pt>
                <c:pt idx="3789">
                  <c:v>38694</c:v>
                </c:pt>
                <c:pt idx="3790">
                  <c:v>38695</c:v>
                </c:pt>
                <c:pt idx="3791">
                  <c:v>38698</c:v>
                </c:pt>
                <c:pt idx="3792">
                  <c:v>38699</c:v>
                </c:pt>
                <c:pt idx="3793">
                  <c:v>38700</c:v>
                </c:pt>
                <c:pt idx="3794">
                  <c:v>38701</c:v>
                </c:pt>
                <c:pt idx="3795">
                  <c:v>38702</c:v>
                </c:pt>
                <c:pt idx="3796">
                  <c:v>38705</c:v>
                </c:pt>
                <c:pt idx="3797">
                  <c:v>38706</c:v>
                </c:pt>
                <c:pt idx="3798">
                  <c:v>38707</c:v>
                </c:pt>
                <c:pt idx="3799">
                  <c:v>38708</c:v>
                </c:pt>
                <c:pt idx="3800">
                  <c:v>38709</c:v>
                </c:pt>
                <c:pt idx="3801">
                  <c:v>38713</c:v>
                </c:pt>
                <c:pt idx="3802">
                  <c:v>38714</c:v>
                </c:pt>
                <c:pt idx="3803">
                  <c:v>38715</c:v>
                </c:pt>
                <c:pt idx="3804">
                  <c:v>38716</c:v>
                </c:pt>
                <c:pt idx="3805">
                  <c:v>38719</c:v>
                </c:pt>
                <c:pt idx="3806">
                  <c:v>38720</c:v>
                </c:pt>
                <c:pt idx="3807">
                  <c:v>38721</c:v>
                </c:pt>
                <c:pt idx="3808">
                  <c:v>38722</c:v>
                </c:pt>
                <c:pt idx="3809">
                  <c:v>38723</c:v>
                </c:pt>
                <c:pt idx="3810">
                  <c:v>38726</c:v>
                </c:pt>
                <c:pt idx="3811">
                  <c:v>38727</c:v>
                </c:pt>
                <c:pt idx="3812">
                  <c:v>38728</c:v>
                </c:pt>
                <c:pt idx="3813">
                  <c:v>38729</c:v>
                </c:pt>
                <c:pt idx="3814">
                  <c:v>38730</c:v>
                </c:pt>
                <c:pt idx="3815">
                  <c:v>38733</c:v>
                </c:pt>
                <c:pt idx="3816">
                  <c:v>38734</c:v>
                </c:pt>
                <c:pt idx="3817">
                  <c:v>38735</c:v>
                </c:pt>
                <c:pt idx="3818">
                  <c:v>38736</c:v>
                </c:pt>
                <c:pt idx="3819">
                  <c:v>38737</c:v>
                </c:pt>
                <c:pt idx="3820">
                  <c:v>38740</c:v>
                </c:pt>
                <c:pt idx="3821">
                  <c:v>38741</c:v>
                </c:pt>
                <c:pt idx="3822">
                  <c:v>38742</c:v>
                </c:pt>
                <c:pt idx="3823">
                  <c:v>38743</c:v>
                </c:pt>
                <c:pt idx="3824">
                  <c:v>38744</c:v>
                </c:pt>
                <c:pt idx="3825">
                  <c:v>38747</c:v>
                </c:pt>
                <c:pt idx="3826">
                  <c:v>38748</c:v>
                </c:pt>
                <c:pt idx="3827">
                  <c:v>38749</c:v>
                </c:pt>
                <c:pt idx="3828">
                  <c:v>38750</c:v>
                </c:pt>
                <c:pt idx="3829">
                  <c:v>38751</c:v>
                </c:pt>
                <c:pt idx="3830">
                  <c:v>38754</c:v>
                </c:pt>
                <c:pt idx="3831">
                  <c:v>38755</c:v>
                </c:pt>
                <c:pt idx="3832">
                  <c:v>38756</c:v>
                </c:pt>
                <c:pt idx="3833">
                  <c:v>38757</c:v>
                </c:pt>
                <c:pt idx="3834">
                  <c:v>38758</c:v>
                </c:pt>
                <c:pt idx="3835">
                  <c:v>38761</c:v>
                </c:pt>
                <c:pt idx="3836">
                  <c:v>38762</c:v>
                </c:pt>
                <c:pt idx="3837">
                  <c:v>38763</c:v>
                </c:pt>
                <c:pt idx="3838">
                  <c:v>38764</c:v>
                </c:pt>
                <c:pt idx="3839">
                  <c:v>38765</c:v>
                </c:pt>
                <c:pt idx="3840">
                  <c:v>38768</c:v>
                </c:pt>
                <c:pt idx="3841">
                  <c:v>38769</c:v>
                </c:pt>
                <c:pt idx="3842">
                  <c:v>38770</c:v>
                </c:pt>
                <c:pt idx="3843">
                  <c:v>38771</c:v>
                </c:pt>
                <c:pt idx="3844">
                  <c:v>38772</c:v>
                </c:pt>
                <c:pt idx="3845">
                  <c:v>38775</c:v>
                </c:pt>
                <c:pt idx="3846">
                  <c:v>38776</c:v>
                </c:pt>
                <c:pt idx="3847">
                  <c:v>38777</c:v>
                </c:pt>
                <c:pt idx="3848">
                  <c:v>38778</c:v>
                </c:pt>
                <c:pt idx="3849">
                  <c:v>38779</c:v>
                </c:pt>
                <c:pt idx="3850">
                  <c:v>38782</c:v>
                </c:pt>
                <c:pt idx="3851">
                  <c:v>38783</c:v>
                </c:pt>
                <c:pt idx="3852">
                  <c:v>38784</c:v>
                </c:pt>
                <c:pt idx="3853">
                  <c:v>38785</c:v>
                </c:pt>
                <c:pt idx="3854">
                  <c:v>38786</c:v>
                </c:pt>
                <c:pt idx="3855">
                  <c:v>38789</c:v>
                </c:pt>
                <c:pt idx="3856">
                  <c:v>38790</c:v>
                </c:pt>
                <c:pt idx="3857">
                  <c:v>38791</c:v>
                </c:pt>
                <c:pt idx="3858">
                  <c:v>38792</c:v>
                </c:pt>
                <c:pt idx="3859">
                  <c:v>38793</c:v>
                </c:pt>
                <c:pt idx="3860">
                  <c:v>38796</c:v>
                </c:pt>
                <c:pt idx="3861">
                  <c:v>38797</c:v>
                </c:pt>
                <c:pt idx="3862">
                  <c:v>38798</c:v>
                </c:pt>
                <c:pt idx="3863">
                  <c:v>38799</c:v>
                </c:pt>
                <c:pt idx="3864">
                  <c:v>38800</c:v>
                </c:pt>
                <c:pt idx="3865">
                  <c:v>38803</c:v>
                </c:pt>
                <c:pt idx="3866">
                  <c:v>38804</c:v>
                </c:pt>
                <c:pt idx="3867">
                  <c:v>38805</c:v>
                </c:pt>
                <c:pt idx="3868">
                  <c:v>38806</c:v>
                </c:pt>
                <c:pt idx="3869">
                  <c:v>38807</c:v>
                </c:pt>
                <c:pt idx="3870">
                  <c:v>38810</c:v>
                </c:pt>
                <c:pt idx="3871">
                  <c:v>38811</c:v>
                </c:pt>
                <c:pt idx="3872">
                  <c:v>38812</c:v>
                </c:pt>
                <c:pt idx="3873">
                  <c:v>38813</c:v>
                </c:pt>
                <c:pt idx="3874">
                  <c:v>38814</c:v>
                </c:pt>
                <c:pt idx="3875">
                  <c:v>38817</c:v>
                </c:pt>
                <c:pt idx="3876">
                  <c:v>38818</c:v>
                </c:pt>
                <c:pt idx="3877">
                  <c:v>38819</c:v>
                </c:pt>
                <c:pt idx="3878">
                  <c:v>38820</c:v>
                </c:pt>
                <c:pt idx="3879">
                  <c:v>38825</c:v>
                </c:pt>
                <c:pt idx="3880">
                  <c:v>38826</c:v>
                </c:pt>
                <c:pt idx="3881">
                  <c:v>38827</c:v>
                </c:pt>
                <c:pt idx="3882">
                  <c:v>38828</c:v>
                </c:pt>
                <c:pt idx="3883">
                  <c:v>38831</c:v>
                </c:pt>
                <c:pt idx="3884">
                  <c:v>38832</c:v>
                </c:pt>
                <c:pt idx="3885">
                  <c:v>38833</c:v>
                </c:pt>
                <c:pt idx="3886">
                  <c:v>38834</c:v>
                </c:pt>
                <c:pt idx="3887">
                  <c:v>38835</c:v>
                </c:pt>
                <c:pt idx="3888">
                  <c:v>38839</c:v>
                </c:pt>
                <c:pt idx="3889">
                  <c:v>38840</c:v>
                </c:pt>
                <c:pt idx="3890">
                  <c:v>38841</c:v>
                </c:pt>
                <c:pt idx="3891">
                  <c:v>38842</c:v>
                </c:pt>
                <c:pt idx="3892">
                  <c:v>38845</c:v>
                </c:pt>
                <c:pt idx="3893">
                  <c:v>38846</c:v>
                </c:pt>
                <c:pt idx="3894">
                  <c:v>38847</c:v>
                </c:pt>
                <c:pt idx="3895">
                  <c:v>38848</c:v>
                </c:pt>
                <c:pt idx="3896">
                  <c:v>38849</c:v>
                </c:pt>
                <c:pt idx="3897">
                  <c:v>38852</c:v>
                </c:pt>
                <c:pt idx="3898">
                  <c:v>38853</c:v>
                </c:pt>
                <c:pt idx="3899">
                  <c:v>38854</c:v>
                </c:pt>
                <c:pt idx="3900">
                  <c:v>38855</c:v>
                </c:pt>
                <c:pt idx="3901">
                  <c:v>38856</c:v>
                </c:pt>
                <c:pt idx="3902">
                  <c:v>38859</c:v>
                </c:pt>
                <c:pt idx="3903">
                  <c:v>38860</c:v>
                </c:pt>
                <c:pt idx="3904">
                  <c:v>38861</c:v>
                </c:pt>
                <c:pt idx="3905">
                  <c:v>38862</c:v>
                </c:pt>
                <c:pt idx="3906">
                  <c:v>38863</c:v>
                </c:pt>
                <c:pt idx="3907">
                  <c:v>38866</c:v>
                </c:pt>
                <c:pt idx="3908">
                  <c:v>38867</c:v>
                </c:pt>
                <c:pt idx="3909">
                  <c:v>38868</c:v>
                </c:pt>
                <c:pt idx="3910">
                  <c:v>38869</c:v>
                </c:pt>
                <c:pt idx="3911">
                  <c:v>38870</c:v>
                </c:pt>
                <c:pt idx="3912">
                  <c:v>38873</c:v>
                </c:pt>
                <c:pt idx="3913">
                  <c:v>38874</c:v>
                </c:pt>
                <c:pt idx="3914">
                  <c:v>38875</c:v>
                </c:pt>
                <c:pt idx="3915">
                  <c:v>38876</c:v>
                </c:pt>
                <c:pt idx="3916">
                  <c:v>38877</c:v>
                </c:pt>
                <c:pt idx="3917">
                  <c:v>38880</c:v>
                </c:pt>
                <c:pt idx="3918">
                  <c:v>38881</c:v>
                </c:pt>
                <c:pt idx="3919">
                  <c:v>38882</c:v>
                </c:pt>
                <c:pt idx="3920">
                  <c:v>38883</c:v>
                </c:pt>
                <c:pt idx="3921">
                  <c:v>38884</c:v>
                </c:pt>
                <c:pt idx="3922">
                  <c:v>38887</c:v>
                </c:pt>
                <c:pt idx="3923">
                  <c:v>38888</c:v>
                </c:pt>
                <c:pt idx="3924">
                  <c:v>38889</c:v>
                </c:pt>
                <c:pt idx="3925">
                  <c:v>38890</c:v>
                </c:pt>
                <c:pt idx="3926">
                  <c:v>38891</c:v>
                </c:pt>
                <c:pt idx="3927">
                  <c:v>38894</c:v>
                </c:pt>
                <c:pt idx="3928">
                  <c:v>38895</c:v>
                </c:pt>
                <c:pt idx="3929">
                  <c:v>38896</c:v>
                </c:pt>
                <c:pt idx="3930">
                  <c:v>38897</c:v>
                </c:pt>
                <c:pt idx="3931">
                  <c:v>38898</c:v>
                </c:pt>
                <c:pt idx="3932">
                  <c:v>38901</c:v>
                </c:pt>
                <c:pt idx="3933">
                  <c:v>38902</c:v>
                </c:pt>
                <c:pt idx="3934">
                  <c:v>38903</c:v>
                </c:pt>
                <c:pt idx="3935">
                  <c:v>38904</c:v>
                </c:pt>
                <c:pt idx="3936">
                  <c:v>38905</c:v>
                </c:pt>
                <c:pt idx="3937">
                  <c:v>38908</c:v>
                </c:pt>
                <c:pt idx="3938">
                  <c:v>38909</c:v>
                </c:pt>
                <c:pt idx="3939">
                  <c:v>38910</c:v>
                </c:pt>
                <c:pt idx="3940">
                  <c:v>38911</c:v>
                </c:pt>
                <c:pt idx="3941">
                  <c:v>38912</c:v>
                </c:pt>
                <c:pt idx="3942">
                  <c:v>38915</c:v>
                </c:pt>
                <c:pt idx="3943">
                  <c:v>38916</c:v>
                </c:pt>
                <c:pt idx="3944">
                  <c:v>38917</c:v>
                </c:pt>
                <c:pt idx="3945">
                  <c:v>38918</c:v>
                </c:pt>
                <c:pt idx="3946">
                  <c:v>38919</c:v>
                </c:pt>
                <c:pt idx="3947">
                  <c:v>38922</c:v>
                </c:pt>
                <c:pt idx="3948">
                  <c:v>38923</c:v>
                </c:pt>
                <c:pt idx="3949">
                  <c:v>38924</c:v>
                </c:pt>
                <c:pt idx="3950">
                  <c:v>38925</c:v>
                </c:pt>
                <c:pt idx="3951">
                  <c:v>38926</c:v>
                </c:pt>
                <c:pt idx="3952">
                  <c:v>38929</c:v>
                </c:pt>
                <c:pt idx="3953">
                  <c:v>38930</c:v>
                </c:pt>
                <c:pt idx="3954">
                  <c:v>38931</c:v>
                </c:pt>
                <c:pt idx="3955">
                  <c:v>38932</c:v>
                </c:pt>
                <c:pt idx="3956">
                  <c:v>38933</c:v>
                </c:pt>
                <c:pt idx="3957">
                  <c:v>38936</c:v>
                </c:pt>
                <c:pt idx="3958">
                  <c:v>38937</c:v>
                </c:pt>
                <c:pt idx="3959">
                  <c:v>38938</c:v>
                </c:pt>
                <c:pt idx="3960">
                  <c:v>38939</c:v>
                </c:pt>
                <c:pt idx="3961">
                  <c:v>38940</c:v>
                </c:pt>
                <c:pt idx="3962">
                  <c:v>38943</c:v>
                </c:pt>
                <c:pt idx="3963">
                  <c:v>38944</c:v>
                </c:pt>
                <c:pt idx="3964">
                  <c:v>38945</c:v>
                </c:pt>
                <c:pt idx="3965">
                  <c:v>38946</c:v>
                </c:pt>
                <c:pt idx="3966">
                  <c:v>38947</c:v>
                </c:pt>
                <c:pt idx="3967">
                  <c:v>38950</c:v>
                </c:pt>
                <c:pt idx="3968">
                  <c:v>38951</c:v>
                </c:pt>
                <c:pt idx="3969">
                  <c:v>38952</c:v>
                </c:pt>
                <c:pt idx="3970">
                  <c:v>38953</c:v>
                </c:pt>
                <c:pt idx="3971">
                  <c:v>38954</c:v>
                </c:pt>
                <c:pt idx="3972">
                  <c:v>38957</c:v>
                </c:pt>
                <c:pt idx="3973">
                  <c:v>38958</c:v>
                </c:pt>
                <c:pt idx="3974">
                  <c:v>38959</c:v>
                </c:pt>
                <c:pt idx="3975">
                  <c:v>38960</c:v>
                </c:pt>
                <c:pt idx="3976">
                  <c:v>38961</c:v>
                </c:pt>
                <c:pt idx="3977">
                  <c:v>38964</c:v>
                </c:pt>
                <c:pt idx="3978">
                  <c:v>38965</c:v>
                </c:pt>
                <c:pt idx="3979">
                  <c:v>38966</c:v>
                </c:pt>
                <c:pt idx="3980">
                  <c:v>38967</c:v>
                </c:pt>
                <c:pt idx="3981">
                  <c:v>38968</c:v>
                </c:pt>
                <c:pt idx="3982">
                  <c:v>38971</c:v>
                </c:pt>
                <c:pt idx="3983">
                  <c:v>38972</c:v>
                </c:pt>
                <c:pt idx="3984">
                  <c:v>38973</c:v>
                </c:pt>
                <c:pt idx="3985">
                  <c:v>38974</c:v>
                </c:pt>
                <c:pt idx="3986">
                  <c:v>38975</c:v>
                </c:pt>
                <c:pt idx="3987">
                  <c:v>38978</c:v>
                </c:pt>
                <c:pt idx="3988">
                  <c:v>38979</c:v>
                </c:pt>
                <c:pt idx="3989">
                  <c:v>38980</c:v>
                </c:pt>
                <c:pt idx="3990">
                  <c:v>38981</c:v>
                </c:pt>
                <c:pt idx="3991">
                  <c:v>38982</c:v>
                </c:pt>
                <c:pt idx="3992">
                  <c:v>38985</c:v>
                </c:pt>
                <c:pt idx="3993">
                  <c:v>38986</c:v>
                </c:pt>
                <c:pt idx="3994">
                  <c:v>38987</c:v>
                </c:pt>
                <c:pt idx="3995">
                  <c:v>38988</c:v>
                </c:pt>
                <c:pt idx="3996">
                  <c:v>38989</c:v>
                </c:pt>
                <c:pt idx="3997">
                  <c:v>38992</c:v>
                </c:pt>
                <c:pt idx="3998">
                  <c:v>38993</c:v>
                </c:pt>
                <c:pt idx="3999">
                  <c:v>38994</c:v>
                </c:pt>
                <c:pt idx="4000">
                  <c:v>38995</c:v>
                </c:pt>
                <c:pt idx="4001">
                  <c:v>38996</c:v>
                </c:pt>
                <c:pt idx="4002">
                  <c:v>38999</c:v>
                </c:pt>
                <c:pt idx="4003">
                  <c:v>39000</c:v>
                </c:pt>
                <c:pt idx="4004">
                  <c:v>39001</c:v>
                </c:pt>
                <c:pt idx="4005">
                  <c:v>39002</c:v>
                </c:pt>
                <c:pt idx="4006">
                  <c:v>39003</c:v>
                </c:pt>
                <c:pt idx="4007">
                  <c:v>39006</c:v>
                </c:pt>
                <c:pt idx="4008">
                  <c:v>39007</c:v>
                </c:pt>
                <c:pt idx="4009">
                  <c:v>39008</c:v>
                </c:pt>
                <c:pt idx="4010">
                  <c:v>39009</c:v>
                </c:pt>
                <c:pt idx="4011">
                  <c:v>39010</c:v>
                </c:pt>
                <c:pt idx="4012">
                  <c:v>39013</c:v>
                </c:pt>
                <c:pt idx="4013">
                  <c:v>39014</c:v>
                </c:pt>
                <c:pt idx="4014">
                  <c:v>39015</c:v>
                </c:pt>
                <c:pt idx="4015">
                  <c:v>39016</c:v>
                </c:pt>
                <c:pt idx="4016">
                  <c:v>39017</c:v>
                </c:pt>
                <c:pt idx="4017">
                  <c:v>39020</c:v>
                </c:pt>
                <c:pt idx="4018">
                  <c:v>39021</c:v>
                </c:pt>
                <c:pt idx="4019">
                  <c:v>39022</c:v>
                </c:pt>
                <c:pt idx="4020">
                  <c:v>39023</c:v>
                </c:pt>
                <c:pt idx="4021">
                  <c:v>39024</c:v>
                </c:pt>
                <c:pt idx="4022">
                  <c:v>39027</c:v>
                </c:pt>
                <c:pt idx="4023">
                  <c:v>39028</c:v>
                </c:pt>
                <c:pt idx="4024">
                  <c:v>39029</c:v>
                </c:pt>
                <c:pt idx="4025">
                  <c:v>39030</c:v>
                </c:pt>
                <c:pt idx="4026">
                  <c:v>39031</c:v>
                </c:pt>
                <c:pt idx="4027">
                  <c:v>39034</c:v>
                </c:pt>
                <c:pt idx="4028">
                  <c:v>39035</c:v>
                </c:pt>
                <c:pt idx="4029">
                  <c:v>39036</c:v>
                </c:pt>
                <c:pt idx="4030">
                  <c:v>39037</c:v>
                </c:pt>
                <c:pt idx="4031">
                  <c:v>39038</c:v>
                </c:pt>
                <c:pt idx="4032">
                  <c:v>39041</c:v>
                </c:pt>
                <c:pt idx="4033">
                  <c:v>39042</c:v>
                </c:pt>
                <c:pt idx="4034">
                  <c:v>39043</c:v>
                </c:pt>
                <c:pt idx="4035">
                  <c:v>39044</c:v>
                </c:pt>
                <c:pt idx="4036">
                  <c:v>39045</c:v>
                </c:pt>
                <c:pt idx="4037">
                  <c:v>39048</c:v>
                </c:pt>
                <c:pt idx="4038">
                  <c:v>39049</c:v>
                </c:pt>
                <c:pt idx="4039">
                  <c:v>39050</c:v>
                </c:pt>
                <c:pt idx="4040">
                  <c:v>39051</c:v>
                </c:pt>
                <c:pt idx="4041">
                  <c:v>39052</c:v>
                </c:pt>
                <c:pt idx="4042">
                  <c:v>39055</c:v>
                </c:pt>
                <c:pt idx="4043">
                  <c:v>39056</c:v>
                </c:pt>
                <c:pt idx="4044">
                  <c:v>39057</c:v>
                </c:pt>
                <c:pt idx="4045">
                  <c:v>39058</c:v>
                </c:pt>
                <c:pt idx="4046">
                  <c:v>39059</c:v>
                </c:pt>
                <c:pt idx="4047">
                  <c:v>39062</c:v>
                </c:pt>
                <c:pt idx="4048">
                  <c:v>39063</c:v>
                </c:pt>
                <c:pt idx="4049">
                  <c:v>39064</c:v>
                </c:pt>
                <c:pt idx="4050">
                  <c:v>39065</c:v>
                </c:pt>
                <c:pt idx="4051">
                  <c:v>39066</c:v>
                </c:pt>
                <c:pt idx="4052">
                  <c:v>39069</c:v>
                </c:pt>
                <c:pt idx="4053">
                  <c:v>39070</c:v>
                </c:pt>
                <c:pt idx="4054">
                  <c:v>39071</c:v>
                </c:pt>
                <c:pt idx="4055">
                  <c:v>39072</c:v>
                </c:pt>
                <c:pt idx="4056">
                  <c:v>39073</c:v>
                </c:pt>
                <c:pt idx="4057">
                  <c:v>39078</c:v>
                </c:pt>
                <c:pt idx="4058">
                  <c:v>39079</c:v>
                </c:pt>
                <c:pt idx="4059">
                  <c:v>39080</c:v>
                </c:pt>
                <c:pt idx="4060">
                  <c:v>39084</c:v>
                </c:pt>
                <c:pt idx="4061">
                  <c:v>39085</c:v>
                </c:pt>
                <c:pt idx="4062">
                  <c:v>39086</c:v>
                </c:pt>
                <c:pt idx="4063">
                  <c:v>39087</c:v>
                </c:pt>
                <c:pt idx="4064">
                  <c:v>39090</c:v>
                </c:pt>
                <c:pt idx="4065">
                  <c:v>39091</c:v>
                </c:pt>
                <c:pt idx="4066">
                  <c:v>39092</c:v>
                </c:pt>
                <c:pt idx="4067">
                  <c:v>39093</c:v>
                </c:pt>
                <c:pt idx="4068">
                  <c:v>39094</c:v>
                </c:pt>
                <c:pt idx="4069">
                  <c:v>39097</c:v>
                </c:pt>
                <c:pt idx="4070">
                  <c:v>39098</c:v>
                </c:pt>
                <c:pt idx="4071">
                  <c:v>39099</c:v>
                </c:pt>
                <c:pt idx="4072">
                  <c:v>39100</c:v>
                </c:pt>
                <c:pt idx="4073">
                  <c:v>39101</c:v>
                </c:pt>
                <c:pt idx="4074">
                  <c:v>39104</c:v>
                </c:pt>
                <c:pt idx="4075">
                  <c:v>39105</c:v>
                </c:pt>
                <c:pt idx="4076">
                  <c:v>39106</c:v>
                </c:pt>
                <c:pt idx="4077">
                  <c:v>39107</c:v>
                </c:pt>
                <c:pt idx="4078">
                  <c:v>39108</c:v>
                </c:pt>
                <c:pt idx="4079">
                  <c:v>39111</c:v>
                </c:pt>
                <c:pt idx="4080">
                  <c:v>39112</c:v>
                </c:pt>
                <c:pt idx="4081">
                  <c:v>39113</c:v>
                </c:pt>
                <c:pt idx="4082">
                  <c:v>39114</c:v>
                </c:pt>
                <c:pt idx="4083">
                  <c:v>39115</c:v>
                </c:pt>
                <c:pt idx="4084">
                  <c:v>39118</c:v>
                </c:pt>
                <c:pt idx="4085">
                  <c:v>39119</c:v>
                </c:pt>
                <c:pt idx="4086">
                  <c:v>39120</c:v>
                </c:pt>
                <c:pt idx="4087">
                  <c:v>39121</c:v>
                </c:pt>
                <c:pt idx="4088">
                  <c:v>39122</c:v>
                </c:pt>
                <c:pt idx="4089">
                  <c:v>39125</c:v>
                </c:pt>
                <c:pt idx="4090">
                  <c:v>39126</c:v>
                </c:pt>
                <c:pt idx="4091">
                  <c:v>39127</c:v>
                </c:pt>
                <c:pt idx="4092">
                  <c:v>39128</c:v>
                </c:pt>
                <c:pt idx="4093">
                  <c:v>39129</c:v>
                </c:pt>
                <c:pt idx="4094">
                  <c:v>39132</c:v>
                </c:pt>
                <c:pt idx="4095">
                  <c:v>39133</c:v>
                </c:pt>
                <c:pt idx="4096">
                  <c:v>39134</c:v>
                </c:pt>
                <c:pt idx="4097">
                  <c:v>39135</c:v>
                </c:pt>
                <c:pt idx="4098">
                  <c:v>39136</c:v>
                </c:pt>
                <c:pt idx="4099">
                  <c:v>39139</c:v>
                </c:pt>
                <c:pt idx="4100">
                  <c:v>39140</c:v>
                </c:pt>
                <c:pt idx="4101">
                  <c:v>39141</c:v>
                </c:pt>
                <c:pt idx="4102">
                  <c:v>39142</c:v>
                </c:pt>
                <c:pt idx="4103">
                  <c:v>39143</c:v>
                </c:pt>
                <c:pt idx="4104">
                  <c:v>39146</c:v>
                </c:pt>
                <c:pt idx="4105">
                  <c:v>39147</c:v>
                </c:pt>
                <c:pt idx="4106">
                  <c:v>39148</c:v>
                </c:pt>
                <c:pt idx="4107">
                  <c:v>39149</c:v>
                </c:pt>
                <c:pt idx="4108">
                  <c:v>39150</c:v>
                </c:pt>
                <c:pt idx="4109">
                  <c:v>39153</c:v>
                </c:pt>
                <c:pt idx="4110">
                  <c:v>39154</c:v>
                </c:pt>
                <c:pt idx="4111">
                  <c:v>39155</c:v>
                </c:pt>
                <c:pt idx="4112">
                  <c:v>39156</c:v>
                </c:pt>
                <c:pt idx="4113">
                  <c:v>39157</c:v>
                </c:pt>
                <c:pt idx="4114">
                  <c:v>39160</c:v>
                </c:pt>
                <c:pt idx="4115">
                  <c:v>39161</c:v>
                </c:pt>
                <c:pt idx="4116">
                  <c:v>39162</c:v>
                </c:pt>
                <c:pt idx="4117">
                  <c:v>39163</c:v>
                </c:pt>
                <c:pt idx="4118">
                  <c:v>39164</c:v>
                </c:pt>
                <c:pt idx="4119">
                  <c:v>39167</c:v>
                </c:pt>
                <c:pt idx="4120">
                  <c:v>39168</c:v>
                </c:pt>
                <c:pt idx="4121">
                  <c:v>39169</c:v>
                </c:pt>
                <c:pt idx="4122">
                  <c:v>39170</c:v>
                </c:pt>
                <c:pt idx="4123">
                  <c:v>39171</c:v>
                </c:pt>
                <c:pt idx="4124">
                  <c:v>39174</c:v>
                </c:pt>
                <c:pt idx="4125">
                  <c:v>39175</c:v>
                </c:pt>
                <c:pt idx="4126">
                  <c:v>39176</c:v>
                </c:pt>
                <c:pt idx="4127">
                  <c:v>39177</c:v>
                </c:pt>
                <c:pt idx="4128">
                  <c:v>39182</c:v>
                </c:pt>
                <c:pt idx="4129">
                  <c:v>39183</c:v>
                </c:pt>
                <c:pt idx="4130">
                  <c:v>39184</c:v>
                </c:pt>
                <c:pt idx="4131">
                  <c:v>39185</c:v>
                </c:pt>
                <c:pt idx="4132">
                  <c:v>39188</c:v>
                </c:pt>
                <c:pt idx="4133">
                  <c:v>39189</c:v>
                </c:pt>
                <c:pt idx="4134">
                  <c:v>39190</c:v>
                </c:pt>
                <c:pt idx="4135">
                  <c:v>39191</c:v>
                </c:pt>
                <c:pt idx="4136">
                  <c:v>39192</c:v>
                </c:pt>
                <c:pt idx="4137">
                  <c:v>39195</c:v>
                </c:pt>
                <c:pt idx="4138">
                  <c:v>39196</c:v>
                </c:pt>
                <c:pt idx="4139">
                  <c:v>39197</c:v>
                </c:pt>
                <c:pt idx="4140">
                  <c:v>39198</c:v>
                </c:pt>
                <c:pt idx="4141">
                  <c:v>39199</c:v>
                </c:pt>
                <c:pt idx="4142">
                  <c:v>39202</c:v>
                </c:pt>
                <c:pt idx="4143">
                  <c:v>39204</c:v>
                </c:pt>
                <c:pt idx="4144">
                  <c:v>39205</c:v>
                </c:pt>
                <c:pt idx="4145">
                  <c:v>39206</c:v>
                </c:pt>
                <c:pt idx="4146">
                  <c:v>39209</c:v>
                </c:pt>
                <c:pt idx="4147">
                  <c:v>39210</c:v>
                </c:pt>
                <c:pt idx="4148">
                  <c:v>39211</c:v>
                </c:pt>
                <c:pt idx="4149">
                  <c:v>39212</c:v>
                </c:pt>
                <c:pt idx="4150">
                  <c:v>39213</c:v>
                </c:pt>
                <c:pt idx="4151">
                  <c:v>39216</c:v>
                </c:pt>
                <c:pt idx="4152">
                  <c:v>39217</c:v>
                </c:pt>
                <c:pt idx="4153">
                  <c:v>39218</c:v>
                </c:pt>
                <c:pt idx="4154">
                  <c:v>39219</c:v>
                </c:pt>
                <c:pt idx="4155">
                  <c:v>39220</c:v>
                </c:pt>
                <c:pt idx="4156">
                  <c:v>39223</c:v>
                </c:pt>
                <c:pt idx="4157">
                  <c:v>39224</c:v>
                </c:pt>
                <c:pt idx="4158">
                  <c:v>39225</c:v>
                </c:pt>
                <c:pt idx="4159">
                  <c:v>39226</c:v>
                </c:pt>
                <c:pt idx="4160">
                  <c:v>39227</c:v>
                </c:pt>
                <c:pt idx="4161">
                  <c:v>39231</c:v>
                </c:pt>
                <c:pt idx="4162">
                  <c:v>39232</c:v>
                </c:pt>
                <c:pt idx="4163">
                  <c:v>39233</c:v>
                </c:pt>
                <c:pt idx="4164">
                  <c:v>39234</c:v>
                </c:pt>
                <c:pt idx="4165">
                  <c:v>39237</c:v>
                </c:pt>
                <c:pt idx="4166">
                  <c:v>39238</c:v>
                </c:pt>
                <c:pt idx="4167">
                  <c:v>39239</c:v>
                </c:pt>
                <c:pt idx="4168">
                  <c:v>39240</c:v>
                </c:pt>
                <c:pt idx="4169">
                  <c:v>39241</c:v>
                </c:pt>
                <c:pt idx="4170">
                  <c:v>39244</c:v>
                </c:pt>
                <c:pt idx="4171">
                  <c:v>39245</c:v>
                </c:pt>
                <c:pt idx="4172">
                  <c:v>39246</c:v>
                </c:pt>
                <c:pt idx="4173">
                  <c:v>39247</c:v>
                </c:pt>
                <c:pt idx="4174">
                  <c:v>39248</c:v>
                </c:pt>
                <c:pt idx="4175">
                  <c:v>39251</c:v>
                </c:pt>
                <c:pt idx="4176">
                  <c:v>39252</c:v>
                </c:pt>
                <c:pt idx="4177">
                  <c:v>39253</c:v>
                </c:pt>
                <c:pt idx="4178">
                  <c:v>39254</c:v>
                </c:pt>
                <c:pt idx="4179">
                  <c:v>39255</c:v>
                </c:pt>
                <c:pt idx="4180">
                  <c:v>39258</c:v>
                </c:pt>
                <c:pt idx="4181">
                  <c:v>39259</c:v>
                </c:pt>
                <c:pt idx="4182">
                  <c:v>39260</c:v>
                </c:pt>
                <c:pt idx="4183">
                  <c:v>39261</c:v>
                </c:pt>
                <c:pt idx="4184">
                  <c:v>39262</c:v>
                </c:pt>
                <c:pt idx="4185">
                  <c:v>39265</c:v>
                </c:pt>
                <c:pt idx="4186">
                  <c:v>39266</c:v>
                </c:pt>
                <c:pt idx="4187">
                  <c:v>39267</c:v>
                </c:pt>
                <c:pt idx="4188">
                  <c:v>39268</c:v>
                </c:pt>
                <c:pt idx="4189">
                  <c:v>39269</c:v>
                </c:pt>
                <c:pt idx="4190">
                  <c:v>39272</c:v>
                </c:pt>
                <c:pt idx="4191">
                  <c:v>39273</c:v>
                </c:pt>
                <c:pt idx="4192">
                  <c:v>39274</c:v>
                </c:pt>
                <c:pt idx="4193">
                  <c:v>39275</c:v>
                </c:pt>
                <c:pt idx="4194">
                  <c:v>39276</c:v>
                </c:pt>
                <c:pt idx="4195">
                  <c:v>39279</c:v>
                </c:pt>
                <c:pt idx="4196">
                  <c:v>39280</c:v>
                </c:pt>
                <c:pt idx="4197">
                  <c:v>39281</c:v>
                </c:pt>
                <c:pt idx="4198">
                  <c:v>39282</c:v>
                </c:pt>
                <c:pt idx="4199">
                  <c:v>39283</c:v>
                </c:pt>
                <c:pt idx="4200">
                  <c:v>39286</c:v>
                </c:pt>
                <c:pt idx="4201">
                  <c:v>39287</c:v>
                </c:pt>
                <c:pt idx="4202">
                  <c:v>39288</c:v>
                </c:pt>
                <c:pt idx="4203">
                  <c:v>39289</c:v>
                </c:pt>
                <c:pt idx="4204">
                  <c:v>39290</c:v>
                </c:pt>
                <c:pt idx="4205">
                  <c:v>39293</c:v>
                </c:pt>
                <c:pt idx="4206">
                  <c:v>39294</c:v>
                </c:pt>
                <c:pt idx="4207">
                  <c:v>39295</c:v>
                </c:pt>
                <c:pt idx="4208">
                  <c:v>39296</c:v>
                </c:pt>
                <c:pt idx="4209">
                  <c:v>39297</c:v>
                </c:pt>
                <c:pt idx="4210">
                  <c:v>39300</c:v>
                </c:pt>
                <c:pt idx="4211">
                  <c:v>39301</c:v>
                </c:pt>
                <c:pt idx="4212">
                  <c:v>39302</c:v>
                </c:pt>
                <c:pt idx="4213">
                  <c:v>39303</c:v>
                </c:pt>
                <c:pt idx="4214">
                  <c:v>39304</c:v>
                </c:pt>
                <c:pt idx="4215">
                  <c:v>39307</c:v>
                </c:pt>
                <c:pt idx="4216">
                  <c:v>39308</c:v>
                </c:pt>
                <c:pt idx="4217">
                  <c:v>39309</c:v>
                </c:pt>
                <c:pt idx="4218">
                  <c:v>39310</c:v>
                </c:pt>
                <c:pt idx="4219">
                  <c:v>39311</c:v>
                </c:pt>
                <c:pt idx="4220">
                  <c:v>39314</c:v>
                </c:pt>
                <c:pt idx="4221">
                  <c:v>39315</c:v>
                </c:pt>
                <c:pt idx="4222">
                  <c:v>39316</c:v>
                </c:pt>
                <c:pt idx="4223">
                  <c:v>39317</c:v>
                </c:pt>
                <c:pt idx="4224">
                  <c:v>39318</c:v>
                </c:pt>
                <c:pt idx="4225">
                  <c:v>39321</c:v>
                </c:pt>
                <c:pt idx="4226">
                  <c:v>39322</c:v>
                </c:pt>
                <c:pt idx="4227">
                  <c:v>39323</c:v>
                </c:pt>
                <c:pt idx="4228">
                  <c:v>39324</c:v>
                </c:pt>
                <c:pt idx="4229">
                  <c:v>39325</c:v>
                </c:pt>
                <c:pt idx="4230">
                  <c:v>39328</c:v>
                </c:pt>
                <c:pt idx="4231">
                  <c:v>39329</c:v>
                </c:pt>
                <c:pt idx="4232">
                  <c:v>39330</c:v>
                </c:pt>
                <c:pt idx="4233">
                  <c:v>39331</c:v>
                </c:pt>
                <c:pt idx="4234">
                  <c:v>39332</c:v>
                </c:pt>
                <c:pt idx="4235">
                  <c:v>39335</c:v>
                </c:pt>
                <c:pt idx="4236">
                  <c:v>39336</c:v>
                </c:pt>
                <c:pt idx="4237">
                  <c:v>39337</c:v>
                </c:pt>
                <c:pt idx="4238">
                  <c:v>39338</c:v>
                </c:pt>
                <c:pt idx="4239">
                  <c:v>39339</c:v>
                </c:pt>
                <c:pt idx="4240">
                  <c:v>39342</c:v>
                </c:pt>
                <c:pt idx="4241">
                  <c:v>39343</c:v>
                </c:pt>
                <c:pt idx="4242">
                  <c:v>39344</c:v>
                </c:pt>
                <c:pt idx="4243">
                  <c:v>39345</c:v>
                </c:pt>
                <c:pt idx="4244">
                  <c:v>39346</c:v>
                </c:pt>
                <c:pt idx="4245">
                  <c:v>39349</c:v>
                </c:pt>
                <c:pt idx="4246">
                  <c:v>39350</c:v>
                </c:pt>
                <c:pt idx="4247">
                  <c:v>39351</c:v>
                </c:pt>
                <c:pt idx="4248">
                  <c:v>39352</c:v>
                </c:pt>
                <c:pt idx="4249">
                  <c:v>39353</c:v>
                </c:pt>
                <c:pt idx="4250">
                  <c:v>39356</c:v>
                </c:pt>
                <c:pt idx="4251">
                  <c:v>39357</c:v>
                </c:pt>
                <c:pt idx="4252">
                  <c:v>39358</c:v>
                </c:pt>
                <c:pt idx="4253">
                  <c:v>39359</c:v>
                </c:pt>
                <c:pt idx="4254">
                  <c:v>39360</c:v>
                </c:pt>
                <c:pt idx="4255">
                  <c:v>39363</c:v>
                </c:pt>
                <c:pt idx="4256">
                  <c:v>39364</c:v>
                </c:pt>
                <c:pt idx="4257">
                  <c:v>39365</c:v>
                </c:pt>
                <c:pt idx="4258">
                  <c:v>39366</c:v>
                </c:pt>
                <c:pt idx="4259">
                  <c:v>39367</c:v>
                </c:pt>
                <c:pt idx="4260">
                  <c:v>39370</c:v>
                </c:pt>
                <c:pt idx="4261">
                  <c:v>39371</c:v>
                </c:pt>
                <c:pt idx="4262">
                  <c:v>39372</c:v>
                </c:pt>
                <c:pt idx="4263">
                  <c:v>39373</c:v>
                </c:pt>
                <c:pt idx="4264">
                  <c:v>39374</c:v>
                </c:pt>
                <c:pt idx="4265">
                  <c:v>39377</c:v>
                </c:pt>
                <c:pt idx="4266">
                  <c:v>39378</c:v>
                </c:pt>
                <c:pt idx="4267">
                  <c:v>39379</c:v>
                </c:pt>
                <c:pt idx="4268">
                  <c:v>39380</c:v>
                </c:pt>
                <c:pt idx="4269">
                  <c:v>39381</c:v>
                </c:pt>
                <c:pt idx="4270">
                  <c:v>39384</c:v>
                </c:pt>
                <c:pt idx="4271">
                  <c:v>39385</c:v>
                </c:pt>
                <c:pt idx="4272">
                  <c:v>39386</c:v>
                </c:pt>
                <c:pt idx="4273">
                  <c:v>39387</c:v>
                </c:pt>
                <c:pt idx="4274">
                  <c:v>39388</c:v>
                </c:pt>
                <c:pt idx="4275">
                  <c:v>39391</c:v>
                </c:pt>
                <c:pt idx="4276">
                  <c:v>39392</c:v>
                </c:pt>
                <c:pt idx="4277">
                  <c:v>39393</c:v>
                </c:pt>
                <c:pt idx="4278">
                  <c:v>39394</c:v>
                </c:pt>
                <c:pt idx="4279">
                  <c:v>39395</c:v>
                </c:pt>
                <c:pt idx="4280">
                  <c:v>39398</c:v>
                </c:pt>
                <c:pt idx="4281">
                  <c:v>39399</c:v>
                </c:pt>
                <c:pt idx="4282">
                  <c:v>39400</c:v>
                </c:pt>
                <c:pt idx="4283">
                  <c:v>39401</c:v>
                </c:pt>
                <c:pt idx="4284">
                  <c:v>39402</c:v>
                </c:pt>
                <c:pt idx="4285">
                  <c:v>39405</c:v>
                </c:pt>
                <c:pt idx="4286">
                  <c:v>39406</c:v>
                </c:pt>
                <c:pt idx="4287">
                  <c:v>39407</c:v>
                </c:pt>
                <c:pt idx="4288">
                  <c:v>39408</c:v>
                </c:pt>
                <c:pt idx="4289">
                  <c:v>39409</c:v>
                </c:pt>
                <c:pt idx="4290">
                  <c:v>39412</c:v>
                </c:pt>
                <c:pt idx="4291">
                  <c:v>39413</c:v>
                </c:pt>
                <c:pt idx="4292">
                  <c:v>39414</c:v>
                </c:pt>
                <c:pt idx="4293">
                  <c:v>39415</c:v>
                </c:pt>
                <c:pt idx="4294">
                  <c:v>39416</c:v>
                </c:pt>
                <c:pt idx="4295">
                  <c:v>39419</c:v>
                </c:pt>
                <c:pt idx="4296">
                  <c:v>39420</c:v>
                </c:pt>
                <c:pt idx="4297">
                  <c:v>39421</c:v>
                </c:pt>
                <c:pt idx="4298">
                  <c:v>39422</c:v>
                </c:pt>
                <c:pt idx="4299">
                  <c:v>39423</c:v>
                </c:pt>
                <c:pt idx="4300">
                  <c:v>39426</c:v>
                </c:pt>
                <c:pt idx="4301">
                  <c:v>39427</c:v>
                </c:pt>
                <c:pt idx="4302">
                  <c:v>39428</c:v>
                </c:pt>
                <c:pt idx="4303">
                  <c:v>39429</c:v>
                </c:pt>
                <c:pt idx="4304">
                  <c:v>39430</c:v>
                </c:pt>
                <c:pt idx="4305">
                  <c:v>39433</c:v>
                </c:pt>
                <c:pt idx="4306">
                  <c:v>39434</c:v>
                </c:pt>
                <c:pt idx="4307">
                  <c:v>39435</c:v>
                </c:pt>
                <c:pt idx="4308">
                  <c:v>39436</c:v>
                </c:pt>
                <c:pt idx="4309">
                  <c:v>39437</c:v>
                </c:pt>
                <c:pt idx="4310">
                  <c:v>39443</c:v>
                </c:pt>
                <c:pt idx="4311">
                  <c:v>39444</c:v>
                </c:pt>
                <c:pt idx="4312">
                  <c:v>39449</c:v>
                </c:pt>
                <c:pt idx="4313">
                  <c:v>39450</c:v>
                </c:pt>
                <c:pt idx="4314">
                  <c:v>39451</c:v>
                </c:pt>
                <c:pt idx="4315">
                  <c:v>39454</c:v>
                </c:pt>
                <c:pt idx="4316">
                  <c:v>39455</c:v>
                </c:pt>
                <c:pt idx="4317">
                  <c:v>39456</c:v>
                </c:pt>
                <c:pt idx="4318">
                  <c:v>39457</c:v>
                </c:pt>
                <c:pt idx="4319">
                  <c:v>39458</c:v>
                </c:pt>
                <c:pt idx="4320">
                  <c:v>39461</c:v>
                </c:pt>
                <c:pt idx="4321">
                  <c:v>39462</c:v>
                </c:pt>
                <c:pt idx="4322">
                  <c:v>39463</c:v>
                </c:pt>
                <c:pt idx="4323">
                  <c:v>39464</c:v>
                </c:pt>
                <c:pt idx="4324">
                  <c:v>39465</c:v>
                </c:pt>
                <c:pt idx="4325">
                  <c:v>39468</c:v>
                </c:pt>
                <c:pt idx="4326">
                  <c:v>39469</c:v>
                </c:pt>
                <c:pt idx="4327">
                  <c:v>39470</c:v>
                </c:pt>
                <c:pt idx="4328">
                  <c:v>39471</c:v>
                </c:pt>
                <c:pt idx="4329">
                  <c:v>39472</c:v>
                </c:pt>
                <c:pt idx="4330">
                  <c:v>39475</c:v>
                </c:pt>
                <c:pt idx="4331">
                  <c:v>39476</c:v>
                </c:pt>
                <c:pt idx="4332">
                  <c:v>39477</c:v>
                </c:pt>
                <c:pt idx="4333">
                  <c:v>39478</c:v>
                </c:pt>
                <c:pt idx="4334">
                  <c:v>39479</c:v>
                </c:pt>
                <c:pt idx="4335">
                  <c:v>39482</c:v>
                </c:pt>
                <c:pt idx="4336">
                  <c:v>39483</c:v>
                </c:pt>
                <c:pt idx="4337">
                  <c:v>39484</c:v>
                </c:pt>
                <c:pt idx="4338">
                  <c:v>39485</c:v>
                </c:pt>
                <c:pt idx="4339">
                  <c:v>39486</c:v>
                </c:pt>
                <c:pt idx="4340">
                  <c:v>39489</c:v>
                </c:pt>
                <c:pt idx="4341">
                  <c:v>39490</c:v>
                </c:pt>
                <c:pt idx="4342">
                  <c:v>39491</c:v>
                </c:pt>
                <c:pt idx="4343">
                  <c:v>39492</c:v>
                </c:pt>
                <c:pt idx="4344">
                  <c:v>39493</c:v>
                </c:pt>
                <c:pt idx="4345">
                  <c:v>39497</c:v>
                </c:pt>
                <c:pt idx="4346">
                  <c:v>39498</c:v>
                </c:pt>
                <c:pt idx="4347">
                  <c:v>39499</c:v>
                </c:pt>
                <c:pt idx="4348">
                  <c:v>39500</c:v>
                </c:pt>
                <c:pt idx="4349">
                  <c:v>39503</c:v>
                </c:pt>
                <c:pt idx="4350">
                  <c:v>39504</c:v>
                </c:pt>
                <c:pt idx="4351">
                  <c:v>39505</c:v>
                </c:pt>
                <c:pt idx="4352">
                  <c:v>39506</c:v>
                </c:pt>
                <c:pt idx="4353">
                  <c:v>39507</c:v>
                </c:pt>
                <c:pt idx="4354">
                  <c:v>39510</c:v>
                </c:pt>
                <c:pt idx="4355">
                  <c:v>39511</c:v>
                </c:pt>
                <c:pt idx="4356">
                  <c:v>39512</c:v>
                </c:pt>
                <c:pt idx="4357">
                  <c:v>39513</c:v>
                </c:pt>
                <c:pt idx="4358">
                  <c:v>39514</c:v>
                </c:pt>
                <c:pt idx="4359">
                  <c:v>39517</c:v>
                </c:pt>
                <c:pt idx="4360">
                  <c:v>39518</c:v>
                </c:pt>
                <c:pt idx="4361">
                  <c:v>39519</c:v>
                </c:pt>
                <c:pt idx="4362">
                  <c:v>39520</c:v>
                </c:pt>
                <c:pt idx="4363">
                  <c:v>39521</c:v>
                </c:pt>
                <c:pt idx="4364">
                  <c:v>39524</c:v>
                </c:pt>
                <c:pt idx="4365">
                  <c:v>39525</c:v>
                </c:pt>
                <c:pt idx="4366">
                  <c:v>39526</c:v>
                </c:pt>
                <c:pt idx="4367">
                  <c:v>39527</c:v>
                </c:pt>
                <c:pt idx="4368">
                  <c:v>39532</c:v>
                </c:pt>
                <c:pt idx="4369">
                  <c:v>39533</c:v>
                </c:pt>
                <c:pt idx="4370">
                  <c:v>39534</c:v>
                </c:pt>
                <c:pt idx="4371">
                  <c:v>39535</c:v>
                </c:pt>
                <c:pt idx="4372">
                  <c:v>39538</c:v>
                </c:pt>
                <c:pt idx="4373">
                  <c:v>39539</c:v>
                </c:pt>
                <c:pt idx="4374">
                  <c:v>39540</c:v>
                </c:pt>
                <c:pt idx="4375">
                  <c:v>39541</c:v>
                </c:pt>
                <c:pt idx="4376">
                  <c:v>39542</c:v>
                </c:pt>
                <c:pt idx="4377">
                  <c:v>39545</c:v>
                </c:pt>
                <c:pt idx="4378">
                  <c:v>39546</c:v>
                </c:pt>
                <c:pt idx="4379">
                  <c:v>39547</c:v>
                </c:pt>
                <c:pt idx="4380">
                  <c:v>39548</c:v>
                </c:pt>
                <c:pt idx="4381">
                  <c:v>39549</c:v>
                </c:pt>
                <c:pt idx="4382">
                  <c:v>39552</c:v>
                </c:pt>
                <c:pt idx="4383">
                  <c:v>39553</c:v>
                </c:pt>
                <c:pt idx="4384">
                  <c:v>39554</c:v>
                </c:pt>
                <c:pt idx="4385">
                  <c:v>39555</c:v>
                </c:pt>
                <c:pt idx="4386">
                  <c:v>39556</c:v>
                </c:pt>
                <c:pt idx="4387">
                  <c:v>39559</c:v>
                </c:pt>
                <c:pt idx="4388">
                  <c:v>39560</c:v>
                </c:pt>
                <c:pt idx="4389">
                  <c:v>39561</c:v>
                </c:pt>
                <c:pt idx="4390">
                  <c:v>39562</c:v>
                </c:pt>
                <c:pt idx="4391">
                  <c:v>39563</c:v>
                </c:pt>
                <c:pt idx="4392">
                  <c:v>39566</c:v>
                </c:pt>
                <c:pt idx="4393">
                  <c:v>39567</c:v>
                </c:pt>
                <c:pt idx="4394">
                  <c:v>39568</c:v>
                </c:pt>
                <c:pt idx="4395">
                  <c:v>39570</c:v>
                </c:pt>
                <c:pt idx="4396">
                  <c:v>39573</c:v>
                </c:pt>
                <c:pt idx="4397">
                  <c:v>39574</c:v>
                </c:pt>
                <c:pt idx="4398">
                  <c:v>39575</c:v>
                </c:pt>
                <c:pt idx="4399">
                  <c:v>39576</c:v>
                </c:pt>
                <c:pt idx="4400">
                  <c:v>39577</c:v>
                </c:pt>
                <c:pt idx="4401">
                  <c:v>39580</c:v>
                </c:pt>
                <c:pt idx="4402">
                  <c:v>39581</c:v>
                </c:pt>
                <c:pt idx="4403">
                  <c:v>39582</c:v>
                </c:pt>
                <c:pt idx="4404">
                  <c:v>39583</c:v>
                </c:pt>
                <c:pt idx="4405">
                  <c:v>39584</c:v>
                </c:pt>
                <c:pt idx="4406">
                  <c:v>39587</c:v>
                </c:pt>
                <c:pt idx="4407">
                  <c:v>39588</c:v>
                </c:pt>
                <c:pt idx="4408">
                  <c:v>39589</c:v>
                </c:pt>
                <c:pt idx="4409">
                  <c:v>39590</c:v>
                </c:pt>
                <c:pt idx="4410">
                  <c:v>39591</c:v>
                </c:pt>
                <c:pt idx="4411">
                  <c:v>39594</c:v>
                </c:pt>
                <c:pt idx="4412">
                  <c:v>39595</c:v>
                </c:pt>
                <c:pt idx="4413">
                  <c:v>39596</c:v>
                </c:pt>
                <c:pt idx="4414">
                  <c:v>39597</c:v>
                </c:pt>
                <c:pt idx="4415">
                  <c:v>39598</c:v>
                </c:pt>
                <c:pt idx="4416">
                  <c:v>39601</c:v>
                </c:pt>
                <c:pt idx="4417">
                  <c:v>39602</c:v>
                </c:pt>
                <c:pt idx="4418">
                  <c:v>39603</c:v>
                </c:pt>
                <c:pt idx="4419">
                  <c:v>39604</c:v>
                </c:pt>
                <c:pt idx="4420">
                  <c:v>39605</c:v>
                </c:pt>
                <c:pt idx="4421">
                  <c:v>39608</c:v>
                </c:pt>
                <c:pt idx="4422">
                  <c:v>39609</c:v>
                </c:pt>
                <c:pt idx="4423">
                  <c:v>39610</c:v>
                </c:pt>
                <c:pt idx="4424">
                  <c:v>39611</c:v>
                </c:pt>
                <c:pt idx="4425">
                  <c:v>39612</c:v>
                </c:pt>
                <c:pt idx="4426">
                  <c:v>39615</c:v>
                </c:pt>
                <c:pt idx="4427">
                  <c:v>39616</c:v>
                </c:pt>
                <c:pt idx="4428">
                  <c:v>39617</c:v>
                </c:pt>
                <c:pt idx="4429">
                  <c:v>39618</c:v>
                </c:pt>
                <c:pt idx="4430">
                  <c:v>39619</c:v>
                </c:pt>
                <c:pt idx="4431">
                  <c:v>39622</c:v>
                </c:pt>
                <c:pt idx="4432">
                  <c:v>39623</c:v>
                </c:pt>
                <c:pt idx="4433">
                  <c:v>39624</c:v>
                </c:pt>
                <c:pt idx="4434">
                  <c:v>39625</c:v>
                </c:pt>
                <c:pt idx="4435">
                  <c:v>39626</c:v>
                </c:pt>
                <c:pt idx="4436">
                  <c:v>39629</c:v>
                </c:pt>
                <c:pt idx="4437">
                  <c:v>39630</c:v>
                </c:pt>
                <c:pt idx="4438">
                  <c:v>39631</c:v>
                </c:pt>
                <c:pt idx="4439">
                  <c:v>39632</c:v>
                </c:pt>
                <c:pt idx="4440">
                  <c:v>39633</c:v>
                </c:pt>
                <c:pt idx="4441">
                  <c:v>39636</c:v>
                </c:pt>
                <c:pt idx="4442">
                  <c:v>39637</c:v>
                </c:pt>
                <c:pt idx="4443">
                  <c:v>39638</c:v>
                </c:pt>
                <c:pt idx="4444">
                  <c:v>39639</c:v>
                </c:pt>
                <c:pt idx="4445">
                  <c:v>39640</c:v>
                </c:pt>
                <c:pt idx="4446">
                  <c:v>39643</c:v>
                </c:pt>
                <c:pt idx="4447">
                  <c:v>39644</c:v>
                </c:pt>
                <c:pt idx="4448">
                  <c:v>39645</c:v>
                </c:pt>
                <c:pt idx="4449">
                  <c:v>39646</c:v>
                </c:pt>
                <c:pt idx="4450">
                  <c:v>39647</c:v>
                </c:pt>
                <c:pt idx="4451">
                  <c:v>39650</c:v>
                </c:pt>
                <c:pt idx="4452">
                  <c:v>39651</c:v>
                </c:pt>
                <c:pt idx="4453">
                  <c:v>39652</c:v>
                </c:pt>
                <c:pt idx="4454">
                  <c:v>39653</c:v>
                </c:pt>
                <c:pt idx="4455">
                  <c:v>39654</c:v>
                </c:pt>
                <c:pt idx="4456">
                  <c:v>39657</c:v>
                </c:pt>
                <c:pt idx="4457">
                  <c:v>39658</c:v>
                </c:pt>
                <c:pt idx="4458">
                  <c:v>39659</c:v>
                </c:pt>
                <c:pt idx="4459">
                  <c:v>39660</c:v>
                </c:pt>
                <c:pt idx="4460">
                  <c:v>39661</c:v>
                </c:pt>
                <c:pt idx="4461">
                  <c:v>39664</c:v>
                </c:pt>
                <c:pt idx="4462">
                  <c:v>39665</c:v>
                </c:pt>
                <c:pt idx="4463">
                  <c:v>39666</c:v>
                </c:pt>
                <c:pt idx="4464">
                  <c:v>39667</c:v>
                </c:pt>
                <c:pt idx="4465">
                  <c:v>39668</c:v>
                </c:pt>
                <c:pt idx="4466">
                  <c:v>39671</c:v>
                </c:pt>
                <c:pt idx="4467">
                  <c:v>39672</c:v>
                </c:pt>
                <c:pt idx="4468">
                  <c:v>39673</c:v>
                </c:pt>
                <c:pt idx="4469">
                  <c:v>39674</c:v>
                </c:pt>
                <c:pt idx="4470">
                  <c:v>39675</c:v>
                </c:pt>
                <c:pt idx="4471">
                  <c:v>39678</c:v>
                </c:pt>
                <c:pt idx="4472">
                  <c:v>39679</c:v>
                </c:pt>
                <c:pt idx="4473">
                  <c:v>39680</c:v>
                </c:pt>
                <c:pt idx="4474">
                  <c:v>39681</c:v>
                </c:pt>
                <c:pt idx="4475">
                  <c:v>39682</c:v>
                </c:pt>
                <c:pt idx="4476">
                  <c:v>39685</c:v>
                </c:pt>
                <c:pt idx="4477">
                  <c:v>39686</c:v>
                </c:pt>
                <c:pt idx="4478">
                  <c:v>39687</c:v>
                </c:pt>
                <c:pt idx="4479">
                  <c:v>39688</c:v>
                </c:pt>
                <c:pt idx="4480">
                  <c:v>39689</c:v>
                </c:pt>
                <c:pt idx="4481">
                  <c:v>39692</c:v>
                </c:pt>
                <c:pt idx="4482">
                  <c:v>39693</c:v>
                </c:pt>
                <c:pt idx="4483">
                  <c:v>39694</c:v>
                </c:pt>
                <c:pt idx="4484">
                  <c:v>39695</c:v>
                </c:pt>
                <c:pt idx="4485">
                  <c:v>39696</c:v>
                </c:pt>
                <c:pt idx="4486">
                  <c:v>39699</c:v>
                </c:pt>
                <c:pt idx="4487">
                  <c:v>39700</c:v>
                </c:pt>
                <c:pt idx="4488">
                  <c:v>39701</c:v>
                </c:pt>
                <c:pt idx="4489">
                  <c:v>39702</c:v>
                </c:pt>
                <c:pt idx="4490">
                  <c:v>39703</c:v>
                </c:pt>
                <c:pt idx="4491">
                  <c:v>39706</c:v>
                </c:pt>
                <c:pt idx="4492">
                  <c:v>39707</c:v>
                </c:pt>
                <c:pt idx="4493">
                  <c:v>39708</c:v>
                </c:pt>
                <c:pt idx="4494">
                  <c:v>39709</c:v>
                </c:pt>
                <c:pt idx="4495">
                  <c:v>39710</c:v>
                </c:pt>
                <c:pt idx="4496">
                  <c:v>39713</c:v>
                </c:pt>
                <c:pt idx="4497">
                  <c:v>39714</c:v>
                </c:pt>
                <c:pt idx="4498">
                  <c:v>39715</c:v>
                </c:pt>
                <c:pt idx="4499">
                  <c:v>39716</c:v>
                </c:pt>
                <c:pt idx="4500">
                  <c:v>39717</c:v>
                </c:pt>
                <c:pt idx="4501">
                  <c:v>39720</c:v>
                </c:pt>
                <c:pt idx="4502">
                  <c:v>39721</c:v>
                </c:pt>
                <c:pt idx="4503">
                  <c:v>39722</c:v>
                </c:pt>
                <c:pt idx="4504">
                  <c:v>39723</c:v>
                </c:pt>
                <c:pt idx="4505">
                  <c:v>39724</c:v>
                </c:pt>
                <c:pt idx="4506">
                  <c:v>39727</c:v>
                </c:pt>
                <c:pt idx="4507">
                  <c:v>39728</c:v>
                </c:pt>
                <c:pt idx="4508">
                  <c:v>39729</c:v>
                </c:pt>
                <c:pt idx="4509">
                  <c:v>39730</c:v>
                </c:pt>
                <c:pt idx="4510">
                  <c:v>39731</c:v>
                </c:pt>
                <c:pt idx="4511">
                  <c:v>39734</c:v>
                </c:pt>
                <c:pt idx="4512">
                  <c:v>39735</c:v>
                </c:pt>
                <c:pt idx="4513">
                  <c:v>39736</c:v>
                </c:pt>
                <c:pt idx="4514">
                  <c:v>39737</c:v>
                </c:pt>
                <c:pt idx="4515">
                  <c:v>39738</c:v>
                </c:pt>
                <c:pt idx="4516">
                  <c:v>39741</c:v>
                </c:pt>
                <c:pt idx="4517">
                  <c:v>39742</c:v>
                </c:pt>
                <c:pt idx="4518">
                  <c:v>39743</c:v>
                </c:pt>
                <c:pt idx="4519">
                  <c:v>39744</c:v>
                </c:pt>
                <c:pt idx="4520">
                  <c:v>39745</c:v>
                </c:pt>
                <c:pt idx="4521">
                  <c:v>39748</c:v>
                </c:pt>
                <c:pt idx="4522">
                  <c:v>39749</c:v>
                </c:pt>
                <c:pt idx="4523">
                  <c:v>39750</c:v>
                </c:pt>
                <c:pt idx="4524">
                  <c:v>39751</c:v>
                </c:pt>
                <c:pt idx="4525">
                  <c:v>39752</c:v>
                </c:pt>
                <c:pt idx="4526">
                  <c:v>39755</c:v>
                </c:pt>
                <c:pt idx="4527">
                  <c:v>39756</c:v>
                </c:pt>
                <c:pt idx="4528">
                  <c:v>39757</c:v>
                </c:pt>
                <c:pt idx="4529">
                  <c:v>39758</c:v>
                </c:pt>
                <c:pt idx="4530">
                  <c:v>39759</c:v>
                </c:pt>
                <c:pt idx="4531">
                  <c:v>39762</c:v>
                </c:pt>
                <c:pt idx="4532">
                  <c:v>39763</c:v>
                </c:pt>
                <c:pt idx="4533">
                  <c:v>39764</c:v>
                </c:pt>
                <c:pt idx="4534">
                  <c:v>39765</c:v>
                </c:pt>
                <c:pt idx="4535">
                  <c:v>39766</c:v>
                </c:pt>
                <c:pt idx="4536">
                  <c:v>39769</c:v>
                </c:pt>
                <c:pt idx="4537">
                  <c:v>39770</c:v>
                </c:pt>
                <c:pt idx="4538">
                  <c:v>39771</c:v>
                </c:pt>
                <c:pt idx="4539">
                  <c:v>39772</c:v>
                </c:pt>
                <c:pt idx="4540">
                  <c:v>39773</c:v>
                </c:pt>
                <c:pt idx="4541">
                  <c:v>39776</c:v>
                </c:pt>
                <c:pt idx="4542">
                  <c:v>39777</c:v>
                </c:pt>
                <c:pt idx="4543">
                  <c:v>39778</c:v>
                </c:pt>
                <c:pt idx="4544">
                  <c:v>39779</c:v>
                </c:pt>
                <c:pt idx="4545">
                  <c:v>39780</c:v>
                </c:pt>
                <c:pt idx="4546">
                  <c:v>39783</c:v>
                </c:pt>
                <c:pt idx="4547">
                  <c:v>39784</c:v>
                </c:pt>
                <c:pt idx="4548">
                  <c:v>39785</c:v>
                </c:pt>
                <c:pt idx="4549">
                  <c:v>39786</c:v>
                </c:pt>
                <c:pt idx="4550">
                  <c:v>39787</c:v>
                </c:pt>
                <c:pt idx="4551">
                  <c:v>39790</c:v>
                </c:pt>
                <c:pt idx="4552">
                  <c:v>39791</c:v>
                </c:pt>
                <c:pt idx="4553">
                  <c:v>39792</c:v>
                </c:pt>
                <c:pt idx="4554">
                  <c:v>39793</c:v>
                </c:pt>
                <c:pt idx="4555">
                  <c:v>39794</c:v>
                </c:pt>
                <c:pt idx="4556">
                  <c:v>39797</c:v>
                </c:pt>
                <c:pt idx="4557">
                  <c:v>39798</c:v>
                </c:pt>
                <c:pt idx="4558">
                  <c:v>39799</c:v>
                </c:pt>
                <c:pt idx="4559">
                  <c:v>39800</c:v>
                </c:pt>
                <c:pt idx="4560">
                  <c:v>39801</c:v>
                </c:pt>
                <c:pt idx="4561">
                  <c:v>39804</c:v>
                </c:pt>
                <c:pt idx="4562">
                  <c:v>39805</c:v>
                </c:pt>
                <c:pt idx="4563">
                  <c:v>39806</c:v>
                </c:pt>
                <c:pt idx="4564">
                  <c:v>39808</c:v>
                </c:pt>
                <c:pt idx="4565">
                  <c:v>39811</c:v>
                </c:pt>
                <c:pt idx="4566">
                  <c:v>39812</c:v>
                </c:pt>
                <c:pt idx="4567">
                  <c:v>39815</c:v>
                </c:pt>
                <c:pt idx="4568">
                  <c:v>39818</c:v>
                </c:pt>
                <c:pt idx="4569">
                  <c:v>39819</c:v>
                </c:pt>
                <c:pt idx="4570">
                  <c:v>39820</c:v>
                </c:pt>
                <c:pt idx="4571">
                  <c:v>39821</c:v>
                </c:pt>
                <c:pt idx="4572">
                  <c:v>39822</c:v>
                </c:pt>
                <c:pt idx="4573">
                  <c:v>39825</c:v>
                </c:pt>
                <c:pt idx="4574">
                  <c:v>39826</c:v>
                </c:pt>
                <c:pt idx="4575">
                  <c:v>39827</c:v>
                </c:pt>
                <c:pt idx="4576">
                  <c:v>39828</c:v>
                </c:pt>
                <c:pt idx="4577">
                  <c:v>39829</c:v>
                </c:pt>
                <c:pt idx="4578">
                  <c:v>39832</c:v>
                </c:pt>
                <c:pt idx="4579">
                  <c:v>39833</c:v>
                </c:pt>
                <c:pt idx="4580">
                  <c:v>39834</c:v>
                </c:pt>
                <c:pt idx="4581">
                  <c:v>39835</c:v>
                </c:pt>
                <c:pt idx="4582">
                  <c:v>39836</c:v>
                </c:pt>
                <c:pt idx="4583">
                  <c:v>39839</c:v>
                </c:pt>
                <c:pt idx="4584">
                  <c:v>39840</c:v>
                </c:pt>
                <c:pt idx="4585">
                  <c:v>39841</c:v>
                </c:pt>
                <c:pt idx="4586">
                  <c:v>39842</c:v>
                </c:pt>
                <c:pt idx="4587">
                  <c:v>39843</c:v>
                </c:pt>
                <c:pt idx="4588">
                  <c:v>39846</c:v>
                </c:pt>
                <c:pt idx="4589">
                  <c:v>39847</c:v>
                </c:pt>
                <c:pt idx="4590">
                  <c:v>39848</c:v>
                </c:pt>
                <c:pt idx="4591">
                  <c:v>39849</c:v>
                </c:pt>
                <c:pt idx="4592">
                  <c:v>39850</c:v>
                </c:pt>
                <c:pt idx="4593">
                  <c:v>39853</c:v>
                </c:pt>
                <c:pt idx="4594">
                  <c:v>39854</c:v>
                </c:pt>
                <c:pt idx="4595">
                  <c:v>39855</c:v>
                </c:pt>
                <c:pt idx="4596">
                  <c:v>39856</c:v>
                </c:pt>
                <c:pt idx="4597">
                  <c:v>39857</c:v>
                </c:pt>
                <c:pt idx="4598">
                  <c:v>39861</c:v>
                </c:pt>
                <c:pt idx="4599">
                  <c:v>39862</c:v>
                </c:pt>
                <c:pt idx="4600">
                  <c:v>39863</c:v>
                </c:pt>
                <c:pt idx="4601">
                  <c:v>39864</c:v>
                </c:pt>
                <c:pt idx="4602">
                  <c:v>39867</c:v>
                </c:pt>
                <c:pt idx="4603">
                  <c:v>39868</c:v>
                </c:pt>
                <c:pt idx="4604">
                  <c:v>39869</c:v>
                </c:pt>
                <c:pt idx="4605">
                  <c:v>39870</c:v>
                </c:pt>
                <c:pt idx="4606">
                  <c:v>39871</c:v>
                </c:pt>
                <c:pt idx="4607">
                  <c:v>39874</c:v>
                </c:pt>
                <c:pt idx="4608">
                  <c:v>39875</c:v>
                </c:pt>
                <c:pt idx="4609">
                  <c:v>39876</c:v>
                </c:pt>
                <c:pt idx="4610">
                  <c:v>39877</c:v>
                </c:pt>
                <c:pt idx="4611">
                  <c:v>39878</c:v>
                </c:pt>
                <c:pt idx="4612">
                  <c:v>39881</c:v>
                </c:pt>
                <c:pt idx="4613">
                  <c:v>39882</c:v>
                </c:pt>
                <c:pt idx="4614">
                  <c:v>39883</c:v>
                </c:pt>
                <c:pt idx="4615">
                  <c:v>39884</c:v>
                </c:pt>
                <c:pt idx="4616">
                  <c:v>39885</c:v>
                </c:pt>
                <c:pt idx="4617">
                  <c:v>39888</c:v>
                </c:pt>
                <c:pt idx="4618">
                  <c:v>39889</c:v>
                </c:pt>
                <c:pt idx="4619">
                  <c:v>39890</c:v>
                </c:pt>
                <c:pt idx="4620">
                  <c:v>39891</c:v>
                </c:pt>
                <c:pt idx="4621">
                  <c:v>39892</c:v>
                </c:pt>
                <c:pt idx="4622">
                  <c:v>39895</c:v>
                </c:pt>
                <c:pt idx="4623">
                  <c:v>39896</c:v>
                </c:pt>
                <c:pt idx="4624">
                  <c:v>39897</c:v>
                </c:pt>
                <c:pt idx="4625">
                  <c:v>39898</c:v>
                </c:pt>
                <c:pt idx="4626">
                  <c:v>39899</c:v>
                </c:pt>
                <c:pt idx="4627">
                  <c:v>39902</c:v>
                </c:pt>
                <c:pt idx="4628">
                  <c:v>39903</c:v>
                </c:pt>
                <c:pt idx="4629">
                  <c:v>39904</c:v>
                </c:pt>
                <c:pt idx="4630">
                  <c:v>39905</c:v>
                </c:pt>
                <c:pt idx="4631">
                  <c:v>39906</c:v>
                </c:pt>
                <c:pt idx="4632">
                  <c:v>39909</c:v>
                </c:pt>
                <c:pt idx="4633">
                  <c:v>39910</c:v>
                </c:pt>
                <c:pt idx="4634">
                  <c:v>39911</c:v>
                </c:pt>
                <c:pt idx="4635">
                  <c:v>39912</c:v>
                </c:pt>
                <c:pt idx="4636">
                  <c:v>39916</c:v>
                </c:pt>
                <c:pt idx="4637">
                  <c:v>39917</c:v>
                </c:pt>
                <c:pt idx="4638">
                  <c:v>39918</c:v>
                </c:pt>
                <c:pt idx="4639">
                  <c:v>39919</c:v>
                </c:pt>
                <c:pt idx="4640">
                  <c:v>39920</c:v>
                </c:pt>
                <c:pt idx="4641">
                  <c:v>39923</c:v>
                </c:pt>
                <c:pt idx="4642">
                  <c:v>39924</c:v>
                </c:pt>
                <c:pt idx="4643">
                  <c:v>39925</c:v>
                </c:pt>
                <c:pt idx="4644">
                  <c:v>39926</c:v>
                </c:pt>
                <c:pt idx="4645">
                  <c:v>39927</c:v>
                </c:pt>
                <c:pt idx="4646">
                  <c:v>39930</c:v>
                </c:pt>
                <c:pt idx="4647">
                  <c:v>39931</c:v>
                </c:pt>
                <c:pt idx="4648">
                  <c:v>39932</c:v>
                </c:pt>
                <c:pt idx="4649">
                  <c:v>39933</c:v>
                </c:pt>
                <c:pt idx="4650">
                  <c:v>39934</c:v>
                </c:pt>
                <c:pt idx="4651">
                  <c:v>39937</c:v>
                </c:pt>
                <c:pt idx="4652">
                  <c:v>39938</c:v>
                </c:pt>
                <c:pt idx="4653">
                  <c:v>39939</c:v>
                </c:pt>
                <c:pt idx="4654">
                  <c:v>39940</c:v>
                </c:pt>
                <c:pt idx="4655">
                  <c:v>39941</c:v>
                </c:pt>
                <c:pt idx="4656">
                  <c:v>39944</c:v>
                </c:pt>
                <c:pt idx="4657">
                  <c:v>39945</c:v>
                </c:pt>
                <c:pt idx="4658">
                  <c:v>39946</c:v>
                </c:pt>
                <c:pt idx="4659">
                  <c:v>39947</c:v>
                </c:pt>
                <c:pt idx="4660">
                  <c:v>39948</c:v>
                </c:pt>
                <c:pt idx="4661">
                  <c:v>39951</c:v>
                </c:pt>
                <c:pt idx="4662">
                  <c:v>39952</c:v>
                </c:pt>
                <c:pt idx="4663">
                  <c:v>39953</c:v>
                </c:pt>
                <c:pt idx="4664">
                  <c:v>39954</c:v>
                </c:pt>
                <c:pt idx="4665">
                  <c:v>39955</c:v>
                </c:pt>
                <c:pt idx="4666">
                  <c:v>39958</c:v>
                </c:pt>
                <c:pt idx="4667">
                  <c:v>39959</c:v>
                </c:pt>
                <c:pt idx="4668">
                  <c:v>39960</c:v>
                </c:pt>
                <c:pt idx="4669">
                  <c:v>39961</c:v>
                </c:pt>
                <c:pt idx="4670">
                  <c:v>39962</c:v>
                </c:pt>
                <c:pt idx="4671">
                  <c:v>39965</c:v>
                </c:pt>
                <c:pt idx="4672">
                  <c:v>39966</c:v>
                </c:pt>
                <c:pt idx="4673">
                  <c:v>39967</c:v>
                </c:pt>
                <c:pt idx="4674">
                  <c:v>39968</c:v>
                </c:pt>
                <c:pt idx="4675">
                  <c:v>39969</c:v>
                </c:pt>
                <c:pt idx="4676">
                  <c:v>39972</c:v>
                </c:pt>
                <c:pt idx="4677">
                  <c:v>39973</c:v>
                </c:pt>
                <c:pt idx="4678">
                  <c:v>39974</c:v>
                </c:pt>
                <c:pt idx="4679">
                  <c:v>39975</c:v>
                </c:pt>
                <c:pt idx="4680">
                  <c:v>39976</c:v>
                </c:pt>
                <c:pt idx="4681">
                  <c:v>39979</c:v>
                </c:pt>
                <c:pt idx="4682">
                  <c:v>39980</c:v>
                </c:pt>
                <c:pt idx="4683">
                  <c:v>39981</c:v>
                </c:pt>
                <c:pt idx="4684">
                  <c:v>39982</c:v>
                </c:pt>
                <c:pt idx="4685">
                  <c:v>39983</c:v>
                </c:pt>
                <c:pt idx="4686">
                  <c:v>39986</c:v>
                </c:pt>
                <c:pt idx="4687">
                  <c:v>39987</c:v>
                </c:pt>
                <c:pt idx="4688">
                  <c:v>39988</c:v>
                </c:pt>
                <c:pt idx="4689">
                  <c:v>39989</c:v>
                </c:pt>
                <c:pt idx="4690">
                  <c:v>39990</c:v>
                </c:pt>
                <c:pt idx="4691">
                  <c:v>39993</c:v>
                </c:pt>
                <c:pt idx="4692">
                  <c:v>39994</c:v>
                </c:pt>
                <c:pt idx="4693">
                  <c:v>39995</c:v>
                </c:pt>
                <c:pt idx="4694">
                  <c:v>39996</c:v>
                </c:pt>
                <c:pt idx="4695">
                  <c:v>39997</c:v>
                </c:pt>
                <c:pt idx="4696">
                  <c:v>40000</c:v>
                </c:pt>
                <c:pt idx="4697">
                  <c:v>40001</c:v>
                </c:pt>
                <c:pt idx="4698">
                  <c:v>40002</c:v>
                </c:pt>
                <c:pt idx="4699">
                  <c:v>40003</c:v>
                </c:pt>
                <c:pt idx="4700">
                  <c:v>40004</c:v>
                </c:pt>
                <c:pt idx="4701">
                  <c:v>40007</c:v>
                </c:pt>
                <c:pt idx="4702">
                  <c:v>40008</c:v>
                </c:pt>
                <c:pt idx="4703">
                  <c:v>40009</c:v>
                </c:pt>
                <c:pt idx="4704">
                  <c:v>40010</c:v>
                </c:pt>
                <c:pt idx="4705">
                  <c:v>40011</c:v>
                </c:pt>
                <c:pt idx="4706">
                  <c:v>40014</c:v>
                </c:pt>
                <c:pt idx="4707">
                  <c:v>40015</c:v>
                </c:pt>
                <c:pt idx="4708">
                  <c:v>40016</c:v>
                </c:pt>
                <c:pt idx="4709">
                  <c:v>40017</c:v>
                </c:pt>
                <c:pt idx="4710">
                  <c:v>40018</c:v>
                </c:pt>
                <c:pt idx="4711">
                  <c:v>40021</c:v>
                </c:pt>
                <c:pt idx="4712">
                  <c:v>40022</c:v>
                </c:pt>
                <c:pt idx="4713">
                  <c:v>40023</c:v>
                </c:pt>
                <c:pt idx="4714">
                  <c:v>40024</c:v>
                </c:pt>
                <c:pt idx="4715">
                  <c:v>40025</c:v>
                </c:pt>
                <c:pt idx="4716">
                  <c:v>40028</c:v>
                </c:pt>
                <c:pt idx="4717">
                  <c:v>40029</c:v>
                </c:pt>
                <c:pt idx="4718">
                  <c:v>40030</c:v>
                </c:pt>
                <c:pt idx="4719">
                  <c:v>40031</c:v>
                </c:pt>
                <c:pt idx="4720">
                  <c:v>40032</c:v>
                </c:pt>
                <c:pt idx="4721">
                  <c:v>40035</c:v>
                </c:pt>
                <c:pt idx="4722">
                  <c:v>40036</c:v>
                </c:pt>
                <c:pt idx="4723">
                  <c:v>40037</c:v>
                </c:pt>
                <c:pt idx="4724">
                  <c:v>40038</c:v>
                </c:pt>
                <c:pt idx="4725">
                  <c:v>40039</c:v>
                </c:pt>
                <c:pt idx="4726">
                  <c:v>40042</c:v>
                </c:pt>
                <c:pt idx="4727">
                  <c:v>40043</c:v>
                </c:pt>
                <c:pt idx="4728">
                  <c:v>40044</c:v>
                </c:pt>
                <c:pt idx="4729">
                  <c:v>40045</c:v>
                </c:pt>
                <c:pt idx="4730">
                  <c:v>40046</c:v>
                </c:pt>
                <c:pt idx="4731">
                  <c:v>40049</c:v>
                </c:pt>
                <c:pt idx="4732">
                  <c:v>40050</c:v>
                </c:pt>
                <c:pt idx="4733">
                  <c:v>40051</c:v>
                </c:pt>
                <c:pt idx="4734">
                  <c:v>40052</c:v>
                </c:pt>
                <c:pt idx="4735">
                  <c:v>40053</c:v>
                </c:pt>
                <c:pt idx="4736">
                  <c:v>40056</c:v>
                </c:pt>
                <c:pt idx="4737">
                  <c:v>40057</c:v>
                </c:pt>
                <c:pt idx="4738">
                  <c:v>40058</c:v>
                </c:pt>
                <c:pt idx="4739">
                  <c:v>40059</c:v>
                </c:pt>
                <c:pt idx="4740">
                  <c:v>40060</c:v>
                </c:pt>
                <c:pt idx="4741">
                  <c:v>40063</c:v>
                </c:pt>
                <c:pt idx="4742">
                  <c:v>40064</c:v>
                </c:pt>
                <c:pt idx="4743">
                  <c:v>40065</c:v>
                </c:pt>
                <c:pt idx="4744">
                  <c:v>40066</c:v>
                </c:pt>
                <c:pt idx="4745">
                  <c:v>40067</c:v>
                </c:pt>
                <c:pt idx="4746">
                  <c:v>40070</c:v>
                </c:pt>
                <c:pt idx="4747">
                  <c:v>40071</c:v>
                </c:pt>
                <c:pt idx="4748">
                  <c:v>40072</c:v>
                </c:pt>
                <c:pt idx="4749">
                  <c:v>40073</c:v>
                </c:pt>
                <c:pt idx="4750">
                  <c:v>40074</c:v>
                </c:pt>
                <c:pt idx="4751">
                  <c:v>40077</c:v>
                </c:pt>
                <c:pt idx="4752">
                  <c:v>40078</c:v>
                </c:pt>
                <c:pt idx="4753">
                  <c:v>40079</c:v>
                </c:pt>
                <c:pt idx="4754">
                  <c:v>40080</c:v>
                </c:pt>
                <c:pt idx="4755">
                  <c:v>40081</c:v>
                </c:pt>
                <c:pt idx="4756">
                  <c:v>40084</c:v>
                </c:pt>
                <c:pt idx="4757">
                  <c:v>40085</c:v>
                </c:pt>
                <c:pt idx="4758">
                  <c:v>40086</c:v>
                </c:pt>
                <c:pt idx="4759">
                  <c:v>40087</c:v>
                </c:pt>
                <c:pt idx="4760">
                  <c:v>40088</c:v>
                </c:pt>
                <c:pt idx="4761">
                  <c:v>40091</c:v>
                </c:pt>
                <c:pt idx="4762">
                  <c:v>40092</c:v>
                </c:pt>
                <c:pt idx="4763">
                  <c:v>40093</c:v>
                </c:pt>
                <c:pt idx="4764">
                  <c:v>40094</c:v>
                </c:pt>
                <c:pt idx="4765">
                  <c:v>40095</c:v>
                </c:pt>
                <c:pt idx="4766">
                  <c:v>40098</c:v>
                </c:pt>
                <c:pt idx="4767">
                  <c:v>40099</c:v>
                </c:pt>
                <c:pt idx="4768">
                  <c:v>40100</c:v>
                </c:pt>
                <c:pt idx="4769">
                  <c:v>40101</c:v>
                </c:pt>
                <c:pt idx="4770">
                  <c:v>40102</c:v>
                </c:pt>
                <c:pt idx="4771">
                  <c:v>40105</c:v>
                </c:pt>
                <c:pt idx="4772">
                  <c:v>40106</c:v>
                </c:pt>
                <c:pt idx="4773">
                  <c:v>40107</c:v>
                </c:pt>
                <c:pt idx="4774">
                  <c:v>40108</c:v>
                </c:pt>
                <c:pt idx="4775">
                  <c:v>40109</c:v>
                </c:pt>
                <c:pt idx="4776">
                  <c:v>40112</c:v>
                </c:pt>
                <c:pt idx="4777">
                  <c:v>40113</c:v>
                </c:pt>
                <c:pt idx="4778">
                  <c:v>40114</c:v>
                </c:pt>
                <c:pt idx="4779">
                  <c:v>40115</c:v>
                </c:pt>
                <c:pt idx="4780">
                  <c:v>40116</c:v>
                </c:pt>
                <c:pt idx="4781">
                  <c:v>40119</c:v>
                </c:pt>
                <c:pt idx="4782">
                  <c:v>40120</c:v>
                </c:pt>
                <c:pt idx="4783">
                  <c:v>40121</c:v>
                </c:pt>
                <c:pt idx="4784">
                  <c:v>40122</c:v>
                </c:pt>
                <c:pt idx="4785">
                  <c:v>40123</c:v>
                </c:pt>
                <c:pt idx="4786">
                  <c:v>40126</c:v>
                </c:pt>
                <c:pt idx="4787">
                  <c:v>40127</c:v>
                </c:pt>
                <c:pt idx="4788">
                  <c:v>40128</c:v>
                </c:pt>
                <c:pt idx="4789">
                  <c:v>40129</c:v>
                </c:pt>
                <c:pt idx="4790">
                  <c:v>40130</c:v>
                </c:pt>
                <c:pt idx="4791">
                  <c:v>40133</c:v>
                </c:pt>
                <c:pt idx="4792">
                  <c:v>40134</c:v>
                </c:pt>
                <c:pt idx="4793">
                  <c:v>40135</c:v>
                </c:pt>
                <c:pt idx="4794">
                  <c:v>40136</c:v>
                </c:pt>
                <c:pt idx="4795">
                  <c:v>40137</c:v>
                </c:pt>
                <c:pt idx="4796">
                  <c:v>40140</c:v>
                </c:pt>
                <c:pt idx="4797">
                  <c:v>40141</c:v>
                </c:pt>
                <c:pt idx="4798">
                  <c:v>40142</c:v>
                </c:pt>
                <c:pt idx="4799">
                  <c:v>40143</c:v>
                </c:pt>
                <c:pt idx="4800">
                  <c:v>40144</c:v>
                </c:pt>
                <c:pt idx="4801">
                  <c:v>40147</c:v>
                </c:pt>
                <c:pt idx="4802">
                  <c:v>40148</c:v>
                </c:pt>
                <c:pt idx="4803">
                  <c:v>40149</c:v>
                </c:pt>
                <c:pt idx="4804">
                  <c:v>40150</c:v>
                </c:pt>
                <c:pt idx="4805">
                  <c:v>40151</c:v>
                </c:pt>
                <c:pt idx="4806">
                  <c:v>40154</c:v>
                </c:pt>
                <c:pt idx="4807">
                  <c:v>40155</c:v>
                </c:pt>
                <c:pt idx="4808">
                  <c:v>40156</c:v>
                </c:pt>
                <c:pt idx="4809">
                  <c:v>40157</c:v>
                </c:pt>
                <c:pt idx="4810">
                  <c:v>40158</c:v>
                </c:pt>
                <c:pt idx="4811">
                  <c:v>40161</c:v>
                </c:pt>
                <c:pt idx="4812">
                  <c:v>40162</c:v>
                </c:pt>
                <c:pt idx="4813">
                  <c:v>40163</c:v>
                </c:pt>
                <c:pt idx="4814">
                  <c:v>40164</c:v>
                </c:pt>
                <c:pt idx="4815">
                  <c:v>40165</c:v>
                </c:pt>
                <c:pt idx="4816">
                  <c:v>40168</c:v>
                </c:pt>
                <c:pt idx="4817">
                  <c:v>40169</c:v>
                </c:pt>
                <c:pt idx="4818">
                  <c:v>40170</c:v>
                </c:pt>
                <c:pt idx="4819">
                  <c:v>40175</c:v>
                </c:pt>
                <c:pt idx="4820">
                  <c:v>40176</c:v>
                </c:pt>
                <c:pt idx="4821">
                  <c:v>40177</c:v>
                </c:pt>
                <c:pt idx="4822">
                  <c:v>40182</c:v>
                </c:pt>
                <c:pt idx="4823">
                  <c:v>40183</c:v>
                </c:pt>
                <c:pt idx="4824">
                  <c:v>40184</c:v>
                </c:pt>
                <c:pt idx="4825">
                  <c:v>40185</c:v>
                </c:pt>
                <c:pt idx="4826">
                  <c:v>40186</c:v>
                </c:pt>
                <c:pt idx="4827">
                  <c:v>40189</c:v>
                </c:pt>
                <c:pt idx="4828">
                  <c:v>40190</c:v>
                </c:pt>
                <c:pt idx="4829">
                  <c:v>40191</c:v>
                </c:pt>
                <c:pt idx="4830">
                  <c:v>40192</c:v>
                </c:pt>
                <c:pt idx="4831">
                  <c:v>40193</c:v>
                </c:pt>
                <c:pt idx="4832">
                  <c:v>40196</c:v>
                </c:pt>
                <c:pt idx="4833">
                  <c:v>40197</c:v>
                </c:pt>
                <c:pt idx="4834">
                  <c:v>40198</c:v>
                </c:pt>
                <c:pt idx="4835">
                  <c:v>40199</c:v>
                </c:pt>
                <c:pt idx="4836">
                  <c:v>40200</c:v>
                </c:pt>
                <c:pt idx="4837">
                  <c:v>40203</c:v>
                </c:pt>
                <c:pt idx="4838">
                  <c:v>40204</c:v>
                </c:pt>
                <c:pt idx="4839">
                  <c:v>40205</c:v>
                </c:pt>
                <c:pt idx="4840">
                  <c:v>40206</c:v>
                </c:pt>
                <c:pt idx="4841">
                  <c:v>40207</c:v>
                </c:pt>
                <c:pt idx="4842">
                  <c:v>40210</c:v>
                </c:pt>
                <c:pt idx="4843">
                  <c:v>40211</c:v>
                </c:pt>
                <c:pt idx="4844">
                  <c:v>40212</c:v>
                </c:pt>
                <c:pt idx="4845">
                  <c:v>40213</c:v>
                </c:pt>
                <c:pt idx="4846">
                  <c:v>40214</c:v>
                </c:pt>
                <c:pt idx="4847">
                  <c:v>40217</c:v>
                </c:pt>
                <c:pt idx="4848">
                  <c:v>40218</c:v>
                </c:pt>
                <c:pt idx="4849">
                  <c:v>40219</c:v>
                </c:pt>
                <c:pt idx="4850">
                  <c:v>40220</c:v>
                </c:pt>
                <c:pt idx="4851">
                  <c:v>40221</c:v>
                </c:pt>
                <c:pt idx="4852">
                  <c:v>40224</c:v>
                </c:pt>
                <c:pt idx="4853">
                  <c:v>40225</c:v>
                </c:pt>
                <c:pt idx="4854">
                  <c:v>40226</c:v>
                </c:pt>
                <c:pt idx="4855">
                  <c:v>40227</c:v>
                </c:pt>
                <c:pt idx="4856">
                  <c:v>40228</c:v>
                </c:pt>
                <c:pt idx="4857">
                  <c:v>40231</c:v>
                </c:pt>
                <c:pt idx="4858">
                  <c:v>40232</c:v>
                </c:pt>
                <c:pt idx="4859">
                  <c:v>40233</c:v>
                </c:pt>
                <c:pt idx="4860">
                  <c:v>40234</c:v>
                </c:pt>
                <c:pt idx="4861">
                  <c:v>40235</c:v>
                </c:pt>
                <c:pt idx="4862">
                  <c:v>40238</c:v>
                </c:pt>
                <c:pt idx="4863">
                  <c:v>40239</c:v>
                </c:pt>
                <c:pt idx="4864">
                  <c:v>40240</c:v>
                </c:pt>
                <c:pt idx="4865">
                  <c:v>40241</c:v>
                </c:pt>
                <c:pt idx="4866">
                  <c:v>40242</c:v>
                </c:pt>
                <c:pt idx="4867">
                  <c:v>40245</c:v>
                </c:pt>
                <c:pt idx="4868">
                  <c:v>40246</c:v>
                </c:pt>
                <c:pt idx="4869">
                  <c:v>40247</c:v>
                </c:pt>
                <c:pt idx="4870">
                  <c:v>40248</c:v>
                </c:pt>
                <c:pt idx="4871">
                  <c:v>40249</c:v>
                </c:pt>
                <c:pt idx="4872">
                  <c:v>40252</c:v>
                </c:pt>
                <c:pt idx="4873">
                  <c:v>40253</c:v>
                </c:pt>
                <c:pt idx="4874">
                  <c:v>40254</c:v>
                </c:pt>
                <c:pt idx="4875">
                  <c:v>40255</c:v>
                </c:pt>
                <c:pt idx="4876">
                  <c:v>40256</c:v>
                </c:pt>
                <c:pt idx="4877">
                  <c:v>40259</c:v>
                </c:pt>
                <c:pt idx="4878">
                  <c:v>40260</c:v>
                </c:pt>
                <c:pt idx="4879">
                  <c:v>40261</c:v>
                </c:pt>
                <c:pt idx="4880">
                  <c:v>40262</c:v>
                </c:pt>
                <c:pt idx="4881">
                  <c:v>40263</c:v>
                </c:pt>
                <c:pt idx="4882">
                  <c:v>40266</c:v>
                </c:pt>
                <c:pt idx="4883">
                  <c:v>40267</c:v>
                </c:pt>
                <c:pt idx="4884">
                  <c:v>40268</c:v>
                </c:pt>
                <c:pt idx="4885">
                  <c:v>40269</c:v>
                </c:pt>
                <c:pt idx="4886">
                  <c:v>40273</c:v>
                </c:pt>
                <c:pt idx="4887">
                  <c:v>40274</c:v>
                </c:pt>
                <c:pt idx="4888">
                  <c:v>40275</c:v>
                </c:pt>
                <c:pt idx="4889">
                  <c:v>40276</c:v>
                </c:pt>
                <c:pt idx="4890">
                  <c:v>40277</c:v>
                </c:pt>
                <c:pt idx="4891">
                  <c:v>40280</c:v>
                </c:pt>
                <c:pt idx="4892">
                  <c:v>40281</c:v>
                </c:pt>
                <c:pt idx="4893">
                  <c:v>40282</c:v>
                </c:pt>
                <c:pt idx="4894">
                  <c:v>40283</c:v>
                </c:pt>
                <c:pt idx="4895">
                  <c:v>40284</c:v>
                </c:pt>
                <c:pt idx="4896">
                  <c:v>40287</c:v>
                </c:pt>
                <c:pt idx="4897">
                  <c:v>40288</c:v>
                </c:pt>
                <c:pt idx="4898">
                  <c:v>40289</c:v>
                </c:pt>
                <c:pt idx="4899">
                  <c:v>40290</c:v>
                </c:pt>
                <c:pt idx="4900">
                  <c:v>40291</c:v>
                </c:pt>
                <c:pt idx="4901">
                  <c:v>40294</c:v>
                </c:pt>
              </c:numCache>
            </c:numRef>
          </c:cat>
          <c:val>
            <c:numRef>
              <c:f>'Aufgabe 4'!$C$54:$C$4955</c:f>
              <c:numCache>
                <c:formatCode>General</c:formatCode>
                <c:ptCount val="4902"/>
                <c:pt idx="0">
                  <c:v>1443.2</c:v>
                </c:pt>
                <c:pt idx="1">
                  <c:v>1415.3</c:v>
                </c:pt>
                <c:pt idx="2">
                  <c:v>1420.6</c:v>
                </c:pt>
                <c:pt idx="3">
                  <c:v>1418.9</c:v>
                </c:pt>
                <c:pt idx="4">
                  <c:v>1441.2</c:v>
                </c:pt>
                <c:pt idx="5">
                  <c:v>1462.6</c:v>
                </c:pt>
                <c:pt idx="6">
                  <c:v>1446.3</c:v>
                </c:pt>
                <c:pt idx="7">
                  <c:v>1471</c:v>
                </c:pt>
                <c:pt idx="8">
                  <c:v>1504.7</c:v>
                </c:pt>
                <c:pt idx="9">
                  <c:v>1512.8</c:v>
                </c:pt>
                <c:pt idx="10">
                  <c:v>1504.8</c:v>
                </c:pt>
                <c:pt idx="11">
                  <c:v>1492.7</c:v>
                </c:pt>
                <c:pt idx="12">
                  <c:v>1517.2</c:v>
                </c:pt>
                <c:pt idx="13">
                  <c:v>1517.8</c:v>
                </c:pt>
                <c:pt idx="14">
                  <c:v>1522.4</c:v>
                </c:pt>
                <c:pt idx="15">
                  <c:v>1475.9</c:v>
                </c:pt>
                <c:pt idx="16">
                  <c:v>1477.4</c:v>
                </c:pt>
                <c:pt idx="17">
                  <c:v>1457.2</c:v>
                </c:pt>
                <c:pt idx="18">
                  <c:v>1409.3</c:v>
                </c:pt>
                <c:pt idx="19">
                  <c:v>1414.9</c:v>
                </c:pt>
                <c:pt idx="20">
                  <c:v>1410.9</c:v>
                </c:pt>
                <c:pt idx="21">
                  <c:v>1398.2</c:v>
                </c:pt>
                <c:pt idx="22">
                  <c:v>1366.1</c:v>
                </c:pt>
                <c:pt idx="23">
                  <c:v>1366.7</c:v>
                </c:pt>
                <c:pt idx="24">
                  <c:v>1396.1</c:v>
                </c:pt>
                <c:pt idx="25">
                  <c:v>1358.2</c:v>
                </c:pt>
                <c:pt idx="26">
                  <c:v>1354</c:v>
                </c:pt>
                <c:pt idx="27">
                  <c:v>1375.2</c:v>
                </c:pt>
                <c:pt idx="28">
                  <c:v>1383.4</c:v>
                </c:pt>
                <c:pt idx="29">
                  <c:v>1382.3</c:v>
                </c:pt>
                <c:pt idx="30">
                  <c:v>1327.8</c:v>
                </c:pt>
                <c:pt idx="31">
                  <c:v>1325.6</c:v>
                </c:pt>
                <c:pt idx="32">
                  <c:v>1322.7</c:v>
                </c:pt>
                <c:pt idx="33">
                  <c:v>1422.7</c:v>
                </c:pt>
                <c:pt idx="34">
                  <c:v>1405.1</c:v>
                </c:pt>
                <c:pt idx="35">
                  <c:v>1390.2</c:v>
                </c:pt>
                <c:pt idx="36">
                  <c:v>1375.1</c:v>
                </c:pt>
                <c:pt idx="37">
                  <c:v>1358.8</c:v>
                </c:pt>
                <c:pt idx="38">
                  <c:v>1375.2</c:v>
                </c:pt>
                <c:pt idx="39">
                  <c:v>1382.1</c:v>
                </c:pt>
                <c:pt idx="40">
                  <c:v>1382.7</c:v>
                </c:pt>
                <c:pt idx="41">
                  <c:v>1380.3</c:v>
                </c:pt>
                <c:pt idx="42">
                  <c:v>1400.7</c:v>
                </c:pt>
                <c:pt idx="43">
                  <c:v>1420.1</c:v>
                </c:pt>
                <c:pt idx="44">
                  <c:v>1426.5</c:v>
                </c:pt>
                <c:pt idx="45">
                  <c:v>1435</c:v>
                </c:pt>
                <c:pt idx="46">
                  <c:v>1438.9</c:v>
                </c:pt>
                <c:pt idx="47">
                  <c:v>1428.7</c:v>
                </c:pt>
                <c:pt idx="48">
                  <c:v>1436.3</c:v>
                </c:pt>
                <c:pt idx="49">
                  <c:v>1467.8</c:v>
                </c:pt>
                <c:pt idx="50">
                  <c:v>1488.7</c:v>
                </c:pt>
                <c:pt idx="51">
                  <c:v>1468.9</c:v>
                </c:pt>
                <c:pt idx="52">
                  <c:v>1489.4</c:v>
                </c:pt>
                <c:pt idx="53">
                  <c:v>1486.5</c:v>
                </c:pt>
                <c:pt idx="54">
                  <c:v>1531.2</c:v>
                </c:pt>
                <c:pt idx="55">
                  <c:v>1572.6</c:v>
                </c:pt>
                <c:pt idx="56">
                  <c:v>1587.1</c:v>
                </c:pt>
                <c:pt idx="57">
                  <c:v>1567.3</c:v>
                </c:pt>
                <c:pt idx="58">
                  <c:v>1566.3</c:v>
                </c:pt>
                <c:pt idx="59">
                  <c:v>1582.5</c:v>
                </c:pt>
                <c:pt idx="60">
                  <c:v>1601.2</c:v>
                </c:pt>
                <c:pt idx="61">
                  <c:v>1558.2</c:v>
                </c:pt>
                <c:pt idx="62">
                  <c:v>1565.5</c:v>
                </c:pt>
                <c:pt idx="63">
                  <c:v>1542.1</c:v>
                </c:pt>
                <c:pt idx="64">
                  <c:v>1516.7</c:v>
                </c:pt>
                <c:pt idx="65">
                  <c:v>1530.9</c:v>
                </c:pt>
                <c:pt idx="66">
                  <c:v>1540.3</c:v>
                </c:pt>
                <c:pt idx="67">
                  <c:v>1594.3</c:v>
                </c:pt>
                <c:pt idx="68">
                  <c:v>1580.5</c:v>
                </c:pt>
                <c:pt idx="69">
                  <c:v>1580.5</c:v>
                </c:pt>
                <c:pt idx="70">
                  <c:v>1565.8</c:v>
                </c:pt>
                <c:pt idx="71">
                  <c:v>1571.6</c:v>
                </c:pt>
                <c:pt idx="72">
                  <c:v>1542.2</c:v>
                </c:pt>
                <c:pt idx="73">
                  <c:v>1576.6</c:v>
                </c:pt>
                <c:pt idx="74">
                  <c:v>1570.6</c:v>
                </c:pt>
                <c:pt idx="75">
                  <c:v>1552.9</c:v>
                </c:pt>
                <c:pt idx="76">
                  <c:v>1546.5</c:v>
                </c:pt>
                <c:pt idx="77">
                  <c:v>1517.9</c:v>
                </c:pt>
                <c:pt idx="78">
                  <c:v>1519.6</c:v>
                </c:pt>
                <c:pt idx="79">
                  <c:v>1520.3</c:v>
                </c:pt>
                <c:pt idx="80">
                  <c:v>1515.5</c:v>
                </c:pt>
                <c:pt idx="81">
                  <c:v>1498.4</c:v>
                </c:pt>
                <c:pt idx="82">
                  <c:v>1508.8</c:v>
                </c:pt>
                <c:pt idx="83">
                  <c:v>1522.8</c:v>
                </c:pt>
                <c:pt idx="84">
                  <c:v>1538.6</c:v>
                </c:pt>
                <c:pt idx="85">
                  <c:v>1577.5</c:v>
                </c:pt>
                <c:pt idx="86">
                  <c:v>1572</c:v>
                </c:pt>
                <c:pt idx="87">
                  <c:v>1586.9</c:v>
                </c:pt>
                <c:pt idx="88">
                  <c:v>1580</c:v>
                </c:pt>
                <c:pt idx="89">
                  <c:v>1582.1</c:v>
                </c:pt>
                <c:pt idx="90">
                  <c:v>1561.9</c:v>
                </c:pt>
                <c:pt idx="91">
                  <c:v>1565.4</c:v>
                </c:pt>
                <c:pt idx="92">
                  <c:v>1583.1</c:v>
                </c:pt>
                <c:pt idx="93">
                  <c:v>1601.4</c:v>
                </c:pt>
                <c:pt idx="94">
                  <c:v>1603.4</c:v>
                </c:pt>
                <c:pt idx="95">
                  <c:v>1623.8</c:v>
                </c:pt>
                <c:pt idx="96">
                  <c:v>1613.8</c:v>
                </c:pt>
                <c:pt idx="97">
                  <c:v>1599.4</c:v>
                </c:pt>
                <c:pt idx="98">
                  <c:v>1571.9</c:v>
                </c:pt>
                <c:pt idx="99">
                  <c:v>1597.1</c:v>
                </c:pt>
                <c:pt idx="100">
                  <c:v>1603.7</c:v>
                </c:pt>
                <c:pt idx="101">
                  <c:v>1620.5</c:v>
                </c:pt>
                <c:pt idx="102">
                  <c:v>1623.8</c:v>
                </c:pt>
                <c:pt idx="103">
                  <c:v>1620.3</c:v>
                </c:pt>
                <c:pt idx="104">
                  <c:v>1605.8</c:v>
                </c:pt>
                <c:pt idx="105">
                  <c:v>1630</c:v>
                </c:pt>
                <c:pt idx="106">
                  <c:v>1631.8</c:v>
                </c:pt>
                <c:pt idx="107">
                  <c:v>1624</c:v>
                </c:pt>
                <c:pt idx="108">
                  <c:v>1627.5</c:v>
                </c:pt>
                <c:pt idx="109">
                  <c:v>1607.3</c:v>
                </c:pt>
                <c:pt idx="110">
                  <c:v>1620.6</c:v>
                </c:pt>
                <c:pt idx="111">
                  <c:v>1610.9</c:v>
                </c:pt>
                <c:pt idx="112">
                  <c:v>1598.5</c:v>
                </c:pt>
                <c:pt idx="113">
                  <c:v>1590.4</c:v>
                </c:pt>
                <c:pt idx="114">
                  <c:v>1598.1</c:v>
                </c:pt>
                <c:pt idx="115">
                  <c:v>1598.9</c:v>
                </c:pt>
                <c:pt idx="116">
                  <c:v>1617.4</c:v>
                </c:pt>
                <c:pt idx="117">
                  <c:v>1647.7</c:v>
                </c:pt>
                <c:pt idx="118">
                  <c:v>1652.7</c:v>
                </c:pt>
                <c:pt idx="119">
                  <c:v>1671.9</c:v>
                </c:pt>
                <c:pt idx="120">
                  <c:v>1681.5</c:v>
                </c:pt>
                <c:pt idx="121">
                  <c:v>1682.1</c:v>
                </c:pt>
                <c:pt idx="122">
                  <c:v>1681.5</c:v>
                </c:pt>
                <c:pt idx="123">
                  <c:v>1704.1</c:v>
                </c:pt>
                <c:pt idx="124">
                  <c:v>1694.1</c:v>
                </c:pt>
                <c:pt idx="125">
                  <c:v>1685.4</c:v>
                </c:pt>
                <c:pt idx="126">
                  <c:v>1712.8</c:v>
                </c:pt>
                <c:pt idx="127">
                  <c:v>1704.2</c:v>
                </c:pt>
                <c:pt idx="128">
                  <c:v>1709.6</c:v>
                </c:pt>
                <c:pt idx="129">
                  <c:v>1704.9</c:v>
                </c:pt>
                <c:pt idx="130">
                  <c:v>1715.2</c:v>
                </c:pt>
                <c:pt idx="131">
                  <c:v>1700.8</c:v>
                </c:pt>
                <c:pt idx="132">
                  <c:v>1692.6</c:v>
                </c:pt>
                <c:pt idx="133">
                  <c:v>1699.8</c:v>
                </c:pt>
                <c:pt idx="134">
                  <c:v>1701.1</c:v>
                </c:pt>
                <c:pt idx="135">
                  <c:v>1695.4</c:v>
                </c:pt>
                <c:pt idx="136">
                  <c:v>1683</c:v>
                </c:pt>
                <c:pt idx="137">
                  <c:v>1687</c:v>
                </c:pt>
                <c:pt idx="138">
                  <c:v>1711.9</c:v>
                </c:pt>
                <c:pt idx="139">
                  <c:v>1691.6</c:v>
                </c:pt>
                <c:pt idx="140">
                  <c:v>1691.5</c:v>
                </c:pt>
                <c:pt idx="141">
                  <c:v>1672.1</c:v>
                </c:pt>
                <c:pt idx="142">
                  <c:v>1666.1</c:v>
                </c:pt>
                <c:pt idx="143">
                  <c:v>1622.2</c:v>
                </c:pt>
                <c:pt idx="144">
                  <c:v>1625.2</c:v>
                </c:pt>
                <c:pt idx="145">
                  <c:v>1610.5</c:v>
                </c:pt>
                <c:pt idx="146">
                  <c:v>1614.4</c:v>
                </c:pt>
                <c:pt idx="147">
                  <c:v>1616.1</c:v>
                </c:pt>
                <c:pt idx="148">
                  <c:v>1618.9</c:v>
                </c:pt>
                <c:pt idx="149">
                  <c:v>1605</c:v>
                </c:pt>
                <c:pt idx="150">
                  <c:v>1627.6</c:v>
                </c:pt>
                <c:pt idx="151">
                  <c:v>1634.7</c:v>
                </c:pt>
                <c:pt idx="152">
                  <c:v>1637.9</c:v>
                </c:pt>
                <c:pt idx="153">
                  <c:v>1644.8</c:v>
                </c:pt>
                <c:pt idx="154">
                  <c:v>1646.6</c:v>
                </c:pt>
                <c:pt idx="155">
                  <c:v>1643.9</c:v>
                </c:pt>
                <c:pt idx="156">
                  <c:v>1625.5</c:v>
                </c:pt>
                <c:pt idx="157">
                  <c:v>1618.3</c:v>
                </c:pt>
                <c:pt idx="158">
                  <c:v>1624</c:v>
                </c:pt>
                <c:pt idx="159">
                  <c:v>1623</c:v>
                </c:pt>
                <c:pt idx="160">
                  <c:v>1632.9</c:v>
                </c:pt>
                <c:pt idx="161">
                  <c:v>1621.7</c:v>
                </c:pt>
                <c:pt idx="162">
                  <c:v>1615.4</c:v>
                </c:pt>
                <c:pt idx="163">
                  <c:v>1605.6</c:v>
                </c:pt>
                <c:pt idx="164">
                  <c:v>1605.6</c:v>
                </c:pt>
                <c:pt idx="165">
                  <c:v>1614.9</c:v>
                </c:pt>
                <c:pt idx="166">
                  <c:v>1622.3</c:v>
                </c:pt>
                <c:pt idx="167">
                  <c:v>1622.6</c:v>
                </c:pt>
                <c:pt idx="168">
                  <c:v>1615.4</c:v>
                </c:pt>
                <c:pt idx="169">
                  <c:v>1622</c:v>
                </c:pt>
                <c:pt idx="170">
                  <c:v>1611.9</c:v>
                </c:pt>
                <c:pt idx="171">
                  <c:v>1631.4</c:v>
                </c:pt>
                <c:pt idx="172">
                  <c:v>1630.2</c:v>
                </c:pt>
                <c:pt idx="173">
                  <c:v>1632.2</c:v>
                </c:pt>
                <c:pt idx="174">
                  <c:v>1626.1</c:v>
                </c:pt>
                <c:pt idx="175">
                  <c:v>1644.7</c:v>
                </c:pt>
                <c:pt idx="176">
                  <c:v>1650.2</c:v>
                </c:pt>
                <c:pt idx="177">
                  <c:v>1654.3</c:v>
                </c:pt>
                <c:pt idx="178">
                  <c:v>1653.3</c:v>
                </c:pt>
                <c:pt idx="179">
                  <c:v>1497.9</c:v>
                </c:pt>
                <c:pt idx="180">
                  <c:v>1526.9</c:v>
                </c:pt>
                <c:pt idx="181">
                  <c:v>1570.8</c:v>
                </c:pt>
                <c:pt idx="182">
                  <c:v>1630.8</c:v>
                </c:pt>
                <c:pt idx="183">
                  <c:v>1627.2</c:v>
                </c:pt>
                <c:pt idx="184">
                  <c:v>1654.2</c:v>
                </c:pt>
                <c:pt idx="185">
                  <c:v>1647.1</c:v>
                </c:pt>
                <c:pt idx="186">
                  <c:v>1647.5</c:v>
                </c:pt>
                <c:pt idx="187">
                  <c:v>1655.5</c:v>
                </c:pt>
                <c:pt idx="188">
                  <c:v>1650.5</c:v>
                </c:pt>
                <c:pt idx="189">
                  <c:v>1650.5</c:v>
                </c:pt>
                <c:pt idx="190">
                  <c:v>1655.6</c:v>
                </c:pt>
                <c:pt idx="191">
                  <c:v>1647.9</c:v>
                </c:pt>
                <c:pt idx="192">
                  <c:v>1647.2</c:v>
                </c:pt>
                <c:pt idx="193">
                  <c:v>1646.2</c:v>
                </c:pt>
                <c:pt idx="194">
                  <c:v>1633.1</c:v>
                </c:pt>
                <c:pt idx="195">
                  <c:v>1629.1</c:v>
                </c:pt>
                <c:pt idx="196">
                  <c:v>1628.2</c:v>
                </c:pt>
                <c:pt idx="197">
                  <c:v>1631.3</c:v>
                </c:pt>
                <c:pt idx="198">
                  <c:v>1637.6</c:v>
                </c:pt>
                <c:pt idx="199">
                  <c:v>1629.8</c:v>
                </c:pt>
                <c:pt idx="200">
                  <c:v>1634.6</c:v>
                </c:pt>
                <c:pt idx="201">
                  <c:v>1628.1</c:v>
                </c:pt>
                <c:pt idx="202">
                  <c:v>1620.7</c:v>
                </c:pt>
                <c:pt idx="203">
                  <c:v>1616.1</c:v>
                </c:pt>
                <c:pt idx="204">
                  <c:v>1614.2</c:v>
                </c:pt>
                <c:pt idx="205">
                  <c:v>1626.6</c:v>
                </c:pt>
                <c:pt idx="206">
                  <c:v>1625.4</c:v>
                </c:pt>
                <c:pt idx="207">
                  <c:v>1620</c:v>
                </c:pt>
                <c:pt idx="208">
                  <c:v>1608.1</c:v>
                </c:pt>
                <c:pt idx="209">
                  <c:v>1607</c:v>
                </c:pt>
                <c:pt idx="210">
                  <c:v>1609.6</c:v>
                </c:pt>
                <c:pt idx="211">
                  <c:v>1607.3</c:v>
                </c:pt>
                <c:pt idx="212">
                  <c:v>1601.7</c:v>
                </c:pt>
                <c:pt idx="213">
                  <c:v>1588.7</c:v>
                </c:pt>
                <c:pt idx="214">
                  <c:v>1578.7</c:v>
                </c:pt>
                <c:pt idx="215">
                  <c:v>1567.2</c:v>
                </c:pt>
                <c:pt idx="216">
                  <c:v>1568</c:v>
                </c:pt>
                <c:pt idx="217">
                  <c:v>1568.4</c:v>
                </c:pt>
                <c:pt idx="218">
                  <c:v>1571</c:v>
                </c:pt>
                <c:pt idx="219">
                  <c:v>1585</c:v>
                </c:pt>
                <c:pt idx="220">
                  <c:v>1570.1</c:v>
                </c:pt>
                <c:pt idx="221">
                  <c:v>1564.5</c:v>
                </c:pt>
                <c:pt idx="222">
                  <c:v>1563.3</c:v>
                </c:pt>
                <c:pt idx="223">
                  <c:v>1572.7</c:v>
                </c:pt>
                <c:pt idx="224">
                  <c:v>1580.7</c:v>
                </c:pt>
                <c:pt idx="225">
                  <c:v>1587.9</c:v>
                </c:pt>
                <c:pt idx="226">
                  <c:v>1579</c:v>
                </c:pt>
                <c:pt idx="227">
                  <c:v>1572</c:v>
                </c:pt>
                <c:pt idx="228">
                  <c:v>1576.8</c:v>
                </c:pt>
                <c:pt idx="229">
                  <c:v>1590.8</c:v>
                </c:pt>
                <c:pt idx="230">
                  <c:v>1582.8</c:v>
                </c:pt>
                <c:pt idx="231">
                  <c:v>1582.1</c:v>
                </c:pt>
                <c:pt idx="232">
                  <c:v>1573.6</c:v>
                </c:pt>
                <c:pt idx="233">
                  <c:v>1573.6</c:v>
                </c:pt>
                <c:pt idx="234">
                  <c:v>1576.1</c:v>
                </c:pt>
                <c:pt idx="235">
                  <c:v>1574.2</c:v>
                </c:pt>
                <c:pt idx="236">
                  <c:v>1578.4</c:v>
                </c:pt>
                <c:pt idx="237">
                  <c:v>1606.2</c:v>
                </c:pt>
                <c:pt idx="238">
                  <c:v>1609</c:v>
                </c:pt>
                <c:pt idx="239">
                  <c:v>1621.2</c:v>
                </c:pt>
                <c:pt idx="240">
                  <c:v>1623.2</c:v>
                </c:pt>
                <c:pt idx="241">
                  <c:v>1621</c:v>
                </c:pt>
                <c:pt idx="242">
                  <c:v>1629.4</c:v>
                </c:pt>
                <c:pt idx="243">
                  <c:v>1611.9</c:v>
                </c:pt>
                <c:pt idx="244">
                  <c:v>1599.1</c:v>
                </c:pt>
                <c:pt idx="245">
                  <c:v>1598.1</c:v>
                </c:pt>
                <c:pt idx="246">
                  <c:v>1600.3</c:v>
                </c:pt>
                <c:pt idx="247">
                  <c:v>1589.2</c:v>
                </c:pt>
                <c:pt idx="248">
                  <c:v>1602.9</c:v>
                </c:pt>
                <c:pt idx="249">
                  <c:v>1586.2</c:v>
                </c:pt>
                <c:pt idx="250">
                  <c:v>1588.2</c:v>
                </c:pt>
                <c:pt idx="251">
                  <c:v>1566.6</c:v>
                </c:pt>
                <c:pt idx="252">
                  <c:v>1545.4</c:v>
                </c:pt>
                <c:pt idx="253">
                  <c:v>1546.8</c:v>
                </c:pt>
                <c:pt idx="254">
                  <c:v>1561</c:v>
                </c:pt>
                <c:pt idx="255">
                  <c:v>1553.4</c:v>
                </c:pt>
                <c:pt idx="256">
                  <c:v>1558.2</c:v>
                </c:pt>
                <c:pt idx="257">
                  <c:v>1559.1</c:v>
                </c:pt>
                <c:pt idx="258">
                  <c:v>1551.1</c:v>
                </c:pt>
                <c:pt idx="259">
                  <c:v>1543.6</c:v>
                </c:pt>
                <c:pt idx="260">
                  <c:v>1546.4</c:v>
                </c:pt>
                <c:pt idx="261">
                  <c:v>1558.3</c:v>
                </c:pt>
                <c:pt idx="262">
                  <c:v>1552.9</c:v>
                </c:pt>
                <c:pt idx="263">
                  <c:v>1560.9</c:v>
                </c:pt>
                <c:pt idx="264">
                  <c:v>1573.8</c:v>
                </c:pt>
                <c:pt idx="265">
                  <c:v>1561.8</c:v>
                </c:pt>
                <c:pt idx="266">
                  <c:v>1543.2</c:v>
                </c:pt>
                <c:pt idx="267">
                  <c:v>1539.6</c:v>
                </c:pt>
                <c:pt idx="268">
                  <c:v>1563.6</c:v>
                </c:pt>
                <c:pt idx="269">
                  <c:v>1578</c:v>
                </c:pt>
                <c:pt idx="270">
                  <c:v>1601.9</c:v>
                </c:pt>
                <c:pt idx="271">
                  <c:v>1603.6</c:v>
                </c:pt>
                <c:pt idx="272">
                  <c:v>1603.3</c:v>
                </c:pt>
                <c:pt idx="273">
                  <c:v>1592.5</c:v>
                </c:pt>
                <c:pt idx="274">
                  <c:v>1578.7</c:v>
                </c:pt>
                <c:pt idx="275">
                  <c:v>1589.8</c:v>
                </c:pt>
                <c:pt idx="276">
                  <c:v>1615.7</c:v>
                </c:pt>
                <c:pt idx="277">
                  <c:v>1622.7</c:v>
                </c:pt>
                <c:pt idx="278">
                  <c:v>1628.5</c:v>
                </c:pt>
                <c:pt idx="279">
                  <c:v>1667.5</c:v>
                </c:pt>
                <c:pt idx="280">
                  <c:v>1666.3</c:v>
                </c:pt>
                <c:pt idx="281">
                  <c:v>1671</c:v>
                </c:pt>
                <c:pt idx="282">
                  <c:v>1677.2</c:v>
                </c:pt>
                <c:pt idx="283">
                  <c:v>1685.3</c:v>
                </c:pt>
                <c:pt idx="284">
                  <c:v>1680.1</c:v>
                </c:pt>
                <c:pt idx="285">
                  <c:v>1669.6</c:v>
                </c:pt>
                <c:pt idx="286">
                  <c:v>1664.8</c:v>
                </c:pt>
                <c:pt idx="287">
                  <c:v>1683.6</c:v>
                </c:pt>
                <c:pt idx="288">
                  <c:v>1683.1</c:v>
                </c:pt>
                <c:pt idx="289">
                  <c:v>1672.4</c:v>
                </c:pt>
                <c:pt idx="290">
                  <c:v>1680.9</c:v>
                </c:pt>
                <c:pt idx="291">
                  <c:v>1687.5</c:v>
                </c:pt>
                <c:pt idx="292">
                  <c:v>1689</c:v>
                </c:pt>
                <c:pt idx="293">
                  <c:v>1674.6</c:v>
                </c:pt>
                <c:pt idx="294">
                  <c:v>1686.6</c:v>
                </c:pt>
                <c:pt idx="295">
                  <c:v>1681.1</c:v>
                </c:pt>
                <c:pt idx="296">
                  <c:v>1685.5</c:v>
                </c:pt>
                <c:pt idx="297">
                  <c:v>1682.1</c:v>
                </c:pt>
                <c:pt idx="298">
                  <c:v>1683.6</c:v>
                </c:pt>
                <c:pt idx="299">
                  <c:v>1678.9</c:v>
                </c:pt>
                <c:pt idx="300">
                  <c:v>1681.4</c:v>
                </c:pt>
                <c:pt idx="301">
                  <c:v>1676.5</c:v>
                </c:pt>
                <c:pt idx="302">
                  <c:v>1681.1</c:v>
                </c:pt>
                <c:pt idx="303">
                  <c:v>1695</c:v>
                </c:pt>
                <c:pt idx="304">
                  <c:v>1687.8</c:v>
                </c:pt>
                <c:pt idx="305">
                  <c:v>1703.2</c:v>
                </c:pt>
                <c:pt idx="306">
                  <c:v>1717.6</c:v>
                </c:pt>
                <c:pt idx="307">
                  <c:v>1729.1</c:v>
                </c:pt>
                <c:pt idx="308">
                  <c:v>1722.3</c:v>
                </c:pt>
                <c:pt idx="309">
                  <c:v>1737.3</c:v>
                </c:pt>
                <c:pt idx="310">
                  <c:v>1749.9</c:v>
                </c:pt>
                <c:pt idx="311">
                  <c:v>1745.1</c:v>
                </c:pt>
                <c:pt idx="312">
                  <c:v>1747.9</c:v>
                </c:pt>
                <c:pt idx="313">
                  <c:v>1763.3</c:v>
                </c:pt>
                <c:pt idx="314">
                  <c:v>1759.1</c:v>
                </c:pt>
                <c:pt idx="315">
                  <c:v>1764.8</c:v>
                </c:pt>
                <c:pt idx="316">
                  <c:v>1746</c:v>
                </c:pt>
                <c:pt idx="317">
                  <c:v>1750.3</c:v>
                </c:pt>
                <c:pt idx="318">
                  <c:v>1750.5</c:v>
                </c:pt>
                <c:pt idx="319">
                  <c:v>1743.4</c:v>
                </c:pt>
                <c:pt idx="320">
                  <c:v>1727.5</c:v>
                </c:pt>
                <c:pt idx="321">
                  <c:v>1732.6</c:v>
                </c:pt>
                <c:pt idx="322">
                  <c:v>1724.8</c:v>
                </c:pt>
                <c:pt idx="323">
                  <c:v>1730.1</c:v>
                </c:pt>
                <c:pt idx="324">
                  <c:v>1732.2</c:v>
                </c:pt>
                <c:pt idx="325">
                  <c:v>1724.6</c:v>
                </c:pt>
                <c:pt idx="326">
                  <c:v>1736.3</c:v>
                </c:pt>
                <c:pt idx="327">
                  <c:v>1717.5</c:v>
                </c:pt>
                <c:pt idx="328">
                  <c:v>1713.1</c:v>
                </c:pt>
                <c:pt idx="329">
                  <c:v>1716.3</c:v>
                </c:pt>
                <c:pt idx="330">
                  <c:v>1719</c:v>
                </c:pt>
                <c:pt idx="331">
                  <c:v>1711.5</c:v>
                </c:pt>
                <c:pt idx="332">
                  <c:v>1710.3</c:v>
                </c:pt>
                <c:pt idx="333">
                  <c:v>1717.9</c:v>
                </c:pt>
                <c:pt idx="334">
                  <c:v>1707.3</c:v>
                </c:pt>
                <c:pt idx="335">
                  <c:v>1721.7</c:v>
                </c:pt>
                <c:pt idx="336">
                  <c:v>1719.6</c:v>
                </c:pt>
                <c:pt idx="337">
                  <c:v>1734.6</c:v>
                </c:pt>
                <c:pt idx="338">
                  <c:v>1739.4</c:v>
                </c:pt>
                <c:pt idx="339">
                  <c:v>1720</c:v>
                </c:pt>
                <c:pt idx="340">
                  <c:v>1720.3</c:v>
                </c:pt>
                <c:pt idx="341">
                  <c:v>1736.1</c:v>
                </c:pt>
                <c:pt idx="342">
                  <c:v>1727.7</c:v>
                </c:pt>
                <c:pt idx="343">
                  <c:v>1732.5</c:v>
                </c:pt>
                <c:pt idx="344">
                  <c:v>1743.8</c:v>
                </c:pt>
                <c:pt idx="345">
                  <c:v>1749.2</c:v>
                </c:pt>
                <c:pt idx="346">
                  <c:v>1746.5</c:v>
                </c:pt>
                <c:pt idx="347">
                  <c:v>1753.3</c:v>
                </c:pt>
                <c:pt idx="348">
                  <c:v>1752.4</c:v>
                </c:pt>
                <c:pt idx="349">
                  <c:v>1745.7</c:v>
                </c:pt>
                <c:pt idx="350">
                  <c:v>1742.2</c:v>
                </c:pt>
                <c:pt idx="351">
                  <c:v>1735.9</c:v>
                </c:pt>
                <c:pt idx="352">
                  <c:v>1735.9</c:v>
                </c:pt>
                <c:pt idx="353">
                  <c:v>1734</c:v>
                </c:pt>
                <c:pt idx="354">
                  <c:v>1728.3</c:v>
                </c:pt>
                <c:pt idx="355">
                  <c:v>1732.6</c:v>
                </c:pt>
                <c:pt idx="356">
                  <c:v>1743.5</c:v>
                </c:pt>
                <c:pt idx="357">
                  <c:v>1750.8</c:v>
                </c:pt>
                <c:pt idx="358">
                  <c:v>1748.2</c:v>
                </c:pt>
                <c:pt idx="359">
                  <c:v>1753</c:v>
                </c:pt>
                <c:pt idx="360">
                  <c:v>1751.2</c:v>
                </c:pt>
                <c:pt idx="361">
                  <c:v>1749.4</c:v>
                </c:pt>
                <c:pt idx="362">
                  <c:v>1742.3</c:v>
                </c:pt>
                <c:pt idx="363">
                  <c:v>1724.1</c:v>
                </c:pt>
                <c:pt idx="364">
                  <c:v>1758.4</c:v>
                </c:pt>
                <c:pt idx="365">
                  <c:v>1763.3</c:v>
                </c:pt>
                <c:pt idx="366">
                  <c:v>1787.5</c:v>
                </c:pt>
                <c:pt idx="367">
                  <c:v>1785.5</c:v>
                </c:pt>
                <c:pt idx="368">
                  <c:v>1803</c:v>
                </c:pt>
                <c:pt idx="369">
                  <c:v>1811.6</c:v>
                </c:pt>
                <c:pt idx="370">
                  <c:v>1806.7</c:v>
                </c:pt>
                <c:pt idx="371">
                  <c:v>1794.1</c:v>
                </c:pt>
                <c:pt idx="372">
                  <c:v>1803.2</c:v>
                </c:pt>
                <c:pt idx="373">
                  <c:v>1798.1</c:v>
                </c:pt>
                <c:pt idx="374">
                  <c:v>1801.4</c:v>
                </c:pt>
                <c:pt idx="375">
                  <c:v>1788.6</c:v>
                </c:pt>
                <c:pt idx="376">
                  <c:v>1792.3</c:v>
                </c:pt>
                <c:pt idx="377">
                  <c:v>1789.1</c:v>
                </c:pt>
                <c:pt idx="378">
                  <c:v>1786.3</c:v>
                </c:pt>
                <c:pt idx="379">
                  <c:v>1789.8</c:v>
                </c:pt>
                <c:pt idx="380">
                  <c:v>1781.8</c:v>
                </c:pt>
                <c:pt idx="381">
                  <c:v>1782.3</c:v>
                </c:pt>
                <c:pt idx="382">
                  <c:v>1773.9</c:v>
                </c:pt>
                <c:pt idx="383">
                  <c:v>1779.1</c:v>
                </c:pt>
                <c:pt idx="384">
                  <c:v>1771.8</c:v>
                </c:pt>
                <c:pt idx="385">
                  <c:v>1772.9</c:v>
                </c:pt>
                <c:pt idx="386">
                  <c:v>1770.6</c:v>
                </c:pt>
                <c:pt idx="387">
                  <c:v>1771.1</c:v>
                </c:pt>
                <c:pt idx="388">
                  <c:v>1768.5</c:v>
                </c:pt>
                <c:pt idx="389">
                  <c:v>1764.9</c:v>
                </c:pt>
                <c:pt idx="390">
                  <c:v>1754.1</c:v>
                </c:pt>
                <c:pt idx="391">
                  <c:v>1757.1</c:v>
                </c:pt>
                <c:pt idx="392">
                  <c:v>1752.6</c:v>
                </c:pt>
                <c:pt idx="393">
                  <c:v>1756.3</c:v>
                </c:pt>
                <c:pt idx="394">
                  <c:v>1768.6</c:v>
                </c:pt>
                <c:pt idx="395">
                  <c:v>1777</c:v>
                </c:pt>
                <c:pt idx="396">
                  <c:v>1772.4</c:v>
                </c:pt>
                <c:pt idx="397">
                  <c:v>1767.5</c:v>
                </c:pt>
                <c:pt idx="398">
                  <c:v>1751.2</c:v>
                </c:pt>
                <c:pt idx="399">
                  <c:v>1757.6</c:v>
                </c:pt>
                <c:pt idx="400">
                  <c:v>1754.5</c:v>
                </c:pt>
                <c:pt idx="401">
                  <c:v>1736.5</c:v>
                </c:pt>
                <c:pt idx="402">
                  <c:v>1734.1</c:v>
                </c:pt>
                <c:pt idx="403">
                  <c:v>1734.6</c:v>
                </c:pt>
                <c:pt idx="404">
                  <c:v>1740.5</c:v>
                </c:pt>
                <c:pt idx="405">
                  <c:v>1702.7</c:v>
                </c:pt>
                <c:pt idx="406">
                  <c:v>1649.7</c:v>
                </c:pt>
                <c:pt idx="407">
                  <c:v>1659.8</c:v>
                </c:pt>
                <c:pt idx="408">
                  <c:v>1628.2</c:v>
                </c:pt>
                <c:pt idx="409">
                  <c:v>1623.4</c:v>
                </c:pt>
                <c:pt idx="410">
                  <c:v>1610.4</c:v>
                </c:pt>
                <c:pt idx="411">
                  <c:v>1618.1</c:v>
                </c:pt>
                <c:pt idx="412">
                  <c:v>1610.6</c:v>
                </c:pt>
                <c:pt idx="413">
                  <c:v>1628.2</c:v>
                </c:pt>
                <c:pt idx="414">
                  <c:v>1624</c:v>
                </c:pt>
                <c:pt idx="415">
                  <c:v>1615.4</c:v>
                </c:pt>
                <c:pt idx="416">
                  <c:v>1594.7</c:v>
                </c:pt>
                <c:pt idx="417">
                  <c:v>1611.5</c:v>
                </c:pt>
                <c:pt idx="418">
                  <c:v>1628.8</c:v>
                </c:pt>
                <c:pt idx="419">
                  <c:v>1621.2</c:v>
                </c:pt>
                <c:pt idx="420">
                  <c:v>1609.5</c:v>
                </c:pt>
                <c:pt idx="421">
                  <c:v>1582.6</c:v>
                </c:pt>
                <c:pt idx="422">
                  <c:v>1564.6</c:v>
                </c:pt>
                <c:pt idx="423">
                  <c:v>1553</c:v>
                </c:pt>
                <c:pt idx="424">
                  <c:v>1541</c:v>
                </c:pt>
                <c:pt idx="425">
                  <c:v>1547.8</c:v>
                </c:pt>
                <c:pt idx="426">
                  <c:v>1555.4</c:v>
                </c:pt>
                <c:pt idx="427">
                  <c:v>1533.2</c:v>
                </c:pt>
                <c:pt idx="428">
                  <c:v>1524.7</c:v>
                </c:pt>
                <c:pt idx="429">
                  <c:v>1513.1</c:v>
                </c:pt>
                <c:pt idx="430">
                  <c:v>1520</c:v>
                </c:pt>
                <c:pt idx="431">
                  <c:v>1498.7</c:v>
                </c:pt>
                <c:pt idx="432">
                  <c:v>1468.9</c:v>
                </c:pt>
                <c:pt idx="433">
                  <c:v>1473.3</c:v>
                </c:pt>
                <c:pt idx="434">
                  <c:v>1513.4</c:v>
                </c:pt>
                <c:pt idx="435">
                  <c:v>1516.5</c:v>
                </c:pt>
                <c:pt idx="436">
                  <c:v>1541.3</c:v>
                </c:pt>
                <c:pt idx="437">
                  <c:v>1518.7</c:v>
                </c:pt>
                <c:pt idx="438">
                  <c:v>1506.7</c:v>
                </c:pt>
                <c:pt idx="439">
                  <c:v>1530.8</c:v>
                </c:pt>
                <c:pt idx="440">
                  <c:v>1536.5</c:v>
                </c:pt>
                <c:pt idx="441">
                  <c:v>1540.6</c:v>
                </c:pt>
                <c:pt idx="442">
                  <c:v>1544.6</c:v>
                </c:pt>
                <c:pt idx="443">
                  <c:v>1525.3</c:v>
                </c:pt>
                <c:pt idx="444">
                  <c:v>1528.3</c:v>
                </c:pt>
                <c:pt idx="445">
                  <c:v>1527.8</c:v>
                </c:pt>
                <c:pt idx="446">
                  <c:v>1595</c:v>
                </c:pt>
                <c:pt idx="447">
                  <c:v>1587.6</c:v>
                </c:pt>
                <c:pt idx="448">
                  <c:v>1584.6</c:v>
                </c:pt>
                <c:pt idx="449">
                  <c:v>1578.7</c:v>
                </c:pt>
                <c:pt idx="450">
                  <c:v>1589.3</c:v>
                </c:pt>
                <c:pt idx="451">
                  <c:v>1573.9</c:v>
                </c:pt>
                <c:pt idx="452">
                  <c:v>1550.3</c:v>
                </c:pt>
                <c:pt idx="453">
                  <c:v>1557.8</c:v>
                </c:pt>
                <c:pt idx="454">
                  <c:v>1530.9</c:v>
                </c:pt>
                <c:pt idx="455">
                  <c:v>1513.4</c:v>
                </c:pt>
                <c:pt idx="456">
                  <c:v>1475</c:v>
                </c:pt>
                <c:pt idx="457">
                  <c:v>1476.3</c:v>
                </c:pt>
                <c:pt idx="458">
                  <c:v>1466.4</c:v>
                </c:pt>
                <c:pt idx="459">
                  <c:v>1484</c:v>
                </c:pt>
                <c:pt idx="460">
                  <c:v>1478</c:v>
                </c:pt>
                <c:pt idx="461">
                  <c:v>1424.4</c:v>
                </c:pt>
                <c:pt idx="462">
                  <c:v>1420.3</c:v>
                </c:pt>
                <c:pt idx="463">
                  <c:v>1436.1</c:v>
                </c:pt>
                <c:pt idx="464">
                  <c:v>1451.1</c:v>
                </c:pt>
                <c:pt idx="465">
                  <c:v>1439.7</c:v>
                </c:pt>
                <c:pt idx="466">
                  <c:v>1432.5</c:v>
                </c:pt>
                <c:pt idx="467">
                  <c:v>1465.5</c:v>
                </c:pt>
                <c:pt idx="468">
                  <c:v>1458.5</c:v>
                </c:pt>
                <c:pt idx="469">
                  <c:v>1453.4</c:v>
                </c:pt>
                <c:pt idx="470">
                  <c:v>1461.6</c:v>
                </c:pt>
                <c:pt idx="471">
                  <c:v>1479.1</c:v>
                </c:pt>
                <c:pt idx="472">
                  <c:v>1511.6</c:v>
                </c:pt>
                <c:pt idx="473">
                  <c:v>1503.9</c:v>
                </c:pt>
                <c:pt idx="474">
                  <c:v>1510.1</c:v>
                </c:pt>
                <c:pt idx="475">
                  <c:v>1526.8</c:v>
                </c:pt>
                <c:pt idx="476">
                  <c:v>1542.5</c:v>
                </c:pt>
                <c:pt idx="477">
                  <c:v>1533.8</c:v>
                </c:pt>
                <c:pt idx="478">
                  <c:v>1510.3</c:v>
                </c:pt>
                <c:pt idx="479">
                  <c:v>1493.6</c:v>
                </c:pt>
                <c:pt idx="480">
                  <c:v>1492.3</c:v>
                </c:pt>
                <c:pt idx="481">
                  <c:v>1472.6</c:v>
                </c:pt>
                <c:pt idx="482">
                  <c:v>1485</c:v>
                </c:pt>
                <c:pt idx="483">
                  <c:v>1472.7</c:v>
                </c:pt>
                <c:pt idx="484">
                  <c:v>1480.9</c:v>
                </c:pt>
                <c:pt idx="485">
                  <c:v>1487.2</c:v>
                </c:pt>
                <c:pt idx="486">
                  <c:v>1508.8</c:v>
                </c:pt>
                <c:pt idx="487">
                  <c:v>1519.1</c:v>
                </c:pt>
                <c:pt idx="488">
                  <c:v>1512.2</c:v>
                </c:pt>
                <c:pt idx="489">
                  <c:v>1535.4</c:v>
                </c:pt>
                <c:pt idx="490">
                  <c:v>1548.5</c:v>
                </c:pt>
                <c:pt idx="491">
                  <c:v>1547</c:v>
                </c:pt>
                <c:pt idx="492">
                  <c:v>1545.1</c:v>
                </c:pt>
                <c:pt idx="493">
                  <c:v>1551.7</c:v>
                </c:pt>
                <c:pt idx="494">
                  <c:v>1544.8</c:v>
                </c:pt>
                <c:pt idx="495">
                  <c:v>1530.9</c:v>
                </c:pt>
                <c:pt idx="496">
                  <c:v>1510.3</c:v>
                </c:pt>
                <c:pt idx="497">
                  <c:v>1517.7</c:v>
                </c:pt>
                <c:pt idx="498">
                  <c:v>1523.2</c:v>
                </c:pt>
                <c:pt idx="499">
                  <c:v>1523</c:v>
                </c:pt>
                <c:pt idx="500">
                  <c:v>1544.3</c:v>
                </c:pt>
                <c:pt idx="501">
                  <c:v>1544.9</c:v>
                </c:pt>
                <c:pt idx="502">
                  <c:v>1534</c:v>
                </c:pt>
                <c:pt idx="503">
                  <c:v>1532.5</c:v>
                </c:pt>
                <c:pt idx="504">
                  <c:v>1522.2</c:v>
                </c:pt>
                <c:pt idx="505">
                  <c:v>1525.3</c:v>
                </c:pt>
                <c:pt idx="506">
                  <c:v>1508.2</c:v>
                </c:pt>
                <c:pt idx="507">
                  <c:v>1500.6</c:v>
                </c:pt>
                <c:pt idx="508">
                  <c:v>1494.5</c:v>
                </c:pt>
                <c:pt idx="509">
                  <c:v>1476</c:v>
                </c:pt>
                <c:pt idx="510">
                  <c:v>1469.8</c:v>
                </c:pt>
                <c:pt idx="511">
                  <c:v>1481.2</c:v>
                </c:pt>
                <c:pt idx="512">
                  <c:v>1472.1</c:v>
                </c:pt>
                <c:pt idx="513">
                  <c:v>1476.2</c:v>
                </c:pt>
                <c:pt idx="514">
                  <c:v>1492</c:v>
                </c:pt>
                <c:pt idx="515">
                  <c:v>1515.6</c:v>
                </c:pt>
                <c:pt idx="516">
                  <c:v>1523.6</c:v>
                </c:pt>
                <c:pt idx="517">
                  <c:v>1527</c:v>
                </c:pt>
                <c:pt idx="518">
                  <c:v>1544.6</c:v>
                </c:pt>
                <c:pt idx="519">
                  <c:v>1542.2</c:v>
                </c:pt>
                <c:pt idx="520">
                  <c:v>1545.1</c:v>
                </c:pt>
                <c:pt idx="521">
                  <c:v>1531.3</c:v>
                </c:pt>
                <c:pt idx="522">
                  <c:v>1556.4</c:v>
                </c:pt>
                <c:pt idx="523">
                  <c:v>1556.4</c:v>
                </c:pt>
                <c:pt idx="524">
                  <c:v>1542.5</c:v>
                </c:pt>
                <c:pt idx="525">
                  <c:v>1531.5</c:v>
                </c:pt>
                <c:pt idx="526">
                  <c:v>1532</c:v>
                </c:pt>
                <c:pt idx="527">
                  <c:v>1530.2</c:v>
                </c:pt>
                <c:pt idx="528">
                  <c:v>1516.5</c:v>
                </c:pt>
                <c:pt idx="529">
                  <c:v>1523.7</c:v>
                </c:pt>
                <c:pt idx="530">
                  <c:v>1544.6</c:v>
                </c:pt>
                <c:pt idx="531">
                  <c:v>1573.1</c:v>
                </c:pt>
                <c:pt idx="532">
                  <c:v>1578.8</c:v>
                </c:pt>
                <c:pt idx="533">
                  <c:v>1574.9</c:v>
                </c:pt>
                <c:pt idx="534">
                  <c:v>1573.7</c:v>
                </c:pt>
                <c:pt idx="535">
                  <c:v>1587.6</c:v>
                </c:pt>
                <c:pt idx="536">
                  <c:v>1569.2</c:v>
                </c:pt>
                <c:pt idx="537">
                  <c:v>1576.2</c:v>
                </c:pt>
                <c:pt idx="538">
                  <c:v>1562.3</c:v>
                </c:pt>
                <c:pt idx="539">
                  <c:v>1567.8</c:v>
                </c:pt>
                <c:pt idx="540">
                  <c:v>1571.9</c:v>
                </c:pt>
                <c:pt idx="541">
                  <c:v>1585.2</c:v>
                </c:pt>
                <c:pt idx="542">
                  <c:v>1583.1</c:v>
                </c:pt>
                <c:pt idx="543">
                  <c:v>1601.5</c:v>
                </c:pt>
                <c:pt idx="544">
                  <c:v>1601.6</c:v>
                </c:pt>
                <c:pt idx="545">
                  <c:v>1641.4</c:v>
                </c:pt>
                <c:pt idx="546">
                  <c:v>1647.2</c:v>
                </c:pt>
                <c:pt idx="547">
                  <c:v>1641.6</c:v>
                </c:pt>
                <c:pt idx="548">
                  <c:v>1649.8</c:v>
                </c:pt>
                <c:pt idx="549">
                  <c:v>1651.1</c:v>
                </c:pt>
                <c:pt idx="550">
                  <c:v>1661.4</c:v>
                </c:pt>
                <c:pt idx="551">
                  <c:v>1664.7</c:v>
                </c:pt>
                <c:pt idx="552">
                  <c:v>1664.2</c:v>
                </c:pt>
                <c:pt idx="553">
                  <c:v>1653.3</c:v>
                </c:pt>
                <c:pt idx="554">
                  <c:v>1672.3</c:v>
                </c:pt>
                <c:pt idx="555">
                  <c:v>1677.4</c:v>
                </c:pt>
                <c:pt idx="556">
                  <c:v>1680.7</c:v>
                </c:pt>
                <c:pt idx="557">
                  <c:v>1661.6</c:v>
                </c:pt>
                <c:pt idx="558">
                  <c:v>1644.2</c:v>
                </c:pt>
                <c:pt idx="559">
                  <c:v>1658.9</c:v>
                </c:pt>
                <c:pt idx="560">
                  <c:v>1684.4</c:v>
                </c:pt>
                <c:pt idx="561">
                  <c:v>1701</c:v>
                </c:pt>
                <c:pt idx="562">
                  <c:v>1696.7</c:v>
                </c:pt>
                <c:pt idx="563">
                  <c:v>1693.7</c:v>
                </c:pt>
                <c:pt idx="564">
                  <c:v>1687.4</c:v>
                </c:pt>
                <c:pt idx="565">
                  <c:v>1682.8</c:v>
                </c:pt>
                <c:pt idx="566">
                  <c:v>1694.8</c:v>
                </c:pt>
                <c:pt idx="567">
                  <c:v>1713.1</c:v>
                </c:pt>
                <c:pt idx="568">
                  <c:v>1709.7</c:v>
                </c:pt>
                <c:pt idx="569">
                  <c:v>1717.4</c:v>
                </c:pt>
                <c:pt idx="570">
                  <c:v>1707.1</c:v>
                </c:pt>
                <c:pt idx="571">
                  <c:v>1702.6</c:v>
                </c:pt>
                <c:pt idx="572">
                  <c:v>1697.8</c:v>
                </c:pt>
                <c:pt idx="573">
                  <c:v>1685.1</c:v>
                </c:pt>
                <c:pt idx="574">
                  <c:v>1696.2</c:v>
                </c:pt>
                <c:pt idx="575">
                  <c:v>1698.8</c:v>
                </c:pt>
                <c:pt idx="576">
                  <c:v>1661.4</c:v>
                </c:pt>
                <c:pt idx="577">
                  <c:v>1648.4</c:v>
                </c:pt>
                <c:pt idx="578">
                  <c:v>1659.5</c:v>
                </c:pt>
                <c:pt idx="579">
                  <c:v>1657.2</c:v>
                </c:pt>
                <c:pt idx="580">
                  <c:v>1661.3</c:v>
                </c:pt>
                <c:pt idx="581">
                  <c:v>1674.9</c:v>
                </c:pt>
                <c:pt idx="582">
                  <c:v>1685.1</c:v>
                </c:pt>
                <c:pt idx="583">
                  <c:v>1684.2</c:v>
                </c:pt>
                <c:pt idx="584">
                  <c:v>1671.5</c:v>
                </c:pt>
                <c:pt idx="585">
                  <c:v>1661.8</c:v>
                </c:pt>
                <c:pt idx="586">
                  <c:v>1658.7</c:v>
                </c:pt>
                <c:pt idx="587">
                  <c:v>1665.4</c:v>
                </c:pt>
                <c:pt idx="588">
                  <c:v>1650.3</c:v>
                </c:pt>
                <c:pt idx="589">
                  <c:v>1655.7</c:v>
                </c:pt>
                <c:pt idx="590">
                  <c:v>1671.1</c:v>
                </c:pt>
                <c:pt idx="591">
                  <c:v>1672.4</c:v>
                </c:pt>
                <c:pt idx="592">
                  <c:v>1675.2</c:v>
                </c:pt>
                <c:pt idx="593">
                  <c:v>1678.9</c:v>
                </c:pt>
                <c:pt idx="594">
                  <c:v>1693.3</c:v>
                </c:pt>
                <c:pt idx="595">
                  <c:v>1687.1</c:v>
                </c:pt>
                <c:pt idx="596">
                  <c:v>1666.9</c:v>
                </c:pt>
                <c:pt idx="597">
                  <c:v>1666.7</c:v>
                </c:pt>
                <c:pt idx="598">
                  <c:v>1657.1</c:v>
                </c:pt>
                <c:pt idx="599">
                  <c:v>1649.8</c:v>
                </c:pt>
                <c:pt idx="600">
                  <c:v>1640.8</c:v>
                </c:pt>
                <c:pt idx="601">
                  <c:v>1628.9</c:v>
                </c:pt>
                <c:pt idx="602">
                  <c:v>1623.9</c:v>
                </c:pt>
                <c:pt idx="603">
                  <c:v>1627.2</c:v>
                </c:pt>
                <c:pt idx="604">
                  <c:v>1629.2</c:v>
                </c:pt>
                <c:pt idx="605">
                  <c:v>1627.4</c:v>
                </c:pt>
                <c:pt idx="606">
                  <c:v>1623.2</c:v>
                </c:pt>
                <c:pt idx="607">
                  <c:v>1623.3</c:v>
                </c:pt>
                <c:pt idx="608">
                  <c:v>1611.9</c:v>
                </c:pt>
                <c:pt idx="609">
                  <c:v>1609</c:v>
                </c:pt>
                <c:pt idx="610">
                  <c:v>1616.2</c:v>
                </c:pt>
                <c:pt idx="611">
                  <c:v>1629.5</c:v>
                </c:pt>
                <c:pt idx="612">
                  <c:v>1639.8</c:v>
                </c:pt>
                <c:pt idx="613">
                  <c:v>1634.5</c:v>
                </c:pt>
                <c:pt idx="614">
                  <c:v>1627.9</c:v>
                </c:pt>
                <c:pt idx="615">
                  <c:v>1628.5</c:v>
                </c:pt>
                <c:pt idx="616">
                  <c:v>1617.4</c:v>
                </c:pt>
                <c:pt idx="617">
                  <c:v>1610.6</c:v>
                </c:pt>
                <c:pt idx="618">
                  <c:v>1603.1</c:v>
                </c:pt>
                <c:pt idx="619">
                  <c:v>1618.2</c:v>
                </c:pt>
                <c:pt idx="620">
                  <c:v>1622</c:v>
                </c:pt>
                <c:pt idx="621">
                  <c:v>1634.5</c:v>
                </c:pt>
                <c:pt idx="622">
                  <c:v>1631.9</c:v>
                </c:pt>
                <c:pt idx="623">
                  <c:v>1619.9</c:v>
                </c:pt>
                <c:pt idx="624">
                  <c:v>1625.2</c:v>
                </c:pt>
                <c:pt idx="625">
                  <c:v>1629.6</c:v>
                </c:pt>
                <c:pt idx="626">
                  <c:v>1637.9</c:v>
                </c:pt>
                <c:pt idx="627">
                  <c:v>1655.6</c:v>
                </c:pt>
                <c:pt idx="628">
                  <c:v>1661.6</c:v>
                </c:pt>
                <c:pt idx="629">
                  <c:v>1673.1</c:v>
                </c:pt>
                <c:pt idx="630">
                  <c:v>1681</c:v>
                </c:pt>
                <c:pt idx="631">
                  <c:v>1692</c:v>
                </c:pt>
                <c:pt idx="632">
                  <c:v>1684.1</c:v>
                </c:pt>
                <c:pt idx="633">
                  <c:v>1689.6</c:v>
                </c:pt>
                <c:pt idx="634">
                  <c:v>1692.3</c:v>
                </c:pt>
                <c:pt idx="635">
                  <c:v>1686.9</c:v>
                </c:pt>
                <c:pt idx="636">
                  <c:v>1689.8</c:v>
                </c:pt>
                <c:pt idx="637">
                  <c:v>1698.1</c:v>
                </c:pt>
                <c:pt idx="638">
                  <c:v>1699.4</c:v>
                </c:pt>
                <c:pt idx="639">
                  <c:v>1686.3</c:v>
                </c:pt>
                <c:pt idx="640">
                  <c:v>1695.2</c:v>
                </c:pt>
                <c:pt idx="641">
                  <c:v>1707.2</c:v>
                </c:pt>
                <c:pt idx="642">
                  <c:v>1708.3</c:v>
                </c:pt>
                <c:pt idx="643">
                  <c:v>1697.6</c:v>
                </c:pt>
                <c:pt idx="644">
                  <c:v>1706.6</c:v>
                </c:pt>
                <c:pt idx="645">
                  <c:v>1697.8</c:v>
                </c:pt>
                <c:pt idx="646">
                  <c:v>1692.2</c:v>
                </c:pt>
                <c:pt idx="647">
                  <c:v>1700.9</c:v>
                </c:pt>
                <c:pt idx="648">
                  <c:v>1719.8</c:v>
                </c:pt>
                <c:pt idx="649">
                  <c:v>1783.7</c:v>
                </c:pt>
                <c:pt idx="650">
                  <c:v>1797.4</c:v>
                </c:pt>
                <c:pt idx="651">
                  <c:v>1818.2</c:v>
                </c:pt>
                <c:pt idx="652">
                  <c:v>1807.2</c:v>
                </c:pt>
                <c:pt idx="653">
                  <c:v>1811.6</c:v>
                </c:pt>
                <c:pt idx="654">
                  <c:v>1807.7</c:v>
                </c:pt>
                <c:pt idx="655">
                  <c:v>1813.5</c:v>
                </c:pt>
                <c:pt idx="656">
                  <c:v>1836.3</c:v>
                </c:pt>
                <c:pt idx="657">
                  <c:v>1839</c:v>
                </c:pt>
                <c:pt idx="658">
                  <c:v>1823.8</c:v>
                </c:pt>
                <c:pt idx="659">
                  <c:v>1823.5</c:v>
                </c:pt>
                <c:pt idx="660">
                  <c:v>1830.8</c:v>
                </c:pt>
                <c:pt idx="661">
                  <c:v>1854.5</c:v>
                </c:pt>
                <c:pt idx="662">
                  <c:v>1845.2</c:v>
                </c:pt>
                <c:pt idx="663">
                  <c:v>1833.9</c:v>
                </c:pt>
                <c:pt idx="664">
                  <c:v>1833.7</c:v>
                </c:pt>
                <c:pt idx="665">
                  <c:v>1803.2</c:v>
                </c:pt>
                <c:pt idx="666">
                  <c:v>1815.1</c:v>
                </c:pt>
                <c:pt idx="667">
                  <c:v>1843.4</c:v>
                </c:pt>
                <c:pt idx="668">
                  <c:v>1860.6</c:v>
                </c:pt>
                <c:pt idx="669">
                  <c:v>1860.7</c:v>
                </c:pt>
                <c:pt idx="670">
                  <c:v>1869.4</c:v>
                </c:pt>
                <c:pt idx="671">
                  <c:v>1872.3</c:v>
                </c:pt>
                <c:pt idx="672">
                  <c:v>1865.2</c:v>
                </c:pt>
                <c:pt idx="673">
                  <c:v>1865.8</c:v>
                </c:pt>
                <c:pt idx="674">
                  <c:v>1905</c:v>
                </c:pt>
                <c:pt idx="675">
                  <c:v>1906.6</c:v>
                </c:pt>
                <c:pt idx="676">
                  <c:v>1912.2</c:v>
                </c:pt>
                <c:pt idx="677">
                  <c:v>1910.2</c:v>
                </c:pt>
                <c:pt idx="678">
                  <c:v>1935.7</c:v>
                </c:pt>
                <c:pt idx="679">
                  <c:v>1939</c:v>
                </c:pt>
                <c:pt idx="680">
                  <c:v>1922.7</c:v>
                </c:pt>
                <c:pt idx="681">
                  <c:v>1888.3</c:v>
                </c:pt>
                <c:pt idx="682">
                  <c:v>1897.7</c:v>
                </c:pt>
                <c:pt idx="683">
                  <c:v>1917.8</c:v>
                </c:pt>
                <c:pt idx="684">
                  <c:v>1901.2</c:v>
                </c:pt>
                <c:pt idx="685">
                  <c:v>1904.6</c:v>
                </c:pt>
                <c:pt idx="686">
                  <c:v>1921.9</c:v>
                </c:pt>
                <c:pt idx="687">
                  <c:v>1944.9</c:v>
                </c:pt>
                <c:pt idx="688">
                  <c:v>1918.6</c:v>
                </c:pt>
                <c:pt idx="689">
                  <c:v>1925.6</c:v>
                </c:pt>
                <c:pt idx="690">
                  <c:v>1925.2</c:v>
                </c:pt>
                <c:pt idx="691">
                  <c:v>1910.3</c:v>
                </c:pt>
                <c:pt idx="692">
                  <c:v>1886</c:v>
                </c:pt>
                <c:pt idx="693">
                  <c:v>1885.3</c:v>
                </c:pt>
                <c:pt idx="694">
                  <c:v>1880.8</c:v>
                </c:pt>
                <c:pt idx="695">
                  <c:v>1861.4</c:v>
                </c:pt>
                <c:pt idx="696">
                  <c:v>1872.6</c:v>
                </c:pt>
                <c:pt idx="697">
                  <c:v>1880.6</c:v>
                </c:pt>
                <c:pt idx="698">
                  <c:v>1860.4</c:v>
                </c:pt>
                <c:pt idx="699">
                  <c:v>1855.7</c:v>
                </c:pt>
                <c:pt idx="700">
                  <c:v>1882</c:v>
                </c:pt>
                <c:pt idx="701">
                  <c:v>1912.8</c:v>
                </c:pt>
                <c:pt idx="702">
                  <c:v>1925.9</c:v>
                </c:pt>
                <c:pt idx="703">
                  <c:v>1893</c:v>
                </c:pt>
                <c:pt idx="704">
                  <c:v>1916.5</c:v>
                </c:pt>
                <c:pt idx="705">
                  <c:v>1885.9</c:v>
                </c:pt>
                <c:pt idx="706">
                  <c:v>1912.2</c:v>
                </c:pt>
                <c:pt idx="707">
                  <c:v>1913.6</c:v>
                </c:pt>
                <c:pt idx="708">
                  <c:v>1907.7</c:v>
                </c:pt>
                <c:pt idx="709">
                  <c:v>1915.7</c:v>
                </c:pt>
                <c:pt idx="710">
                  <c:v>1912.1</c:v>
                </c:pt>
                <c:pt idx="711">
                  <c:v>1923.7</c:v>
                </c:pt>
                <c:pt idx="712">
                  <c:v>1972.7</c:v>
                </c:pt>
                <c:pt idx="713">
                  <c:v>1987.1</c:v>
                </c:pt>
                <c:pt idx="714">
                  <c:v>1997</c:v>
                </c:pt>
                <c:pt idx="715">
                  <c:v>2005</c:v>
                </c:pt>
                <c:pt idx="716">
                  <c:v>2011</c:v>
                </c:pt>
                <c:pt idx="717">
                  <c:v>1998.6</c:v>
                </c:pt>
                <c:pt idx="718">
                  <c:v>2001.5</c:v>
                </c:pt>
                <c:pt idx="719">
                  <c:v>1990.1</c:v>
                </c:pt>
                <c:pt idx="720">
                  <c:v>2015</c:v>
                </c:pt>
                <c:pt idx="721">
                  <c:v>2033.3</c:v>
                </c:pt>
                <c:pt idx="722">
                  <c:v>2026.8</c:v>
                </c:pt>
                <c:pt idx="723">
                  <c:v>2042.6</c:v>
                </c:pt>
                <c:pt idx="724">
                  <c:v>2034.7</c:v>
                </c:pt>
                <c:pt idx="725">
                  <c:v>2066.1999999999998</c:v>
                </c:pt>
                <c:pt idx="726">
                  <c:v>2074.4</c:v>
                </c:pt>
                <c:pt idx="727">
                  <c:v>2058.6999999999998</c:v>
                </c:pt>
                <c:pt idx="728">
                  <c:v>2043.1</c:v>
                </c:pt>
                <c:pt idx="729">
                  <c:v>2038.5</c:v>
                </c:pt>
                <c:pt idx="730">
                  <c:v>2069</c:v>
                </c:pt>
                <c:pt idx="731">
                  <c:v>2062.1</c:v>
                </c:pt>
                <c:pt idx="732">
                  <c:v>2095.6</c:v>
                </c:pt>
                <c:pt idx="733">
                  <c:v>2084.4</c:v>
                </c:pt>
                <c:pt idx="734">
                  <c:v>2062.6</c:v>
                </c:pt>
                <c:pt idx="735">
                  <c:v>2012.6</c:v>
                </c:pt>
                <c:pt idx="736">
                  <c:v>2010.8</c:v>
                </c:pt>
                <c:pt idx="737">
                  <c:v>2022.8</c:v>
                </c:pt>
                <c:pt idx="738">
                  <c:v>2023.8</c:v>
                </c:pt>
                <c:pt idx="739">
                  <c:v>2023.3</c:v>
                </c:pt>
                <c:pt idx="740">
                  <c:v>2015</c:v>
                </c:pt>
                <c:pt idx="741">
                  <c:v>2049.1</c:v>
                </c:pt>
                <c:pt idx="742">
                  <c:v>2071.6999999999998</c:v>
                </c:pt>
                <c:pt idx="743">
                  <c:v>2085.3000000000002</c:v>
                </c:pt>
                <c:pt idx="744">
                  <c:v>2077.4</c:v>
                </c:pt>
                <c:pt idx="745">
                  <c:v>2030</c:v>
                </c:pt>
                <c:pt idx="746">
                  <c:v>2027.4</c:v>
                </c:pt>
                <c:pt idx="747">
                  <c:v>2029.6</c:v>
                </c:pt>
                <c:pt idx="748">
                  <c:v>2047.7</c:v>
                </c:pt>
                <c:pt idx="749">
                  <c:v>2047.2</c:v>
                </c:pt>
                <c:pt idx="750">
                  <c:v>2043.4</c:v>
                </c:pt>
                <c:pt idx="751">
                  <c:v>2057.8000000000002</c:v>
                </c:pt>
                <c:pt idx="752">
                  <c:v>2089.9</c:v>
                </c:pt>
                <c:pt idx="753">
                  <c:v>2110.5</c:v>
                </c:pt>
                <c:pt idx="754">
                  <c:v>2120.6</c:v>
                </c:pt>
                <c:pt idx="755">
                  <c:v>2118.8000000000002</c:v>
                </c:pt>
                <c:pt idx="756">
                  <c:v>2115.5</c:v>
                </c:pt>
                <c:pt idx="757">
                  <c:v>2148.1</c:v>
                </c:pt>
                <c:pt idx="758">
                  <c:v>2175.8000000000002</c:v>
                </c:pt>
                <c:pt idx="759">
                  <c:v>2161.1</c:v>
                </c:pt>
                <c:pt idx="760">
                  <c:v>2172.8000000000002</c:v>
                </c:pt>
                <c:pt idx="761">
                  <c:v>2150</c:v>
                </c:pt>
                <c:pt idx="762">
                  <c:v>2110.6999999999998</c:v>
                </c:pt>
                <c:pt idx="763">
                  <c:v>2137.5</c:v>
                </c:pt>
                <c:pt idx="764">
                  <c:v>2151</c:v>
                </c:pt>
                <c:pt idx="765">
                  <c:v>2178.1999999999998</c:v>
                </c:pt>
                <c:pt idx="766">
                  <c:v>2182.9</c:v>
                </c:pt>
                <c:pt idx="767">
                  <c:v>2197.5</c:v>
                </c:pt>
                <c:pt idx="768">
                  <c:v>2222.8000000000002</c:v>
                </c:pt>
                <c:pt idx="769">
                  <c:v>2254</c:v>
                </c:pt>
                <c:pt idx="770">
                  <c:v>2242.8000000000002</c:v>
                </c:pt>
                <c:pt idx="771">
                  <c:v>2214.6999999999998</c:v>
                </c:pt>
                <c:pt idx="772">
                  <c:v>2266.6999999999998</c:v>
                </c:pt>
                <c:pt idx="773">
                  <c:v>2268</c:v>
                </c:pt>
                <c:pt idx="774">
                  <c:v>2253.6</c:v>
                </c:pt>
                <c:pt idx="775">
                  <c:v>2233.4</c:v>
                </c:pt>
                <c:pt idx="776">
                  <c:v>2220.1999999999998</c:v>
                </c:pt>
                <c:pt idx="777">
                  <c:v>2211.6</c:v>
                </c:pt>
                <c:pt idx="778">
                  <c:v>2233.8000000000002</c:v>
                </c:pt>
                <c:pt idx="779">
                  <c:v>2228.8000000000002</c:v>
                </c:pt>
                <c:pt idx="780">
                  <c:v>2209.1999999999998</c:v>
                </c:pt>
                <c:pt idx="781">
                  <c:v>2164.6999999999998</c:v>
                </c:pt>
                <c:pt idx="782">
                  <c:v>2141.8000000000002</c:v>
                </c:pt>
                <c:pt idx="783">
                  <c:v>2137.4</c:v>
                </c:pt>
                <c:pt idx="784">
                  <c:v>2113.8000000000002</c:v>
                </c:pt>
                <c:pt idx="785">
                  <c:v>2134.4</c:v>
                </c:pt>
                <c:pt idx="786">
                  <c:v>2116.1999999999998</c:v>
                </c:pt>
                <c:pt idx="787">
                  <c:v>2075.6</c:v>
                </c:pt>
                <c:pt idx="788">
                  <c:v>2080</c:v>
                </c:pt>
                <c:pt idx="789">
                  <c:v>2126.8000000000002</c:v>
                </c:pt>
                <c:pt idx="790">
                  <c:v>2119.1999999999998</c:v>
                </c:pt>
                <c:pt idx="791">
                  <c:v>2125.1</c:v>
                </c:pt>
                <c:pt idx="792">
                  <c:v>2133.5</c:v>
                </c:pt>
                <c:pt idx="793">
                  <c:v>2177.5</c:v>
                </c:pt>
                <c:pt idx="794">
                  <c:v>2179.6999999999998</c:v>
                </c:pt>
                <c:pt idx="795">
                  <c:v>2184</c:v>
                </c:pt>
                <c:pt idx="796">
                  <c:v>2151.6999999999998</c:v>
                </c:pt>
                <c:pt idx="797">
                  <c:v>2138.3000000000002</c:v>
                </c:pt>
                <c:pt idx="798">
                  <c:v>2079.4</c:v>
                </c:pt>
                <c:pt idx="799">
                  <c:v>2107.1999999999998</c:v>
                </c:pt>
                <c:pt idx="800">
                  <c:v>2085.3000000000002</c:v>
                </c:pt>
                <c:pt idx="801">
                  <c:v>2119</c:v>
                </c:pt>
                <c:pt idx="802">
                  <c:v>2090.6</c:v>
                </c:pt>
                <c:pt idx="803">
                  <c:v>2116</c:v>
                </c:pt>
                <c:pt idx="804">
                  <c:v>2115.6</c:v>
                </c:pt>
                <c:pt idx="805">
                  <c:v>2136.6</c:v>
                </c:pt>
                <c:pt idx="806">
                  <c:v>2128.6999999999998</c:v>
                </c:pt>
                <c:pt idx="807">
                  <c:v>2152</c:v>
                </c:pt>
                <c:pt idx="808">
                  <c:v>2119.5</c:v>
                </c:pt>
                <c:pt idx="809">
                  <c:v>2107.6</c:v>
                </c:pt>
                <c:pt idx="810">
                  <c:v>2127.6999999999998</c:v>
                </c:pt>
                <c:pt idx="811">
                  <c:v>2090.3000000000002</c:v>
                </c:pt>
                <c:pt idx="812">
                  <c:v>2075</c:v>
                </c:pt>
                <c:pt idx="813">
                  <c:v>2091.6</c:v>
                </c:pt>
                <c:pt idx="814">
                  <c:v>2067.1</c:v>
                </c:pt>
                <c:pt idx="815">
                  <c:v>2020.3</c:v>
                </c:pt>
                <c:pt idx="816">
                  <c:v>2038</c:v>
                </c:pt>
                <c:pt idx="817">
                  <c:v>2060.1</c:v>
                </c:pt>
                <c:pt idx="818">
                  <c:v>2109</c:v>
                </c:pt>
                <c:pt idx="819">
                  <c:v>2124</c:v>
                </c:pt>
                <c:pt idx="820">
                  <c:v>2115.1</c:v>
                </c:pt>
                <c:pt idx="821">
                  <c:v>2141.1</c:v>
                </c:pt>
                <c:pt idx="822">
                  <c:v>2103.5</c:v>
                </c:pt>
                <c:pt idx="823">
                  <c:v>2145.1999999999998</c:v>
                </c:pt>
                <c:pt idx="824">
                  <c:v>2165.6</c:v>
                </c:pt>
                <c:pt idx="825">
                  <c:v>2172.6999999999998</c:v>
                </c:pt>
                <c:pt idx="826">
                  <c:v>2175.1</c:v>
                </c:pt>
                <c:pt idx="827">
                  <c:v>2155.6</c:v>
                </c:pt>
                <c:pt idx="828">
                  <c:v>2131.3000000000002</c:v>
                </c:pt>
                <c:pt idx="829">
                  <c:v>2141.3000000000002</c:v>
                </c:pt>
                <c:pt idx="830">
                  <c:v>2161.1</c:v>
                </c:pt>
                <c:pt idx="831">
                  <c:v>2161.6999999999998</c:v>
                </c:pt>
                <c:pt idx="832">
                  <c:v>2130.1</c:v>
                </c:pt>
                <c:pt idx="833">
                  <c:v>2161.4</c:v>
                </c:pt>
                <c:pt idx="834">
                  <c:v>2168.4</c:v>
                </c:pt>
                <c:pt idx="835">
                  <c:v>2147.5</c:v>
                </c:pt>
                <c:pt idx="836">
                  <c:v>2133.1</c:v>
                </c:pt>
                <c:pt idx="837">
                  <c:v>2158.3000000000002</c:v>
                </c:pt>
                <c:pt idx="838">
                  <c:v>2191.1999999999998</c:v>
                </c:pt>
                <c:pt idx="839">
                  <c:v>2201.4</c:v>
                </c:pt>
                <c:pt idx="840">
                  <c:v>2203.4</c:v>
                </c:pt>
                <c:pt idx="841">
                  <c:v>2225.3000000000002</c:v>
                </c:pt>
                <c:pt idx="842">
                  <c:v>2210.6</c:v>
                </c:pt>
                <c:pt idx="843">
                  <c:v>2209.1999999999998</c:v>
                </c:pt>
                <c:pt idx="844">
                  <c:v>2198.6999999999998</c:v>
                </c:pt>
                <c:pt idx="845">
                  <c:v>2200.4</c:v>
                </c:pt>
                <c:pt idx="846">
                  <c:v>2228.8000000000002</c:v>
                </c:pt>
                <c:pt idx="847">
                  <c:v>2172.4</c:v>
                </c:pt>
                <c:pt idx="848">
                  <c:v>2182.6</c:v>
                </c:pt>
                <c:pt idx="849">
                  <c:v>2197</c:v>
                </c:pt>
                <c:pt idx="850">
                  <c:v>2213.9</c:v>
                </c:pt>
                <c:pt idx="851">
                  <c:v>2202.1999999999998</c:v>
                </c:pt>
                <c:pt idx="852">
                  <c:v>2243.1999999999998</c:v>
                </c:pt>
                <c:pt idx="853">
                  <c:v>2253.6</c:v>
                </c:pt>
                <c:pt idx="854">
                  <c:v>2251.1999999999998</c:v>
                </c:pt>
                <c:pt idx="855">
                  <c:v>2246</c:v>
                </c:pt>
                <c:pt idx="856">
                  <c:v>2268.6999999999998</c:v>
                </c:pt>
                <c:pt idx="857">
                  <c:v>2252.3000000000002</c:v>
                </c:pt>
                <c:pt idx="858">
                  <c:v>2249</c:v>
                </c:pt>
                <c:pt idx="859">
                  <c:v>2235.8000000000002</c:v>
                </c:pt>
                <c:pt idx="860">
                  <c:v>2237</c:v>
                </c:pt>
                <c:pt idx="861">
                  <c:v>2218.9</c:v>
                </c:pt>
                <c:pt idx="862">
                  <c:v>2235.1999999999998</c:v>
                </c:pt>
                <c:pt idx="863">
                  <c:v>2243.6</c:v>
                </c:pt>
                <c:pt idx="864">
                  <c:v>2258.8000000000002</c:v>
                </c:pt>
                <c:pt idx="865">
                  <c:v>2271.1</c:v>
                </c:pt>
                <c:pt idx="866">
                  <c:v>2259.6999999999998</c:v>
                </c:pt>
                <c:pt idx="867">
                  <c:v>2267.4</c:v>
                </c:pt>
                <c:pt idx="868">
                  <c:v>2247.8000000000002</c:v>
                </c:pt>
                <c:pt idx="869">
                  <c:v>2249.6999999999998</c:v>
                </c:pt>
                <c:pt idx="870">
                  <c:v>2198.6999999999998</c:v>
                </c:pt>
                <c:pt idx="871">
                  <c:v>2158.8000000000002</c:v>
                </c:pt>
                <c:pt idx="872">
                  <c:v>2130.3000000000002</c:v>
                </c:pt>
                <c:pt idx="873">
                  <c:v>2141</c:v>
                </c:pt>
                <c:pt idx="874">
                  <c:v>2118.1999999999998</c:v>
                </c:pt>
                <c:pt idx="875">
                  <c:v>2127.6999999999998</c:v>
                </c:pt>
                <c:pt idx="876">
                  <c:v>2129.6999999999998</c:v>
                </c:pt>
                <c:pt idx="877">
                  <c:v>2148.4</c:v>
                </c:pt>
                <c:pt idx="878">
                  <c:v>2163.1</c:v>
                </c:pt>
                <c:pt idx="879">
                  <c:v>2135.1</c:v>
                </c:pt>
                <c:pt idx="880">
                  <c:v>2145.1999999999998</c:v>
                </c:pt>
                <c:pt idx="881">
                  <c:v>2129.3000000000002</c:v>
                </c:pt>
                <c:pt idx="882">
                  <c:v>2133.1</c:v>
                </c:pt>
                <c:pt idx="883">
                  <c:v>2105.8000000000002</c:v>
                </c:pt>
                <c:pt idx="884">
                  <c:v>2074.6999999999998</c:v>
                </c:pt>
                <c:pt idx="885">
                  <c:v>2074.6999999999998</c:v>
                </c:pt>
                <c:pt idx="886">
                  <c:v>2054.9</c:v>
                </c:pt>
                <c:pt idx="887">
                  <c:v>2050.6999999999998</c:v>
                </c:pt>
                <c:pt idx="888">
                  <c:v>1968.8</c:v>
                </c:pt>
                <c:pt idx="889">
                  <c:v>1983.3</c:v>
                </c:pt>
                <c:pt idx="890">
                  <c:v>1994.4</c:v>
                </c:pt>
                <c:pt idx="891">
                  <c:v>2022.1</c:v>
                </c:pt>
                <c:pt idx="892">
                  <c:v>2005.3</c:v>
                </c:pt>
                <c:pt idx="893">
                  <c:v>1988.6</c:v>
                </c:pt>
                <c:pt idx="894">
                  <c:v>2018.3</c:v>
                </c:pt>
                <c:pt idx="895">
                  <c:v>2046.3</c:v>
                </c:pt>
                <c:pt idx="896">
                  <c:v>2025.3</c:v>
                </c:pt>
                <c:pt idx="897">
                  <c:v>2036.5</c:v>
                </c:pt>
                <c:pt idx="898">
                  <c:v>2054.4</c:v>
                </c:pt>
                <c:pt idx="899">
                  <c:v>2032.7</c:v>
                </c:pt>
                <c:pt idx="900">
                  <c:v>2035.7</c:v>
                </c:pt>
                <c:pt idx="901">
                  <c:v>2043.9</c:v>
                </c:pt>
                <c:pt idx="902">
                  <c:v>2050.9</c:v>
                </c:pt>
                <c:pt idx="903">
                  <c:v>2065.6999999999998</c:v>
                </c:pt>
                <c:pt idx="904">
                  <c:v>2048.1</c:v>
                </c:pt>
                <c:pt idx="905">
                  <c:v>2054</c:v>
                </c:pt>
                <c:pt idx="906">
                  <c:v>2055.6</c:v>
                </c:pt>
                <c:pt idx="907">
                  <c:v>2093.6</c:v>
                </c:pt>
                <c:pt idx="908">
                  <c:v>2098.1999999999998</c:v>
                </c:pt>
                <c:pt idx="909">
                  <c:v>2128.8000000000002</c:v>
                </c:pt>
                <c:pt idx="910">
                  <c:v>2138.6999999999998</c:v>
                </c:pt>
                <c:pt idx="911">
                  <c:v>2113.3000000000002</c:v>
                </c:pt>
                <c:pt idx="912">
                  <c:v>2150.3000000000002</c:v>
                </c:pt>
                <c:pt idx="913">
                  <c:v>2136.1999999999998</c:v>
                </c:pt>
                <c:pt idx="914">
                  <c:v>2152</c:v>
                </c:pt>
                <c:pt idx="915">
                  <c:v>2140.4</c:v>
                </c:pt>
                <c:pt idx="916">
                  <c:v>2122.8000000000002</c:v>
                </c:pt>
                <c:pt idx="917">
                  <c:v>2146.6</c:v>
                </c:pt>
                <c:pt idx="918">
                  <c:v>2153.8000000000002</c:v>
                </c:pt>
                <c:pt idx="919">
                  <c:v>2186.4</c:v>
                </c:pt>
                <c:pt idx="920">
                  <c:v>2198.9</c:v>
                </c:pt>
                <c:pt idx="921">
                  <c:v>2183.4</c:v>
                </c:pt>
                <c:pt idx="922">
                  <c:v>2184.8000000000002</c:v>
                </c:pt>
                <c:pt idx="923">
                  <c:v>2184.6999999999998</c:v>
                </c:pt>
                <c:pt idx="924">
                  <c:v>2164.1999999999998</c:v>
                </c:pt>
                <c:pt idx="925">
                  <c:v>2160.4</c:v>
                </c:pt>
                <c:pt idx="926">
                  <c:v>2155.3000000000002</c:v>
                </c:pt>
                <c:pt idx="927">
                  <c:v>2124.6999999999998</c:v>
                </c:pt>
                <c:pt idx="928">
                  <c:v>2138.8000000000002</c:v>
                </c:pt>
                <c:pt idx="929">
                  <c:v>2143.1</c:v>
                </c:pt>
                <c:pt idx="930">
                  <c:v>2162.3000000000002</c:v>
                </c:pt>
                <c:pt idx="931">
                  <c:v>2153.6</c:v>
                </c:pt>
                <c:pt idx="932">
                  <c:v>2149.6</c:v>
                </c:pt>
                <c:pt idx="933">
                  <c:v>2123.8000000000002</c:v>
                </c:pt>
                <c:pt idx="934">
                  <c:v>2107.9</c:v>
                </c:pt>
                <c:pt idx="935">
                  <c:v>2126.4</c:v>
                </c:pt>
                <c:pt idx="936">
                  <c:v>2152.1999999999998</c:v>
                </c:pt>
                <c:pt idx="937">
                  <c:v>2161.5</c:v>
                </c:pt>
                <c:pt idx="938">
                  <c:v>2193.1999999999998</c:v>
                </c:pt>
                <c:pt idx="939">
                  <c:v>2210.9</c:v>
                </c:pt>
                <c:pt idx="940">
                  <c:v>2212.9</c:v>
                </c:pt>
                <c:pt idx="941">
                  <c:v>2200.8000000000002</c:v>
                </c:pt>
                <c:pt idx="942">
                  <c:v>2204.6999999999998</c:v>
                </c:pt>
                <c:pt idx="943">
                  <c:v>2174.5</c:v>
                </c:pt>
                <c:pt idx="944">
                  <c:v>2165.9</c:v>
                </c:pt>
                <c:pt idx="945">
                  <c:v>2163.8000000000002</c:v>
                </c:pt>
                <c:pt idx="946">
                  <c:v>2172.4</c:v>
                </c:pt>
                <c:pt idx="947">
                  <c:v>2185.1999999999998</c:v>
                </c:pt>
                <c:pt idx="948">
                  <c:v>2154.6</c:v>
                </c:pt>
                <c:pt idx="949">
                  <c:v>2136.1</c:v>
                </c:pt>
                <c:pt idx="950">
                  <c:v>2124.1</c:v>
                </c:pt>
                <c:pt idx="951">
                  <c:v>2114</c:v>
                </c:pt>
                <c:pt idx="952">
                  <c:v>2118.6999999999998</c:v>
                </c:pt>
                <c:pt idx="953">
                  <c:v>2096.8000000000002</c:v>
                </c:pt>
                <c:pt idx="954">
                  <c:v>2079</c:v>
                </c:pt>
                <c:pt idx="955">
                  <c:v>2079.5</c:v>
                </c:pt>
                <c:pt idx="956">
                  <c:v>2073</c:v>
                </c:pt>
                <c:pt idx="957">
                  <c:v>2089.1</c:v>
                </c:pt>
                <c:pt idx="958">
                  <c:v>2068.6999999999998</c:v>
                </c:pt>
                <c:pt idx="959">
                  <c:v>2058.6999999999998</c:v>
                </c:pt>
                <c:pt idx="960">
                  <c:v>2068.1</c:v>
                </c:pt>
                <c:pt idx="961">
                  <c:v>2043.6</c:v>
                </c:pt>
                <c:pt idx="962">
                  <c:v>2011.8</c:v>
                </c:pt>
                <c:pt idx="963">
                  <c:v>1995</c:v>
                </c:pt>
                <c:pt idx="964">
                  <c:v>1968.7</c:v>
                </c:pt>
                <c:pt idx="965">
                  <c:v>1961</c:v>
                </c:pt>
                <c:pt idx="966">
                  <c:v>1960.6</c:v>
                </c:pt>
                <c:pt idx="967">
                  <c:v>2024.8</c:v>
                </c:pt>
                <c:pt idx="968">
                  <c:v>2071.1</c:v>
                </c:pt>
                <c:pt idx="969">
                  <c:v>2077.6</c:v>
                </c:pt>
                <c:pt idx="970">
                  <c:v>2082.6</c:v>
                </c:pt>
                <c:pt idx="971">
                  <c:v>2105.6999999999998</c:v>
                </c:pt>
                <c:pt idx="972">
                  <c:v>2090.9</c:v>
                </c:pt>
                <c:pt idx="973">
                  <c:v>2084.8000000000002</c:v>
                </c:pt>
                <c:pt idx="974">
                  <c:v>2051.1999999999998</c:v>
                </c:pt>
                <c:pt idx="975">
                  <c:v>2070</c:v>
                </c:pt>
                <c:pt idx="976">
                  <c:v>2022.2</c:v>
                </c:pt>
                <c:pt idx="977">
                  <c:v>2025.4</c:v>
                </c:pt>
                <c:pt idx="978">
                  <c:v>1974.6</c:v>
                </c:pt>
                <c:pt idx="979">
                  <c:v>2020.5</c:v>
                </c:pt>
                <c:pt idx="980">
                  <c:v>2013.2</c:v>
                </c:pt>
                <c:pt idx="981">
                  <c:v>2040.3</c:v>
                </c:pt>
                <c:pt idx="982">
                  <c:v>2071.6</c:v>
                </c:pt>
                <c:pt idx="983">
                  <c:v>2069.6999999999998</c:v>
                </c:pt>
                <c:pt idx="984">
                  <c:v>2042.4</c:v>
                </c:pt>
                <c:pt idx="985">
                  <c:v>2051.5</c:v>
                </c:pt>
                <c:pt idx="986">
                  <c:v>2067.6</c:v>
                </c:pt>
                <c:pt idx="987">
                  <c:v>2043.5</c:v>
                </c:pt>
                <c:pt idx="988">
                  <c:v>2053.4</c:v>
                </c:pt>
                <c:pt idx="989">
                  <c:v>2096.5</c:v>
                </c:pt>
                <c:pt idx="990">
                  <c:v>2082.4</c:v>
                </c:pt>
                <c:pt idx="991">
                  <c:v>2078.4</c:v>
                </c:pt>
                <c:pt idx="992">
                  <c:v>2089.3000000000002</c:v>
                </c:pt>
                <c:pt idx="993">
                  <c:v>2110.8000000000002</c:v>
                </c:pt>
                <c:pt idx="994">
                  <c:v>2102.6999999999998</c:v>
                </c:pt>
                <c:pt idx="995">
                  <c:v>2100.1999999999998</c:v>
                </c:pt>
                <c:pt idx="996">
                  <c:v>2105.3000000000002</c:v>
                </c:pt>
                <c:pt idx="997">
                  <c:v>2074.8000000000002</c:v>
                </c:pt>
                <c:pt idx="998">
                  <c:v>2033.3</c:v>
                </c:pt>
                <c:pt idx="999">
                  <c:v>2056</c:v>
                </c:pt>
                <c:pt idx="1000">
                  <c:v>2051.6</c:v>
                </c:pt>
                <c:pt idx="1001">
                  <c:v>2058.5</c:v>
                </c:pt>
                <c:pt idx="1002">
                  <c:v>2044.3</c:v>
                </c:pt>
                <c:pt idx="1003">
                  <c:v>2048.3000000000002</c:v>
                </c:pt>
                <c:pt idx="1004">
                  <c:v>2046.6</c:v>
                </c:pt>
                <c:pt idx="1005">
                  <c:v>2038.5</c:v>
                </c:pt>
                <c:pt idx="1006">
                  <c:v>2071.1</c:v>
                </c:pt>
                <c:pt idx="1007">
                  <c:v>2046.9</c:v>
                </c:pt>
                <c:pt idx="1008">
                  <c:v>2055.6</c:v>
                </c:pt>
                <c:pt idx="1009">
                  <c:v>2042.2</c:v>
                </c:pt>
                <c:pt idx="1010">
                  <c:v>2028.3</c:v>
                </c:pt>
                <c:pt idx="1011">
                  <c:v>2024.8</c:v>
                </c:pt>
                <c:pt idx="1012">
                  <c:v>2011.3</c:v>
                </c:pt>
                <c:pt idx="1013">
                  <c:v>2024.8</c:v>
                </c:pt>
                <c:pt idx="1014">
                  <c:v>2052.6</c:v>
                </c:pt>
                <c:pt idx="1015">
                  <c:v>2070.1</c:v>
                </c:pt>
                <c:pt idx="1016">
                  <c:v>2075.9</c:v>
                </c:pt>
                <c:pt idx="1017">
                  <c:v>2079.9</c:v>
                </c:pt>
                <c:pt idx="1018">
                  <c:v>2086.6999999999998</c:v>
                </c:pt>
                <c:pt idx="1019">
                  <c:v>2100.6999999999998</c:v>
                </c:pt>
                <c:pt idx="1020">
                  <c:v>2094</c:v>
                </c:pt>
                <c:pt idx="1021">
                  <c:v>2106.1999999999998</c:v>
                </c:pt>
                <c:pt idx="1022">
                  <c:v>2109</c:v>
                </c:pt>
                <c:pt idx="1023">
                  <c:v>2077</c:v>
                </c:pt>
                <c:pt idx="1024">
                  <c:v>2106.6</c:v>
                </c:pt>
                <c:pt idx="1025">
                  <c:v>2079.5</c:v>
                </c:pt>
                <c:pt idx="1026">
                  <c:v>2074.8000000000002</c:v>
                </c:pt>
                <c:pt idx="1027">
                  <c:v>2072.3000000000002</c:v>
                </c:pt>
                <c:pt idx="1028">
                  <c:v>2062.5</c:v>
                </c:pt>
                <c:pt idx="1029">
                  <c:v>2053.9</c:v>
                </c:pt>
                <c:pt idx="1030">
                  <c:v>2059.1999999999998</c:v>
                </c:pt>
                <c:pt idx="1031">
                  <c:v>2051.1</c:v>
                </c:pt>
                <c:pt idx="1032">
                  <c:v>2061.1</c:v>
                </c:pt>
                <c:pt idx="1033">
                  <c:v>2071.3000000000002</c:v>
                </c:pt>
                <c:pt idx="1034">
                  <c:v>2055.6</c:v>
                </c:pt>
                <c:pt idx="1035">
                  <c:v>2085.6</c:v>
                </c:pt>
                <c:pt idx="1036">
                  <c:v>2083.9</c:v>
                </c:pt>
                <c:pt idx="1037">
                  <c:v>2078.9</c:v>
                </c:pt>
                <c:pt idx="1038">
                  <c:v>2089.4</c:v>
                </c:pt>
                <c:pt idx="1039">
                  <c:v>2055.6</c:v>
                </c:pt>
                <c:pt idx="1040">
                  <c:v>2026.8</c:v>
                </c:pt>
                <c:pt idx="1041">
                  <c:v>2018</c:v>
                </c:pt>
                <c:pt idx="1042">
                  <c:v>2026.8</c:v>
                </c:pt>
                <c:pt idx="1043">
                  <c:v>2030.7</c:v>
                </c:pt>
                <c:pt idx="1044">
                  <c:v>2031.7</c:v>
                </c:pt>
                <c:pt idx="1045">
                  <c:v>2035</c:v>
                </c:pt>
                <c:pt idx="1046">
                  <c:v>2021.3</c:v>
                </c:pt>
                <c:pt idx="1047">
                  <c:v>2048.4</c:v>
                </c:pt>
                <c:pt idx="1048">
                  <c:v>2045.3</c:v>
                </c:pt>
                <c:pt idx="1049">
                  <c:v>2058</c:v>
                </c:pt>
                <c:pt idx="1050">
                  <c:v>2089.6999999999998</c:v>
                </c:pt>
                <c:pt idx="1051">
                  <c:v>2092.5</c:v>
                </c:pt>
                <c:pt idx="1052">
                  <c:v>2087.6</c:v>
                </c:pt>
                <c:pt idx="1053">
                  <c:v>2112.6999999999998</c:v>
                </c:pt>
                <c:pt idx="1054">
                  <c:v>2130.1999999999998</c:v>
                </c:pt>
                <c:pt idx="1055">
                  <c:v>2117</c:v>
                </c:pt>
                <c:pt idx="1056">
                  <c:v>2133.1999999999998</c:v>
                </c:pt>
                <c:pt idx="1057">
                  <c:v>2135</c:v>
                </c:pt>
                <c:pt idx="1058">
                  <c:v>2115.6999999999998</c:v>
                </c:pt>
                <c:pt idx="1059">
                  <c:v>2117</c:v>
                </c:pt>
                <c:pt idx="1060">
                  <c:v>2101.5</c:v>
                </c:pt>
                <c:pt idx="1061">
                  <c:v>2097</c:v>
                </c:pt>
                <c:pt idx="1062">
                  <c:v>2093.1999999999998</c:v>
                </c:pt>
                <c:pt idx="1063">
                  <c:v>2118.1999999999998</c:v>
                </c:pt>
                <c:pt idx="1064">
                  <c:v>2118.6</c:v>
                </c:pt>
                <c:pt idx="1065">
                  <c:v>2099.3000000000002</c:v>
                </c:pt>
                <c:pt idx="1066">
                  <c:v>2102.1999999999998</c:v>
                </c:pt>
                <c:pt idx="1067">
                  <c:v>2126.1999999999998</c:v>
                </c:pt>
                <c:pt idx="1068">
                  <c:v>2118.6999999999998</c:v>
                </c:pt>
                <c:pt idx="1069">
                  <c:v>2109.5</c:v>
                </c:pt>
                <c:pt idx="1070">
                  <c:v>2070.3000000000002</c:v>
                </c:pt>
                <c:pt idx="1071">
                  <c:v>2053.3000000000002</c:v>
                </c:pt>
                <c:pt idx="1072">
                  <c:v>2025.2</c:v>
                </c:pt>
                <c:pt idx="1073">
                  <c:v>2001.6</c:v>
                </c:pt>
                <c:pt idx="1074">
                  <c:v>1994</c:v>
                </c:pt>
                <c:pt idx="1075">
                  <c:v>1999.5</c:v>
                </c:pt>
                <c:pt idx="1076">
                  <c:v>2000.5</c:v>
                </c:pt>
                <c:pt idx="1077">
                  <c:v>2010.1</c:v>
                </c:pt>
                <c:pt idx="1078">
                  <c:v>1992.1</c:v>
                </c:pt>
                <c:pt idx="1079">
                  <c:v>2005.2</c:v>
                </c:pt>
                <c:pt idx="1080">
                  <c:v>1991.8</c:v>
                </c:pt>
                <c:pt idx="1081">
                  <c:v>1983</c:v>
                </c:pt>
                <c:pt idx="1082">
                  <c:v>1984.1</c:v>
                </c:pt>
                <c:pt idx="1083">
                  <c:v>1936.1</c:v>
                </c:pt>
                <c:pt idx="1084">
                  <c:v>1925.4</c:v>
                </c:pt>
                <c:pt idx="1085">
                  <c:v>1946.9</c:v>
                </c:pt>
                <c:pt idx="1086">
                  <c:v>1911</c:v>
                </c:pt>
                <c:pt idx="1087">
                  <c:v>1918.9</c:v>
                </c:pt>
                <c:pt idx="1088">
                  <c:v>1918.5</c:v>
                </c:pt>
                <c:pt idx="1089">
                  <c:v>1922.6</c:v>
                </c:pt>
                <c:pt idx="1090">
                  <c:v>1930.8</c:v>
                </c:pt>
                <c:pt idx="1091">
                  <c:v>1965</c:v>
                </c:pt>
                <c:pt idx="1092">
                  <c:v>1969.8</c:v>
                </c:pt>
                <c:pt idx="1093">
                  <c:v>1979.3</c:v>
                </c:pt>
                <c:pt idx="1094">
                  <c:v>1981.9</c:v>
                </c:pt>
                <c:pt idx="1095">
                  <c:v>1972.3</c:v>
                </c:pt>
                <c:pt idx="1096">
                  <c:v>1993.7</c:v>
                </c:pt>
                <c:pt idx="1097">
                  <c:v>1988.5</c:v>
                </c:pt>
                <c:pt idx="1098">
                  <c:v>1986.5</c:v>
                </c:pt>
                <c:pt idx="1099">
                  <c:v>1965.3</c:v>
                </c:pt>
                <c:pt idx="1100">
                  <c:v>1951</c:v>
                </c:pt>
                <c:pt idx="1101">
                  <c:v>1956</c:v>
                </c:pt>
                <c:pt idx="1102">
                  <c:v>1976.6</c:v>
                </c:pt>
                <c:pt idx="1103">
                  <c:v>1976.2</c:v>
                </c:pt>
                <c:pt idx="1104">
                  <c:v>2007</c:v>
                </c:pt>
                <c:pt idx="1105">
                  <c:v>2029.5</c:v>
                </c:pt>
                <c:pt idx="1106">
                  <c:v>2026.1</c:v>
                </c:pt>
                <c:pt idx="1107">
                  <c:v>2015.9</c:v>
                </c:pt>
                <c:pt idx="1108">
                  <c:v>2035.9</c:v>
                </c:pt>
                <c:pt idx="1109">
                  <c:v>2028.7</c:v>
                </c:pt>
                <c:pt idx="1110">
                  <c:v>2044.8</c:v>
                </c:pt>
                <c:pt idx="1111">
                  <c:v>2023.8</c:v>
                </c:pt>
                <c:pt idx="1112">
                  <c:v>2024.8</c:v>
                </c:pt>
                <c:pt idx="1113">
                  <c:v>2039.6</c:v>
                </c:pt>
                <c:pt idx="1114">
                  <c:v>2059.1</c:v>
                </c:pt>
                <c:pt idx="1115">
                  <c:v>2078.1</c:v>
                </c:pt>
                <c:pt idx="1116">
                  <c:v>2096.9</c:v>
                </c:pt>
                <c:pt idx="1117">
                  <c:v>2086.6999999999998</c:v>
                </c:pt>
                <c:pt idx="1118">
                  <c:v>2110.5</c:v>
                </c:pt>
                <c:pt idx="1119">
                  <c:v>2095.3000000000002</c:v>
                </c:pt>
                <c:pt idx="1120">
                  <c:v>2087.1</c:v>
                </c:pt>
                <c:pt idx="1121">
                  <c:v>2065.1</c:v>
                </c:pt>
                <c:pt idx="1122">
                  <c:v>2083.1999999999998</c:v>
                </c:pt>
                <c:pt idx="1123">
                  <c:v>2080.4</c:v>
                </c:pt>
                <c:pt idx="1124">
                  <c:v>2105.1</c:v>
                </c:pt>
                <c:pt idx="1125">
                  <c:v>2077.9</c:v>
                </c:pt>
                <c:pt idx="1126">
                  <c:v>2067.4</c:v>
                </c:pt>
                <c:pt idx="1127">
                  <c:v>2087.6999999999998</c:v>
                </c:pt>
                <c:pt idx="1128">
                  <c:v>2092.1999999999998</c:v>
                </c:pt>
                <c:pt idx="1129">
                  <c:v>2126.4</c:v>
                </c:pt>
                <c:pt idx="1130">
                  <c:v>2136.3000000000002</c:v>
                </c:pt>
                <c:pt idx="1131">
                  <c:v>2146.4</c:v>
                </c:pt>
                <c:pt idx="1132">
                  <c:v>2141.1</c:v>
                </c:pt>
                <c:pt idx="1133">
                  <c:v>2131</c:v>
                </c:pt>
                <c:pt idx="1134">
                  <c:v>2121.8000000000002</c:v>
                </c:pt>
                <c:pt idx="1135">
                  <c:v>2119.6</c:v>
                </c:pt>
                <c:pt idx="1136">
                  <c:v>2115.1</c:v>
                </c:pt>
                <c:pt idx="1137">
                  <c:v>2128</c:v>
                </c:pt>
                <c:pt idx="1138">
                  <c:v>2120</c:v>
                </c:pt>
                <c:pt idx="1139">
                  <c:v>2141.8000000000002</c:v>
                </c:pt>
                <c:pt idx="1140">
                  <c:v>2136.6999999999998</c:v>
                </c:pt>
                <c:pt idx="1141">
                  <c:v>2143.6999999999998</c:v>
                </c:pt>
                <c:pt idx="1142">
                  <c:v>2148.6999999999998</c:v>
                </c:pt>
                <c:pt idx="1143">
                  <c:v>2139.8000000000002</c:v>
                </c:pt>
                <c:pt idx="1144">
                  <c:v>2130.4</c:v>
                </c:pt>
                <c:pt idx="1145">
                  <c:v>2122.4</c:v>
                </c:pt>
                <c:pt idx="1146">
                  <c:v>2096.4</c:v>
                </c:pt>
                <c:pt idx="1147">
                  <c:v>2106.6</c:v>
                </c:pt>
                <c:pt idx="1148">
                  <c:v>2083.9</c:v>
                </c:pt>
                <c:pt idx="1149">
                  <c:v>2092.3000000000002</c:v>
                </c:pt>
                <c:pt idx="1150">
                  <c:v>2114.9</c:v>
                </c:pt>
                <c:pt idx="1151">
                  <c:v>2105.6999999999998</c:v>
                </c:pt>
                <c:pt idx="1152">
                  <c:v>2121.1999999999998</c:v>
                </c:pt>
                <c:pt idx="1153">
                  <c:v>2153.4</c:v>
                </c:pt>
                <c:pt idx="1154">
                  <c:v>2179.3000000000002</c:v>
                </c:pt>
                <c:pt idx="1155">
                  <c:v>2201.9</c:v>
                </c:pt>
                <c:pt idx="1156">
                  <c:v>2199.1</c:v>
                </c:pt>
                <c:pt idx="1157">
                  <c:v>2214.4</c:v>
                </c:pt>
                <c:pt idx="1158">
                  <c:v>2184.9</c:v>
                </c:pt>
                <c:pt idx="1159">
                  <c:v>2199.6</c:v>
                </c:pt>
                <c:pt idx="1160">
                  <c:v>2193</c:v>
                </c:pt>
                <c:pt idx="1161">
                  <c:v>2182.9</c:v>
                </c:pt>
                <c:pt idx="1162">
                  <c:v>2184.3000000000002</c:v>
                </c:pt>
                <c:pt idx="1163">
                  <c:v>2201.9</c:v>
                </c:pt>
                <c:pt idx="1164">
                  <c:v>2197.5</c:v>
                </c:pt>
                <c:pt idx="1165">
                  <c:v>2229.1</c:v>
                </c:pt>
                <c:pt idx="1166">
                  <c:v>2240.8000000000002</c:v>
                </c:pt>
                <c:pt idx="1167">
                  <c:v>2234.4</c:v>
                </c:pt>
                <c:pt idx="1168">
                  <c:v>2230</c:v>
                </c:pt>
                <c:pt idx="1169">
                  <c:v>2218.6999999999998</c:v>
                </c:pt>
                <c:pt idx="1170">
                  <c:v>2220</c:v>
                </c:pt>
                <c:pt idx="1171">
                  <c:v>2241.5</c:v>
                </c:pt>
                <c:pt idx="1172">
                  <c:v>2240.6999999999998</c:v>
                </c:pt>
                <c:pt idx="1173">
                  <c:v>2236</c:v>
                </c:pt>
                <c:pt idx="1174">
                  <c:v>2243.4</c:v>
                </c:pt>
                <c:pt idx="1175">
                  <c:v>2237.6999999999998</c:v>
                </c:pt>
                <c:pt idx="1176">
                  <c:v>2221.8000000000002</c:v>
                </c:pt>
                <c:pt idx="1177">
                  <c:v>2218.6999999999998</c:v>
                </c:pt>
                <c:pt idx="1178">
                  <c:v>2232.9</c:v>
                </c:pt>
                <c:pt idx="1179">
                  <c:v>2208.5</c:v>
                </c:pt>
                <c:pt idx="1180">
                  <c:v>2227.6</c:v>
                </c:pt>
                <c:pt idx="1181">
                  <c:v>2252.9</c:v>
                </c:pt>
                <c:pt idx="1182">
                  <c:v>2260.3000000000002</c:v>
                </c:pt>
                <c:pt idx="1183">
                  <c:v>2263.5</c:v>
                </c:pt>
                <c:pt idx="1184">
                  <c:v>2269.4</c:v>
                </c:pt>
                <c:pt idx="1185">
                  <c:v>2258.9</c:v>
                </c:pt>
                <c:pt idx="1186">
                  <c:v>2263.4</c:v>
                </c:pt>
                <c:pt idx="1187">
                  <c:v>2262.9</c:v>
                </c:pt>
                <c:pt idx="1188">
                  <c:v>2249.3000000000002</c:v>
                </c:pt>
                <c:pt idx="1189">
                  <c:v>2241.1</c:v>
                </c:pt>
                <c:pt idx="1190">
                  <c:v>2231.6</c:v>
                </c:pt>
                <c:pt idx="1191">
                  <c:v>2240.1</c:v>
                </c:pt>
                <c:pt idx="1192">
                  <c:v>2238.3000000000002</c:v>
                </c:pt>
                <c:pt idx="1193">
                  <c:v>2233.1</c:v>
                </c:pt>
                <c:pt idx="1194">
                  <c:v>2250.3000000000002</c:v>
                </c:pt>
                <c:pt idx="1195">
                  <c:v>2264.8000000000002</c:v>
                </c:pt>
                <c:pt idx="1196">
                  <c:v>2277.1</c:v>
                </c:pt>
                <c:pt idx="1197">
                  <c:v>2268</c:v>
                </c:pt>
                <c:pt idx="1198">
                  <c:v>2273.6999999999998</c:v>
                </c:pt>
                <c:pt idx="1199">
                  <c:v>2260.8000000000002</c:v>
                </c:pt>
                <c:pt idx="1200">
                  <c:v>2270.8000000000002</c:v>
                </c:pt>
                <c:pt idx="1201">
                  <c:v>2295.5</c:v>
                </c:pt>
                <c:pt idx="1202">
                  <c:v>2300</c:v>
                </c:pt>
                <c:pt idx="1203">
                  <c:v>2317</c:v>
                </c:pt>
                <c:pt idx="1204">
                  <c:v>2301.4</c:v>
                </c:pt>
                <c:pt idx="1205">
                  <c:v>2311.3000000000002</c:v>
                </c:pt>
                <c:pt idx="1206">
                  <c:v>2305.1</c:v>
                </c:pt>
                <c:pt idx="1207">
                  <c:v>2287.3000000000002</c:v>
                </c:pt>
                <c:pt idx="1208">
                  <c:v>2211.8000000000002</c:v>
                </c:pt>
                <c:pt idx="1209">
                  <c:v>2208.4</c:v>
                </c:pt>
                <c:pt idx="1210">
                  <c:v>2227.9</c:v>
                </c:pt>
                <c:pt idx="1211">
                  <c:v>2185.4</c:v>
                </c:pt>
                <c:pt idx="1212">
                  <c:v>2171.9</c:v>
                </c:pt>
                <c:pt idx="1213">
                  <c:v>2187</c:v>
                </c:pt>
                <c:pt idx="1214">
                  <c:v>2205</c:v>
                </c:pt>
                <c:pt idx="1215">
                  <c:v>2217.8000000000002</c:v>
                </c:pt>
                <c:pt idx="1216">
                  <c:v>2208.8000000000002</c:v>
                </c:pt>
                <c:pt idx="1217">
                  <c:v>2171.4</c:v>
                </c:pt>
                <c:pt idx="1218">
                  <c:v>2168.6999999999998</c:v>
                </c:pt>
                <c:pt idx="1219">
                  <c:v>2138.8000000000002</c:v>
                </c:pt>
                <c:pt idx="1220">
                  <c:v>2145.3000000000002</c:v>
                </c:pt>
                <c:pt idx="1221">
                  <c:v>2158.1</c:v>
                </c:pt>
                <c:pt idx="1222">
                  <c:v>2196.8000000000002</c:v>
                </c:pt>
                <c:pt idx="1223">
                  <c:v>2191.4</c:v>
                </c:pt>
                <c:pt idx="1224">
                  <c:v>2201</c:v>
                </c:pt>
                <c:pt idx="1225">
                  <c:v>2194.8000000000002</c:v>
                </c:pt>
                <c:pt idx="1226">
                  <c:v>2179.6</c:v>
                </c:pt>
                <c:pt idx="1227">
                  <c:v>2170.5</c:v>
                </c:pt>
                <c:pt idx="1228">
                  <c:v>2107.4</c:v>
                </c:pt>
                <c:pt idx="1229">
                  <c:v>2113.6</c:v>
                </c:pt>
                <c:pt idx="1230">
                  <c:v>2150.1</c:v>
                </c:pt>
                <c:pt idx="1231">
                  <c:v>2131.8000000000002</c:v>
                </c:pt>
                <c:pt idx="1232">
                  <c:v>2096.1</c:v>
                </c:pt>
                <c:pt idx="1233">
                  <c:v>2146.1</c:v>
                </c:pt>
                <c:pt idx="1234">
                  <c:v>2167.9</c:v>
                </c:pt>
                <c:pt idx="1235">
                  <c:v>2163.1999999999998</c:v>
                </c:pt>
                <c:pt idx="1236">
                  <c:v>2184</c:v>
                </c:pt>
                <c:pt idx="1237">
                  <c:v>2181.6999999999998</c:v>
                </c:pt>
                <c:pt idx="1238">
                  <c:v>2165.8000000000002</c:v>
                </c:pt>
                <c:pt idx="1239">
                  <c:v>2175</c:v>
                </c:pt>
                <c:pt idx="1240">
                  <c:v>2172.3000000000002</c:v>
                </c:pt>
                <c:pt idx="1241">
                  <c:v>2192.8000000000002</c:v>
                </c:pt>
                <c:pt idx="1242">
                  <c:v>2172.1999999999998</c:v>
                </c:pt>
                <c:pt idx="1243">
                  <c:v>2175.3000000000002</c:v>
                </c:pt>
                <c:pt idx="1244">
                  <c:v>2197.3000000000002</c:v>
                </c:pt>
                <c:pt idx="1245">
                  <c:v>2186.1999999999998</c:v>
                </c:pt>
                <c:pt idx="1246">
                  <c:v>2200.6999999999998</c:v>
                </c:pt>
                <c:pt idx="1247">
                  <c:v>2201.3000000000002</c:v>
                </c:pt>
                <c:pt idx="1248">
                  <c:v>2218.3000000000002</c:v>
                </c:pt>
                <c:pt idx="1249">
                  <c:v>2205.1</c:v>
                </c:pt>
                <c:pt idx="1250">
                  <c:v>2193.3000000000002</c:v>
                </c:pt>
                <c:pt idx="1251">
                  <c:v>2192.3000000000002</c:v>
                </c:pt>
                <c:pt idx="1252">
                  <c:v>2198.1999999999998</c:v>
                </c:pt>
                <c:pt idx="1253">
                  <c:v>2238.1</c:v>
                </c:pt>
                <c:pt idx="1254">
                  <c:v>2241.5</c:v>
                </c:pt>
                <c:pt idx="1255">
                  <c:v>2245.6</c:v>
                </c:pt>
                <c:pt idx="1256">
                  <c:v>2242.8000000000002</c:v>
                </c:pt>
                <c:pt idx="1257">
                  <c:v>2260.6999999999998</c:v>
                </c:pt>
                <c:pt idx="1258">
                  <c:v>2252.1999999999998</c:v>
                </c:pt>
                <c:pt idx="1259">
                  <c:v>2261</c:v>
                </c:pt>
                <c:pt idx="1260">
                  <c:v>2267.1999999999998</c:v>
                </c:pt>
                <c:pt idx="1261">
                  <c:v>2263.1</c:v>
                </c:pt>
                <c:pt idx="1262">
                  <c:v>2267.5</c:v>
                </c:pt>
                <c:pt idx="1263">
                  <c:v>2272.8000000000002</c:v>
                </c:pt>
                <c:pt idx="1264">
                  <c:v>2289.8000000000002</c:v>
                </c:pt>
                <c:pt idx="1265">
                  <c:v>2277.8000000000002</c:v>
                </c:pt>
                <c:pt idx="1266">
                  <c:v>2285.9</c:v>
                </c:pt>
                <c:pt idx="1267">
                  <c:v>2284.8000000000002</c:v>
                </c:pt>
                <c:pt idx="1268">
                  <c:v>2266.1999999999998</c:v>
                </c:pt>
                <c:pt idx="1269">
                  <c:v>2235.6</c:v>
                </c:pt>
                <c:pt idx="1270">
                  <c:v>2262.1</c:v>
                </c:pt>
                <c:pt idx="1271">
                  <c:v>2265.1</c:v>
                </c:pt>
                <c:pt idx="1272">
                  <c:v>2280.4</c:v>
                </c:pt>
                <c:pt idx="1273">
                  <c:v>2280.4</c:v>
                </c:pt>
                <c:pt idx="1274">
                  <c:v>2275.8000000000002</c:v>
                </c:pt>
                <c:pt idx="1275">
                  <c:v>2253.9</c:v>
                </c:pt>
                <c:pt idx="1276">
                  <c:v>2284.9</c:v>
                </c:pt>
                <c:pt idx="1277">
                  <c:v>2329.1999999999998</c:v>
                </c:pt>
                <c:pt idx="1278">
                  <c:v>2324.3000000000002</c:v>
                </c:pt>
                <c:pt idx="1279">
                  <c:v>2331.9</c:v>
                </c:pt>
                <c:pt idx="1280">
                  <c:v>2323.5</c:v>
                </c:pt>
                <c:pt idx="1281">
                  <c:v>2349.6999999999998</c:v>
                </c:pt>
                <c:pt idx="1282">
                  <c:v>2338.1999999999998</c:v>
                </c:pt>
                <c:pt idx="1283">
                  <c:v>2329.5</c:v>
                </c:pt>
                <c:pt idx="1284">
                  <c:v>2356.5</c:v>
                </c:pt>
                <c:pt idx="1285">
                  <c:v>2359.1</c:v>
                </c:pt>
                <c:pt idx="1286">
                  <c:v>2376.9</c:v>
                </c:pt>
                <c:pt idx="1287">
                  <c:v>2371.3000000000002</c:v>
                </c:pt>
                <c:pt idx="1288">
                  <c:v>2380.9</c:v>
                </c:pt>
                <c:pt idx="1289">
                  <c:v>2398.8000000000002</c:v>
                </c:pt>
                <c:pt idx="1290">
                  <c:v>2390.5</c:v>
                </c:pt>
                <c:pt idx="1291">
                  <c:v>2384.5</c:v>
                </c:pt>
                <c:pt idx="1292">
                  <c:v>2423.1</c:v>
                </c:pt>
                <c:pt idx="1293">
                  <c:v>2443.6999999999998</c:v>
                </c:pt>
                <c:pt idx="1294">
                  <c:v>2432.9</c:v>
                </c:pt>
                <c:pt idx="1295">
                  <c:v>2446.1</c:v>
                </c:pt>
                <c:pt idx="1296">
                  <c:v>2435.8000000000002</c:v>
                </c:pt>
                <c:pt idx="1297">
                  <c:v>2470.1</c:v>
                </c:pt>
                <c:pt idx="1298">
                  <c:v>2459.3000000000002</c:v>
                </c:pt>
                <c:pt idx="1299">
                  <c:v>2452.1</c:v>
                </c:pt>
                <c:pt idx="1300">
                  <c:v>2419</c:v>
                </c:pt>
                <c:pt idx="1301">
                  <c:v>2428.3000000000002</c:v>
                </c:pt>
                <c:pt idx="1302">
                  <c:v>2446.1999999999998</c:v>
                </c:pt>
                <c:pt idx="1303">
                  <c:v>2430.1999999999998</c:v>
                </c:pt>
                <c:pt idx="1304">
                  <c:v>2411.9</c:v>
                </c:pt>
                <c:pt idx="1305">
                  <c:v>2428.1</c:v>
                </c:pt>
                <c:pt idx="1306">
                  <c:v>2433.9</c:v>
                </c:pt>
                <c:pt idx="1307">
                  <c:v>2427.1</c:v>
                </c:pt>
                <c:pt idx="1308">
                  <c:v>2423</c:v>
                </c:pt>
                <c:pt idx="1309">
                  <c:v>2429</c:v>
                </c:pt>
                <c:pt idx="1310">
                  <c:v>2398.6</c:v>
                </c:pt>
                <c:pt idx="1311">
                  <c:v>2382.6</c:v>
                </c:pt>
                <c:pt idx="1312">
                  <c:v>2391.1</c:v>
                </c:pt>
                <c:pt idx="1313">
                  <c:v>2412</c:v>
                </c:pt>
                <c:pt idx="1314">
                  <c:v>2451.8000000000002</c:v>
                </c:pt>
                <c:pt idx="1315">
                  <c:v>2442.3000000000002</c:v>
                </c:pt>
                <c:pt idx="1316">
                  <c:v>2444.9</c:v>
                </c:pt>
                <c:pt idx="1317">
                  <c:v>2472.5</c:v>
                </c:pt>
                <c:pt idx="1318">
                  <c:v>2473.6</c:v>
                </c:pt>
                <c:pt idx="1319">
                  <c:v>2501.1999999999998</c:v>
                </c:pt>
                <c:pt idx="1320">
                  <c:v>2488</c:v>
                </c:pt>
                <c:pt idx="1321">
                  <c:v>2479</c:v>
                </c:pt>
                <c:pt idx="1322">
                  <c:v>2466</c:v>
                </c:pt>
                <c:pt idx="1323">
                  <c:v>2480.9</c:v>
                </c:pt>
                <c:pt idx="1324">
                  <c:v>2469.1</c:v>
                </c:pt>
                <c:pt idx="1325">
                  <c:v>2407.8000000000002</c:v>
                </c:pt>
                <c:pt idx="1326">
                  <c:v>2436</c:v>
                </c:pt>
                <c:pt idx="1327">
                  <c:v>2426.4</c:v>
                </c:pt>
                <c:pt idx="1328">
                  <c:v>2426.5</c:v>
                </c:pt>
                <c:pt idx="1329">
                  <c:v>2458.1999999999998</c:v>
                </c:pt>
                <c:pt idx="1330">
                  <c:v>2463.1999999999998</c:v>
                </c:pt>
                <c:pt idx="1331">
                  <c:v>2493.3000000000002</c:v>
                </c:pt>
                <c:pt idx="1332">
                  <c:v>2485.9</c:v>
                </c:pt>
                <c:pt idx="1333">
                  <c:v>2504.1</c:v>
                </c:pt>
                <c:pt idx="1334">
                  <c:v>2504.1999999999998</c:v>
                </c:pt>
                <c:pt idx="1335">
                  <c:v>2510.3000000000002</c:v>
                </c:pt>
                <c:pt idx="1336">
                  <c:v>2499.3000000000002</c:v>
                </c:pt>
                <c:pt idx="1337">
                  <c:v>2525.4</c:v>
                </c:pt>
                <c:pt idx="1338">
                  <c:v>2508.4</c:v>
                </c:pt>
                <c:pt idx="1339">
                  <c:v>2485.9</c:v>
                </c:pt>
                <c:pt idx="1340">
                  <c:v>2489.1</c:v>
                </c:pt>
                <c:pt idx="1341">
                  <c:v>2501.1999999999998</c:v>
                </c:pt>
                <c:pt idx="1342">
                  <c:v>2494.4</c:v>
                </c:pt>
                <c:pt idx="1343">
                  <c:v>2495.1999999999998</c:v>
                </c:pt>
                <c:pt idx="1344">
                  <c:v>2503.3000000000002</c:v>
                </c:pt>
                <c:pt idx="1345">
                  <c:v>2530</c:v>
                </c:pt>
                <c:pt idx="1346">
                  <c:v>2509.6999999999998</c:v>
                </c:pt>
                <c:pt idx="1347">
                  <c:v>2511.8000000000002</c:v>
                </c:pt>
                <c:pt idx="1348">
                  <c:v>2545.9</c:v>
                </c:pt>
                <c:pt idx="1349">
                  <c:v>2538.4</c:v>
                </c:pt>
                <c:pt idx="1350">
                  <c:v>2524.1999999999998</c:v>
                </c:pt>
                <c:pt idx="1351">
                  <c:v>2535.5</c:v>
                </c:pt>
                <c:pt idx="1352">
                  <c:v>2536.5</c:v>
                </c:pt>
                <c:pt idx="1353">
                  <c:v>2545.9</c:v>
                </c:pt>
                <c:pt idx="1354">
                  <c:v>2550.1999999999998</c:v>
                </c:pt>
                <c:pt idx="1355">
                  <c:v>2538.3000000000002</c:v>
                </c:pt>
                <c:pt idx="1356">
                  <c:v>2532.4</c:v>
                </c:pt>
                <c:pt idx="1357">
                  <c:v>2537.1999999999998</c:v>
                </c:pt>
                <c:pt idx="1358">
                  <c:v>2506.5</c:v>
                </c:pt>
                <c:pt idx="1359">
                  <c:v>2505.3000000000002</c:v>
                </c:pt>
                <c:pt idx="1360">
                  <c:v>2502.3000000000002</c:v>
                </c:pt>
                <c:pt idx="1361">
                  <c:v>2457.5</c:v>
                </c:pt>
                <c:pt idx="1362">
                  <c:v>2468.9</c:v>
                </c:pt>
                <c:pt idx="1363">
                  <c:v>2479.5</c:v>
                </c:pt>
                <c:pt idx="1364">
                  <c:v>2472.6</c:v>
                </c:pt>
                <c:pt idx="1365">
                  <c:v>2469.4</c:v>
                </c:pt>
                <c:pt idx="1366">
                  <c:v>2468.8000000000002</c:v>
                </c:pt>
                <c:pt idx="1367">
                  <c:v>2496.1999999999998</c:v>
                </c:pt>
                <c:pt idx="1368">
                  <c:v>2519.6999999999998</c:v>
                </c:pt>
                <c:pt idx="1369">
                  <c:v>2528.8000000000002</c:v>
                </c:pt>
                <c:pt idx="1370">
                  <c:v>2537.3000000000002</c:v>
                </c:pt>
                <c:pt idx="1371">
                  <c:v>2550</c:v>
                </c:pt>
                <c:pt idx="1372">
                  <c:v>2570.8000000000002</c:v>
                </c:pt>
                <c:pt idx="1373">
                  <c:v>2556.9</c:v>
                </c:pt>
                <c:pt idx="1374">
                  <c:v>2560.5</c:v>
                </c:pt>
                <c:pt idx="1375">
                  <c:v>2542.1999999999998</c:v>
                </c:pt>
                <c:pt idx="1376">
                  <c:v>2558.3000000000002</c:v>
                </c:pt>
                <c:pt idx="1377">
                  <c:v>2551.5</c:v>
                </c:pt>
                <c:pt idx="1378">
                  <c:v>2527.3000000000002</c:v>
                </c:pt>
                <c:pt idx="1379">
                  <c:v>2542.8000000000002</c:v>
                </c:pt>
                <c:pt idx="1380">
                  <c:v>2532.8000000000002</c:v>
                </c:pt>
                <c:pt idx="1381">
                  <c:v>2546.3000000000002</c:v>
                </c:pt>
                <c:pt idx="1382">
                  <c:v>2552.5</c:v>
                </c:pt>
                <c:pt idx="1383">
                  <c:v>2557.4</c:v>
                </c:pt>
                <c:pt idx="1384">
                  <c:v>2558.8000000000002</c:v>
                </c:pt>
                <c:pt idx="1385">
                  <c:v>2546.4</c:v>
                </c:pt>
                <c:pt idx="1386">
                  <c:v>2568.9</c:v>
                </c:pt>
                <c:pt idx="1387">
                  <c:v>2567.5</c:v>
                </c:pt>
                <c:pt idx="1388">
                  <c:v>2548.8000000000002</c:v>
                </c:pt>
                <c:pt idx="1389">
                  <c:v>2546.1</c:v>
                </c:pt>
                <c:pt idx="1390">
                  <c:v>2549.3000000000002</c:v>
                </c:pt>
                <c:pt idx="1391">
                  <c:v>2554.3000000000002</c:v>
                </c:pt>
                <c:pt idx="1392">
                  <c:v>2539.6999999999998</c:v>
                </c:pt>
                <c:pt idx="1393">
                  <c:v>2540.1</c:v>
                </c:pt>
                <c:pt idx="1394">
                  <c:v>2566.4</c:v>
                </c:pt>
                <c:pt idx="1395">
                  <c:v>2573</c:v>
                </c:pt>
                <c:pt idx="1396">
                  <c:v>2573.6999999999998</c:v>
                </c:pt>
                <c:pt idx="1397">
                  <c:v>2551.6</c:v>
                </c:pt>
                <c:pt idx="1398">
                  <c:v>2561.4</c:v>
                </c:pt>
                <c:pt idx="1399">
                  <c:v>2564</c:v>
                </c:pt>
                <c:pt idx="1400">
                  <c:v>2572.3000000000002</c:v>
                </c:pt>
                <c:pt idx="1401">
                  <c:v>2569</c:v>
                </c:pt>
                <c:pt idx="1402">
                  <c:v>2577.4</c:v>
                </c:pt>
                <c:pt idx="1403">
                  <c:v>2583.5</c:v>
                </c:pt>
                <c:pt idx="1404">
                  <c:v>2551</c:v>
                </c:pt>
                <c:pt idx="1405">
                  <c:v>2562.1999999999998</c:v>
                </c:pt>
                <c:pt idx="1406">
                  <c:v>2567.4</c:v>
                </c:pt>
                <c:pt idx="1407">
                  <c:v>2575.5</c:v>
                </c:pt>
                <c:pt idx="1408">
                  <c:v>2544.3000000000002</c:v>
                </c:pt>
                <c:pt idx="1409">
                  <c:v>2550.5</c:v>
                </c:pt>
                <c:pt idx="1410">
                  <c:v>2469.8000000000002</c:v>
                </c:pt>
                <c:pt idx="1411">
                  <c:v>2497.1999999999998</c:v>
                </c:pt>
                <c:pt idx="1412">
                  <c:v>2506.1999999999998</c:v>
                </c:pt>
                <c:pt idx="1413">
                  <c:v>2520.1999999999998</c:v>
                </c:pt>
                <c:pt idx="1414">
                  <c:v>2482.4</c:v>
                </c:pt>
                <c:pt idx="1415">
                  <c:v>2475.1</c:v>
                </c:pt>
                <c:pt idx="1416">
                  <c:v>2447.8000000000002</c:v>
                </c:pt>
                <c:pt idx="1417">
                  <c:v>2465</c:v>
                </c:pt>
                <c:pt idx="1418">
                  <c:v>2470.3000000000002</c:v>
                </c:pt>
                <c:pt idx="1419">
                  <c:v>2477.8000000000002</c:v>
                </c:pt>
                <c:pt idx="1420">
                  <c:v>2457.5</c:v>
                </c:pt>
                <c:pt idx="1421">
                  <c:v>2473.4</c:v>
                </c:pt>
                <c:pt idx="1422">
                  <c:v>2494.5</c:v>
                </c:pt>
                <c:pt idx="1423">
                  <c:v>2508.6999999999998</c:v>
                </c:pt>
                <c:pt idx="1424">
                  <c:v>2520.9</c:v>
                </c:pt>
                <c:pt idx="1425">
                  <c:v>2522.5</c:v>
                </c:pt>
                <c:pt idx="1426">
                  <c:v>2531.9</c:v>
                </c:pt>
                <c:pt idx="1427">
                  <c:v>2538.1999999999998</c:v>
                </c:pt>
                <c:pt idx="1428">
                  <c:v>2525.6</c:v>
                </c:pt>
                <c:pt idx="1429">
                  <c:v>2528.1999999999998</c:v>
                </c:pt>
                <c:pt idx="1430">
                  <c:v>2539.4</c:v>
                </c:pt>
                <c:pt idx="1431">
                  <c:v>2538.6999999999998</c:v>
                </c:pt>
                <c:pt idx="1432">
                  <c:v>2546.3000000000002</c:v>
                </c:pt>
                <c:pt idx="1433">
                  <c:v>2548.4</c:v>
                </c:pt>
                <c:pt idx="1434">
                  <c:v>2562.8000000000002</c:v>
                </c:pt>
                <c:pt idx="1435">
                  <c:v>2560.3000000000002</c:v>
                </c:pt>
                <c:pt idx="1436">
                  <c:v>2543.6999999999998</c:v>
                </c:pt>
                <c:pt idx="1437">
                  <c:v>2557.3000000000002</c:v>
                </c:pt>
                <c:pt idx="1438">
                  <c:v>2555.1999999999998</c:v>
                </c:pt>
                <c:pt idx="1439">
                  <c:v>2552.4</c:v>
                </c:pt>
                <c:pt idx="1440">
                  <c:v>2558.8000000000002</c:v>
                </c:pt>
                <c:pt idx="1441">
                  <c:v>2563.1999999999998</c:v>
                </c:pt>
                <c:pt idx="1442">
                  <c:v>2560.1</c:v>
                </c:pt>
                <c:pt idx="1443">
                  <c:v>2543.8000000000002</c:v>
                </c:pt>
                <c:pt idx="1444">
                  <c:v>2532.9</c:v>
                </c:pt>
                <c:pt idx="1445">
                  <c:v>2510.8000000000002</c:v>
                </c:pt>
                <c:pt idx="1446">
                  <c:v>2532.4</c:v>
                </c:pt>
                <c:pt idx="1447">
                  <c:v>2529.5</c:v>
                </c:pt>
                <c:pt idx="1448">
                  <c:v>2517</c:v>
                </c:pt>
                <c:pt idx="1449">
                  <c:v>2548.6999999999998</c:v>
                </c:pt>
                <c:pt idx="1450">
                  <c:v>2570.1</c:v>
                </c:pt>
                <c:pt idx="1451">
                  <c:v>2566.8000000000002</c:v>
                </c:pt>
                <c:pt idx="1452">
                  <c:v>2570.3000000000002</c:v>
                </c:pt>
                <c:pt idx="1453">
                  <c:v>2596</c:v>
                </c:pt>
                <c:pt idx="1454">
                  <c:v>2629.9</c:v>
                </c:pt>
                <c:pt idx="1455">
                  <c:v>2628.1</c:v>
                </c:pt>
                <c:pt idx="1456">
                  <c:v>2625.7</c:v>
                </c:pt>
                <c:pt idx="1457">
                  <c:v>2624.4</c:v>
                </c:pt>
                <c:pt idx="1458">
                  <c:v>2646.1</c:v>
                </c:pt>
                <c:pt idx="1459">
                  <c:v>2627</c:v>
                </c:pt>
                <c:pt idx="1460">
                  <c:v>2638.5</c:v>
                </c:pt>
                <c:pt idx="1461">
                  <c:v>2659</c:v>
                </c:pt>
                <c:pt idx="1462">
                  <c:v>2666.6</c:v>
                </c:pt>
                <c:pt idx="1463">
                  <c:v>2659</c:v>
                </c:pt>
                <c:pt idx="1464">
                  <c:v>2651.9</c:v>
                </c:pt>
                <c:pt idx="1465">
                  <c:v>2655.7</c:v>
                </c:pt>
                <c:pt idx="1466">
                  <c:v>2676.5</c:v>
                </c:pt>
                <c:pt idx="1467">
                  <c:v>2683.3</c:v>
                </c:pt>
                <c:pt idx="1468">
                  <c:v>2702.6</c:v>
                </c:pt>
                <c:pt idx="1469">
                  <c:v>2691.2</c:v>
                </c:pt>
                <c:pt idx="1470">
                  <c:v>2703</c:v>
                </c:pt>
                <c:pt idx="1471">
                  <c:v>2680.8</c:v>
                </c:pt>
                <c:pt idx="1472">
                  <c:v>2686</c:v>
                </c:pt>
                <c:pt idx="1473">
                  <c:v>2693.9</c:v>
                </c:pt>
                <c:pt idx="1474">
                  <c:v>2728.5</c:v>
                </c:pt>
                <c:pt idx="1475">
                  <c:v>2714.9</c:v>
                </c:pt>
                <c:pt idx="1476">
                  <c:v>2716.3</c:v>
                </c:pt>
                <c:pt idx="1477">
                  <c:v>2734.8</c:v>
                </c:pt>
                <c:pt idx="1478">
                  <c:v>2729</c:v>
                </c:pt>
                <c:pt idx="1479">
                  <c:v>2719</c:v>
                </c:pt>
                <c:pt idx="1480">
                  <c:v>2699.5</c:v>
                </c:pt>
                <c:pt idx="1481">
                  <c:v>2678.4</c:v>
                </c:pt>
                <c:pt idx="1482">
                  <c:v>2674.2</c:v>
                </c:pt>
                <c:pt idx="1483">
                  <c:v>2703.8</c:v>
                </c:pt>
                <c:pt idx="1484">
                  <c:v>2673.6</c:v>
                </c:pt>
                <c:pt idx="1485">
                  <c:v>2678.7</c:v>
                </c:pt>
                <c:pt idx="1486">
                  <c:v>2659.3</c:v>
                </c:pt>
                <c:pt idx="1487">
                  <c:v>2683.3</c:v>
                </c:pt>
                <c:pt idx="1488">
                  <c:v>2671.9</c:v>
                </c:pt>
                <c:pt idx="1489">
                  <c:v>2691.3</c:v>
                </c:pt>
                <c:pt idx="1490">
                  <c:v>2729.2</c:v>
                </c:pt>
                <c:pt idx="1491">
                  <c:v>2713.2</c:v>
                </c:pt>
                <c:pt idx="1492">
                  <c:v>2739.8</c:v>
                </c:pt>
                <c:pt idx="1493">
                  <c:v>2728.3</c:v>
                </c:pt>
                <c:pt idx="1494">
                  <c:v>2734.3</c:v>
                </c:pt>
                <c:pt idx="1495">
                  <c:v>2773.4</c:v>
                </c:pt>
                <c:pt idx="1496">
                  <c:v>2777</c:v>
                </c:pt>
                <c:pt idx="1497">
                  <c:v>2795.8</c:v>
                </c:pt>
                <c:pt idx="1498">
                  <c:v>2763.8</c:v>
                </c:pt>
                <c:pt idx="1499">
                  <c:v>2764.1</c:v>
                </c:pt>
                <c:pt idx="1500">
                  <c:v>2774.5</c:v>
                </c:pt>
                <c:pt idx="1501">
                  <c:v>2772.3</c:v>
                </c:pt>
                <c:pt idx="1502">
                  <c:v>2763.7</c:v>
                </c:pt>
                <c:pt idx="1503">
                  <c:v>2799.2</c:v>
                </c:pt>
                <c:pt idx="1504">
                  <c:v>2810.6</c:v>
                </c:pt>
                <c:pt idx="1505">
                  <c:v>2797</c:v>
                </c:pt>
                <c:pt idx="1506">
                  <c:v>2817.5</c:v>
                </c:pt>
                <c:pt idx="1507">
                  <c:v>2845.5</c:v>
                </c:pt>
                <c:pt idx="1508">
                  <c:v>2858.6</c:v>
                </c:pt>
                <c:pt idx="1509">
                  <c:v>2887</c:v>
                </c:pt>
                <c:pt idx="1510">
                  <c:v>2866.1</c:v>
                </c:pt>
                <c:pt idx="1511">
                  <c:v>2909.9</c:v>
                </c:pt>
                <c:pt idx="1512">
                  <c:v>2792</c:v>
                </c:pt>
                <c:pt idx="1513">
                  <c:v>2857.2</c:v>
                </c:pt>
                <c:pt idx="1514">
                  <c:v>2891</c:v>
                </c:pt>
                <c:pt idx="1515">
                  <c:v>2841.1</c:v>
                </c:pt>
                <c:pt idx="1516">
                  <c:v>2847.1</c:v>
                </c:pt>
                <c:pt idx="1517">
                  <c:v>2799.7</c:v>
                </c:pt>
                <c:pt idx="1518">
                  <c:v>2855.8</c:v>
                </c:pt>
                <c:pt idx="1519">
                  <c:v>2815.1</c:v>
                </c:pt>
                <c:pt idx="1520">
                  <c:v>2820.8</c:v>
                </c:pt>
                <c:pt idx="1521">
                  <c:v>2807.8</c:v>
                </c:pt>
                <c:pt idx="1522">
                  <c:v>2854.5</c:v>
                </c:pt>
                <c:pt idx="1523">
                  <c:v>2845.6</c:v>
                </c:pt>
                <c:pt idx="1524">
                  <c:v>2852.9</c:v>
                </c:pt>
                <c:pt idx="1525">
                  <c:v>2888.7</c:v>
                </c:pt>
                <c:pt idx="1526">
                  <c:v>2848.8</c:v>
                </c:pt>
                <c:pt idx="1527">
                  <c:v>2859.3</c:v>
                </c:pt>
                <c:pt idx="1528">
                  <c:v>2881.3</c:v>
                </c:pt>
                <c:pt idx="1529">
                  <c:v>2886.1</c:v>
                </c:pt>
                <c:pt idx="1530">
                  <c:v>2906.3</c:v>
                </c:pt>
                <c:pt idx="1531">
                  <c:v>2892.6</c:v>
                </c:pt>
                <c:pt idx="1532">
                  <c:v>2933.4</c:v>
                </c:pt>
                <c:pt idx="1533">
                  <c:v>2955</c:v>
                </c:pt>
                <c:pt idx="1534">
                  <c:v>2949</c:v>
                </c:pt>
                <c:pt idx="1535">
                  <c:v>2988.5</c:v>
                </c:pt>
                <c:pt idx="1536">
                  <c:v>2993.3</c:v>
                </c:pt>
                <c:pt idx="1537">
                  <c:v>3001.4</c:v>
                </c:pt>
                <c:pt idx="1538">
                  <c:v>3030.7</c:v>
                </c:pt>
                <c:pt idx="1539">
                  <c:v>2976.7</c:v>
                </c:pt>
                <c:pt idx="1540">
                  <c:v>3028.7</c:v>
                </c:pt>
                <c:pt idx="1541">
                  <c:v>3033.5</c:v>
                </c:pt>
                <c:pt idx="1542">
                  <c:v>2998.2</c:v>
                </c:pt>
                <c:pt idx="1543">
                  <c:v>2994.5</c:v>
                </c:pt>
                <c:pt idx="1544">
                  <c:v>2989.3</c:v>
                </c:pt>
                <c:pt idx="1545">
                  <c:v>2999.2</c:v>
                </c:pt>
                <c:pt idx="1546">
                  <c:v>3017.3</c:v>
                </c:pt>
                <c:pt idx="1547">
                  <c:v>3035.2</c:v>
                </c:pt>
                <c:pt idx="1548">
                  <c:v>3062.3</c:v>
                </c:pt>
                <c:pt idx="1549">
                  <c:v>3067.1</c:v>
                </c:pt>
                <c:pt idx="1550">
                  <c:v>3098</c:v>
                </c:pt>
                <c:pt idx="1551">
                  <c:v>3104.1</c:v>
                </c:pt>
                <c:pt idx="1552">
                  <c:v>3138</c:v>
                </c:pt>
                <c:pt idx="1553">
                  <c:v>3184.4</c:v>
                </c:pt>
                <c:pt idx="1554">
                  <c:v>3187.6</c:v>
                </c:pt>
                <c:pt idx="1555">
                  <c:v>3216.1</c:v>
                </c:pt>
                <c:pt idx="1556">
                  <c:v>3229.5</c:v>
                </c:pt>
                <c:pt idx="1557">
                  <c:v>3248.2</c:v>
                </c:pt>
                <c:pt idx="1558">
                  <c:v>3232.6</c:v>
                </c:pt>
                <c:pt idx="1559">
                  <c:v>3276.2</c:v>
                </c:pt>
                <c:pt idx="1560">
                  <c:v>3233.8</c:v>
                </c:pt>
                <c:pt idx="1561">
                  <c:v>3196</c:v>
                </c:pt>
                <c:pt idx="1562">
                  <c:v>3184.1</c:v>
                </c:pt>
                <c:pt idx="1563">
                  <c:v>3184.2</c:v>
                </c:pt>
                <c:pt idx="1564">
                  <c:v>3233.2</c:v>
                </c:pt>
                <c:pt idx="1565">
                  <c:v>3237.9</c:v>
                </c:pt>
                <c:pt idx="1566">
                  <c:v>3276.7</c:v>
                </c:pt>
                <c:pt idx="1567">
                  <c:v>3259.6</c:v>
                </c:pt>
                <c:pt idx="1568">
                  <c:v>3263.9</c:v>
                </c:pt>
                <c:pt idx="1569">
                  <c:v>3320.7</c:v>
                </c:pt>
                <c:pt idx="1570">
                  <c:v>3365</c:v>
                </c:pt>
                <c:pt idx="1571">
                  <c:v>3417.6</c:v>
                </c:pt>
                <c:pt idx="1572">
                  <c:v>3376.2</c:v>
                </c:pt>
                <c:pt idx="1573">
                  <c:v>3436.1</c:v>
                </c:pt>
                <c:pt idx="1574">
                  <c:v>3460.6</c:v>
                </c:pt>
                <c:pt idx="1575">
                  <c:v>3415.4</c:v>
                </c:pt>
                <c:pt idx="1576">
                  <c:v>3349.8</c:v>
                </c:pt>
                <c:pt idx="1577">
                  <c:v>3359.3</c:v>
                </c:pt>
                <c:pt idx="1578">
                  <c:v>3351</c:v>
                </c:pt>
                <c:pt idx="1579">
                  <c:v>3291.2</c:v>
                </c:pt>
                <c:pt idx="1580">
                  <c:v>3315.9</c:v>
                </c:pt>
                <c:pt idx="1581">
                  <c:v>3264.7</c:v>
                </c:pt>
                <c:pt idx="1582">
                  <c:v>3298.2</c:v>
                </c:pt>
                <c:pt idx="1583">
                  <c:v>3321.8</c:v>
                </c:pt>
                <c:pt idx="1584">
                  <c:v>3349.1</c:v>
                </c:pt>
                <c:pt idx="1585">
                  <c:v>3418.1</c:v>
                </c:pt>
                <c:pt idx="1586">
                  <c:v>3429.1</c:v>
                </c:pt>
                <c:pt idx="1587">
                  <c:v>3295.9</c:v>
                </c:pt>
                <c:pt idx="1588">
                  <c:v>3301.9</c:v>
                </c:pt>
                <c:pt idx="1589">
                  <c:v>3215.2</c:v>
                </c:pt>
                <c:pt idx="1590">
                  <c:v>3244.9</c:v>
                </c:pt>
                <c:pt idx="1591">
                  <c:v>3312.9</c:v>
                </c:pt>
                <c:pt idx="1592">
                  <c:v>3329.8</c:v>
                </c:pt>
                <c:pt idx="1593">
                  <c:v>3359.5</c:v>
                </c:pt>
                <c:pt idx="1594">
                  <c:v>3351.5</c:v>
                </c:pt>
                <c:pt idx="1595">
                  <c:v>3340.1</c:v>
                </c:pt>
                <c:pt idx="1596">
                  <c:v>3279.9</c:v>
                </c:pt>
                <c:pt idx="1597">
                  <c:v>3327.7</c:v>
                </c:pt>
                <c:pt idx="1598">
                  <c:v>3353.5</c:v>
                </c:pt>
                <c:pt idx="1599">
                  <c:v>3383.3</c:v>
                </c:pt>
                <c:pt idx="1600">
                  <c:v>3344.4</c:v>
                </c:pt>
                <c:pt idx="1601">
                  <c:v>3347.6</c:v>
                </c:pt>
                <c:pt idx="1602">
                  <c:v>3340.3</c:v>
                </c:pt>
                <c:pt idx="1603">
                  <c:v>3396</c:v>
                </c:pt>
                <c:pt idx="1604">
                  <c:v>3397.4</c:v>
                </c:pt>
                <c:pt idx="1605">
                  <c:v>3374.1</c:v>
                </c:pt>
                <c:pt idx="1606">
                  <c:v>3363.1</c:v>
                </c:pt>
                <c:pt idx="1607">
                  <c:v>3383.2</c:v>
                </c:pt>
                <c:pt idx="1608">
                  <c:v>3438.1</c:v>
                </c:pt>
                <c:pt idx="1609">
                  <c:v>3460.4</c:v>
                </c:pt>
                <c:pt idx="1610">
                  <c:v>3528.8</c:v>
                </c:pt>
                <c:pt idx="1611">
                  <c:v>3568.3</c:v>
                </c:pt>
                <c:pt idx="1612">
                  <c:v>3552</c:v>
                </c:pt>
                <c:pt idx="1613">
                  <c:v>3562.4</c:v>
                </c:pt>
                <c:pt idx="1614">
                  <c:v>3575.4</c:v>
                </c:pt>
                <c:pt idx="1615">
                  <c:v>3595.2</c:v>
                </c:pt>
                <c:pt idx="1616">
                  <c:v>3573.7</c:v>
                </c:pt>
                <c:pt idx="1617">
                  <c:v>3562.1</c:v>
                </c:pt>
                <c:pt idx="1618">
                  <c:v>3604.6</c:v>
                </c:pt>
                <c:pt idx="1619">
                  <c:v>3543.4</c:v>
                </c:pt>
                <c:pt idx="1620">
                  <c:v>3596.1</c:v>
                </c:pt>
                <c:pt idx="1621">
                  <c:v>3579.4</c:v>
                </c:pt>
                <c:pt idx="1622">
                  <c:v>3602.2</c:v>
                </c:pt>
                <c:pt idx="1623">
                  <c:v>3657.9</c:v>
                </c:pt>
                <c:pt idx="1624">
                  <c:v>3674.4</c:v>
                </c:pt>
                <c:pt idx="1625">
                  <c:v>3636.4</c:v>
                </c:pt>
                <c:pt idx="1626">
                  <c:v>3562.7</c:v>
                </c:pt>
                <c:pt idx="1627">
                  <c:v>3596.4</c:v>
                </c:pt>
                <c:pt idx="1628">
                  <c:v>3655.6</c:v>
                </c:pt>
                <c:pt idx="1629">
                  <c:v>3651.6</c:v>
                </c:pt>
                <c:pt idx="1630">
                  <c:v>3684.6</c:v>
                </c:pt>
                <c:pt idx="1631">
                  <c:v>3700.5</c:v>
                </c:pt>
                <c:pt idx="1632">
                  <c:v>3668.6</c:v>
                </c:pt>
                <c:pt idx="1633">
                  <c:v>3671.2</c:v>
                </c:pt>
                <c:pt idx="1634">
                  <c:v>3671.9</c:v>
                </c:pt>
                <c:pt idx="1635">
                  <c:v>3737.2</c:v>
                </c:pt>
                <c:pt idx="1636">
                  <c:v>3752.4</c:v>
                </c:pt>
                <c:pt idx="1637">
                  <c:v>3750</c:v>
                </c:pt>
                <c:pt idx="1638">
                  <c:v>3721.2</c:v>
                </c:pt>
                <c:pt idx="1639">
                  <c:v>3730.6</c:v>
                </c:pt>
                <c:pt idx="1640">
                  <c:v>3777.6</c:v>
                </c:pt>
                <c:pt idx="1641">
                  <c:v>3788.5</c:v>
                </c:pt>
                <c:pt idx="1642">
                  <c:v>3748.8</c:v>
                </c:pt>
                <c:pt idx="1643">
                  <c:v>3761.1</c:v>
                </c:pt>
                <c:pt idx="1644">
                  <c:v>3819.5</c:v>
                </c:pt>
                <c:pt idx="1645">
                  <c:v>3820.2</c:v>
                </c:pt>
                <c:pt idx="1646">
                  <c:v>3809.9</c:v>
                </c:pt>
                <c:pt idx="1647">
                  <c:v>3766.9</c:v>
                </c:pt>
                <c:pt idx="1648">
                  <c:v>3834.8</c:v>
                </c:pt>
                <c:pt idx="1649">
                  <c:v>3867.5</c:v>
                </c:pt>
                <c:pt idx="1650">
                  <c:v>3939.7</c:v>
                </c:pt>
                <c:pt idx="1651">
                  <c:v>3946.7</c:v>
                </c:pt>
                <c:pt idx="1652">
                  <c:v>4003.4</c:v>
                </c:pt>
                <c:pt idx="1653">
                  <c:v>4030.1</c:v>
                </c:pt>
                <c:pt idx="1654">
                  <c:v>4027</c:v>
                </c:pt>
                <c:pt idx="1655">
                  <c:v>4000.7</c:v>
                </c:pt>
                <c:pt idx="1656">
                  <c:v>4074.3</c:v>
                </c:pt>
                <c:pt idx="1657">
                  <c:v>4142.2</c:v>
                </c:pt>
                <c:pt idx="1658">
                  <c:v>4139.7</c:v>
                </c:pt>
                <c:pt idx="1659">
                  <c:v>4223.7</c:v>
                </c:pt>
                <c:pt idx="1660">
                  <c:v>4203.8999999999996</c:v>
                </c:pt>
                <c:pt idx="1661">
                  <c:v>4131.8999999999996</c:v>
                </c:pt>
                <c:pt idx="1662">
                  <c:v>4140</c:v>
                </c:pt>
                <c:pt idx="1663">
                  <c:v>4297.6000000000004</c:v>
                </c:pt>
                <c:pt idx="1664">
                  <c:v>4384.8</c:v>
                </c:pt>
                <c:pt idx="1665">
                  <c:v>4320.5</c:v>
                </c:pt>
                <c:pt idx="1666">
                  <c:v>4368.5</c:v>
                </c:pt>
                <c:pt idx="1667">
                  <c:v>4400.3</c:v>
                </c:pt>
                <c:pt idx="1668">
                  <c:v>4377.7</c:v>
                </c:pt>
                <c:pt idx="1669">
                  <c:v>4458.7</c:v>
                </c:pt>
                <c:pt idx="1670">
                  <c:v>4405.5</c:v>
                </c:pt>
                <c:pt idx="1671">
                  <c:v>4337</c:v>
                </c:pt>
                <c:pt idx="1672">
                  <c:v>4302.5</c:v>
                </c:pt>
                <c:pt idx="1673">
                  <c:v>4325.8999999999996</c:v>
                </c:pt>
                <c:pt idx="1674">
                  <c:v>4364.3</c:v>
                </c:pt>
                <c:pt idx="1675">
                  <c:v>4428.1000000000004</c:v>
                </c:pt>
                <c:pt idx="1676">
                  <c:v>4342.3</c:v>
                </c:pt>
                <c:pt idx="1677">
                  <c:v>4333.2</c:v>
                </c:pt>
                <c:pt idx="1678">
                  <c:v>4377.5</c:v>
                </c:pt>
                <c:pt idx="1679">
                  <c:v>4237.1000000000004</c:v>
                </c:pt>
                <c:pt idx="1680">
                  <c:v>4195.5</c:v>
                </c:pt>
                <c:pt idx="1681">
                  <c:v>4077.6</c:v>
                </c:pt>
                <c:pt idx="1682">
                  <c:v>4080.6</c:v>
                </c:pt>
                <c:pt idx="1683">
                  <c:v>4190.5</c:v>
                </c:pt>
                <c:pt idx="1684">
                  <c:v>4251.8999999999996</c:v>
                </c:pt>
                <c:pt idx="1685">
                  <c:v>4204.8</c:v>
                </c:pt>
                <c:pt idx="1686">
                  <c:v>4090.1</c:v>
                </c:pt>
                <c:pt idx="1687">
                  <c:v>4076.8</c:v>
                </c:pt>
                <c:pt idx="1688">
                  <c:v>3993.7</c:v>
                </c:pt>
                <c:pt idx="1689">
                  <c:v>3992</c:v>
                </c:pt>
                <c:pt idx="1690">
                  <c:v>3897.4</c:v>
                </c:pt>
                <c:pt idx="1691">
                  <c:v>3919.8</c:v>
                </c:pt>
                <c:pt idx="1692">
                  <c:v>4001.8</c:v>
                </c:pt>
                <c:pt idx="1693">
                  <c:v>4127.3</c:v>
                </c:pt>
                <c:pt idx="1694">
                  <c:v>4062.1</c:v>
                </c:pt>
                <c:pt idx="1695">
                  <c:v>4093.4</c:v>
                </c:pt>
                <c:pt idx="1696">
                  <c:v>4073.7</c:v>
                </c:pt>
                <c:pt idx="1697">
                  <c:v>4131.3</c:v>
                </c:pt>
                <c:pt idx="1698">
                  <c:v>4104.6000000000004</c:v>
                </c:pt>
                <c:pt idx="1699">
                  <c:v>4028</c:v>
                </c:pt>
                <c:pt idx="1700">
                  <c:v>3890.2</c:v>
                </c:pt>
                <c:pt idx="1701">
                  <c:v>3796.6</c:v>
                </c:pt>
                <c:pt idx="1702">
                  <c:v>3869.5</c:v>
                </c:pt>
                <c:pt idx="1703">
                  <c:v>3995.7</c:v>
                </c:pt>
                <c:pt idx="1704">
                  <c:v>3970.4</c:v>
                </c:pt>
                <c:pt idx="1705">
                  <c:v>4004</c:v>
                </c:pt>
                <c:pt idx="1706">
                  <c:v>3983.1</c:v>
                </c:pt>
                <c:pt idx="1707">
                  <c:v>4096.8999999999996</c:v>
                </c:pt>
                <c:pt idx="1708">
                  <c:v>4091.8</c:v>
                </c:pt>
                <c:pt idx="1709">
                  <c:v>4151</c:v>
                </c:pt>
                <c:pt idx="1710">
                  <c:v>4104.8999999999996</c:v>
                </c:pt>
                <c:pt idx="1711">
                  <c:v>4135.1000000000004</c:v>
                </c:pt>
                <c:pt idx="1712">
                  <c:v>4116.5</c:v>
                </c:pt>
                <c:pt idx="1713">
                  <c:v>4154.8999999999996</c:v>
                </c:pt>
                <c:pt idx="1714">
                  <c:v>4263</c:v>
                </c:pt>
                <c:pt idx="1715">
                  <c:v>4266.2</c:v>
                </c:pt>
                <c:pt idx="1716">
                  <c:v>4326.3999999999996</c:v>
                </c:pt>
                <c:pt idx="1717">
                  <c:v>4311.1000000000004</c:v>
                </c:pt>
                <c:pt idx="1718">
                  <c:v>4267.3999999999996</c:v>
                </c:pt>
                <c:pt idx="1719">
                  <c:v>4179.8999999999996</c:v>
                </c:pt>
                <c:pt idx="1720">
                  <c:v>4164.6000000000004</c:v>
                </c:pt>
                <c:pt idx="1721">
                  <c:v>4225.3</c:v>
                </c:pt>
                <c:pt idx="1722">
                  <c:v>4215.2</c:v>
                </c:pt>
                <c:pt idx="1723">
                  <c:v>4168.6000000000004</c:v>
                </c:pt>
                <c:pt idx="1724">
                  <c:v>4149.8999999999996</c:v>
                </c:pt>
                <c:pt idx="1725">
                  <c:v>4049.2</c:v>
                </c:pt>
                <c:pt idx="1726">
                  <c:v>4069.3</c:v>
                </c:pt>
                <c:pt idx="1727">
                  <c:v>4172.5</c:v>
                </c:pt>
                <c:pt idx="1728">
                  <c:v>4124.8999999999996</c:v>
                </c:pt>
                <c:pt idx="1729">
                  <c:v>3976.4</c:v>
                </c:pt>
                <c:pt idx="1730">
                  <c:v>3981.4</c:v>
                </c:pt>
                <c:pt idx="1731">
                  <c:v>3871.4</c:v>
                </c:pt>
                <c:pt idx="1732">
                  <c:v>3645.7</c:v>
                </c:pt>
                <c:pt idx="1733">
                  <c:v>3806.7</c:v>
                </c:pt>
                <c:pt idx="1734">
                  <c:v>3748.9</c:v>
                </c:pt>
                <c:pt idx="1735">
                  <c:v>3753.7</c:v>
                </c:pt>
                <c:pt idx="1736">
                  <c:v>3847.7</c:v>
                </c:pt>
                <c:pt idx="1737">
                  <c:v>3784.8</c:v>
                </c:pt>
                <c:pt idx="1738">
                  <c:v>3841.4</c:v>
                </c:pt>
                <c:pt idx="1739">
                  <c:v>3813.9</c:v>
                </c:pt>
                <c:pt idx="1740">
                  <c:v>3715.4</c:v>
                </c:pt>
                <c:pt idx="1741">
                  <c:v>3728.4</c:v>
                </c:pt>
                <c:pt idx="1742">
                  <c:v>3734.8</c:v>
                </c:pt>
                <c:pt idx="1743">
                  <c:v>3697.5</c:v>
                </c:pt>
                <c:pt idx="1744">
                  <c:v>3701.9</c:v>
                </c:pt>
                <c:pt idx="1745">
                  <c:v>3676.7</c:v>
                </c:pt>
                <c:pt idx="1746">
                  <c:v>3816.7</c:v>
                </c:pt>
                <c:pt idx="1747">
                  <c:v>3844.1</c:v>
                </c:pt>
                <c:pt idx="1748">
                  <c:v>3876.9</c:v>
                </c:pt>
                <c:pt idx="1749">
                  <c:v>3931.8</c:v>
                </c:pt>
                <c:pt idx="1750">
                  <c:v>3941.9</c:v>
                </c:pt>
                <c:pt idx="1751">
                  <c:v>3832.1</c:v>
                </c:pt>
                <c:pt idx="1752">
                  <c:v>3850.1</c:v>
                </c:pt>
                <c:pt idx="1753">
                  <c:v>3926.9</c:v>
                </c:pt>
                <c:pt idx="1754">
                  <c:v>3962</c:v>
                </c:pt>
                <c:pt idx="1755">
                  <c:v>3972.1</c:v>
                </c:pt>
                <c:pt idx="1756">
                  <c:v>4125.8999999999996</c:v>
                </c:pt>
                <c:pt idx="1757">
                  <c:v>4096.3999999999996</c:v>
                </c:pt>
                <c:pt idx="1758">
                  <c:v>4074.6</c:v>
                </c:pt>
                <c:pt idx="1759">
                  <c:v>4159.7</c:v>
                </c:pt>
                <c:pt idx="1760">
                  <c:v>4191.8</c:v>
                </c:pt>
                <c:pt idx="1761">
                  <c:v>4208.1000000000004</c:v>
                </c:pt>
                <c:pt idx="1762">
                  <c:v>4187.1000000000004</c:v>
                </c:pt>
                <c:pt idx="1763">
                  <c:v>4117.2700000000004</c:v>
                </c:pt>
                <c:pt idx="1764">
                  <c:v>4016.7</c:v>
                </c:pt>
                <c:pt idx="1765">
                  <c:v>4061.9</c:v>
                </c:pt>
                <c:pt idx="1766">
                  <c:v>4029.1</c:v>
                </c:pt>
                <c:pt idx="1767">
                  <c:v>4150.3</c:v>
                </c:pt>
                <c:pt idx="1768">
                  <c:v>4154.6000000000004</c:v>
                </c:pt>
                <c:pt idx="1769">
                  <c:v>4162.8999999999996</c:v>
                </c:pt>
                <c:pt idx="1770">
                  <c:v>4055.4</c:v>
                </c:pt>
                <c:pt idx="1771">
                  <c:v>4125.5</c:v>
                </c:pt>
                <c:pt idx="1772">
                  <c:v>4132.8</c:v>
                </c:pt>
                <c:pt idx="1773">
                  <c:v>4266</c:v>
                </c:pt>
                <c:pt idx="1774">
                  <c:v>4224.3</c:v>
                </c:pt>
                <c:pt idx="1775">
                  <c:v>4364.3</c:v>
                </c:pt>
                <c:pt idx="1776">
                  <c:v>4417</c:v>
                </c:pt>
                <c:pt idx="1777">
                  <c:v>4360.1000000000004</c:v>
                </c:pt>
                <c:pt idx="1778">
                  <c:v>4340</c:v>
                </c:pt>
                <c:pt idx="1779">
                  <c:v>4293.6000000000004</c:v>
                </c:pt>
                <c:pt idx="1780">
                  <c:v>4237.8</c:v>
                </c:pt>
                <c:pt idx="1781">
                  <c:v>4134.6000000000004</c:v>
                </c:pt>
                <c:pt idx="1782">
                  <c:v>4150.1000000000004</c:v>
                </c:pt>
                <c:pt idx="1783">
                  <c:v>4145.3999999999996</c:v>
                </c:pt>
                <c:pt idx="1784">
                  <c:v>4140.2</c:v>
                </c:pt>
                <c:pt idx="1785">
                  <c:v>4216.2</c:v>
                </c:pt>
                <c:pt idx="1786">
                  <c:v>4290.1000000000004</c:v>
                </c:pt>
                <c:pt idx="1787">
                  <c:v>4310.8</c:v>
                </c:pt>
                <c:pt idx="1788">
                  <c:v>4250.5</c:v>
                </c:pt>
                <c:pt idx="1789">
                  <c:v>4238.8</c:v>
                </c:pt>
                <c:pt idx="1790">
                  <c:v>4222.2</c:v>
                </c:pt>
                <c:pt idx="1791">
                  <c:v>4266.3</c:v>
                </c:pt>
                <c:pt idx="1792">
                  <c:v>4316.1000000000004</c:v>
                </c:pt>
                <c:pt idx="1793">
                  <c:v>4385.3</c:v>
                </c:pt>
                <c:pt idx="1794">
                  <c:v>4444.5</c:v>
                </c:pt>
                <c:pt idx="1795">
                  <c:v>4442.5</c:v>
                </c:pt>
                <c:pt idx="1796">
                  <c:v>4529.8999999999996</c:v>
                </c:pt>
                <c:pt idx="1797">
                  <c:v>4529.2</c:v>
                </c:pt>
                <c:pt idx="1798">
                  <c:v>4509.3</c:v>
                </c:pt>
                <c:pt idx="1799">
                  <c:v>4494.7</c:v>
                </c:pt>
                <c:pt idx="1800">
                  <c:v>4536.8999999999996</c:v>
                </c:pt>
                <c:pt idx="1801">
                  <c:v>4519.6000000000004</c:v>
                </c:pt>
                <c:pt idx="1802">
                  <c:v>4558.6000000000004</c:v>
                </c:pt>
                <c:pt idx="1803">
                  <c:v>4552.5</c:v>
                </c:pt>
                <c:pt idx="1804">
                  <c:v>4509.3999999999996</c:v>
                </c:pt>
                <c:pt idx="1805">
                  <c:v>4522.3999999999996</c:v>
                </c:pt>
                <c:pt idx="1806">
                  <c:v>4535.6000000000004</c:v>
                </c:pt>
                <c:pt idx="1807">
                  <c:v>4627.3999999999996</c:v>
                </c:pt>
                <c:pt idx="1808">
                  <c:v>4611.7</c:v>
                </c:pt>
                <c:pt idx="1809">
                  <c:v>4581.1000000000004</c:v>
                </c:pt>
                <c:pt idx="1810">
                  <c:v>4583</c:v>
                </c:pt>
                <c:pt idx="1811">
                  <c:v>4610.7</c:v>
                </c:pt>
                <c:pt idx="1812">
                  <c:v>4604.6000000000004</c:v>
                </c:pt>
                <c:pt idx="1813">
                  <c:v>4704.6000000000004</c:v>
                </c:pt>
                <c:pt idx="1814">
                  <c:v>4695.8</c:v>
                </c:pt>
                <c:pt idx="1815">
                  <c:v>4693.8999999999996</c:v>
                </c:pt>
                <c:pt idx="1816">
                  <c:v>4781.6000000000004</c:v>
                </c:pt>
                <c:pt idx="1817">
                  <c:v>4759.6000000000004</c:v>
                </c:pt>
                <c:pt idx="1818">
                  <c:v>4690.5</c:v>
                </c:pt>
                <c:pt idx="1819">
                  <c:v>4676.3999999999996</c:v>
                </c:pt>
                <c:pt idx="1820">
                  <c:v>4762.7</c:v>
                </c:pt>
                <c:pt idx="1821">
                  <c:v>4828.8999999999996</c:v>
                </c:pt>
                <c:pt idx="1822">
                  <c:v>4852.2</c:v>
                </c:pt>
                <c:pt idx="1823">
                  <c:v>4862.3999999999996</c:v>
                </c:pt>
                <c:pt idx="1824">
                  <c:v>4838.7</c:v>
                </c:pt>
                <c:pt idx="1825">
                  <c:v>4872.2</c:v>
                </c:pt>
                <c:pt idx="1826">
                  <c:v>4905.6000000000004</c:v>
                </c:pt>
                <c:pt idx="1827">
                  <c:v>4945.8999999999996</c:v>
                </c:pt>
                <c:pt idx="1828">
                  <c:v>4908.6000000000004</c:v>
                </c:pt>
                <c:pt idx="1829">
                  <c:v>4949.8999999999996</c:v>
                </c:pt>
                <c:pt idx="1830">
                  <c:v>5045.2</c:v>
                </c:pt>
                <c:pt idx="1831">
                  <c:v>5014.1000000000004</c:v>
                </c:pt>
                <c:pt idx="1832">
                  <c:v>5064.3999999999996</c:v>
                </c:pt>
                <c:pt idx="1833">
                  <c:v>5114.1000000000004</c:v>
                </c:pt>
                <c:pt idx="1834">
                  <c:v>5029</c:v>
                </c:pt>
                <c:pt idx="1835">
                  <c:v>5066.8999999999996</c:v>
                </c:pt>
                <c:pt idx="1836">
                  <c:v>5069.8999999999996</c:v>
                </c:pt>
                <c:pt idx="1837">
                  <c:v>5097.3</c:v>
                </c:pt>
                <c:pt idx="1838">
                  <c:v>5135.3999999999996</c:v>
                </c:pt>
                <c:pt idx="1839">
                  <c:v>5179</c:v>
                </c:pt>
                <c:pt idx="1840">
                  <c:v>5254.3</c:v>
                </c:pt>
                <c:pt idx="1841">
                  <c:v>5345.9</c:v>
                </c:pt>
                <c:pt idx="1842">
                  <c:v>5309.7</c:v>
                </c:pt>
                <c:pt idx="1843">
                  <c:v>5267.4</c:v>
                </c:pt>
                <c:pt idx="1844">
                  <c:v>5312.3</c:v>
                </c:pt>
                <c:pt idx="1845">
                  <c:v>5368</c:v>
                </c:pt>
                <c:pt idx="1846">
                  <c:v>5359.2</c:v>
                </c:pt>
                <c:pt idx="1847">
                  <c:v>5293</c:v>
                </c:pt>
                <c:pt idx="1848">
                  <c:v>5326.6</c:v>
                </c:pt>
                <c:pt idx="1849">
                  <c:v>5407.9</c:v>
                </c:pt>
                <c:pt idx="1850">
                  <c:v>5373.8</c:v>
                </c:pt>
                <c:pt idx="1851">
                  <c:v>5312.3</c:v>
                </c:pt>
                <c:pt idx="1852">
                  <c:v>5262.6</c:v>
                </c:pt>
                <c:pt idx="1853">
                  <c:v>5144.3999999999996</c:v>
                </c:pt>
                <c:pt idx="1854">
                  <c:v>5002.7</c:v>
                </c:pt>
                <c:pt idx="1855">
                  <c:v>5018.67</c:v>
                </c:pt>
                <c:pt idx="1856">
                  <c:v>5108.4799999999996</c:v>
                </c:pt>
                <c:pt idx="1857">
                  <c:v>5107.4399999999996</c:v>
                </c:pt>
                <c:pt idx="1858">
                  <c:v>5314.66</c:v>
                </c:pt>
                <c:pt idx="1859">
                  <c:v>5232.03</c:v>
                </c:pt>
                <c:pt idx="1860">
                  <c:v>5229.8</c:v>
                </c:pt>
                <c:pt idx="1861">
                  <c:v>5186.2299999999996</c:v>
                </c:pt>
                <c:pt idx="1862">
                  <c:v>5257.58</c:v>
                </c:pt>
                <c:pt idx="1863">
                  <c:v>5341.69</c:v>
                </c:pt>
                <c:pt idx="1864">
                  <c:v>5297.35</c:v>
                </c:pt>
                <c:pt idx="1865">
                  <c:v>5376.88</c:v>
                </c:pt>
                <c:pt idx="1866">
                  <c:v>5361.22</c:v>
                </c:pt>
                <c:pt idx="1867">
                  <c:v>5393.14</c:v>
                </c:pt>
                <c:pt idx="1868">
                  <c:v>5342.85</c:v>
                </c:pt>
                <c:pt idx="1869">
                  <c:v>5388.9</c:v>
                </c:pt>
                <c:pt idx="1870">
                  <c:v>5510.98</c:v>
                </c:pt>
                <c:pt idx="1871">
                  <c:v>5564.21</c:v>
                </c:pt>
                <c:pt idx="1872">
                  <c:v>5575.16</c:v>
                </c:pt>
                <c:pt idx="1873">
                  <c:v>5644.29</c:v>
                </c:pt>
                <c:pt idx="1874">
                  <c:v>5490.64</c:v>
                </c:pt>
                <c:pt idx="1875">
                  <c:v>5481.26</c:v>
                </c:pt>
                <c:pt idx="1876">
                  <c:v>5569.08</c:v>
                </c:pt>
                <c:pt idx="1877">
                  <c:v>5582.78</c:v>
                </c:pt>
                <c:pt idx="1878">
                  <c:v>5613.76</c:v>
                </c:pt>
                <c:pt idx="1879">
                  <c:v>5592.48</c:v>
                </c:pt>
                <c:pt idx="1880">
                  <c:v>5688.5</c:v>
                </c:pt>
                <c:pt idx="1881">
                  <c:v>5779.09</c:v>
                </c:pt>
                <c:pt idx="1882">
                  <c:v>5760.03</c:v>
                </c:pt>
                <c:pt idx="1883">
                  <c:v>5754.46</c:v>
                </c:pt>
                <c:pt idx="1884">
                  <c:v>5670.83</c:v>
                </c:pt>
                <c:pt idx="1885">
                  <c:v>5527.32</c:v>
                </c:pt>
                <c:pt idx="1886">
                  <c:v>5591.57</c:v>
                </c:pt>
                <c:pt idx="1887">
                  <c:v>5709.36</c:v>
                </c:pt>
                <c:pt idx="1888">
                  <c:v>5718.06</c:v>
                </c:pt>
                <c:pt idx="1889">
                  <c:v>5702.61</c:v>
                </c:pt>
                <c:pt idx="1890">
                  <c:v>5654.75</c:v>
                </c:pt>
                <c:pt idx="1891">
                  <c:v>5718.71</c:v>
                </c:pt>
                <c:pt idx="1892">
                  <c:v>5779.91</c:v>
                </c:pt>
                <c:pt idx="1893">
                  <c:v>5866.63</c:v>
                </c:pt>
                <c:pt idx="1894">
                  <c:v>5870.42</c:v>
                </c:pt>
                <c:pt idx="1895">
                  <c:v>5915.13</c:v>
                </c:pt>
                <c:pt idx="1896">
                  <c:v>5897.44</c:v>
                </c:pt>
                <c:pt idx="1897">
                  <c:v>5906.85</c:v>
                </c:pt>
                <c:pt idx="1898">
                  <c:v>5904.1</c:v>
                </c:pt>
                <c:pt idx="1899">
                  <c:v>5953.16</c:v>
                </c:pt>
                <c:pt idx="1900">
                  <c:v>5918.37</c:v>
                </c:pt>
                <c:pt idx="1901">
                  <c:v>5960.98</c:v>
                </c:pt>
                <c:pt idx="1902">
                  <c:v>6013.14</c:v>
                </c:pt>
                <c:pt idx="1903">
                  <c:v>5996.77</c:v>
                </c:pt>
                <c:pt idx="1904">
                  <c:v>5982.42</c:v>
                </c:pt>
                <c:pt idx="1905">
                  <c:v>6019.48</c:v>
                </c:pt>
                <c:pt idx="1906">
                  <c:v>6095.28</c:v>
                </c:pt>
                <c:pt idx="1907">
                  <c:v>6108.24</c:v>
                </c:pt>
                <c:pt idx="1908">
                  <c:v>6094.02</c:v>
                </c:pt>
                <c:pt idx="1909">
                  <c:v>6147.87</c:v>
                </c:pt>
                <c:pt idx="1910">
                  <c:v>6171.43</c:v>
                </c:pt>
                <c:pt idx="1911">
                  <c:v>6165.52</c:v>
                </c:pt>
                <c:pt idx="1912">
                  <c:v>6110.73</c:v>
                </c:pt>
                <c:pt idx="1913">
                  <c:v>6058.45</c:v>
                </c:pt>
                <c:pt idx="1914">
                  <c:v>6035.28</c:v>
                </c:pt>
                <c:pt idx="1915">
                  <c:v>5885</c:v>
                </c:pt>
                <c:pt idx="1916">
                  <c:v>5889.01</c:v>
                </c:pt>
                <c:pt idx="1917">
                  <c:v>5853.63</c:v>
                </c:pt>
                <c:pt idx="1918">
                  <c:v>5880.87</c:v>
                </c:pt>
                <c:pt idx="1919">
                  <c:v>5873.92</c:v>
                </c:pt>
                <c:pt idx="1920">
                  <c:v>5758.77</c:v>
                </c:pt>
                <c:pt idx="1921">
                  <c:v>5756.2</c:v>
                </c:pt>
                <c:pt idx="1922">
                  <c:v>5632.51</c:v>
                </c:pt>
                <c:pt idx="1923">
                  <c:v>5517.64</c:v>
                </c:pt>
                <c:pt idx="1924">
                  <c:v>5581.22</c:v>
                </c:pt>
                <c:pt idx="1925">
                  <c:v>5476.25</c:v>
                </c:pt>
                <c:pt idx="1926">
                  <c:v>5268.4</c:v>
                </c:pt>
                <c:pt idx="1927">
                  <c:v>5402.37</c:v>
                </c:pt>
                <c:pt idx="1928">
                  <c:v>5356.23</c:v>
                </c:pt>
                <c:pt idx="1929">
                  <c:v>5447.9</c:v>
                </c:pt>
                <c:pt idx="1930">
                  <c:v>5456.58</c:v>
                </c:pt>
                <c:pt idx="1931">
                  <c:v>5568.88</c:v>
                </c:pt>
                <c:pt idx="1932">
                  <c:v>5596.41</c:v>
                </c:pt>
                <c:pt idx="1933">
                  <c:v>5488.22</c:v>
                </c:pt>
                <c:pt idx="1934">
                  <c:v>5163.51</c:v>
                </c:pt>
                <c:pt idx="1935">
                  <c:v>5234.88</c:v>
                </c:pt>
                <c:pt idx="1936">
                  <c:v>5372.76</c:v>
                </c:pt>
                <c:pt idx="1937">
                  <c:v>5231.6099999999997</c:v>
                </c:pt>
                <c:pt idx="1938">
                  <c:v>5060.84</c:v>
                </c:pt>
                <c:pt idx="1939">
                  <c:v>4993.54</c:v>
                </c:pt>
                <c:pt idx="1940">
                  <c:v>4833.8900000000003</c:v>
                </c:pt>
                <c:pt idx="1941">
                  <c:v>4791.8100000000004</c:v>
                </c:pt>
                <c:pt idx="1942">
                  <c:v>4970.5</c:v>
                </c:pt>
                <c:pt idx="1943">
                  <c:v>4812.18</c:v>
                </c:pt>
                <c:pt idx="1944">
                  <c:v>4820.25</c:v>
                </c:pt>
                <c:pt idx="1945">
                  <c:v>4923.37</c:v>
                </c:pt>
                <c:pt idx="1946">
                  <c:v>5103.84</c:v>
                </c:pt>
                <c:pt idx="1947">
                  <c:v>5040.87</c:v>
                </c:pt>
                <c:pt idx="1948">
                  <c:v>4747.33</c:v>
                </c:pt>
                <c:pt idx="1949">
                  <c:v>4737.1499999999996</c:v>
                </c:pt>
                <c:pt idx="1950">
                  <c:v>4896.49</c:v>
                </c:pt>
                <c:pt idx="1951">
                  <c:v>4831.22</c:v>
                </c:pt>
                <c:pt idx="1952">
                  <c:v>4857.97</c:v>
                </c:pt>
                <c:pt idx="1953">
                  <c:v>4669.51</c:v>
                </c:pt>
                <c:pt idx="1954">
                  <c:v>4598.58</c:v>
                </c:pt>
                <c:pt idx="1955">
                  <c:v>4433.87</c:v>
                </c:pt>
                <c:pt idx="1956">
                  <c:v>4575.1499999999996</c:v>
                </c:pt>
                <c:pt idx="1957">
                  <c:v>4699.3900000000003</c:v>
                </c:pt>
                <c:pt idx="1958">
                  <c:v>4646.25</c:v>
                </c:pt>
                <c:pt idx="1959">
                  <c:v>4561.58</c:v>
                </c:pt>
                <c:pt idx="1960">
                  <c:v>4653.9399999999996</c:v>
                </c:pt>
                <c:pt idx="1961">
                  <c:v>4578.2700000000004</c:v>
                </c:pt>
                <c:pt idx="1962">
                  <c:v>4474.51</c:v>
                </c:pt>
                <c:pt idx="1963">
                  <c:v>4226.49</c:v>
                </c:pt>
                <c:pt idx="1964">
                  <c:v>3962.5</c:v>
                </c:pt>
                <c:pt idx="1965">
                  <c:v>4034.23</c:v>
                </c:pt>
                <c:pt idx="1966">
                  <c:v>4156.6400000000003</c:v>
                </c:pt>
                <c:pt idx="1967">
                  <c:v>4087.83</c:v>
                </c:pt>
                <c:pt idx="1968">
                  <c:v>3896.08</c:v>
                </c:pt>
                <c:pt idx="1969">
                  <c:v>3983.65</c:v>
                </c:pt>
                <c:pt idx="1970">
                  <c:v>4225.49</c:v>
                </c:pt>
                <c:pt idx="1971">
                  <c:v>4274.4799999999996</c:v>
                </c:pt>
                <c:pt idx="1972">
                  <c:v>4318.5200000000004</c:v>
                </c:pt>
                <c:pt idx="1973">
                  <c:v>4399.05</c:v>
                </c:pt>
                <c:pt idx="1974">
                  <c:v>4489.1000000000004</c:v>
                </c:pt>
                <c:pt idx="1975">
                  <c:v>4458.3999999999996</c:v>
                </c:pt>
                <c:pt idx="1976">
                  <c:v>4595.82</c:v>
                </c:pt>
                <c:pt idx="1977">
                  <c:v>4523.24</c:v>
                </c:pt>
                <c:pt idx="1978">
                  <c:v>4454.28</c:v>
                </c:pt>
                <c:pt idx="1979">
                  <c:v>4451.09</c:v>
                </c:pt>
                <c:pt idx="1980">
                  <c:v>4577.74</c:v>
                </c:pt>
                <c:pt idx="1981">
                  <c:v>4682.45</c:v>
                </c:pt>
                <c:pt idx="1982">
                  <c:v>4536.34</c:v>
                </c:pt>
                <c:pt idx="1983">
                  <c:v>4549.33</c:v>
                </c:pt>
                <c:pt idx="1984">
                  <c:v>4671.12</c:v>
                </c:pt>
                <c:pt idx="1985">
                  <c:v>4761.1499999999996</c:v>
                </c:pt>
                <c:pt idx="1986">
                  <c:v>4705.08</c:v>
                </c:pt>
                <c:pt idx="1987">
                  <c:v>4841.72</c:v>
                </c:pt>
                <c:pt idx="1988">
                  <c:v>4811.6000000000004</c:v>
                </c:pt>
                <c:pt idx="1989">
                  <c:v>4836.22</c:v>
                </c:pt>
                <c:pt idx="1990">
                  <c:v>4768.58</c:v>
                </c:pt>
                <c:pt idx="1991">
                  <c:v>4662.78</c:v>
                </c:pt>
                <c:pt idx="1992">
                  <c:v>4717.7</c:v>
                </c:pt>
                <c:pt idx="1993">
                  <c:v>4639.8900000000003</c:v>
                </c:pt>
                <c:pt idx="1994">
                  <c:v>4639.6499999999996</c:v>
                </c:pt>
                <c:pt idx="1995">
                  <c:v>4783.7700000000004</c:v>
                </c:pt>
                <c:pt idx="1996">
                  <c:v>4702.63</c:v>
                </c:pt>
                <c:pt idx="1997">
                  <c:v>4698.72</c:v>
                </c:pt>
                <c:pt idx="1998">
                  <c:v>4795.6899999999996</c:v>
                </c:pt>
                <c:pt idx="1999">
                  <c:v>4911.88</c:v>
                </c:pt>
                <c:pt idx="2000">
                  <c:v>5019.12</c:v>
                </c:pt>
                <c:pt idx="2001">
                  <c:v>4958.82</c:v>
                </c:pt>
                <c:pt idx="2002">
                  <c:v>4944.37</c:v>
                </c:pt>
                <c:pt idx="2003">
                  <c:v>5051.63</c:v>
                </c:pt>
                <c:pt idx="2004">
                  <c:v>5121.4799999999996</c:v>
                </c:pt>
                <c:pt idx="2005">
                  <c:v>5022.7</c:v>
                </c:pt>
                <c:pt idx="2006">
                  <c:v>4781.7299999999996</c:v>
                </c:pt>
                <c:pt idx="2007">
                  <c:v>4691.6899999999996</c:v>
                </c:pt>
                <c:pt idx="2008">
                  <c:v>4787.08</c:v>
                </c:pt>
                <c:pt idx="2009">
                  <c:v>4775.2299999999996</c:v>
                </c:pt>
                <c:pt idx="2010">
                  <c:v>4713.96</c:v>
                </c:pt>
                <c:pt idx="2011">
                  <c:v>4699.34</c:v>
                </c:pt>
                <c:pt idx="2012">
                  <c:v>4663.68</c:v>
                </c:pt>
                <c:pt idx="2013">
                  <c:v>4642.6899999999996</c:v>
                </c:pt>
                <c:pt idx="2014">
                  <c:v>4536.2</c:v>
                </c:pt>
                <c:pt idx="2015">
                  <c:v>4522.8599999999997</c:v>
                </c:pt>
                <c:pt idx="2016">
                  <c:v>4574.5</c:v>
                </c:pt>
                <c:pt idx="2017">
                  <c:v>4663.45</c:v>
                </c:pt>
                <c:pt idx="2018">
                  <c:v>4723.8100000000004</c:v>
                </c:pt>
                <c:pt idx="2019">
                  <c:v>4629.2299999999996</c:v>
                </c:pt>
                <c:pt idx="2020">
                  <c:v>4780.93</c:v>
                </c:pt>
                <c:pt idx="2021">
                  <c:v>4825.38</c:v>
                </c:pt>
                <c:pt idx="2022">
                  <c:v>4951.7700000000004</c:v>
                </c:pt>
                <c:pt idx="2023">
                  <c:v>5044.7700000000004</c:v>
                </c:pt>
                <c:pt idx="2024">
                  <c:v>5031.87</c:v>
                </c:pt>
                <c:pt idx="2025">
                  <c:v>5002.3900000000003</c:v>
                </c:pt>
                <c:pt idx="2026">
                  <c:v>5252.36</c:v>
                </c:pt>
                <c:pt idx="2027">
                  <c:v>5253.91</c:v>
                </c:pt>
                <c:pt idx="2028">
                  <c:v>5443.62</c:v>
                </c:pt>
                <c:pt idx="2029">
                  <c:v>5323.21</c:v>
                </c:pt>
                <c:pt idx="2030">
                  <c:v>5392.84</c:v>
                </c:pt>
                <c:pt idx="2031">
                  <c:v>5270.6</c:v>
                </c:pt>
                <c:pt idx="2032">
                  <c:v>5200.1000000000004</c:v>
                </c:pt>
                <c:pt idx="2033">
                  <c:v>4931.8</c:v>
                </c:pt>
                <c:pt idx="2034">
                  <c:v>4912.75</c:v>
                </c:pt>
                <c:pt idx="2035">
                  <c:v>4960.22</c:v>
                </c:pt>
                <c:pt idx="2036">
                  <c:v>5050.3999999999996</c:v>
                </c:pt>
                <c:pt idx="2037">
                  <c:v>5073.1499999999996</c:v>
                </c:pt>
                <c:pt idx="2038">
                  <c:v>5143.0600000000004</c:v>
                </c:pt>
                <c:pt idx="2039">
                  <c:v>5156.67</c:v>
                </c:pt>
                <c:pt idx="2040">
                  <c:v>5019.28</c:v>
                </c:pt>
                <c:pt idx="2041">
                  <c:v>4982.45</c:v>
                </c:pt>
                <c:pt idx="2042">
                  <c:v>4986.8</c:v>
                </c:pt>
                <c:pt idx="2043">
                  <c:v>5061.18</c:v>
                </c:pt>
                <c:pt idx="2044">
                  <c:v>5096.41</c:v>
                </c:pt>
                <c:pt idx="2045">
                  <c:v>5159.96</c:v>
                </c:pt>
                <c:pt idx="2046">
                  <c:v>5190.82</c:v>
                </c:pt>
                <c:pt idx="2047">
                  <c:v>5166.87</c:v>
                </c:pt>
                <c:pt idx="2048">
                  <c:v>5085.66</c:v>
                </c:pt>
                <c:pt idx="2049">
                  <c:v>5077.8500000000004</c:v>
                </c:pt>
                <c:pt idx="2050">
                  <c:v>5080.7700000000004</c:v>
                </c:pt>
                <c:pt idx="2051">
                  <c:v>5027.22</c:v>
                </c:pt>
                <c:pt idx="2052">
                  <c:v>4904.3500000000004</c:v>
                </c:pt>
                <c:pt idx="2053">
                  <c:v>4796.82</c:v>
                </c:pt>
                <c:pt idx="2054">
                  <c:v>4839.33</c:v>
                </c:pt>
                <c:pt idx="2055">
                  <c:v>4888.74</c:v>
                </c:pt>
                <c:pt idx="2056">
                  <c:v>4879.55</c:v>
                </c:pt>
                <c:pt idx="2057">
                  <c:v>4904.68</c:v>
                </c:pt>
                <c:pt idx="2058">
                  <c:v>4810.09</c:v>
                </c:pt>
                <c:pt idx="2059">
                  <c:v>4845.08</c:v>
                </c:pt>
                <c:pt idx="2060">
                  <c:v>4802.38</c:v>
                </c:pt>
                <c:pt idx="2061">
                  <c:v>4845.18</c:v>
                </c:pt>
                <c:pt idx="2062">
                  <c:v>4987.5600000000004</c:v>
                </c:pt>
                <c:pt idx="2063">
                  <c:v>5062.3100000000004</c:v>
                </c:pt>
                <c:pt idx="2064">
                  <c:v>4958.58</c:v>
                </c:pt>
                <c:pt idx="2065">
                  <c:v>4911.8100000000004</c:v>
                </c:pt>
                <c:pt idx="2066">
                  <c:v>4784.3100000000004</c:v>
                </c:pt>
                <c:pt idx="2067">
                  <c:v>4804.0200000000004</c:v>
                </c:pt>
                <c:pt idx="2068">
                  <c:v>4697.67</c:v>
                </c:pt>
                <c:pt idx="2069">
                  <c:v>4678.72</c:v>
                </c:pt>
                <c:pt idx="2070">
                  <c:v>4839.09</c:v>
                </c:pt>
                <c:pt idx="2071">
                  <c:v>4788.6899999999996</c:v>
                </c:pt>
                <c:pt idx="2072">
                  <c:v>4758.46</c:v>
                </c:pt>
                <c:pt idx="2073">
                  <c:v>4721.41</c:v>
                </c:pt>
                <c:pt idx="2074">
                  <c:v>4754.41</c:v>
                </c:pt>
                <c:pt idx="2075">
                  <c:v>5008.16</c:v>
                </c:pt>
                <c:pt idx="2076">
                  <c:v>5029.24</c:v>
                </c:pt>
                <c:pt idx="2077">
                  <c:v>5094.63</c:v>
                </c:pt>
                <c:pt idx="2078">
                  <c:v>5077.43</c:v>
                </c:pt>
                <c:pt idx="2079">
                  <c:v>5013.62</c:v>
                </c:pt>
                <c:pt idx="2080">
                  <c:v>5099.4799999999996</c:v>
                </c:pt>
                <c:pt idx="2081">
                  <c:v>5027.0600000000004</c:v>
                </c:pt>
                <c:pt idx="2082">
                  <c:v>4915.03</c:v>
                </c:pt>
                <c:pt idx="2083">
                  <c:v>4780.13</c:v>
                </c:pt>
                <c:pt idx="2084">
                  <c:v>4860.26</c:v>
                </c:pt>
                <c:pt idx="2085">
                  <c:v>4775.17</c:v>
                </c:pt>
                <c:pt idx="2086">
                  <c:v>4876.92</c:v>
                </c:pt>
                <c:pt idx="2087">
                  <c:v>4856.84</c:v>
                </c:pt>
                <c:pt idx="2088">
                  <c:v>4884.2</c:v>
                </c:pt>
                <c:pt idx="2089">
                  <c:v>4914.59</c:v>
                </c:pt>
                <c:pt idx="2090">
                  <c:v>4965.29</c:v>
                </c:pt>
                <c:pt idx="2091">
                  <c:v>5052.2700000000004</c:v>
                </c:pt>
                <c:pt idx="2092">
                  <c:v>5068.75</c:v>
                </c:pt>
                <c:pt idx="2093">
                  <c:v>5124.18</c:v>
                </c:pt>
                <c:pt idx="2094">
                  <c:v>5159.16</c:v>
                </c:pt>
                <c:pt idx="2095">
                  <c:v>5199.18</c:v>
                </c:pt>
                <c:pt idx="2096">
                  <c:v>5182.16</c:v>
                </c:pt>
                <c:pt idx="2097">
                  <c:v>5181.01</c:v>
                </c:pt>
                <c:pt idx="2098">
                  <c:v>5155.3500000000004</c:v>
                </c:pt>
                <c:pt idx="2099">
                  <c:v>5220.1499999999996</c:v>
                </c:pt>
                <c:pt idx="2100">
                  <c:v>5087.29</c:v>
                </c:pt>
                <c:pt idx="2101">
                  <c:v>5163.29</c:v>
                </c:pt>
                <c:pt idx="2102">
                  <c:v>5218.82</c:v>
                </c:pt>
                <c:pt idx="2103">
                  <c:v>5195.42</c:v>
                </c:pt>
                <c:pt idx="2104">
                  <c:v>5256.22</c:v>
                </c:pt>
                <c:pt idx="2105">
                  <c:v>5347.5</c:v>
                </c:pt>
                <c:pt idx="2106">
                  <c:v>5348.61</c:v>
                </c:pt>
                <c:pt idx="2107">
                  <c:v>5334.42</c:v>
                </c:pt>
                <c:pt idx="2108">
                  <c:v>5393.11</c:v>
                </c:pt>
                <c:pt idx="2109">
                  <c:v>5377.56</c:v>
                </c:pt>
                <c:pt idx="2110">
                  <c:v>5383.21</c:v>
                </c:pt>
                <c:pt idx="2111">
                  <c:v>5307.22</c:v>
                </c:pt>
                <c:pt idx="2112">
                  <c:v>5274.45</c:v>
                </c:pt>
                <c:pt idx="2113">
                  <c:v>5297.38</c:v>
                </c:pt>
                <c:pt idx="2114">
                  <c:v>5205.95</c:v>
                </c:pt>
                <c:pt idx="2115">
                  <c:v>5249.15</c:v>
                </c:pt>
                <c:pt idx="2116">
                  <c:v>5248.02</c:v>
                </c:pt>
                <c:pt idx="2117">
                  <c:v>5173.25</c:v>
                </c:pt>
                <c:pt idx="2118">
                  <c:v>5114.47</c:v>
                </c:pt>
                <c:pt idx="2119">
                  <c:v>5154.9399999999996</c:v>
                </c:pt>
                <c:pt idx="2120">
                  <c:v>5184.51</c:v>
                </c:pt>
                <c:pt idx="2121">
                  <c:v>5235.6400000000003</c:v>
                </c:pt>
                <c:pt idx="2122">
                  <c:v>5264.68</c:v>
                </c:pt>
                <c:pt idx="2123">
                  <c:v>5143.1000000000004</c:v>
                </c:pt>
                <c:pt idx="2124">
                  <c:v>5160.4399999999996</c:v>
                </c:pt>
                <c:pt idx="2125">
                  <c:v>5083.83</c:v>
                </c:pt>
                <c:pt idx="2126">
                  <c:v>5068.7299999999996</c:v>
                </c:pt>
                <c:pt idx="2127">
                  <c:v>5069.83</c:v>
                </c:pt>
                <c:pt idx="2128">
                  <c:v>5021.24</c:v>
                </c:pt>
                <c:pt idx="2129">
                  <c:v>4997.83</c:v>
                </c:pt>
                <c:pt idx="2130">
                  <c:v>5107.8100000000004</c:v>
                </c:pt>
                <c:pt idx="2131">
                  <c:v>5190.1499999999996</c:v>
                </c:pt>
                <c:pt idx="2132">
                  <c:v>5211.08</c:v>
                </c:pt>
                <c:pt idx="2133">
                  <c:v>5253.89</c:v>
                </c:pt>
                <c:pt idx="2134">
                  <c:v>5206.47</c:v>
                </c:pt>
                <c:pt idx="2135">
                  <c:v>5262.15</c:v>
                </c:pt>
                <c:pt idx="2136">
                  <c:v>5268.87</c:v>
                </c:pt>
                <c:pt idx="2137">
                  <c:v>5342.86</c:v>
                </c:pt>
                <c:pt idx="2138">
                  <c:v>5381.25</c:v>
                </c:pt>
                <c:pt idx="2139">
                  <c:v>5412</c:v>
                </c:pt>
                <c:pt idx="2140">
                  <c:v>5430.32</c:v>
                </c:pt>
                <c:pt idx="2141">
                  <c:v>5468.47</c:v>
                </c:pt>
                <c:pt idx="2142">
                  <c:v>5468.67</c:v>
                </c:pt>
                <c:pt idx="2143">
                  <c:v>5399.11</c:v>
                </c:pt>
                <c:pt idx="2144">
                  <c:v>5327.6</c:v>
                </c:pt>
                <c:pt idx="2145">
                  <c:v>5301.21</c:v>
                </c:pt>
                <c:pt idx="2146">
                  <c:v>5356.95</c:v>
                </c:pt>
                <c:pt idx="2147">
                  <c:v>5359.53</c:v>
                </c:pt>
                <c:pt idx="2148">
                  <c:v>5378.52</c:v>
                </c:pt>
                <c:pt idx="2149">
                  <c:v>5480.22</c:v>
                </c:pt>
                <c:pt idx="2150">
                  <c:v>5519.05</c:v>
                </c:pt>
                <c:pt idx="2151">
                  <c:v>5625.62</c:v>
                </c:pt>
                <c:pt idx="2152">
                  <c:v>5612.9</c:v>
                </c:pt>
                <c:pt idx="2153">
                  <c:v>5588.5</c:v>
                </c:pt>
                <c:pt idx="2154">
                  <c:v>5607.1</c:v>
                </c:pt>
                <c:pt idx="2155">
                  <c:v>5638.95</c:v>
                </c:pt>
                <c:pt idx="2156">
                  <c:v>5652.02</c:v>
                </c:pt>
                <c:pt idx="2157">
                  <c:v>5573.82</c:v>
                </c:pt>
                <c:pt idx="2158">
                  <c:v>5610.89</c:v>
                </c:pt>
                <c:pt idx="2159">
                  <c:v>5619.26</c:v>
                </c:pt>
                <c:pt idx="2160">
                  <c:v>5619.94</c:v>
                </c:pt>
                <c:pt idx="2161">
                  <c:v>5624.74</c:v>
                </c:pt>
                <c:pt idx="2162">
                  <c:v>5491.29</c:v>
                </c:pt>
                <c:pt idx="2163">
                  <c:v>5414.17</c:v>
                </c:pt>
                <c:pt idx="2164">
                  <c:v>5340.91</c:v>
                </c:pt>
                <c:pt idx="2165">
                  <c:v>5310.63</c:v>
                </c:pt>
                <c:pt idx="2166">
                  <c:v>5206.4399999999996</c:v>
                </c:pt>
                <c:pt idx="2167">
                  <c:v>5224.16</c:v>
                </c:pt>
                <c:pt idx="2168">
                  <c:v>5229.5600000000004</c:v>
                </c:pt>
                <c:pt idx="2169">
                  <c:v>5052.32</c:v>
                </c:pt>
                <c:pt idx="2170">
                  <c:v>5101.87</c:v>
                </c:pt>
                <c:pt idx="2171">
                  <c:v>5129.5</c:v>
                </c:pt>
                <c:pt idx="2172">
                  <c:v>5107.68</c:v>
                </c:pt>
                <c:pt idx="2173">
                  <c:v>5119.37</c:v>
                </c:pt>
                <c:pt idx="2174">
                  <c:v>4978.45</c:v>
                </c:pt>
                <c:pt idx="2175">
                  <c:v>5010.47</c:v>
                </c:pt>
                <c:pt idx="2176">
                  <c:v>5087.3</c:v>
                </c:pt>
                <c:pt idx="2177">
                  <c:v>5000.87</c:v>
                </c:pt>
                <c:pt idx="2178">
                  <c:v>5019.6899999999996</c:v>
                </c:pt>
                <c:pt idx="2179">
                  <c:v>5127.43</c:v>
                </c:pt>
                <c:pt idx="2180">
                  <c:v>5219.43</c:v>
                </c:pt>
                <c:pt idx="2181">
                  <c:v>5257.1</c:v>
                </c:pt>
                <c:pt idx="2182">
                  <c:v>5259.91</c:v>
                </c:pt>
                <c:pt idx="2183">
                  <c:v>5230.47</c:v>
                </c:pt>
                <c:pt idx="2184">
                  <c:v>5186.8500000000004</c:v>
                </c:pt>
                <c:pt idx="2185">
                  <c:v>5254.14</c:v>
                </c:pt>
                <c:pt idx="2186">
                  <c:v>5301.98</c:v>
                </c:pt>
                <c:pt idx="2187">
                  <c:v>5324.02</c:v>
                </c:pt>
                <c:pt idx="2188">
                  <c:v>5400.32</c:v>
                </c:pt>
                <c:pt idx="2189">
                  <c:v>5389.34</c:v>
                </c:pt>
                <c:pt idx="2190">
                  <c:v>5420.36</c:v>
                </c:pt>
                <c:pt idx="2191">
                  <c:v>5392.53</c:v>
                </c:pt>
                <c:pt idx="2192">
                  <c:v>5270.77</c:v>
                </c:pt>
                <c:pt idx="2193">
                  <c:v>5317.12</c:v>
                </c:pt>
                <c:pt idx="2194">
                  <c:v>5189.92</c:v>
                </c:pt>
                <c:pt idx="2195">
                  <c:v>5336.22</c:v>
                </c:pt>
                <c:pt idx="2196">
                  <c:v>5400.55</c:v>
                </c:pt>
                <c:pt idx="2197">
                  <c:v>5391.36</c:v>
                </c:pt>
                <c:pt idx="2198">
                  <c:v>5400.7</c:v>
                </c:pt>
                <c:pt idx="2199">
                  <c:v>5436.86</c:v>
                </c:pt>
                <c:pt idx="2200">
                  <c:v>5483.95</c:v>
                </c:pt>
                <c:pt idx="2201">
                  <c:v>5446.91</c:v>
                </c:pt>
                <c:pt idx="2202">
                  <c:v>5401.47</c:v>
                </c:pt>
                <c:pt idx="2203">
                  <c:v>5387.18</c:v>
                </c:pt>
                <c:pt idx="2204">
                  <c:v>5304.42</c:v>
                </c:pt>
                <c:pt idx="2205">
                  <c:v>5303.94</c:v>
                </c:pt>
                <c:pt idx="2206">
                  <c:v>5351.98</c:v>
                </c:pt>
                <c:pt idx="2207">
                  <c:v>5282.76</c:v>
                </c:pt>
                <c:pt idx="2208">
                  <c:v>5238.76</c:v>
                </c:pt>
                <c:pt idx="2209">
                  <c:v>5299.57</c:v>
                </c:pt>
                <c:pt idx="2210">
                  <c:v>5186.53</c:v>
                </c:pt>
                <c:pt idx="2211">
                  <c:v>5239.6400000000003</c:v>
                </c:pt>
                <c:pt idx="2212">
                  <c:v>5119.1000000000004</c:v>
                </c:pt>
                <c:pt idx="2213">
                  <c:v>5135.62</c:v>
                </c:pt>
                <c:pt idx="2214">
                  <c:v>5149.83</c:v>
                </c:pt>
                <c:pt idx="2215">
                  <c:v>5124.55</c:v>
                </c:pt>
                <c:pt idx="2216">
                  <c:v>5218.8599999999997</c:v>
                </c:pt>
                <c:pt idx="2217">
                  <c:v>5301.85</c:v>
                </c:pt>
                <c:pt idx="2218">
                  <c:v>5353.32</c:v>
                </c:pt>
                <c:pt idx="2219">
                  <c:v>5419.31</c:v>
                </c:pt>
                <c:pt idx="2220">
                  <c:v>5419.26</c:v>
                </c:pt>
                <c:pt idx="2221">
                  <c:v>5414.5</c:v>
                </c:pt>
                <c:pt idx="2222">
                  <c:v>5358.46</c:v>
                </c:pt>
                <c:pt idx="2223">
                  <c:v>5295.43</c:v>
                </c:pt>
                <c:pt idx="2224">
                  <c:v>5220.29</c:v>
                </c:pt>
                <c:pt idx="2225">
                  <c:v>5184.2299999999996</c:v>
                </c:pt>
                <c:pt idx="2226">
                  <c:v>5156.28</c:v>
                </c:pt>
                <c:pt idx="2227">
                  <c:v>5296.91</c:v>
                </c:pt>
                <c:pt idx="2228">
                  <c:v>5291.23</c:v>
                </c:pt>
                <c:pt idx="2229">
                  <c:v>5246.49</c:v>
                </c:pt>
                <c:pt idx="2230">
                  <c:v>5357.75</c:v>
                </c:pt>
                <c:pt idx="2231">
                  <c:v>5320.4</c:v>
                </c:pt>
                <c:pt idx="2232">
                  <c:v>5388.76</c:v>
                </c:pt>
                <c:pt idx="2233">
                  <c:v>5363.86</c:v>
                </c:pt>
                <c:pt idx="2234">
                  <c:v>5478.89</c:v>
                </c:pt>
                <c:pt idx="2235">
                  <c:v>5525.4</c:v>
                </c:pt>
                <c:pt idx="2236">
                  <c:v>5524.92</c:v>
                </c:pt>
                <c:pt idx="2237">
                  <c:v>5546.95</c:v>
                </c:pt>
                <c:pt idx="2238">
                  <c:v>5560.87</c:v>
                </c:pt>
                <c:pt idx="2239">
                  <c:v>5635.62</c:v>
                </c:pt>
                <c:pt idx="2240">
                  <c:v>5658.1</c:v>
                </c:pt>
                <c:pt idx="2241">
                  <c:v>5647.94</c:v>
                </c:pt>
                <c:pt idx="2242">
                  <c:v>5694.73</c:v>
                </c:pt>
                <c:pt idx="2243">
                  <c:v>5742.42</c:v>
                </c:pt>
                <c:pt idx="2244">
                  <c:v>5802.36</c:v>
                </c:pt>
                <c:pt idx="2245">
                  <c:v>5791.05</c:v>
                </c:pt>
                <c:pt idx="2246">
                  <c:v>5859.29</c:v>
                </c:pt>
                <c:pt idx="2247">
                  <c:v>5909.52</c:v>
                </c:pt>
                <c:pt idx="2248">
                  <c:v>5870.17</c:v>
                </c:pt>
                <c:pt idx="2249">
                  <c:v>5950.05</c:v>
                </c:pt>
                <c:pt idx="2250">
                  <c:v>5955.97</c:v>
                </c:pt>
                <c:pt idx="2251">
                  <c:v>5819.89</c:v>
                </c:pt>
                <c:pt idx="2252">
                  <c:v>5814.74</c:v>
                </c:pt>
                <c:pt idx="2253">
                  <c:v>5818.73</c:v>
                </c:pt>
                <c:pt idx="2254">
                  <c:v>5961.45</c:v>
                </c:pt>
                <c:pt idx="2255">
                  <c:v>5958.07</c:v>
                </c:pt>
                <c:pt idx="2256">
                  <c:v>5888.88</c:v>
                </c:pt>
                <c:pt idx="2257">
                  <c:v>5896.04</c:v>
                </c:pt>
                <c:pt idx="2258">
                  <c:v>5933.84</c:v>
                </c:pt>
                <c:pt idx="2259">
                  <c:v>5937.2</c:v>
                </c:pt>
                <c:pt idx="2260">
                  <c:v>6119.17</c:v>
                </c:pt>
                <c:pt idx="2261">
                  <c:v>6142.19</c:v>
                </c:pt>
                <c:pt idx="2262">
                  <c:v>6158.77</c:v>
                </c:pt>
                <c:pt idx="2263">
                  <c:v>6115.59</c:v>
                </c:pt>
                <c:pt idx="2264">
                  <c:v>6118.06</c:v>
                </c:pt>
                <c:pt idx="2265">
                  <c:v>6097.9</c:v>
                </c:pt>
                <c:pt idx="2266">
                  <c:v>6127.2</c:v>
                </c:pt>
                <c:pt idx="2267">
                  <c:v>6187.99</c:v>
                </c:pt>
                <c:pt idx="2268">
                  <c:v>6232.75</c:v>
                </c:pt>
                <c:pt idx="2269">
                  <c:v>6341.29</c:v>
                </c:pt>
                <c:pt idx="2270">
                  <c:v>6353.9</c:v>
                </c:pt>
                <c:pt idx="2271">
                  <c:v>6378.66</c:v>
                </c:pt>
                <c:pt idx="2272">
                  <c:v>6418.68</c:v>
                </c:pt>
                <c:pt idx="2273">
                  <c:v>6492.53</c:v>
                </c:pt>
                <c:pt idx="2274">
                  <c:v>6782.39</c:v>
                </c:pt>
                <c:pt idx="2275">
                  <c:v>6837.41</c:v>
                </c:pt>
                <c:pt idx="2276">
                  <c:v>6861.54</c:v>
                </c:pt>
                <c:pt idx="2277">
                  <c:v>6859.58</c:v>
                </c:pt>
                <c:pt idx="2278">
                  <c:v>6958.14</c:v>
                </c:pt>
                <c:pt idx="2279">
                  <c:v>6750.76</c:v>
                </c:pt>
                <c:pt idx="2280">
                  <c:v>6586.95</c:v>
                </c:pt>
                <c:pt idx="2281">
                  <c:v>6502.07</c:v>
                </c:pt>
                <c:pt idx="2282">
                  <c:v>6474.92</c:v>
                </c:pt>
                <c:pt idx="2283">
                  <c:v>6780.96</c:v>
                </c:pt>
                <c:pt idx="2284">
                  <c:v>6925.52</c:v>
                </c:pt>
                <c:pt idx="2285">
                  <c:v>6891.25</c:v>
                </c:pt>
                <c:pt idx="2286">
                  <c:v>6912.81</c:v>
                </c:pt>
                <c:pt idx="2287">
                  <c:v>6955.98</c:v>
                </c:pt>
                <c:pt idx="2288">
                  <c:v>7173.22</c:v>
                </c:pt>
                <c:pt idx="2289">
                  <c:v>7258.9</c:v>
                </c:pt>
                <c:pt idx="2290">
                  <c:v>7072.12</c:v>
                </c:pt>
                <c:pt idx="2291">
                  <c:v>7091.04</c:v>
                </c:pt>
                <c:pt idx="2292">
                  <c:v>7112.66</c:v>
                </c:pt>
                <c:pt idx="2293">
                  <c:v>6992.75</c:v>
                </c:pt>
                <c:pt idx="2294">
                  <c:v>6931.99</c:v>
                </c:pt>
                <c:pt idx="2295">
                  <c:v>6809.64</c:v>
                </c:pt>
                <c:pt idx="2296">
                  <c:v>6969.37</c:v>
                </c:pt>
                <c:pt idx="2297">
                  <c:v>7126.13</c:v>
                </c:pt>
                <c:pt idx="2298">
                  <c:v>7066.6</c:v>
                </c:pt>
                <c:pt idx="2299">
                  <c:v>6835.6</c:v>
                </c:pt>
                <c:pt idx="2300">
                  <c:v>7050.46</c:v>
                </c:pt>
                <c:pt idx="2301">
                  <c:v>7171.95</c:v>
                </c:pt>
                <c:pt idx="2302">
                  <c:v>7354.26</c:v>
                </c:pt>
                <c:pt idx="2303">
                  <c:v>7444.61</c:v>
                </c:pt>
                <c:pt idx="2304">
                  <c:v>7296.32</c:v>
                </c:pt>
                <c:pt idx="2305">
                  <c:v>7549.88</c:v>
                </c:pt>
                <c:pt idx="2306">
                  <c:v>7629.11</c:v>
                </c:pt>
                <c:pt idx="2307">
                  <c:v>7709.27</c:v>
                </c:pt>
                <c:pt idx="2308">
                  <c:v>7611.55</c:v>
                </c:pt>
                <c:pt idx="2309">
                  <c:v>7644.8</c:v>
                </c:pt>
                <c:pt idx="2310">
                  <c:v>7396.13</c:v>
                </c:pt>
                <c:pt idx="2311">
                  <c:v>7490.32</c:v>
                </c:pt>
                <c:pt idx="2312">
                  <c:v>7580.53</c:v>
                </c:pt>
                <c:pt idx="2313">
                  <c:v>7573.78</c:v>
                </c:pt>
                <c:pt idx="2314">
                  <c:v>7590.53</c:v>
                </c:pt>
                <c:pt idx="2315">
                  <c:v>7607.94</c:v>
                </c:pt>
                <c:pt idx="2316">
                  <c:v>7698.97</c:v>
                </c:pt>
                <c:pt idx="2317">
                  <c:v>7640.53</c:v>
                </c:pt>
                <c:pt idx="2318">
                  <c:v>7738.68</c:v>
                </c:pt>
                <c:pt idx="2319">
                  <c:v>7587.13</c:v>
                </c:pt>
                <c:pt idx="2320">
                  <c:v>7644.55</c:v>
                </c:pt>
                <c:pt idx="2321">
                  <c:v>7727.93</c:v>
                </c:pt>
                <c:pt idx="2322">
                  <c:v>7945.77</c:v>
                </c:pt>
                <c:pt idx="2323">
                  <c:v>7960.03</c:v>
                </c:pt>
                <c:pt idx="2324">
                  <c:v>7975.78</c:v>
                </c:pt>
                <c:pt idx="2325">
                  <c:v>8064.97</c:v>
                </c:pt>
                <c:pt idx="2326">
                  <c:v>7987</c:v>
                </c:pt>
                <c:pt idx="2327">
                  <c:v>7949.15</c:v>
                </c:pt>
                <c:pt idx="2328">
                  <c:v>7975.95</c:v>
                </c:pt>
                <c:pt idx="2329">
                  <c:v>7693.85</c:v>
                </c:pt>
                <c:pt idx="2330">
                  <c:v>7650.05</c:v>
                </c:pt>
                <c:pt idx="2331">
                  <c:v>7414.46</c:v>
                </c:pt>
                <c:pt idx="2332">
                  <c:v>7583.96</c:v>
                </c:pt>
                <c:pt idx="2333">
                  <c:v>7710.92</c:v>
                </c:pt>
                <c:pt idx="2334">
                  <c:v>7872.38</c:v>
                </c:pt>
                <c:pt idx="2335">
                  <c:v>7807.93</c:v>
                </c:pt>
                <c:pt idx="2336">
                  <c:v>7798.62</c:v>
                </c:pt>
                <c:pt idx="2337">
                  <c:v>7694.78</c:v>
                </c:pt>
                <c:pt idx="2338">
                  <c:v>7932.42</c:v>
                </c:pt>
                <c:pt idx="2339">
                  <c:v>7892.49</c:v>
                </c:pt>
                <c:pt idx="2340">
                  <c:v>7931.93</c:v>
                </c:pt>
                <c:pt idx="2341">
                  <c:v>7864.76</c:v>
                </c:pt>
                <c:pt idx="2342">
                  <c:v>7644.89</c:v>
                </c:pt>
                <c:pt idx="2343">
                  <c:v>7599.39</c:v>
                </c:pt>
                <c:pt idx="2344">
                  <c:v>7429.22</c:v>
                </c:pt>
                <c:pt idx="2345">
                  <c:v>7522.8</c:v>
                </c:pt>
                <c:pt idx="2346">
                  <c:v>7330.77</c:v>
                </c:pt>
                <c:pt idx="2347">
                  <c:v>7446.21</c:v>
                </c:pt>
                <c:pt idx="2348">
                  <c:v>7522.2</c:v>
                </c:pt>
                <c:pt idx="2349">
                  <c:v>7516.95</c:v>
                </c:pt>
                <c:pt idx="2350">
                  <c:v>7442.66</c:v>
                </c:pt>
                <c:pt idx="2351">
                  <c:v>7443.07</c:v>
                </c:pt>
                <c:pt idx="2352">
                  <c:v>7449.06</c:v>
                </c:pt>
                <c:pt idx="2353">
                  <c:v>7214.83</c:v>
                </c:pt>
                <c:pt idx="2354">
                  <c:v>7187.14</c:v>
                </c:pt>
                <c:pt idx="2355">
                  <c:v>7196.49</c:v>
                </c:pt>
                <c:pt idx="2356">
                  <c:v>7216.71</c:v>
                </c:pt>
                <c:pt idx="2357">
                  <c:v>7157.95</c:v>
                </c:pt>
                <c:pt idx="2358">
                  <c:v>7280.51</c:v>
                </c:pt>
                <c:pt idx="2359">
                  <c:v>7388.55</c:v>
                </c:pt>
                <c:pt idx="2360">
                  <c:v>7221.74</c:v>
                </c:pt>
                <c:pt idx="2361">
                  <c:v>7414.68</c:v>
                </c:pt>
                <c:pt idx="2362">
                  <c:v>7555.92</c:v>
                </c:pt>
                <c:pt idx="2363">
                  <c:v>7376.93</c:v>
                </c:pt>
                <c:pt idx="2364">
                  <c:v>7386.71</c:v>
                </c:pt>
                <c:pt idx="2365">
                  <c:v>7530.82</c:v>
                </c:pt>
                <c:pt idx="2366">
                  <c:v>7408.09</c:v>
                </c:pt>
                <c:pt idx="2367">
                  <c:v>7280.54</c:v>
                </c:pt>
                <c:pt idx="2368">
                  <c:v>7120.86</c:v>
                </c:pt>
                <c:pt idx="2369">
                  <c:v>7259.48</c:v>
                </c:pt>
                <c:pt idx="2370">
                  <c:v>7269.28</c:v>
                </c:pt>
                <c:pt idx="2371">
                  <c:v>7195.15</c:v>
                </c:pt>
                <c:pt idx="2372">
                  <c:v>7371.06</c:v>
                </c:pt>
                <c:pt idx="2373">
                  <c:v>7211.51</c:v>
                </c:pt>
                <c:pt idx="2374">
                  <c:v>7181.58</c:v>
                </c:pt>
                <c:pt idx="2375">
                  <c:v>6989.03</c:v>
                </c:pt>
                <c:pt idx="2376">
                  <c:v>6912.96</c:v>
                </c:pt>
                <c:pt idx="2377">
                  <c:v>6927.69</c:v>
                </c:pt>
                <c:pt idx="2378">
                  <c:v>6834.88</c:v>
                </c:pt>
                <c:pt idx="2379">
                  <c:v>6978.87</c:v>
                </c:pt>
                <c:pt idx="2380">
                  <c:v>6839.33</c:v>
                </c:pt>
                <c:pt idx="2381">
                  <c:v>7016.66</c:v>
                </c:pt>
                <c:pt idx="2382">
                  <c:v>7119.26</c:v>
                </c:pt>
                <c:pt idx="2383">
                  <c:v>7109.67</c:v>
                </c:pt>
                <c:pt idx="2384">
                  <c:v>7272.76</c:v>
                </c:pt>
                <c:pt idx="2385">
                  <c:v>7438.95</c:v>
                </c:pt>
                <c:pt idx="2386">
                  <c:v>7408.02</c:v>
                </c:pt>
                <c:pt idx="2387">
                  <c:v>7359.8</c:v>
                </c:pt>
                <c:pt idx="2388">
                  <c:v>7285.93</c:v>
                </c:pt>
                <c:pt idx="2389">
                  <c:v>7253.46</c:v>
                </c:pt>
                <c:pt idx="2390">
                  <c:v>7246.79</c:v>
                </c:pt>
                <c:pt idx="2391">
                  <c:v>7240.1</c:v>
                </c:pt>
                <c:pt idx="2392">
                  <c:v>7268.91</c:v>
                </c:pt>
                <c:pt idx="2393">
                  <c:v>7350.94</c:v>
                </c:pt>
                <c:pt idx="2394">
                  <c:v>7328.62</c:v>
                </c:pt>
                <c:pt idx="2395">
                  <c:v>7252.58</c:v>
                </c:pt>
                <c:pt idx="2396">
                  <c:v>7198.8</c:v>
                </c:pt>
                <c:pt idx="2397">
                  <c:v>7227.27</c:v>
                </c:pt>
                <c:pt idx="2398">
                  <c:v>7100.09</c:v>
                </c:pt>
                <c:pt idx="2399">
                  <c:v>7064.73</c:v>
                </c:pt>
                <c:pt idx="2400">
                  <c:v>6980.41</c:v>
                </c:pt>
                <c:pt idx="2401">
                  <c:v>7027.19</c:v>
                </c:pt>
                <c:pt idx="2402">
                  <c:v>7048.96</c:v>
                </c:pt>
                <c:pt idx="2403">
                  <c:v>7054.3</c:v>
                </c:pt>
                <c:pt idx="2404">
                  <c:v>6881.94</c:v>
                </c:pt>
                <c:pt idx="2405">
                  <c:v>6882.44</c:v>
                </c:pt>
                <c:pt idx="2406">
                  <c:v>6962.02</c:v>
                </c:pt>
                <c:pt idx="2407">
                  <c:v>6944.36</c:v>
                </c:pt>
                <c:pt idx="2408">
                  <c:v>6961.73</c:v>
                </c:pt>
                <c:pt idx="2409">
                  <c:v>6972.8</c:v>
                </c:pt>
                <c:pt idx="2410">
                  <c:v>7044.77</c:v>
                </c:pt>
                <c:pt idx="2411">
                  <c:v>7066.22</c:v>
                </c:pt>
                <c:pt idx="2412">
                  <c:v>7006.05</c:v>
                </c:pt>
                <c:pt idx="2413">
                  <c:v>7065.97</c:v>
                </c:pt>
                <c:pt idx="2414">
                  <c:v>7166.51</c:v>
                </c:pt>
                <c:pt idx="2415">
                  <c:v>7321.94</c:v>
                </c:pt>
                <c:pt idx="2416">
                  <c:v>7430.7</c:v>
                </c:pt>
                <c:pt idx="2417">
                  <c:v>7406.91</c:v>
                </c:pt>
                <c:pt idx="2418">
                  <c:v>7366.57</c:v>
                </c:pt>
                <c:pt idx="2419">
                  <c:v>7480.14</c:v>
                </c:pt>
                <c:pt idx="2420">
                  <c:v>7378.86</c:v>
                </c:pt>
                <c:pt idx="2421">
                  <c:v>7314.2</c:v>
                </c:pt>
                <c:pt idx="2422">
                  <c:v>7329.46</c:v>
                </c:pt>
                <c:pt idx="2423">
                  <c:v>7268</c:v>
                </c:pt>
                <c:pt idx="2424">
                  <c:v>7183.44</c:v>
                </c:pt>
                <c:pt idx="2425">
                  <c:v>7128.3</c:v>
                </c:pt>
                <c:pt idx="2426">
                  <c:v>7190.37</c:v>
                </c:pt>
                <c:pt idx="2427">
                  <c:v>7145.53</c:v>
                </c:pt>
                <c:pt idx="2428">
                  <c:v>7112.45</c:v>
                </c:pt>
                <c:pt idx="2429">
                  <c:v>7011.74</c:v>
                </c:pt>
                <c:pt idx="2430">
                  <c:v>7016.59</c:v>
                </c:pt>
                <c:pt idx="2431">
                  <c:v>7113.22</c:v>
                </c:pt>
                <c:pt idx="2432">
                  <c:v>7143.96</c:v>
                </c:pt>
                <c:pt idx="2433">
                  <c:v>7226.71</c:v>
                </c:pt>
                <c:pt idx="2434">
                  <c:v>7280.97</c:v>
                </c:pt>
                <c:pt idx="2435">
                  <c:v>7322.98</c:v>
                </c:pt>
                <c:pt idx="2436">
                  <c:v>7331.67</c:v>
                </c:pt>
                <c:pt idx="2437">
                  <c:v>7307.43</c:v>
                </c:pt>
                <c:pt idx="2438">
                  <c:v>7315.27</c:v>
                </c:pt>
                <c:pt idx="2439">
                  <c:v>7278.43</c:v>
                </c:pt>
                <c:pt idx="2440">
                  <c:v>7232.42</c:v>
                </c:pt>
                <c:pt idx="2441">
                  <c:v>7199.34</c:v>
                </c:pt>
                <c:pt idx="2442">
                  <c:v>7249.2</c:v>
                </c:pt>
                <c:pt idx="2443">
                  <c:v>7232.78</c:v>
                </c:pt>
                <c:pt idx="2444">
                  <c:v>7230.26</c:v>
                </c:pt>
                <c:pt idx="2445">
                  <c:v>7307.17</c:v>
                </c:pt>
                <c:pt idx="2446">
                  <c:v>7339.22</c:v>
                </c:pt>
                <c:pt idx="2447">
                  <c:v>7294.4</c:v>
                </c:pt>
                <c:pt idx="2448">
                  <c:v>7192.69</c:v>
                </c:pt>
                <c:pt idx="2449">
                  <c:v>7244.79</c:v>
                </c:pt>
                <c:pt idx="2450">
                  <c:v>7344.67</c:v>
                </c:pt>
                <c:pt idx="2451">
                  <c:v>7445.56</c:v>
                </c:pt>
                <c:pt idx="2452">
                  <c:v>7391.27</c:v>
                </c:pt>
                <c:pt idx="2453">
                  <c:v>7329.9</c:v>
                </c:pt>
                <c:pt idx="2454">
                  <c:v>7373.34</c:v>
                </c:pt>
                <c:pt idx="2455">
                  <c:v>7261.04</c:v>
                </c:pt>
                <c:pt idx="2456">
                  <c:v>7214.45</c:v>
                </c:pt>
                <c:pt idx="2457">
                  <c:v>7135.75</c:v>
                </c:pt>
                <c:pt idx="2458">
                  <c:v>7006.26</c:v>
                </c:pt>
                <c:pt idx="2459">
                  <c:v>7049.82</c:v>
                </c:pt>
                <c:pt idx="2460">
                  <c:v>6999.54</c:v>
                </c:pt>
                <c:pt idx="2461">
                  <c:v>6891.69</c:v>
                </c:pt>
                <c:pt idx="2462">
                  <c:v>6915.49</c:v>
                </c:pt>
                <c:pt idx="2463">
                  <c:v>6765.23</c:v>
                </c:pt>
                <c:pt idx="2464">
                  <c:v>6682.92</c:v>
                </c:pt>
                <c:pt idx="2465">
                  <c:v>6740.25</c:v>
                </c:pt>
                <c:pt idx="2466">
                  <c:v>6788.69</c:v>
                </c:pt>
                <c:pt idx="2467">
                  <c:v>6765.04</c:v>
                </c:pt>
                <c:pt idx="2468">
                  <c:v>6814.06</c:v>
                </c:pt>
                <c:pt idx="2469">
                  <c:v>6832.76</c:v>
                </c:pt>
                <c:pt idx="2470">
                  <c:v>6798.12</c:v>
                </c:pt>
                <c:pt idx="2471">
                  <c:v>6862.26</c:v>
                </c:pt>
                <c:pt idx="2472">
                  <c:v>6823.43</c:v>
                </c:pt>
                <c:pt idx="2473">
                  <c:v>6892.49</c:v>
                </c:pt>
                <c:pt idx="2474">
                  <c:v>6776.39</c:v>
                </c:pt>
                <c:pt idx="2475">
                  <c:v>6680.78</c:v>
                </c:pt>
                <c:pt idx="2476">
                  <c:v>6673.15</c:v>
                </c:pt>
                <c:pt idx="2477">
                  <c:v>6554.14</c:v>
                </c:pt>
                <c:pt idx="2478">
                  <c:v>6465.26</c:v>
                </c:pt>
                <c:pt idx="2479">
                  <c:v>6661.3</c:v>
                </c:pt>
                <c:pt idx="2480">
                  <c:v>6627.25</c:v>
                </c:pt>
                <c:pt idx="2481">
                  <c:v>6531.71</c:v>
                </c:pt>
                <c:pt idx="2482">
                  <c:v>6470.06</c:v>
                </c:pt>
                <c:pt idx="2483">
                  <c:v>6619.43</c:v>
                </c:pt>
                <c:pt idx="2484">
                  <c:v>6615.9</c:v>
                </c:pt>
                <c:pt idx="2485">
                  <c:v>6620.87</c:v>
                </c:pt>
                <c:pt idx="2486">
                  <c:v>6802.81</c:v>
                </c:pt>
                <c:pt idx="2487">
                  <c:v>6748.22</c:v>
                </c:pt>
                <c:pt idx="2488">
                  <c:v>6767.9</c:v>
                </c:pt>
                <c:pt idx="2489">
                  <c:v>6924.68</c:v>
                </c:pt>
                <c:pt idx="2490">
                  <c:v>6926.57</c:v>
                </c:pt>
                <c:pt idx="2491">
                  <c:v>7077.44</c:v>
                </c:pt>
                <c:pt idx="2492">
                  <c:v>7059.07</c:v>
                </c:pt>
                <c:pt idx="2493">
                  <c:v>7088.64</c:v>
                </c:pt>
                <c:pt idx="2494">
                  <c:v>7128.27</c:v>
                </c:pt>
                <c:pt idx="2495">
                  <c:v>7136.3</c:v>
                </c:pt>
                <c:pt idx="2496">
                  <c:v>7083.7</c:v>
                </c:pt>
                <c:pt idx="2497">
                  <c:v>7010.2</c:v>
                </c:pt>
                <c:pt idx="2498">
                  <c:v>6959.5</c:v>
                </c:pt>
                <c:pt idx="2499">
                  <c:v>6851.69</c:v>
                </c:pt>
                <c:pt idx="2500">
                  <c:v>6742.1</c:v>
                </c:pt>
                <c:pt idx="2501">
                  <c:v>6966.65</c:v>
                </c:pt>
                <c:pt idx="2502">
                  <c:v>6961.09</c:v>
                </c:pt>
                <c:pt idx="2503">
                  <c:v>6811.49</c:v>
                </c:pt>
                <c:pt idx="2504">
                  <c:v>6752.29</c:v>
                </c:pt>
                <c:pt idx="2505">
                  <c:v>6605.53</c:v>
                </c:pt>
                <c:pt idx="2506">
                  <c:v>6666.06</c:v>
                </c:pt>
                <c:pt idx="2507">
                  <c:v>6510.54</c:v>
                </c:pt>
                <c:pt idx="2508">
                  <c:v>6596.93</c:v>
                </c:pt>
                <c:pt idx="2509">
                  <c:v>6664.18</c:v>
                </c:pt>
                <c:pt idx="2510">
                  <c:v>6696.91</c:v>
                </c:pt>
                <c:pt idx="2511">
                  <c:v>6625.56</c:v>
                </c:pt>
                <c:pt idx="2512">
                  <c:v>6598.32</c:v>
                </c:pt>
                <c:pt idx="2513">
                  <c:v>6372.33</c:v>
                </c:pt>
                <c:pt idx="2514">
                  <c:v>6512.91</c:v>
                </c:pt>
                <c:pt idx="2515">
                  <c:v>6408.1</c:v>
                </c:pt>
                <c:pt idx="2516">
                  <c:v>6637.09</c:v>
                </c:pt>
                <c:pt idx="2517">
                  <c:v>6622.25</c:v>
                </c:pt>
                <c:pt idx="2518">
                  <c:v>6583.13</c:v>
                </c:pt>
                <c:pt idx="2519">
                  <c:v>6691.25</c:v>
                </c:pt>
                <c:pt idx="2520">
                  <c:v>6782.52</c:v>
                </c:pt>
                <c:pt idx="2521">
                  <c:v>6733.59</c:v>
                </c:pt>
                <c:pt idx="2522">
                  <c:v>6620.21</c:v>
                </c:pt>
                <c:pt idx="2523">
                  <c:v>6475.84</c:v>
                </c:pt>
                <c:pt idx="2524">
                  <c:v>6331.3</c:v>
                </c:pt>
                <c:pt idx="2525">
                  <c:v>6390.25</c:v>
                </c:pt>
                <c:pt idx="2526">
                  <c:v>6479.28</c:v>
                </c:pt>
                <c:pt idx="2527">
                  <c:v>6248.76</c:v>
                </c:pt>
                <c:pt idx="2528">
                  <c:v>6200.71</c:v>
                </c:pt>
                <c:pt idx="2529">
                  <c:v>6251.4</c:v>
                </c:pt>
                <c:pt idx="2530">
                  <c:v>6328.16</c:v>
                </c:pt>
                <c:pt idx="2531">
                  <c:v>6371.64</c:v>
                </c:pt>
                <c:pt idx="2532">
                  <c:v>6433.61</c:v>
                </c:pt>
                <c:pt idx="2533">
                  <c:v>6289.82</c:v>
                </c:pt>
                <c:pt idx="2534">
                  <c:v>6434.96</c:v>
                </c:pt>
                <c:pt idx="2535">
                  <c:v>6376.54</c:v>
                </c:pt>
                <c:pt idx="2536">
                  <c:v>6382.31</c:v>
                </c:pt>
                <c:pt idx="2537">
                  <c:v>6392.17</c:v>
                </c:pt>
                <c:pt idx="2538">
                  <c:v>6404.52</c:v>
                </c:pt>
                <c:pt idx="2539">
                  <c:v>6320.07</c:v>
                </c:pt>
                <c:pt idx="2540">
                  <c:v>6465.21</c:v>
                </c:pt>
                <c:pt idx="2541">
                  <c:v>6490.03</c:v>
                </c:pt>
                <c:pt idx="2542">
                  <c:v>6522.87</c:v>
                </c:pt>
                <c:pt idx="2543">
                  <c:v>6502.89</c:v>
                </c:pt>
                <c:pt idx="2544">
                  <c:v>6653.38</c:v>
                </c:pt>
                <c:pt idx="2545">
                  <c:v>6635.76</c:v>
                </c:pt>
                <c:pt idx="2546">
                  <c:v>6651.53</c:v>
                </c:pt>
                <c:pt idx="2547">
                  <c:v>6675</c:v>
                </c:pt>
                <c:pt idx="2548">
                  <c:v>6722.41</c:v>
                </c:pt>
                <c:pt idx="2549">
                  <c:v>6706.67</c:v>
                </c:pt>
                <c:pt idx="2550">
                  <c:v>6727.49</c:v>
                </c:pt>
                <c:pt idx="2551">
                  <c:v>6695.2</c:v>
                </c:pt>
                <c:pt idx="2552">
                  <c:v>6750.96</c:v>
                </c:pt>
                <c:pt idx="2553">
                  <c:v>6739.3</c:v>
                </c:pt>
                <c:pt idx="2554">
                  <c:v>6795.14</c:v>
                </c:pt>
                <c:pt idx="2555">
                  <c:v>6704.68</c:v>
                </c:pt>
                <c:pt idx="2556">
                  <c:v>6638.2</c:v>
                </c:pt>
                <c:pt idx="2557">
                  <c:v>6628.07</c:v>
                </c:pt>
                <c:pt idx="2558">
                  <c:v>6693.03</c:v>
                </c:pt>
                <c:pt idx="2559">
                  <c:v>6578.96</c:v>
                </c:pt>
                <c:pt idx="2560">
                  <c:v>6636.81</c:v>
                </c:pt>
                <c:pt idx="2561">
                  <c:v>6497.07</c:v>
                </c:pt>
                <c:pt idx="2562">
                  <c:v>6564.91</c:v>
                </c:pt>
                <c:pt idx="2563">
                  <c:v>6557.93</c:v>
                </c:pt>
                <c:pt idx="2564">
                  <c:v>6479.87</c:v>
                </c:pt>
                <c:pt idx="2565">
                  <c:v>6591.67</c:v>
                </c:pt>
                <c:pt idx="2566">
                  <c:v>6439.26</c:v>
                </c:pt>
                <c:pt idx="2567">
                  <c:v>6472.21</c:v>
                </c:pt>
                <c:pt idx="2568">
                  <c:v>6451.57</c:v>
                </c:pt>
                <c:pt idx="2569">
                  <c:v>6347.99</c:v>
                </c:pt>
                <c:pt idx="2570">
                  <c:v>6277.99</c:v>
                </c:pt>
                <c:pt idx="2571">
                  <c:v>6075.34</c:v>
                </c:pt>
                <c:pt idx="2572">
                  <c:v>6189.07</c:v>
                </c:pt>
                <c:pt idx="2573">
                  <c:v>6220.48</c:v>
                </c:pt>
                <c:pt idx="2574">
                  <c:v>6208.24</c:v>
                </c:pt>
                <c:pt idx="2575">
                  <c:v>6123.38</c:v>
                </c:pt>
                <c:pt idx="2576">
                  <c:v>6159.02</c:v>
                </c:pt>
                <c:pt idx="2577">
                  <c:v>6216.38</c:v>
                </c:pt>
                <c:pt idx="2578">
                  <c:v>6284.06</c:v>
                </c:pt>
                <c:pt idx="2579">
                  <c:v>6305.64</c:v>
                </c:pt>
                <c:pt idx="2580">
                  <c:v>6267.06</c:v>
                </c:pt>
                <c:pt idx="2581">
                  <c:v>6204.42</c:v>
                </c:pt>
                <c:pt idx="2582">
                  <c:v>6046.56</c:v>
                </c:pt>
                <c:pt idx="2583">
                  <c:v>5962.93</c:v>
                </c:pt>
                <c:pt idx="2584">
                  <c:v>5794.12</c:v>
                </c:pt>
                <c:pt idx="2585">
                  <c:v>5889.95</c:v>
                </c:pt>
                <c:pt idx="2586">
                  <c:v>5734.49</c:v>
                </c:pt>
                <c:pt idx="2587">
                  <c:v>5657.29</c:v>
                </c:pt>
                <c:pt idx="2588">
                  <c:v>5782.16</c:v>
                </c:pt>
                <c:pt idx="2589">
                  <c:v>5622.09</c:v>
                </c:pt>
                <c:pt idx="2590">
                  <c:v>5388.02</c:v>
                </c:pt>
                <c:pt idx="2591">
                  <c:v>5544.67</c:v>
                </c:pt>
                <c:pt idx="2592">
                  <c:v>5726.97</c:v>
                </c:pt>
                <c:pt idx="2593">
                  <c:v>5938.21</c:v>
                </c:pt>
                <c:pt idx="2594">
                  <c:v>5817.52</c:v>
                </c:pt>
                <c:pt idx="2595">
                  <c:v>5879.3</c:v>
                </c:pt>
                <c:pt idx="2596">
                  <c:v>5829.95</c:v>
                </c:pt>
                <c:pt idx="2597">
                  <c:v>5760.76</c:v>
                </c:pt>
                <c:pt idx="2598">
                  <c:v>5553.46</c:v>
                </c:pt>
                <c:pt idx="2599">
                  <c:v>5597.66</c:v>
                </c:pt>
                <c:pt idx="2600">
                  <c:v>5773.34</c:v>
                </c:pt>
                <c:pt idx="2601">
                  <c:v>5698.88</c:v>
                </c:pt>
                <c:pt idx="2602">
                  <c:v>5781.01</c:v>
                </c:pt>
                <c:pt idx="2603">
                  <c:v>5913.84</c:v>
                </c:pt>
                <c:pt idx="2604">
                  <c:v>5951.16</c:v>
                </c:pt>
                <c:pt idx="2605">
                  <c:v>6002.3</c:v>
                </c:pt>
                <c:pt idx="2606">
                  <c:v>5935.58</c:v>
                </c:pt>
                <c:pt idx="2607">
                  <c:v>6164.88</c:v>
                </c:pt>
                <c:pt idx="2608">
                  <c:v>6181.91</c:v>
                </c:pt>
                <c:pt idx="2609">
                  <c:v>6127.97</c:v>
                </c:pt>
                <c:pt idx="2610">
                  <c:v>6051.48</c:v>
                </c:pt>
                <c:pt idx="2611">
                  <c:v>6124.57</c:v>
                </c:pt>
                <c:pt idx="2612">
                  <c:v>6115.19</c:v>
                </c:pt>
                <c:pt idx="2613">
                  <c:v>6123.66</c:v>
                </c:pt>
                <c:pt idx="2614">
                  <c:v>6175.24</c:v>
                </c:pt>
                <c:pt idx="2615">
                  <c:v>6264.51</c:v>
                </c:pt>
                <c:pt idx="2616">
                  <c:v>6213.84</c:v>
                </c:pt>
                <c:pt idx="2617">
                  <c:v>6089.17</c:v>
                </c:pt>
                <c:pt idx="2618">
                  <c:v>6138.28</c:v>
                </c:pt>
                <c:pt idx="2619">
                  <c:v>6122.62</c:v>
                </c:pt>
                <c:pt idx="2620">
                  <c:v>6108.72</c:v>
                </c:pt>
                <c:pt idx="2621">
                  <c:v>6063.94</c:v>
                </c:pt>
                <c:pt idx="2622">
                  <c:v>6165.18</c:v>
                </c:pt>
                <c:pt idx="2623">
                  <c:v>6141.02</c:v>
                </c:pt>
                <c:pt idx="2624">
                  <c:v>6064.68</c:v>
                </c:pt>
                <c:pt idx="2625">
                  <c:v>6070.38</c:v>
                </c:pt>
                <c:pt idx="2626">
                  <c:v>6148.44</c:v>
                </c:pt>
                <c:pt idx="2627">
                  <c:v>6173.81</c:v>
                </c:pt>
                <c:pt idx="2628">
                  <c:v>6186.87</c:v>
                </c:pt>
                <c:pt idx="2629">
                  <c:v>6249.87</c:v>
                </c:pt>
                <c:pt idx="2630">
                  <c:v>6270.59</c:v>
                </c:pt>
                <c:pt idx="2631">
                  <c:v>6215.25</c:v>
                </c:pt>
                <c:pt idx="2632">
                  <c:v>6278.9</c:v>
                </c:pt>
                <c:pt idx="2633">
                  <c:v>6223.57</c:v>
                </c:pt>
                <c:pt idx="2634">
                  <c:v>6216.83</c:v>
                </c:pt>
                <c:pt idx="2635">
                  <c:v>6120.33</c:v>
                </c:pt>
                <c:pt idx="2636">
                  <c:v>6041.22</c:v>
                </c:pt>
                <c:pt idx="2637">
                  <c:v>6123.26</c:v>
                </c:pt>
                <c:pt idx="2638">
                  <c:v>6125.17</c:v>
                </c:pt>
                <c:pt idx="2639">
                  <c:v>6177.74</c:v>
                </c:pt>
                <c:pt idx="2640">
                  <c:v>6242.13</c:v>
                </c:pt>
                <c:pt idx="2641">
                  <c:v>6192.44</c:v>
                </c:pt>
                <c:pt idx="2642">
                  <c:v>6184.25</c:v>
                </c:pt>
                <c:pt idx="2643">
                  <c:v>6187.21</c:v>
                </c:pt>
                <c:pt idx="2644">
                  <c:v>6162.74</c:v>
                </c:pt>
                <c:pt idx="2645">
                  <c:v>6059.15</c:v>
                </c:pt>
                <c:pt idx="2646">
                  <c:v>6111.94</c:v>
                </c:pt>
                <c:pt idx="2647">
                  <c:v>6031.27</c:v>
                </c:pt>
                <c:pt idx="2648">
                  <c:v>5915.18</c:v>
                </c:pt>
                <c:pt idx="2649">
                  <c:v>5869.04</c:v>
                </c:pt>
                <c:pt idx="2650">
                  <c:v>5922.53</c:v>
                </c:pt>
                <c:pt idx="2651">
                  <c:v>5876.04</c:v>
                </c:pt>
                <c:pt idx="2652">
                  <c:v>5926.38</c:v>
                </c:pt>
                <c:pt idx="2653">
                  <c:v>5941.77</c:v>
                </c:pt>
                <c:pt idx="2654">
                  <c:v>5902.32</c:v>
                </c:pt>
                <c:pt idx="2655">
                  <c:v>5847.79</c:v>
                </c:pt>
                <c:pt idx="2656">
                  <c:v>5833.1</c:v>
                </c:pt>
                <c:pt idx="2657">
                  <c:v>5971.77</c:v>
                </c:pt>
                <c:pt idx="2658">
                  <c:v>6058.38</c:v>
                </c:pt>
                <c:pt idx="2659">
                  <c:v>6109.5</c:v>
                </c:pt>
                <c:pt idx="2660">
                  <c:v>6056.84</c:v>
                </c:pt>
                <c:pt idx="2661">
                  <c:v>6015.72</c:v>
                </c:pt>
                <c:pt idx="2662">
                  <c:v>5999.19</c:v>
                </c:pt>
                <c:pt idx="2663">
                  <c:v>5862.1</c:v>
                </c:pt>
                <c:pt idx="2664">
                  <c:v>5869.86</c:v>
                </c:pt>
                <c:pt idx="2665">
                  <c:v>5816.32</c:v>
                </c:pt>
                <c:pt idx="2666">
                  <c:v>5801.8</c:v>
                </c:pt>
                <c:pt idx="2667">
                  <c:v>5889.88</c:v>
                </c:pt>
                <c:pt idx="2668">
                  <c:v>5928.01</c:v>
                </c:pt>
                <c:pt idx="2669">
                  <c:v>5853.76</c:v>
                </c:pt>
                <c:pt idx="2670">
                  <c:v>5846.66</c:v>
                </c:pt>
                <c:pt idx="2671">
                  <c:v>5728.37</c:v>
                </c:pt>
                <c:pt idx="2672">
                  <c:v>5829.69</c:v>
                </c:pt>
                <c:pt idx="2673">
                  <c:v>5764.06</c:v>
                </c:pt>
                <c:pt idx="2674">
                  <c:v>5791.73</c:v>
                </c:pt>
                <c:pt idx="2675">
                  <c:v>5663.26</c:v>
                </c:pt>
                <c:pt idx="2676">
                  <c:v>5582.76</c:v>
                </c:pt>
                <c:pt idx="2677">
                  <c:v>5675.76</c:v>
                </c:pt>
                <c:pt idx="2678">
                  <c:v>5754.86</c:v>
                </c:pt>
                <c:pt idx="2679">
                  <c:v>5792.19</c:v>
                </c:pt>
                <c:pt idx="2680">
                  <c:v>5861.19</c:v>
                </c:pt>
                <c:pt idx="2681">
                  <c:v>5835.23</c:v>
                </c:pt>
                <c:pt idx="2682">
                  <c:v>5777.28</c:v>
                </c:pt>
                <c:pt idx="2683">
                  <c:v>5735.88</c:v>
                </c:pt>
                <c:pt idx="2684">
                  <c:v>5746.04</c:v>
                </c:pt>
                <c:pt idx="2685">
                  <c:v>5752.51</c:v>
                </c:pt>
                <c:pt idx="2686">
                  <c:v>5614.51</c:v>
                </c:pt>
                <c:pt idx="2687">
                  <c:v>5512.28</c:v>
                </c:pt>
                <c:pt idx="2688">
                  <c:v>5433.49</c:v>
                </c:pt>
                <c:pt idx="2689">
                  <c:v>5453.77</c:v>
                </c:pt>
                <c:pt idx="2690">
                  <c:v>5520.71</c:v>
                </c:pt>
                <c:pt idx="2691">
                  <c:v>5455.44</c:v>
                </c:pt>
                <c:pt idx="2692">
                  <c:v>5361.92</c:v>
                </c:pt>
                <c:pt idx="2693">
                  <c:v>5222.12</c:v>
                </c:pt>
                <c:pt idx="2694">
                  <c:v>5207.83</c:v>
                </c:pt>
                <c:pt idx="2695">
                  <c:v>5216.1099999999997</c:v>
                </c:pt>
                <c:pt idx="2696">
                  <c:v>5220.21</c:v>
                </c:pt>
                <c:pt idx="2697">
                  <c:v>5254.04</c:v>
                </c:pt>
                <c:pt idx="2698">
                  <c:v>5387.5</c:v>
                </c:pt>
                <c:pt idx="2699">
                  <c:v>5406.47</c:v>
                </c:pt>
                <c:pt idx="2700">
                  <c:v>5308.78</c:v>
                </c:pt>
                <c:pt idx="2701">
                  <c:v>5305</c:v>
                </c:pt>
                <c:pt idx="2702">
                  <c:v>5162.3999999999996</c:v>
                </c:pt>
                <c:pt idx="2703">
                  <c:v>5188.17</c:v>
                </c:pt>
                <c:pt idx="2704">
                  <c:v>5094.1000000000004</c:v>
                </c:pt>
                <c:pt idx="2705">
                  <c:v>5208.1000000000004</c:v>
                </c:pt>
                <c:pt idx="2706">
                  <c:v>5048.08</c:v>
                </c:pt>
                <c:pt idx="2707">
                  <c:v>4875.37</c:v>
                </c:pt>
                <c:pt idx="2708">
                  <c:v>4730.67</c:v>
                </c:pt>
                <c:pt idx="2709">
                  <c:v>4670.13</c:v>
                </c:pt>
                <c:pt idx="2710">
                  <c:v>4369.57</c:v>
                </c:pt>
                <c:pt idx="2711">
                  <c:v>4392.3999999999996</c:v>
                </c:pt>
                <c:pt idx="2712">
                  <c:v>4115.9799999999996</c:v>
                </c:pt>
                <c:pt idx="2713">
                  <c:v>4243.68</c:v>
                </c:pt>
                <c:pt idx="2714">
                  <c:v>4194.8500000000004</c:v>
                </c:pt>
                <c:pt idx="2715">
                  <c:v>4041.8</c:v>
                </c:pt>
                <c:pt idx="2716">
                  <c:v>3809.67</c:v>
                </c:pt>
                <c:pt idx="2717">
                  <c:v>3787.23</c:v>
                </c:pt>
                <c:pt idx="2718">
                  <c:v>4038.69</c:v>
                </c:pt>
                <c:pt idx="2719">
                  <c:v>4009.12</c:v>
                </c:pt>
                <c:pt idx="2720">
                  <c:v>4095.32</c:v>
                </c:pt>
                <c:pt idx="2721">
                  <c:v>4184.5</c:v>
                </c:pt>
                <c:pt idx="2722">
                  <c:v>4308.1499999999996</c:v>
                </c:pt>
                <c:pt idx="2723">
                  <c:v>4239.97</c:v>
                </c:pt>
                <c:pt idx="2724">
                  <c:v>4304.2</c:v>
                </c:pt>
                <c:pt idx="2725">
                  <c:v>4436.66</c:v>
                </c:pt>
                <c:pt idx="2726">
                  <c:v>4548.13</c:v>
                </c:pt>
                <c:pt idx="2727">
                  <c:v>4487.6899999999996</c:v>
                </c:pt>
                <c:pt idx="2728">
                  <c:v>4495.1499999999996</c:v>
                </c:pt>
                <c:pt idx="2729">
                  <c:v>4472.42</c:v>
                </c:pt>
                <c:pt idx="2730">
                  <c:v>4613.1899999999996</c:v>
                </c:pt>
                <c:pt idx="2731">
                  <c:v>4718.46</c:v>
                </c:pt>
                <c:pt idx="2732">
                  <c:v>4625.13</c:v>
                </c:pt>
                <c:pt idx="2733">
                  <c:v>4548.4799999999996</c:v>
                </c:pt>
                <c:pt idx="2734">
                  <c:v>4626.4799999999996</c:v>
                </c:pt>
                <c:pt idx="2735">
                  <c:v>4644.82</c:v>
                </c:pt>
                <c:pt idx="2736">
                  <c:v>4574.37</c:v>
                </c:pt>
                <c:pt idx="2737">
                  <c:v>4513.53</c:v>
                </c:pt>
                <c:pt idx="2738">
                  <c:v>4619.32</c:v>
                </c:pt>
                <c:pt idx="2739">
                  <c:v>4704.22</c:v>
                </c:pt>
                <c:pt idx="2740">
                  <c:v>4811.82</c:v>
                </c:pt>
                <c:pt idx="2741">
                  <c:v>4715.6000000000004</c:v>
                </c:pt>
                <c:pt idx="2742">
                  <c:v>4820.26</c:v>
                </c:pt>
                <c:pt idx="2743">
                  <c:v>4660.3500000000004</c:v>
                </c:pt>
                <c:pt idx="2744">
                  <c:v>4543.9799999999996</c:v>
                </c:pt>
                <c:pt idx="2745">
                  <c:v>4559.13</c:v>
                </c:pt>
                <c:pt idx="2746">
                  <c:v>4636.13</c:v>
                </c:pt>
                <c:pt idx="2747">
                  <c:v>4583.3100000000004</c:v>
                </c:pt>
                <c:pt idx="2748">
                  <c:v>4755.1099999999997</c:v>
                </c:pt>
                <c:pt idx="2749">
                  <c:v>4707.6499999999996</c:v>
                </c:pt>
                <c:pt idx="2750">
                  <c:v>4860.66</c:v>
                </c:pt>
                <c:pt idx="2751">
                  <c:v>4993.57</c:v>
                </c:pt>
                <c:pt idx="2752">
                  <c:v>4910.07</c:v>
                </c:pt>
                <c:pt idx="2753">
                  <c:v>4820.37</c:v>
                </c:pt>
                <c:pt idx="2754">
                  <c:v>4946.97</c:v>
                </c:pt>
                <c:pt idx="2755">
                  <c:v>4953.53</c:v>
                </c:pt>
                <c:pt idx="2756">
                  <c:v>5006.33</c:v>
                </c:pt>
                <c:pt idx="2757">
                  <c:v>5062.6400000000003</c:v>
                </c:pt>
                <c:pt idx="2758">
                  <c:v>5185.1000000000004</c:v>
                </c:pt>
                <c:pt idx="2759">
                  <c:v>5096.18</c:v>
                </c:pt>
                <c:pt idx="2760">
                  <c:v>5087.03</c:v>
                </c:pt>
                <c:pt idx="2761">
                  <c:v>5124.54</c:v>
                </c:pt>
                <c:pt idx="2762">
                  <c:v>5150.97</c:v>
                </c:pt>
                <c:pt idx="2763">
                  <c:v>5114.12</c:v>
                </c:pt>
                <c:pt idx="2764">
                  <c:v>5059.57</c:v>
                </c:pt>
                <c:pt idx="2765">
                  <c:v>4915.95</c:v>
                </c:pt>
                <c:pt idx="2766">
                  <c:v>4936.08</c:v>
                </c:pt>
                <c:pt idx="2767">
                  <c:v>4989.91</c:v>
                </c:pt>
                <c:pt idx="2768">
                  <c:v>4988.4399999999996</c:v>
                </c:pt>
                <c:pt idx="2769">
                  <c:v>5013.99</c:v>
                </c:pt>
                <c:pt idx="2770">
                  <c:v>5262.75</c:v>
                </c:pt>
                <c:pt idx="2771">
                  <c:v>5271.29</c:v>
                </c:pt>
                <c:pt idx="2772">
                  <c:v>5199.03</c:v>
                </c:pt>
                <c:pt idx="2773">
                  <c:v>5124.68</c:v>
                </c:pt>
                <c:pt idx="2774">
                  <c:v>5146.45</c:v>
                </c:pt>
                <c:pt idx="2775">
                  <c:v>5062.5600000000004</c:v>
                </c:pt>
                <c:pt idx="2776">
                  <c:v>4966.05</c:v>
                </c:pt>
                <c:pt idx="2777">
                  <c:v>4909.42</c:v>
                </c:pt>
                <c:pt idx="2778">
                  <c:v>5067.99</c:v>
                </c:pt>
                <c:pt idx="2779">
                  <c:v>5039.6400000000003</c:v>
                </c:pt>
                <c:pt idx="2780">
                  <c:v>4984.6899999999996</c:v>
                </c:pt>
                <c:pt idx="2781">
                  <c:v>4934.1400000000003</c:v>
                </c:pt>
                <c:pt idx="2782">
                  <c:v>5019.01</c:v>
                </c:pt>
                <c:pt idx="2783">
                  <c:v>5117.13</c:v>
                </c:pt>
                <c:pt idx="2784">
                  <c:v>5160.1000000000004</c:v>
                </c:pt>
                <c:pt idx="2785">
                  <c:v>5167.88</c:v>
                </c:pt>
                <c:pt idx="2786">
                  <c:v>5270.29</c:v>
                </c:pt>
                <c:pt idx="2787">
                  <c:v>5318.73</c:v>
                </c:pt>
                <c:pt idx="2788">
                  <c:v>5232.22</c:v>
                </c:pt>
                <c:pt idx="2789">
                  <c:v>5236.37</c:v>
                </c:pt>
                <c:pt idx="2790">
                  <c:v>5288.21</c:v>
                </c:pt>
                <c:pt idx="2791">
                  <c:v>5228.1099999999997</c:v>
                </c:pt>
                <c:pt idx="2792">
                  <c:v>5209.97</c:v>
                </c:pt>
                <c:pt idx="2793">
                  <c:v>5065.84</c:v>
                </c:pt>
                <c:pt idx="2794">
                  <c:v>5062.04</c:v>
                </c:pt>
                <c:pt idx="2795">
                  <c:v>4984.2</c:v>
                </c:pt>
                <c:pt idx="2796">
                  <c:v>5133.3999999999996</c:v>
                </c:pt>
                <c:pt idx="2797">
                  <c:v>5122.2299999999996</c:v>
                </c:pt>
                <c:pt idx="2798">
                  <c:v>5069.74</c:v>
                </c:pt>
                <c:pt idx="2799">
                  <c:v>5045.72</c:v>
                </c:pt>
                <c:pt idx="2800">
                  <c:v>5163.03</c:v>
                </c:pt>
                <c:pt idx="2801">
                  <c:v>5170.4399999999996</c:v>
                </c:pt>
                <c:pt idx="2802">
                  <c:v>5156.63</c:v>
                </c:pt>
                <c:pt idx="2803">
                  <c:v>5159.0200000000004</c:v>
                </c:pt>
                <c:pt idx="2804">
                  <c:v>5084.5200000000004</c:v>
                </c:pt>
                <c:pt idx="2805">
                  <c:v>5052.2</c:v>
                </c:pt>
                <c:pt idx="2806">
                  <c:v>5107.6099999999997</c:v>
                </c:pt>
                <c:pt idx="2807">
                  <c:v>5097.0600000000004</c:v>
                </c:pt>
                <c:pt idx="2808">
                  <c:v>4984.4799999999996</c:v>
                </c:pt>
                <c:pt idx="2809">
                  <c:v>4936.75</c:v>
                </c:pt>
                <c:pt idx="2810">
                  <c:v>4804.41</c:v>
                </c:pt>
                <c:pt idx="2811">
                  <c:v>4862.62</c:v>
                </c:pt>
                <c:pt idx="2812">
                  <c:v>4835.95</c:v>
                </c:pt>
                <c:pt idx="2813">
                  <c:v>4940</c:v>
                </c:pt>
                <c:pt idx="2814">
                  <c:v>4884.78</c:v>
                </c:pt>
                <c:pt idx="2815">
                  <c:v>4935.3500000000004</c:v>
                </c:pt>
                <c:pt idx="2816">
                  <c:v>4973.7700000000004</c:v>
                </c:pt>
                <c:pt idx="2817">
                  <c:v>4862.6000000000004</c:v>
                </c:pt>
                <c:pt idx="2818">
                  <c:v>4871.76</c:v>
                </c:pt>
                <c:pt idx="2819">
                  <c:v>4764.05</c:v>
                </c:pt>
                <c:pt idx="2820">
                  <c:v>4780.24</c:v>
                </c:pt>
                <c:pt idx="2821">
                  <c:v>4850.7299999999996</c:v>
                </c:pt>
                <c:pt idx="2822">
                  <c:v>4745.58</c:v>
                </c:pt>
                <c:pt idx="2823">
                  <c:v>4863.54</c:v>
                </c:pt>
                <c:pt idx="2824">
                  <c:v>4897.75</c:v>
                </c:pt>
                <c:pt idx="2825">
                  <c:v>4960.22</c:v>
                </c:pt>
                <c:pt idx="2826">
                  <c:v>5039.08</c:v>
                </c:pt>
                <c:pt idx="2827">
                  <c:v>5097.41</c:v>
                </c:pt>
                <c:pt idx="2828">
                  <c:v>5245.84</c:v>
                </c:pt>
                <c:pt idx="2829">
                  <c:v>5228.67</c:v>
                </c:pt>
                <c:pt idx="2830">
                  <c:v>5285.26</c:v>
                </c:pt>
                <c:pt idx="2831">
                  <c:v>5289.43</c:v>
                </c:pt>
                <c:pt idx="2832">
                  <c:v>5359.55</c:v>
                </c:pt>
                <c:pt idx="2833">
                  <c:v>5340.67</c:v>
                </c:pt>
                <c:pt idx="2834">
                  <c:v>5275.81</c:v>
                </c:pt>
                <c:pt idx="2835">
                  <c:v>5245.99</c:v>
                </c:pt>
                <c:pt idx="2836">
                  <c:v>5276.87</c:v>
                </c:pt>
                <c:pt idx="2837">
                  <c:v>5401.11</c:v>
                </c:pt>
                <c:pt idx="2838">
                  <c:v>5426.04</c:v>
                </c:pt>
                <c:pt idx="2839">
                  <c:v>5462.55</c:v>
                </c:pt>
                <c:pt idx="2840">
                  <c:v>5364.7</c:v>
                </c:pt>
                <c:pt idx="2841">
                  <c:v>5348.68</c:v>
                </c:pt>
                <c:pt idx="2842">
                  <c:v>5366.13</c:v>
                </c:pt>
                <c:pt idx="2843">
                  <c:v>5317.38</c:v>
                </c:pt>
                <c:pt idx="2844">
                  <c:v>5390.59</c:v>
                </c:pt>
                <c:pt idx="2845">
                  <c:v>5348</c:v>
                </c:pt>
                <c:pt idx="2846">
                  <c:v>5397.29</c:v>
                </c:pt>
                <c:pt idx="2847">
                  <c:v>5311.08</c:v>
                </c:pt>
                <c:pt idx="2848">
                  <c:v>5281.84</c:v>
                </c:pt>
                <c:pt idx="2849">
                  <c:v>5254.95</c:v>
                </c:pt>
                <c:pt idx="2850">
                  <c:v>5260.53</c:v>
                </c:pt>
                <c:pt idx="2851">
                  <c:v>5180.33</c:v>
                </c:pt>
                <c:pt idx="2852">
                  <c:v>5170.25</c:v>
                </c:pt>
                <c:pt idx="2853">
                  <c:v>5265.36</c:v>
                </c:pt>
                <c:pt idx="2854">
                  <c:v>5162.96</c:v>
                </c:pt>
                <c:pt idx="2855">
                  <c:v>5189.6499999999996</c:v>
                </c:pt>
                <c:pt idx="2856">
                  <c:v>5244.2</c:v>
                </c:pt>
                <c:pt idx="2857">
                  <c:v>5343.88</c:v>
                </c:pt>
                <c:pt idx="2858">
                  <c:v>5318.55</c:v>
                </c:pt>
                <c:pt idx="2859">
                  <c:v>5262.88</c:v>
                </c:pt>
                <c:pt idx="2860">
                  <c:v>5284.55</c:v>
                </c:pt>
                <c:pt idx="2861">
                  <c:v>5205.4799999999996</c:v>
                </c:pt>
                <c:pt idx="2862">
                  <c:v>5192.1000000000004</c:v>
                </c:pt>
                <c:pt idx="2863">
                  <c:v>5160.1400000000003</c:v>
                </c:pt>
                <c:pt idx="2864">
                  <c:v>5054.41</c:v>
                </c:pt>
                <c:pt idx="2865">
                  <c:v>5000.38</c:v>
                </c:pt>
                <c:pt idx="2866">
                  <c:v>5008.04</c:v>
                </c:pt>
                <c:pt idx="2867">
                  <c:v>5041.2</c:v>
                </c:pt>
                <c:pt idx="2868">
                  <c:v>4964.5600000000004</c:v>
                </c:pt>
                <c:pt idx="2869">
                  <c:v>4882.7700000000004</c:v>
                </c:pt>
                <c:pt idx="2870">
                  <c:v>4880.67</c:v>
                </c:pt>
                <c:pt idx="2871">
                  <c:v>4872.41</c:v>
                </c:pt>
                <c:pt idx="2872">
                  <c:v>5028.59</c:v>
                </c:pt>
                <c:pt idx="2873">
                  <c:v>4966.4799999999996</c:v>
                </c:pt>
                <c:pt idx="2874">
                  <c:v>4871.7</c:v>
                </c:pt>
                <c:pt idx="2875">
                  <c:v>4975.4799999999996</c:v>
                </c:pt>
                <c:pt idx="2876">
                  <c:v>5049.08</c:v>
                </c:pt>
                <c:pt idx="2877">
                  <c:v>5072.3900000000003</c:v>
                </c:pt>
                <c:pt idx="2878">
                  <c:v>5047.45</c:v>
                </c:pt>
                <c:pt idx="2879">
                  <c:v>5036.41</c:v>
                </c:pt>
                <c:pt idx="2880">
                  <c:v>4998.99</c:v>
                </c:pt>
                <c:pt idx="2881">
                  <c:v>4984.6099999999997</c:v>
                </c:pt>
                <c:pt idx="2882">
                  <c:v>4919.5</c:v>
                </c:pt>
                <c:pt idx="2883">
                  <c:v>4879.5</c:v>
                </c:pt>
                <c:pt idx="2884">
                  <c:v>4899.13</c:v>
                </c:pt>
                <c:pt idx="2885">
                  <c:v>4961.54</c:v>
                </c:pt>
                <c:pt idx="2886">
                  <c:v>4918.58</c:v>
                </c:pt>
                <c:pt idx="2887">
                  <c:v>4881.8</c:v>
                </c:pt>
                <c:pt idx="2888">
                  <c:v>4761.96</c:v>
                </c:pt>
                <c:pt idx="2889">
                  <c:v>4818.3</c:v>
                </c:pt>
                <c:pt idx="2890">
                  <c:v>4747.95</c:v>
                </c:pt>
                <c:pt idx="2891">
                  <c:v>4625.79</c:v>
                </c:pt>
                <c:pt idx="2892">
                  <c:v>4624.3100000000004</c:v>
                </c:pt>
                <c:pt idx="2893">
                  <c:v>4657.5200000000004</c:v>
                </c:pt>
                <c:pt idx="2894">
                  <c:v>4610.18</c:v>
                </c:pt>
                <c:pt idx="2895">
                  <c:v>4589.26</c:v>
                </c:pt>
                <c:pt idx="2896">
                  <c:v>4606.09</c:v>
                </c:pt>
                <c:pt idx="2897">
                  <c:v>4510.1899999999996</c:v>
                </c:pt>
                <c:pt idx="2898">
                  <c:v>4470.1400000000003</c:v>
                </c:pt>
                <c:pt idx="2899">
                  <c:v>4303.8500000000004</c:v>
                </c:pt>
                <c:pt idx="2900">
                  <c:v>4475.1000000000004</c:v>
                </c:pt>
                <c:pt idx="2901">
                  <c:v>4433.8500000000004</c:v>
                </c:pt>
                <c:pt idx="2902">
                  <c:v>4354.82</c:v>
                </c:pt>
                <c:pt idx="2903">
                  <c:v>4245.68</c:v>
                </c:pt>
                <c:pt idx="2904">
                  <c:v>4232.3999999999996</c:v>
                </c:pt>
                <c:pt idx="2905">
                  <c:v>4127.21</c:v>
                </c:pt>
                <c:pt idx="2906">
                  <c:v>4202.97</c:v>
                </c:pt>
                <c:pt idx="2907">
                  <c:v>4099.05</c:v>
                </c:pt>
                <c:pt idx="2908">
                  <c:v>4259.43</c:v>
                </c:pt>
                <c:pt idx="2909">
                  <c:v>4382.5600000000004</c:v>
                </c:pt>
                <c:pt idx="2910">
                  <c:v>4366.8100000000004</c:v>
                </c:pt>
                <c:pt idx="2911">
                  <c:v>4195.95</c:v>
                </c:pt>
                <c:pt idx="2912">
                  <c:v>4138.1499999999996</c:v>
                </c:pt>
                <c:pt idx="2913">
                  <c:v>4258.62</c:v>
                </c:pt>
                <c:pt idx="2914">
                  <c:v>4483.03</c:v>
                </c:pt>
                <c:pt idx="2915">
                  <c:v>4442.33</c:v>
                </c:pt>
                <c:pt idx="2916">
                  <c:v>4369.76</c:v>
                </c:pt>
                <c:pt idx="2917">
                  <c:v>4190.22</c:v>
                </c:pt>
                <c:pt idx="2918">
                  <c:v>4118.5</c:v>
                </c:pt>
                <c:pt idx="2919">
                  <c:v>4130.8</c:v>
                </c:pt>
                <c:pt idx="2920">
                  <c:v>3912.51</c:v>
                </c:pt>
                <c:pt idx="2921">
                  <c:v>3977.75</c:v>
                </c:pt>
                <c:pt idx="2922">
                  <c:v>4092.82</c:v>
                </c:pt>
                <c:pt idx="2923">
                  <c:v>4100.75</c:v>
                </c:pt>
                <c:pt idx="2924">
                  <c:v>3891.88</c:v>
                </c:pt>
                <c:pt idx="2925">
                  <c:v>3691.43</c:v>
                </c:pt>
                <c:pt idx="2926">
                  <c:v>3515.83</c:v>
                </c:pt>
                <c:pt idx="2927">
                  <c:v>3632.66</c:v>
                </c:pt>
                <c:pt idx="2928">
                  <c:v>3520.46</c:v>
                </c:pt>
                <c:pt idx="2929">
                  <c:v>3579</c:v>
                </c:pt>
                <c:pt idx="2930">
                  <c:v>3859.78</c:v>
                </c:pt>
                <c:pt idx="2931">
                  <c:v>3878.94</c:v>
                </c:pt>
                <c:pt idx="2932">
                  <c:v>3700.14</c:v>
                </c:pt>
                <c:pt idx="2933">
                  <c:v>3606.45</c:v>
                </c:pt>
                <c:pt idx="2934">
                  <c:v>3532.49</c:v>
                </c:pt>
                <c:pt idx="2935">
                  <c:v>3332.65</c:v>
                </c:pt>
                <c:pt idx="2936">
                  <c:v>3568.64</c:v>
                </c:pt>
                <c:pt idx="2937">
                  <c:v>3465.54</c:v>
                </c:pt>
                <c:pt idx="2938">
                  <c:v>3679.26</c:v>
                </c:pt>
                <c:pt idx="2939">
                  <c:v>3760.86</c:v>
                </c:pt>
                <c:pt idx="2940">
                  <c:v>3647.13</c:v>
                </c:pt>
                <c:pt idx="2941">
                  <c:v>3683.21</c:v>
                </c:pt>
                <c:pt idx="2942">
                  <c:v>3589.92</c:v>
                </c:pt>
                <c:pt idx="2943">
                  <c:v>3665.74</c:v>
                </c:pt>
                <c:pt idx="2944">
                  <c:v>3684.69</c:v>
                </c:pt>
                <c:pt idx="2945">
                  <c:v>3837.67</c:v>
                </c:pt>
                <c:pt idx="2946">
                  <c:v>3768.51</c:v>
                </c:pt>
                <c:pt idx="2947">
                  <c:v>3868.17</c:v>
                </c:pt>
                <c:pt idx="2948">
                  <c:v>3906.55</c:v>
                </c:pt>
                <c:pt idx="2949">
                  <c:v>3828.26</c:v>
                </c:pt>
                <c:pt idx="2950">
                  <c:v>3783.84</c:v>
                </c:pt>
                <c:pt idx="2951">
                  <c:v>3851.34</c:v>
                </c:pt>
                <c:pt idx="2952">
                  <c:v>3682.84</c:v>
                </c:pt>
                <c:pt idx="2953">
                  <c:v>3660.95</c:v>
                </c:pt>
                <c:pt idx="2954">
                  <c:v>3712.94</c:v>
                </c:pt>
                <c:pt idx="2955">
                  <c:v>3609.41</c:v>
                </c:pt>
                <c:pt idx="2956">
                  <c:v>3398.99</c:v>
                </c:pt>
                <c:pt idx="2957">
                  <c:v>3425.9</c:v>
                </c:pt>
                <c:pt idx="2958">
                  <c:v>3354.71</c:v>
                </c:pt>
                <c:pt idx="2959">
                  <c:v>3485.68</c:v>
                </c:pt>
                <c:pt idx="2960">
                  <c:v>3429.22</c:v>
                </c:pt>
                <c:pt idx="2961">
                  <c:v>3494.69</c:v>
                </c:pt>
                <c:pt idx="2962">
                  <c:v>3584.69</c:v>
                </c:pt>
                <c:pt idx="2963">
                  <c:v>3421.87</c:v>
                </c:pt>
                <c:pt idx="2964">
                  <c:v>3361.28</c:v>
                </c:pt>
                <c:pt idx="2965">
                  <c:v>3319.05</c:v>
                </c:pt>
                <c:pt idx="2966">
                  <c:v>3289.13</c:v>
                </c:pt>
                <c:pt idx="2967">
                  <c:v>3124.92</c:v>
                </c:pt>
                <c:pt idx="2968">
                  <c:v>3007.47</c:v>
                </c:pt>
                <c:pt idx="2969">
                  <c:v>3065.73</c:v>
                </c:pt>
                <c:pt idx="2970">
                  <c:v>2914.25</c:v>
                </c:pt>
                <c:pt idx="2971">
                  <c:v>2873.21</c:v>
                </c:pt>
                <c:pt idx="2972">
                  <c:v>2962.5</c:v>
                </c:pt>
                <c:pt idx="2973">
                  <c:v>3020.6</c:v>
                </c:pt>
                <c:pt idx="2974">
                  <c:v>2918.9</c:v>
                </c:pt>
                <c:pt idx="2975">
                  <c:v>2769.03</c:v>
                </c:pt>
                <c:pt idx="2976">
                  <c:v>2865.23</c:v>
                </c:pt>
                <c:pt idx="2977">
                  <c:v>2926.74</c:v>
                </c:pt>
                <c:pt idx="2978">
                  <c:v>2813.3</c:v>
                </c:pt>
                <c:pt idx="2979">
                  <c:v>2714.62</c:v>
                </c:pt>
                <c:pt idx="2980">
                  <c:v>2667.39</c:v>
                </c:pt>
                <c:pt idx="2981">
                  <c:v>2622.09</c:v>
                </c:pt>
                <c:pt idx="2982">
                  <c:v>2597.88</c:v>
                </c:pt>
                <c:pt idx="2983">
                  <c:v>2733.19</c:v>
                </c:pt>
                <c:pt idx="2984">
                  <c:v>2930.74</c:v>
                </c:pt>
                <c:pt idx="2985">
                  <c:v>2850.11</c:v>
                </c:pt>
                <c:pt idx="2986">
                  <c:v>3048.27</c:v>
                </c:pt>
                <c:pt idx="2987">
                  <c:v>3008.93</c:v>
                </c:pt>
                <c:pt idx="2988">
                  <c:v>3172.46</c:v>
                </c:pt>
                <c:pt idx="2989">
                  <c:v>3163.67</c:v>
                </c:pt>
                <c:pt idx="2990">
                  <c:v>3282.67</c:v>
                </c:pt>
                <c:pt idx="2991">
                  <c:v>3155.97</c:v>
                </c:pt>
                <c:pt idx="2992">
                  <c:v>3015.42</c:v>
                </c:pt>
                <c:pt idx="2993">
                  <c:v>3090.01</c:v>
                </c:pt>
                <c:pt idx="2994">
                  <c:v>3102.01</c:v>
                </c:pt>
                <c:pt idx="2995">
                  <c:v>3198.96</c:v>
                </c:pt>
                <c:pt idx="2996">
                  <c:v>3022.01</c:v>
                </c:pt>
                <c:pt idx="2997">
                  <c:v>3113.59</c:v>
                </c:pt>
                <c:pt idx="2998">
                  <c:v>3152.85</c:v>
                </c:pt>
                <c:pt idx="2999">
                  <c:v>3165.16</c:v>
                </c:pt>
                <c:pt idx="3000">
                  <c:v>3327.94</c:v>
                </c:pt>
                <c:pt idx="3001">
                  <c:v>3351.32</c:v>
                </c:pt>
                <c:pt idx="3002">
                  <c:v>3298.84</c:v>
                </c:pt>
                <c:pt idx="3003">
                  <c:v>3155.66</c:v>
                </c:pt>
                <c:pt idx="3004">
                  <c:v>3079.1</c:v>
                </c:pt>
                <c:pt idx="3005">
                  <c:v>3042.06</c:v>
                </c:pt>
                <c:pt idx="3006">
                  <c:v>3115.88</c:v>
                </c:pt>
                <c:pt idx="3007">
                  <c:v>3066.42</c:v>
                </c:pt>
                <c:pt idx="3008">
                  <c:v>3188.39</c:v>
                </c:pt>
                <c:pt idx="3009">
                  <c:v>3191.76</c:v>
                </c:pt>
                <c:pt idx="3010">
                  <c:v>3218.36</c:v>
                </c:pt>
                <c:pt idx="3011">
                  <c:v>3206.93</c:v>
                </c:pt>
                <c:pt idx="3012">
                  <c:v>3212.99</c:v>
                </c:pt>
                <c:pt idx="3013">
                  <c:v>3304.63</c:v>
                </c:pt>
                <c:pt idx="3014">
                  <c:v>3320.88</c:v>
                </c:pt>
                <c:pt idx="3015">
                  <c:v>3299.24</c:v>
                </c:pt>
                <c:pt idx="3016">
                  <c:v>3191.63</c:v>
                </c:pt>
                <c:pt idx="3017">
                  <c:v>3346.14</c:v>
                </c:pt>
                <c:pt idx="3018">
                  <c:v>3360.76</c:v>
                </c:pt>
                <c:pt idx="3019">
                  <c:v>3320.32</c:v>
                </c:pt>
                <c:pt idx="3020">
                  <c:v>3380.2</c:v>
                </c:pt>
                <c:pt idx="3021">
                  <c:v>3280.49</c:v>
                </c:pt>
                <c:pt idx="3022">
                  <c:v>3320.75</c:v>
                </c:pt>
                <c:pt idx="3023">
                  <c:v>3224.74</c:v>
                </c:pt>
                <c:pt idx="3024">
                  <c:v>3207.53</c:v>
                </c:pt>
                <c:pt idx="3025">
                  <c:v>3065.57</c:v>
                </c:pt>
                <c:pt idx="3026">
                  <c:v>3167.99</c:v>
                </c:pt>
                <c:pt idx="3027">
                  <c:v>3196.05</c:v>
                </c:pt>
                <c:pt idx="3028">
                  <c:v>3111.88</c:v>
                </c:pt>
                <c:pt idx="3029">
                  <c:v>3077.06</c:v>
                </c:pt>
                <c:pt idx="3030">
                  <c:v>3205.29</c:v>
                </c:pt>
                <c:pt idx="3031">
                  <c:v>3139.97</c:v>
                </c:pt>
                <c:pt idx="3032">
                  <c:v>3022.69</c:v>
                </c:pt>
                <c:pt idx="3033">
                  <c:v>2961.41</c:v>
                </c:pt>
                <c:pt idx="3034">
                  <c:v>3024.22</c:v>
                </c:pt>
                <c:pt idx="3035">
                  <c:v>3000.84</c:v>
                </c:pt>
                <c:pt idx="3036">
                  <c:v>2840</c:v>
                </c:pt>
                <c:pt idx="3037">
                  <c:v>2892.63</c:v>
                </c:pt>
                <c:pt idx="3038">
                  <c:v>3105.04</c:v>
                </c:pt>
                <c:pt idx="3039">
                  <c:v>3092.94</c:v>
                </c:pt>
                <c:pt idx="3040">
                  <c:v>3157.25</c:v>
                </c:pt>
                <c:pt idx="3041">
                  <c:v>3112.77</c:v>
                </c:pt>
                <c:pt idx="3042">
                  <c:v>2993</c:v>
                </c:pt>
                <c:pt idx="3043">
                  <c:v>3037.68</c:v>
                </c:pt>
                <c:pt idx="3044">
                  <c:v>3037.33</c:v>
                </c:pt>
                <c:pt idx="3045">
                  <c:v>3060.65</c:v>
                </c:pt>
                <c:pt idx="3046">
                  <c:v>3098.72</c:v>
                </c:pt>
                <c:pt idx="3047">
                  <c:v>3049.4</c:v>
                </c:pt>
                <c:pt idx="3048">
                  <c:v>3054.11</c:v>
                </c:pt>
                <c:pt idx="3049">
                  <c:v>2918.82</c:v>
                </c:pt>
                <c:pt idx="3050">
                  <c:v>2893.55</c:v>
                </c:pt>
                <c:pt idx="3051">
                  <c:v>2870.57</c:v>
                </c:pt>
                <c:pt idx="3052">
                  <c:v>2803.25</c:v>
                </c:pt>
                <c:pt idx="3053">
                  <c:v>2811.22</c:v>
                </c:pt>
                <c:pt idx="3054">
                  <c:v>2717.82</c:v>
                </c:pt>
                <c:pt idx="3055">
                  <c:v>2643.8</c:v>
                </c:pt>
                <c:pt idx="3056">
                  <c:v>2671.36</c:v>
                </c:pt>
                <c:pt idx="3057">
                  <c:v>2706.57</c:v>
                </c:pt>
                <c:pt idx="3058">
                  <c:v>2693.78</c:v>
                </c:pt>
                <c:pt idx="3059">
                  <c:v>2747.83</c:v>
                </c:pt>
                <c:pt idx="3060">
                  <c:v>2751.99</c:v>
                </c:pt>
                <c:pt idx="3061">
                  <c:v>2632.98</c:v>
                </c:pt>
                <c:pt idx="3062">
                  <c:v>2725.88</c:v>
                </c:pt>
                <c:pt idx="3063">
                  <c:v>2649</c:v>
                </c:pt>
                <c:pt idx="3064">
                  <c:v>2569.34</c:v>
                </c:pt>
                <c:pt idx="3065">
                  <c:v>2586.09</c:v>
                </c:pt>
                <c:pt idx="3066">
                  <c:v>2627</c:v>
                </c:pt>
                <c:pt idx="3067">
                  <c:v>2571.25</c:v>
                </c:pt>
                <c:pt idx="3068">
                  <c:v>2555.27</c:v>
                </c:pt>
                <c:pt idx="3069">
                  <c:v>2674.46</c:v>
                </c:pt>
                <c:pt idx="3070">
                  <c:v>2708.97</c:v>
                </c:pt>
                <c:pt idx="3071">
                  <c:v>2740.14</c:v>
                </c:pt>
                <c:pt idx="3072">
                  <c:v>2624.65</c:v>
                </c:pt>
                <c:pt idx="3073">
                  <c:v>2591.2600000000002</c:v>
                </c:pt>
                <c:pt idx="3074">
                  <c:v>2648.87</c:v>
                </c:pt>
                <c:pt idx="3075">
                  <c:v>2571.35</c:v>
                </c:pt>
                <c:pt idx="3076">
                  <c:v>2485.5</c:v>
                </c:pt>
                <c:pt idx="3077">
                  <c:v>2450.1999999999998</c:v>
                </c:pt>
                <c:pt idx="3078">
                  <c:v>2513.2199999999998</c:v>
                </c:pt>
                <c:pt idx="3079">
                  <c:v>2547.0500000000002</c:v>
                </c:pt>
                <c:pt idx="3080">
                  <c:v>2549.65</c:v>
                </c:pt>
                <c:pt idx="3081">
                  <c:v>2501.0300000000002</c:v>
                </c:pt>
                <c:pt idx="3082">
                  <c:v>2498.02</c:v>
                </c:pt>
                <c:pt idx="3083">
                  <c:v>2437.5100000000002</c:v>
                </c:pt>
                <c:pt idx="3084">
                  <c:v>2431.66</c:v>
                </c:pt>
                <c:pt idx="3085">
                  <c:v>2329.04</c:v>
                </c:pt>
                <c:pt idx="3086">
                  <c:v>2305.3000000000002</c:v>
                </c:pt>
                <c:pt idx="3087">
                  <c:v>2202.96</c:v>
                </c:pt>
                <c:pt idx="3088">
                  <c:v>2354.31</c:v>
                </c:pt>
                <c:pt idx="3089">
                  <c:v>2403.19</c:v>
                </c:pt>
                <c:pt idx="3090">
                  <c:v>2487.12</c:v>
                </c:pt>
                <c:pt idx="3091">
                  <c:v>2584.61</c:v>
                </c:pt>
                <c:pt idx="3092">
                  <c:v>2615.2199999999998</c:v>
                </c:pt>
                <c:pt idx="3093">
                  <c:v>2604.85</c:v>
                </c:pt>
                <c:pt idx="3094">
                  <c:v>2715.06</c:v>
                </c:pt>
                <c:pt idx="3095">
                  <c:v>2548.37</c:v>
                </c:pt>
                <c:pt idx="3096">
                  <c:v>2636.1</c:v>
                </c:pt>
                <c:pt idx="3097">
                  <c:v>2579.33</c:v>
                </c:pt>
                <c:pt idx="3098">
                  <c:v>2584.0500000000002</c:v>
                </c:pt>
                <c:pt idx="3099">
                  <c:v>2520.84</c:v>
                </c:pt>
                <c:pt idx="3100">
                  <c:v>2423.87</c:v>
                </c:pt>
                <c:pt idx="3101">
                  <c:v>2450.19</c:v>
                </c:pt>
                <c:pt idx="3102">
                  <c:v>2589.35</c:v>
                </c:pt>
                <c:pt idx="3103">
                  <c:v>2569.81</c:v>
                </c:pt>
                <c:pt idx="3104">
                  <c:v>2654.07</c:v>
                </c:pt>
                <c:pt idx="3105">
                  <c:v>2808.94</c:v>
                </c:pt>
                <c:pt idx="3106">
                  <c:v>2767.79</c:v>
                </c:pt>
                <c:pt idx="3107">
                  <c:v>2734.1</c:v>
                </c:pt>
                <c:pt idx="3108">
                  <c:v>2697.1</c:v>
                </c:pt>
                <c:pt idx="3109">
                  <c:v>2733.95</c:v>
                </c:pt>
                <c:pt idx="3110">
                  <c:v>2776.78</c:v>
                </c:pt>
                <c:pt idx="3111">
                  <c:v>2834.12</c:v>
                </c:pt>
                <c:pt idx="3112">
                  <c:v>2824.68</c:v>
                </c:pt>
                <c:pt idx="3113">
                  <c:v>2899.78</c:v>
                </c:pt>
                <c:pt idx="3114">
                  <c:v>2960.96</c:v>
                </c:pt>
                <c:pt idx="3115">
                  <c:v>2974.4</c:v>
                </c:pt>
                <c:pt idx="3116">
                  <c:v>2891.62</c:v>
                </c:pt>
                <c:pt idx="3117">
                  <c:v>2838.23</c:v>
                </c:pt>
                <c:pt idx="3118">
                  <c:v>2953.92</c:v>
                </c:pt>
                <c:pt idx="3119">
                  <c:v>2908.96</c:v>
                </c:pt>
                <c:pt idx="3120">
                  <c:v>2942.04</c:v>
                </c:pt>
                <c:pt idx="3121">
                  <c:v>2986</c:v>
                </c:pt>
                <c:pt idx="3122">
                  <c:v>3013.04</c:v>
                </c:pt>
                <c:pt idx="3123">
                  <c:v>3066.95</c:v>
                </c:pt>
                <c:pt idx="3124">
                  <c:v>3005.64</c:v>
                </c:pt>
                <c:pt idx="3125">
                  <c:v>2886.08</c:v>
                </c:pt>
                <c:pt idx="3126">
                  <c:v>2956.59</c:v>
                </c:pt>
                <c:pt idx="3127">
                  <c:v>2937.26</c:v>
                </c:pt>
                <c:pt idx="3128">
                  <c:v>2909.95</c:v>
                </c:pt>
                <c:pt idx="3129">
                  <c:v>2926.03</c:v>
                </c:pt>
                <c:pt idx="3130">
                  <c:v>2989.38</c:v>
                </c:pt>
                <c:pt idx="3131">
                  <c:v>2989.08</c:v>
                </c:pt>
                <c:pt idx="3132">
                  <c:v>2850.68</c:v>
                </c:pt>
                <c:pt idx="3133">
                  <c:v>2838.93</c:v>
                </c:pt>
                <c:pt idx="3134">
                  <c:v>2827.25</c:v>
                </c:pt>
                <c:pt idx="3135">
                  <c:v>2865.21</c:v>
                </c:pt>
                <c:pt idx="3136">
                  <c:v>2822.83</c:v>
                </c:pt>
                <c:pt idx="3137">
                  <c:v>2828.28</c:v>
                </c:pt>
                <c:pt idx="3138">
                  <c:v>2873.6</c:v>
                </c:pt>
                <c:pt idx="3139">
                  <c:v>2919.54</c:v>
                </c:pt>
                <c:pt idx="3140">
                  <c:v>2906.71</c:v>
                </c:pt>
                <c:pt idx="3141">
                  <c:v>2982.68</c:v>
                </c:pt>
                <c:pt idx="3142">
                  <c:v>3064.56</c:v>
                </c:pt>
                <c:pt idx="3143">
                  <c:v>3026.82</c:v>
                </c:pt>
                <c:pt idx="3144">
                  <c:v>3080.02</c:v>
                </c:pt>
                <c:pt idx="3145">
                  <c:v>3039.76</c:v>
                </c:pt>
                <c:pt idx="3146">
                  <c:v>3127.46</c:v>
                </c:pt>
                <c:pt idx="3147">
                  <c:v>3094.76</c:v>
                </c:pt>
                <c:pt idx="3148">
                  <c:v>3140.34</c:v>
                </c:pt>
                <c:pt idx="3149">
                  <c:v>3178.15</c:v>
                </c:pt>
                <c:pt idx="3150">
                  <c:v>3219.47</c:v>
                </c:pt>
                <c:pt idx="3151">
                  <c:v>3168.71</c:v>
                </c:pt>
                <c:pt idx="3152">
                  <c:v>3264.5</c:v>
                </c:pt>
                <c:pt idx="3153">
                  <c:v>3286.48</c:v>
                </c:pt>
                <c:pt idx="3154">
                  <c:v>3304.15</c:v>
                </c:pt>
                <c:pt idx="3155">
                  <c:v>3247.11</c:v>
                </c:pt>
                <c:pt idx="3156">
                  <c:v>3238.98</c:v>
                </c:pt>
                <c:pt idx="3157">
                  <c:v>3186.39</c:v>
                </c:pt>
                <c:pt idx="3158">
                  <c:v>3217.34</c:v>
                </c:pt>
                <c:pt idx="3159">
                  <c:v>3198.82</c:v>
                </c:pt>
                <c:pt idx="3160">
                  <c:v>3241.22</c:v>
                </c:pt>
                <c:pt idx="3161">
                  <c:v>3224.66</c:v>
                </c:pt>
                <c:pt idx="3162">
                  <c:v>3220.58</c:v>
                </c:pt>
                <c:pt idx="3163">
                  <c:v>3146.55</c:v>
                </c:pt>
                <c:pt idx="3164">
                  <c:v>3241.04</c:v>
                </c:pt>
                <c:pt idx="3165">
                  <c:v>3241.92</c:v>
                </c:pt>
                <c:pt idx="3166">
                  <c:v>3239.61</c:v>
                </c:pt>
                <c:pt idx="3167">
                  <c:v>3332.87</c:v>
                </c:pt>
                <c:pt idx="3168">
                  <c:v>3344.46</c:v>
                </c:pt>
                <c:pt idx="3169">
                  <c:v>3322.43</c:v>
                </c:pt>
                <c:pt idx="3170">
                  <c:v>3269.84</c:v>
                </c:pt>
                <c:pt idx="3171">
                  <c:v>3326.51</c:v>
                </c:pt>
                <c:pt idx="3172">
                  <c:v>3396.07</c:v>
                </c:pt>
                <c:pt idx="3173">
                  <c:v>3384.69</c:v>
                </c:pt>
                <c:pt idx="3174">
                  <c:v>3387.64</c:v>
                </c:pt>
                <c:pt idx="3175">
                  <c:v>3330.68</c:v>
                </c:pt>
                <c:pt idx="3176">
                  <c:v>3366.71</c:v>
                </c:pt>
                <c:pt idx="3177">
                  <c:v>3287</c:v>
                </c:pt>
                <c:pt idx="3178">
                  <c:v>3318.15</c:v>
                </c:pt>
                <c:pt idx="3179">
                  <c:v>3304.48</c:v>
                </c:pt>
                <c:pt idx="3180">
                  <c:v>3374.82</c:v>
                </c:pt>
                <c:pt idx="3181">
                  <c:v>3356.89</c:v>
                </c:pt>
                <c:pt idx="3182">
                  <c:v>3417.77</c:v>
                </c:pt>
                <c:pt idx="3183">
                  <c:v>3428.12</c:v>
                </c:pt>
                <c:pt idx="3184">
                  <c:v>3429.03</c:v>
                </c:pt>
                <c:pt idx="3185">
                  <c:v>3487.86</c:v>
                </c:pt>
                <c:pt idx="3186">
                  <c:v>3438.89</c:v>
                </c:pt>
                <c:pt idx="3187">
                  <c:v>3405.31</c:v>
                </c:pt>
                <c:pt idx="3188">
                  <c:v>3438.36</c:v>
                </c:pt>
                <c:pt idx="3189">
                  <c:v>3375.66</c:v>
                </c:pt>
                <c:pt idx="3190">
                  <c:v>3331.89</c:v>
                </c:pt>
                <c:pt idx="3191">
                  <c:v>3332.24</c:v>
                </c:pt>
                <c:pt idx="3192">
                  <c:v>3339.58</c:v>
                </c:pt>
                <c:pt idx="3193">
                  <c:v>3381.71</c:v>
                </c:pt>
                <c:pt idx="3194">
                  <c:v>3398.89</c:v>
                </c:pt>
                <c:pt idx="3195">
                  <c:v>3452.7</c:v>
                </c:pt>
                <c:pt idx="3196">
                  <c:v>3443.93</c:v>
                </c:pt>
                <c:pt idx="3197">
                  <c:v>3507.23</c:v>
                </c:pt>
                <c:pt idx="3198">
                  <c:v>3504.53</c:v>
                </c:pt>
                <c:pt idx="3199">
                  <c:v>3501.23</c:v>
                </c:pt>
                <c:pt idx="3200">
                  <c:v>3565.47</c:v>
                </c:pt>
                <c:pt idx="3201">
                  <c:v>3549.05</c:v>
                </c:pt>
                <c:pt idx="3202">
                  <c:v>3500.09</c:v>
                </c:pt>
                <c:pt idx="3203">
                  <c:v>3455.48</c:v>
                </c:pt>
                <c:pt idx="3204">
                  <c:v>3483.08</c:v>
                </c:pt>
                <c:pt idx="3205">
                  <c:v>3492.67</c:v>
                </c:pt>
                <c:pt idx="3206">
                  <c:v>3484.58</c:v>
                </c:pt>
                <c:pt idx="3207">
                  <c:v>3571.22</c:v>
                </c:pt>
                <c:pt idx="3208">
                  <c:v>3567.2</c:v>
                </c:pt>
                <c:pt idx="3209">
                  <c:v>3647.51</c:v>
                </c:pt>
                <c:pt idx="3210">
                  <c:v>3668.67</c:v>
                </c:pt>
                <c:pt idx="3211">
                  <c:v>3607.71</c:v>
                </c:pt>
                <c:pt idx="3212">
                  <c:v>3641.53</c:v>
                </c:pt>
                <c:pt idx="3213">
                  <c:v>3594.4</c:v>
                </c:pt>
                <c:pt idx="3214">
                  <c:v>3536.87</c:v>
                </c:pt>
                <c:pt idx="3215">
                  <c:v>3566.85</c:v>
                </c:pt>
                <c:pt idx="3216">
                  <c:v>3508.06</c:v>
                </c:pt>
                <c:pt idx="3217">
                  <c:v>3516.31</c:v>
                </c:pt>
                <c:pt idx="3218">
                  <c:v>3564.75</c:v>
                </c:pt>
                <c:pt idx="3219">
                  <c:v>3561.03</c:v>
                </c:pt>
                <c:pt idx="3220">
                  <c:v>3612.02</c:v>
                </c:pt>
                <c:pt idx="3221">
                  <c:v>3578.7</c:v>
                </c:pt>
                <c:pt idx="3222">
                  <c:v>3456.27</c:v>
                </c:pt>
                <c:pt idx="3223">
                  <c:v>3411.02</c:v>
                </c:pt>
                <c:pt idx="3224">
                  <c:v>3307.34</c:v>
                </c:pt>
                <c:pt idx="3225">
                  <c:v>3326.27</c:v>
                </c:pt>
                <c:pt idx="3226">
                  <c:v>3324.85</c:v>
                </c:pt>
                <c:pt idx="3227">
                  <c:v>3323.38</c:v>
                </c:pt>
                <c:pt idx="3228">
                  <c:v>3256.78</c:v>
                </c:pt>
                <c:pt idx="3229">
                  <c:v>3329.83</c:v>
                </c:pt>
                <c:pt idx="3230">
                  <c:v>3276.64</c:v>
                </c:pt>
                <c:pt idx="3231">
                  <c:v>3419</c:v>
                </c:pt>
                <c:pt idx="3232">
                  <c:v>3404.91</c:v>
                </c:pt>
                <c:pt idx="3233">
                  <c:v>3355.78</c:v>
                </c:pt>
                <c:pt idx="3234">
                  <c:v>3395.33</c:v>
                </c:pt>
                <c:pt idx="3235">
                  <c:v>3481.9</c:v>
                </c:pt>
                <c:pt idx="3236">
                  <c:v>3471.25</c:v>
                </c:pt>
                <c:pt idx="3237">
                  <c:v>3538.39</c:v>
                </c:pt>
                <c:pt idx="3238">
                  <c:v>3538.13</c:v>
                </c:pt>
                <c:pt idx="3239">
                  <c:v>3570.58</c:v>
                </c:pt>
                <c:pt idx="3240">
                  <c:v>3577.72</c:v>
                </c:pt>
                <c:pt idx="3241">
                  <c:v>3516.67</c:v>
                </c:pt>
                <c:pt idx="3242">
                  <c:v>3559.33</c:v>
                </c:pt>
                <c:pt idx="3243">
                  <c:v>3580.08</c:v>
                </c:pt>
                <c:pt idx="3244">
                  <c:v>3490.6</c:v>
                </c:pt>
                <c:pt idx="3245">
                  <c:v>3497.14</c:v>
                </c:pt>
                <c:pt idx="3246">
                  <c:v>3452.64</c:v>
                </c:pt>
                <c:pt idx="3247">
                  <c:v>3517.1</c:v>
                </c:pt>
                <c:pt idx="3248">
                  <c:v>3586.93</c:v>
                </c:pt>
                <c:pt idx="3249">
                  <c:v>3615.42</c:v>
                </c:pt>
                <c:pt idx="3250">
                  <c:v>3639.66</c:v>
                </c:pt>
                <c:pt idx="3251">
                  <c:v>3655.99</c:v>
                </c:pt>
                <c:pt idx="3252">
                  <c:v>3744.5</c:v>
                </c:pt>
                <c:pt idx="3253">
                  <c:v>3741.71</c:v>
                </c:pt>
                <c:pt idx="3254">
                  <c:v>3717.7</c:v>
                </c:pt>
                <c:pt idx="3255">
                  <c:v>3733.93</c:v>
                </c:pt>
                <c:pt idx="3256">
                  <c:v>3782.56</c:v>
                </c:pt>
                <c:pt idx="3257">
                  <c:v>3746.24</c:v>
                </c:pt>
                <c:pt idx="3258">
                  <c:v>3729.87</c:v>
                </c:pt>
                <c:pt idx="3259">
                  <c:v>3748.34</c:v>
                </c:pt>
                <c:pt idx="3260">
                  <c:v>3765.59</c:v>
                </c:pt>
                <c:pt idx="3261">
                  <c:v>3797.4</c:v>
                </c:pt>
                <c:pt idx="3262">
                  <c:v>3674.54</c:v>
                </c:pt>
                <c:pt idx="3263">
                  <c:v>3666.28</c:v>
                </c:pt>
                <c:pt idx="3264">
                  <c:v>3652.29</c:v>
                </c:pt>
                <c:pt idx="3265">
                  <c:v>3638.04</c:v>
                </c:pt>
                <c:pt idx="3266">
                  <c:v>3642.25</c:v>
                </c:pt>
                <c:pt idx="3267">
                  <c:v>3737.09</c:v>
                </c:pt>
                <c:pt idx="3268">
                  <c:v>3733.16</c:v>
                </c:pt>
                <c:pt idx="3269">
                  <c:v>3712.98</c:v>
                </c:pt>
                <c:pt idx="3270">
                  <c:v>3744.99</c:v>
                </c:pt>
                <c:pt idx="3271">
                  <c:v>3745.95</c:v>
                </c:pt>
                <c:pt idx="3272">
                  <c:v>3821.2</c:v>
                </c:pt>
                <c:pt idx="3273">
                  <c:v>3809.26</c:v>
                </c:pt>
                <c:pt idx="3274">
                  <c:v>3875.66</c:v>
                </c:pt>
                <c:pt idx="3275">
                  <c:v>3874.78</c:v>
                </c:pt>
                <c:pt idx="3276">
                  <c:v>3841.73</c:v>
                </c:pt>
                <c:pt idx="3277">
                  <c:v>3806.54</c:v>
                </c:pt>
                <c:pt idx="3278">
                  <c:v>3846.18</c:v>
                </c:pt>
                <c:pt idx="3279">
                  <c:v>3820.92</c:v>
                </c:pt>
                <c:pt idx="3280">
                  <c:v>3858.85</c:v>
                </c:pt>
                <c:pt idx="3281">
                  <c:v>3860.13</c:v>
                </c:pt>
                <c:pt idx="3282">
                  <c:v>3875.47</c:v>
                </c:pt>
                <c:pt idx="3283">
                  <c:v>3865.98</c:v>
                </c:pt>
                <c:pt idx="3284">
                  <c:v>3847.57</c:v>
                </c:pt>
                <c:pt idx="3285">
                  <c:v>3870.88</c:v>
                </c:pt>
                <c:pt idx="3286">
                  <c:v>3898.42</c:v>
                </c:pt>
                <c:pt idx="3287">
                  <c:v>3876.94</c:v>
                </c:pt>
                <c:pt idx="3288">
                  <c:v>3903.34</c:v>
                </c:pt>
                <c:pt idx="3289">
                  <c:v>3952.72</c:v>
                </c:pt>
                <c:pt idx="3290">
                  <c:v>3965.16</c:v>
                </c:pt>
                <c:pt idx="3291">
                  <c:v>4018.5</c:v>
                </c:pt>
                <c:pt idx="3292">
                  <c:v>4035.9</c:v>
                </c:pt>
                <c:pt idx="3293">
                  <c:v>4035.44</c:v>
                </c:pt>
                <c:pt idx="3294">
                  <c:v>4004.4</c:v>
                </c:pt>
                <c:pt idx="3295">
                  <c:v>4045.43</c:v>
                </c:pt>
                <c:pt idx="3296">
                  <c:v>4016.18</c:v>
                </c:pt>
                <c:pt idx="3297">
                  <c:v>3995.91</c:v>
                </c:pt>
                <c:pt idx="3298">
                  <c:v>3996.22</c:v>
                </c:pt>
                <c:pt idx="3299">
                  <c:v>4055.21</c:v>
                </c:pt>
                <c:pt idx="3300">
                  <c:v>4068.75</c:v>
                </c:pt>
                <c:pt idx="3301">
                  <c:v>4111.6400000000003</c:v>
                </c:pt>
                <c:pt idx="3302">
                  <c:v>4139.92</c:v>
                </c:pt>
                <c:pt idx="3303">
                  <c:v>4106.41</c:v>
                </c:pt>
                <c:pt idx="3304">
                  <c:v>4138.04</c:v>
                </c:pt>
                <c:pt idx="3305">
                  <c:v>4139.8599999999997</c:v>
                </c:pt>
                <c:pt idx="3306">
                  <c:v>4151.83</c:v>
                </c:pt>
                <c:pt idx="3307">
                  <c:v>4128.68</c:v>
                </c:pt>
                <c:pt idx="3308">
                  <c:v>4134.42</c:v>
                </c:pt>
                <c:pt idx="3309">
                  <c:v>4150.24</c:v>
                </c:pt>
                <c:pt idx="3310">
                  <c:v>4095.71</c:v>
                </c:pt>
                <c:pt idx="3311">
                  <c:v>4058.6</c:v>
                </c:pt>
                <c:pt idx="3312">
                  <c:v>4071.6</c:v>
                </c:pt>
                <c:pt idx="3313">
                  <c:v>4057.51</c:v>
                </c:pt>
                <c:pt idx="3314">
                  <c:v>4028.37</c:v>
                </c:pt>
                <c:pt idx="3315">
                  <c:v>4014.79</c:v>
                </c:pt>
                <c:pt idx="3316">
                  <c:v>4044.99</c:v>
                </c:pt>
                <c:pt idx="3317">
                  <c:v>4098.97</c:v>
                </c:pt>
                <c:pt idx="3318">
                  <c:v>4110.8</c:v>
                </c:pt>
                <c:pt idx="3319">
                  <c:v>4122.16</c:v>
                </c:pt>
                <c:pt idx="3320">
                  <c:v>4121.6499999999996</c:v>
                </c:pt>
                <c:pt idx="3321">
                  <c:v>4057.05</c:v>
                </c:pt>
                <c:pt idx="3322">
                  <c:v>4070.46</c:v>
                </c:pt>
                <c:pt idx="3323">
                  <c:v>4095.86</c:v>
                </c:pt>
                <c:pt idx="3324">
                  <c:v>4095.34</c:v>
                </c:pt>
                <c:pt idx="3325">
                  <c:v>4141.53</c:v>
                </c:pt>
                <c:pt idx="3326">
                  <c:v>4073.35</c:v>
                </c:pt>
                <c:pt idx="3327">
                  <c:v>4068.71</c:v>
                </c:pt>
                <c:pt idx="3328">
                  <c:v>3991.42</c:v>
                </c:pt>
                <c:pt idx="3329">
                  <c:v>3995.34</c:v>
                </c:pt>
                <c:pt idx="3330">
                  <c:v>4007.81</c:v>
                </c:pt>
                <c:pt idx="3331">
                  <c:v>4018.16</c:v>
                </c:pt>
                <c:pt idx="3332">
                  <c:v>4054.43</c:v>
                </c:pt>
                <c:pt idx="3333">
                  <c:v>4100.34</c:v>
                </c:pt>
                <c:pt idx="3334">
                  <c:v>4071.7</c:v>
                </c:pt>
                <c:pt idx="3335">
                  <c:v>4133.78</c:v>
                </c:pt>
                <c:pt idx="3336">
                  <c:v>4126.1400000000003</c:v>
                </c:pt>
                <c:pt idx="3337">
                  <c:v>4145.99</c:v>
                </c:pt>
                <c:pt idx="3338">
                  <c:v>4087.55</c:v>
                </c:pt>
                <c:pt idx="3339">
                  <c:v>4044.7</c:v>
                </c:pt>
                <c:pt idx="3340">
                  <c:v>3904.95</c:v>
                </c:pt>
                <c:pt idx="3341">
                  <c:v>3915.38</c:v>
                </c:pt>
                <c:pt idx="3342">
                  <c:v>3810.76</c:v>
                </c:pt>
                <c:pt idx="3343">
                  <c:v>3822.37</c:v>
                </c:pt>
                <c:pt idx="3344">
                  <c:v>3896.79</c:v>
                </c:pt>
                <c:pt idx="3345">
                  <c:v>3827.43</c:v>
                </c:pt>
                <c:pt idx="3346">
                  <c:v>3819.15</c:v>
                </c:pt>
                <c:pt idx="3347">
                  <c:v>3729.23</c:v>
                </c:pt>
                <c:pt idx="3348">
                  <c:v>3728.82</c:v>
                </c:pt>
                <c:pt idx="3349">
                  <c:v>3726.07</c:v>
                </c:pt>
                <c:pt idx="3350">
                  <c:v>3811.92</c:v>
                </c:pt>
                <c:pt idx="3351">
                  <c:v>3822.33</c:v>
                </c:pt>
                <c:pt idx="3352">
                  <c:v>3881.25</c:v>
                </c:pt>
                <c:pt idx="3353">
                  <c:v>3874.04</c:v>
                </c:pt>
                <c:pt idx="3354">
                  <c:v>3856.7</c:v>
                </c:pt>
                <c:pt idx="3355">
                  <c:v>3924.85</c:v>
                </c:pt>
                <c:pt idx="3356">
                  <c:v>4007.6</c:v>
                </c:pt>
                <c:pt idx="3357">
                  <c:v>4048.6</c:v>
                </c:pt>
                <c:pt idx="3358">
                  <c:v>4022.81</c:v>
                </c:pt>
                <c:pt idx="3359">
                  <c:v>4001.16</c:v>
                </c:pt>
                <c:pt idx="3360">
                  <c:v>4013.53</c:v>
                </c:pt>
                <c:pt idx="3361">
                  <c:v>4071.42</c:v>
                </c:pt>
                <c:pt idx="3362">
                  <c:v>4012.77</c:v>
                </c:pt>
                <c:pt idx="3363">
                  <c:v>4004.61</c:v>
                </c:pt>
                <c:pt idx="3364">
                  <c:v>4033.98</c:v>
                </c:pt>
                <c:pt idx="3365">
                  <c:v>4025.07</c:v>
                </c:pt>
                <c:pt idx="3366">
                  <c:v>4061.13</c:v>
                </c:pt>
                <c:pt idx="3367">
                  <c:v>4026.15</c:v>
                </c:pt>
                <c:pt idx="3368">
                  <c:v>4059.15</c:v>
                </c:pt>
                <c:pt idx="3369">
                  <c:v>4103.62</c:v>
                </c:pt>
                <c:pt idx="3370">
                  <c:v>4125.83</c:v>
                </c:pt>
                <c:pt idx="3371">
                  <c:v>4134.1000000000004</c:v>
                </c:pt>
                <c:pt idx="3372">
                  <c:v>4065.74</c:v>
                </c:pt>
                <c:pt idx="3373">
                  <c:v>4008.91</c:v>
                </c:pt>
                <c:pt idx="3374">
                  <c:v>3985.21</c:v>
                </c:pt>
                <c:pt idx="3375">
                  <c:v>4007.65</c:v>
                </c:pt>
                <c:pt idx="3376">
                  <c:v>3990.75</c:v>
                </c:pt>
                <c:pt idx="3377">
                  <c:v>4022.1</c:v>
                </c:pt>
                <c:pt idx="3378">
                  <c:v>3909.46</c:v>
                </c:pt>
                <c:pt idx="3379">
                  <c:v>3895.64</c:v>
                </c:pt>
                <c:pt idx="3380">
                  <c:v>3784.61</c:v>
                </c:pt>
                <c:pt idx="3381">
                  <c:v>3849.84</c:v>
                </c:pt>
                <c:pt idx="3382">
                  <c:v>3776.24</c:v>
                </c:pt>
                <c:pt idx="3383">
                  <c:v>3824.93</c:v>
                </c:pt>
                <c:pt idx="3384">
                  <c:v>3803.1</c:v>
                </c:pt>
                <c:pt idx="3385">
                  <c:v>3754.37</c:v>
                </c:pt>
                <c:pt idx="3386">
                  <c:v>3789.24</c:v>
                </c:pt>
                <c:pt idx="3387">
                  <c:v>3872.26</c:v>
                </c:pt>
                <c:pt idx="3388">
                  <c:v>3839.32</c:v>
                </c:pt>
                <c:pt idx="3389">
                  <c:v>3831.84</c:v>
                </c:pt>
                <c:pt idx="3390">
                  <c:v>3867.84</c:v>
                </c:pt>
                <c:pt idx="3391">
                  <c:v>3828.07</c:v>
                </c:pt>
                <c:pt idx="3392">
                  <c:v>3867.52</c:v>
                </c:pt>
                <c:pt idx="3393">
                  <c:v>3913.33</c:v>
                </c:pt>
                <c:pt idx="3394">
                  <c:v>3902.72</c:v>
                </c:pt>
                <c:pt idx="3395">
                  <c:v>3921.41</c:v>
                </c:pt>
                <c:pt idx="3396">
                  <c:v>3864.18</c:v>
                </c:pt>
                <c:pt idx="3397">
                  <c:v>3888.31</c:v>
                </c:pt>
                <c:pt idx="3398">
                  <c:v>3917.08</c:v>
                </c:pt>
                <c:pt idx="3399">
                  <c:v>3961.93</c:v>
                </c:pt>
                <c:pt idx="3400">
                  <c:v>4017.81</c:v>
                </c:pt>
                <c:pt idx="3401">
                  <c:v>4018.95</c:v>
                </c:pt>
                <c:pt idx="3402">
                  <c:v>3997.76</c:v>
                </c:pt>
                <c:pt idx="3403">
                  <c:v>4021.64</c:v>
                </c:pt>
                <c:pt idx="3404">
                  <c:v>4014.56</c:v>
                </c:pt>
                <c:pt idx="3405">
                  <c:v>3948.65</c:v>
                </c:pt>
                <c:pt idx="3406">
                  <c:v>3987.3</c:v>
                </c:pt>
                <c:pt idx="3407">
                  <c:v>4003.24</c:v>
                </c:pt>
                <c:pt idx="3408">
                  <c:v>3985.46</c:v>
                </c:pt>
                <c:pt idx="3409">
                  <c:v>3999.79</c:v>
                </c:pt>
                <c:pt idx="3410">
                  <c:v>3989.31</c:v>
                </c:pt>
                <c:pt idx="3411">
                  <c:v>3928.39</c:v>
                </c:pt>
                <c:pt idx="3412">
                  <c:v>3945.1</c:v>
                </c:pt>
                <c:pt idx="3413">
                  <c:v>4007.05</c:v>
                </c:pt>
                <c:pt idx="3414">
                  <c:v>4013.35</c:v>
                </c:pt>
                <c:pt idx="3415">
                  <c:v>4069.35</c:v>
                </c:pt>
                <c:pt idx="3416">
                  <c:v>4069.73</c:v>
                </c:pt>
                <c:pt idx="3417">
                  <c:v>4052.73</c:v>
                </c:pt>
                <c:pt idx="3418">
                  <c:v>4035.02</c:v>
                </c:pt>
                <c:pt idx="3419">
                  <c:v>3998.77</c:v>
                </c:pt>
                <c:pt idx="3420">
                  <c:v>3995.73</c:v>
                </c:pt>
                <c:pt idx="3421">
                  <c:v>3944.88</c:v>
                </c:pt>
                <c:pt idx="3422">
                  <c:v>3930.58</c:v>
                </c:pt>
                <c:pt idx="3423">
                  <c:v>3934.48</c:v>
                </c:pt>
                <c:pt idx="3424">
                  <c:v>3924.49</c:v>
                </c:pt>
                <c:pt idx="3425">
                  <c:v>3893.24</c:v>
                </c:pt>
                <c:pt idx="3426">
                  <c:v>3903.88</c:v>
                </c:pt>
                <c:pt idx="3427">
                  <c:v>3898.84</c:v>
                </c:pt>
                <c:pt idx="3428">
                  <c:v>3847.19</c:v>
                </c:pt>
                <c:pt idx="3429">
                  <c:v>3845.93</c:v>
                </c:pt>
                <c:pt idx="3430">
                  <c:v>3812.63</c:v>
                </c:pt>
                <c:pt idx="3431">
                  <c:v>3837.6</c:v>
                </c:pt>
                <c:pt idx="3432">
                  <c:v>3877.48</c:v>
                </c:pt>
                <c:pt idx="3433">
                  <c:v>3801.05</c:v>
                </c:pt>
                <c:pt idx="3434">
                  <c:v>3797.33</c:v>
                </c:pt>
                <c:pt idx="3435">
                  <c:v>3752.59</c:v>
                </c:pt>
                <c:pt idx="3436">
                  <c:v>3814.08</c:v>
                </c:pt>
                <c:pt idx="3437">
                  <c:v>3807.21</c:v>
                </c:pt>
                <c:pt idx="3438">
                  <c:v>3889.68</c:v>
                </c:pt>
                <c:pt idx="3439">
                  <c:v>3895.61</c:v>
                </c:pt>
                <c:pt idx="3440">
                  <c:v>3862.71</c:v>
                </c:pt>
                <c:pt idx="3441">
                  <c:v>3877.32</c:v>
                </c:pt>
                <c:pt idx="3442">
                  <c:v>3823.74</c:v>
                </c:pt>
                <c:pt idx="3443">
                  <c:v>3829.03</c:v>
                </c:pt>
                <c:pt idx="3444">
                  <c:v>3727.74</c:v>
                </c:pt>
                <c:pt idx="3445">
                  <c:v>3690.33</c:v>
                </c:pt>
                <c:pt idx="3446">
                  <c:v>3720.64</c:v>
                </c:pt>
                <c:pt idx="3447">
                  <c:v>3678.91</c:v>
                </c:pt>
                <c:pt idx="3448">
                  <c:v>3658.11</c:v>
                </c:pt>
                <c:pt idx="3449">
                  <c:v>3646.99</c:v>
                </c:pt>
                <c:pt idx="3450">
                  <c:v>3699.11</c:v>
                </c:pt>
                <c:pt idx="3451">
                  <c:v>3705.73</c:v>
                </c:pt>
                <c:pt idx="3452">
                  <c:v>3726.5</c:v>
                </c:pt>
                <c:pt idx="3453">
                  <c:v>3722.99</c:v>
                </c:pt>
                <c:pt idx="3454">
                  <c:v>3712.61</c:v>
                </c:pt>
                <c:pt idx="3455">
                  <c:v>3772.14</c:v>
                </c:pt>
                <c:pt idx="3456">
                  <c:v>3771</c:v>
                </c:pt>
                <c:pt idx="3457">
                  <c:v>3788.88</c:v>
                </c:pt>
                <c:pt idx="3458">
                  <c:v>3832.28</c:v>
                </c:pt>
                <c:pt idx="3459">
                  <c:v>3851.18</c:v>
                </c:pt>
                <c:pt idx="3460">
                  <c:v>3838.85</c:v>
                </c:pt>
                <c:pt idx="3461">
                  <c:v>3785.21</c:v>
                </c:pt>
                <c:pt idx="3462">
                  <c:v>3817.62</c:v>
                </c:pt>
                <c:pt idx="3463">
                  <c:v>3833.45</c:v>
                </c:pt>
                <c:pt idx="3464">
                  <c:v>3866.99</c:v>
                </c:pt>
                <c:pt idx="3465">
                  <c:v>3887.58</c:v>
                </c:pt>
                <c:pt idx="3466">
                  <c:v>3889.04</c:v>
                </c:pt>
                <c:pt idx="3467">
                  <c:v>3884.16</c:v>
                </c:pt>
                <c:pt idx="3468">
                  <c:v>3851.22</c:v>
                </c:pt>
                <c:pt idx="3469">
                  <c:v>3886.03</c:v>
                </c:pt>
                <c:pt idx="3470">
                  <c:v>3953.31</c:v>
                </c:pt>
                <c:pt idx="3471">
                  <c:v>3947.75</c:v>
                </c:pt>
                <c:pt idx="3472">
                  <c:v>3941.75</c:v>
                </c:pt>
                <c:pt idx="3473">
                  <c:v>3963.65</c:v>
                </c:pt>
                <c:pt idx="3474">
                  <c:v>3988.07</c:v>
                </c:pt>
                <c:pt idx="3475">
                  <c:v>3977.68</c:v>
                </c:pt>
                <c:pt idx="3476">
                  <c:v>3991.02</c:v>
                </c:pt>
                <c:pt idx="3477">
                  <c:v>3942.35</c:v>
                </c:pt>
                <c:pt idx="3478">
                  <c:v>3905.66</c:v>
                </c:pt>
                <c:pt idx="3479">
                  <c:v>3910.3</c:v>
                </c:pt>
                <c:pt idx="3480">
                  <c:v>3874.37</c:v>
                </c:pt>
                <c:pt idx="3481">
                  <c:v>3882.27</c:v>
                </c:pt>
                <c:pt idx="3482">
                  <c:v>3920.36</c:v>
                </c:pt>
                <c:pt idx="3483">
                  <c:v>3892.9</c:v>
                </c:pt>
                <c:pt idx="3484">
                  <c:v>3994.96</c:v>
                </c:pt>
                <c:pt idx="3485">
                  <c:v>4033.28</c:v>
                </c:pt>
                <c:pt idx="3486">
                  <c:v>4048.71</c:v>
                </c:pt>
                <c:pt idx="3487">
                  <c:v>4049.66</c:v>
                </c:pt>
                <c:pt idx="3488">
                  <c:v>4043.36</c:v>
                </c:pt>
                <c:pt idx="3489">
                  <c:v>4015.54</c:v>
                </c:pt>
                <c:pt idx="3490">
                  <c:v>4017.82</c:v>
                </c:pt>
                <c:pt idx="3491">
                  <c:v>3957.6</c:v>
                </c:pt>
                <c:pt idx="3492">
                  <c:v>3976.03</c:v>
                </c:pt>
                <c:pt idx="3493">
                  <c:v>3940.46</c:v>
                </c:pt>
                <c:pt idx="3494">
                  <c:v>3922.11</c:v>
                </c:pt>
                <c:pt idx="3495">
                  <c:v>3915.17</c:v>
                </c:pt>
                <c:pt idx="3496">
                  <c:v>3964.13</c:v>
                </c:pt>
                <c:pt idx="3497">
                  <c:v>3912.4</c:v>
                </c:pt>
                <c:pt idx="3498">
                  <c:v>3934.06</c:v>
                </c:pt>
                <c:pt idx="3499">
                  <c:v>3935.14</c:v>
                </c:pt>
                <c:pt idx="3500">
                  <c:v>3854.41</c:v>
                </c:pt>
                <c:pt idx="3501">
                  <c:v>3862.26</c:v>
                </c:pt>
                <c:pt idx="3502">
                  <c:v>3929.03</c:v>
                </c:pt>
                <c:pt idx="3503">
                  <c:v>3959.59</c:v>
                </c:pt>
                <c:pt idx="3504">
                  <c:v>3960.25</c:v>
                </c:pt>
                <c:pt idx="3505">
                  <c:v>4012.64</c:v>
                </c:pt>
                <c:pt idx="3506">
                  <c:v>4037.57</c:v>
                </c:pt>
                <c:pt idx="3507">
                  <c:v>4039.04</c:v>
                </c:pt>
                <c:pt idx="3508">
                  <c:v>4041.38</c:v>
                </c:pt>
                <c:pt idx="3509">
                  <c:v>4063.58</c:v>
                </c:pt>
                <c:pt idx="3510">
                  <c:v>4068.97</c:v>
                </c:pt>
                <c:pt idx="3511">
                  <c:v>4065.33</c:v>
                </c:pt>
                <c:pt idx="3512">
                  <c:v>4089.13</c:v>
                </c:pt>
                <c:pt idx="3513">
                  <c:v>4130.8100000000004</c:v>
                </c:pt>
                <c:pt idx="3514">
                  <c:v>4143.3500000000004</c:v>
                </c:pt>
                <c:pt idx="3515">
                  <c:v>4134.34</c:v>
                </c:pt>
                <c:pt idx="3516">
                  <c:v>4117.22</c:v>
                </c:pt>
                <c:pt idx="3517">
                  <c:v>4183.41</c:v>
                </c:pt>
                <c:pt idx="3518">
                  <c:v>4178.68</c:v>
                </c:pt>
                <c:pt idx="3519">
                  <c:v>4134.8900000000003</c:v>
                </c:pt>
                <c:pt idx="3520">
                  <c:v>4123.9799999999996</c:v>
                </c:pt>
                <c:pt idx="3521">
                  <c:v>4113.37</c:v>
                </c:pt>
                <c:pt idx="3522">
                  <c:v>4125.3</c:v>
                </c:pt>
                <c:pt idx="3523">
                  <c:v>4160.3500000000004</c:v>
                </c:pt>
                <c:pt idx="3524">
                  <c:v>4154.2700000000004</c:v>
                </c:pt>
                <c:pt idx="3525">
                  <c:v>4146.9799999999996</c:v>
                </c:pt>
                <c:pt idx="3526">
                  <c:v>4126</c:v>
                </c:pt>
                <c:pt idx="3527">
                  <c:v>4186.03</c:v>
                </c:pt>
                <c:pt idx="3528">
                  <c:v>4216.3999999999996</c:v>
                </c:pt>
                <c:pt idx="3529">
                  <c:v>4208.87</c:v>
                </c:pt>
                <c:pt idx="3530">
                  <c:v>4193.91</c:v>
                </c:pt>
                <c:pt idx="3531">
                  <c:v>4212.62</c:v>
                </c:pt>
                <c:pt idx="3532">
                  <c:v>4201.3500000000004</c:v>
                </c:pt>
                <c:pt idx="3533">
                  <c:v>4150.41</c:v>
                </c:pt>
                <c:pt idx="3534">
                  <c:v>4174.55</c:v>
                </c:pt>
                <c:pt idx="3535">
                  <c:v>4219.24</c:v>
                </c:pt>
                <c:pt idx="3536">
                  <c:v>4231.3</c:v>
                </c:pt>
                <c:pt idx="3537">
                  <c:v>4213.6899999999996</c:v>
                </c:pt>
                <c:pt idx="3538">
                  <c:v>4233.71</c:v>
                </c:pt>
                <c:pt idx="3539">
                  <c:v>4182.2700000000004</c:v>
                </c:pt>
                <c:pt idx="3540">
                  <c:v>4211.55</c:v>
                </c:pt>
                <c:pt idx="3541">
                  <c:v>4214.3900000000003</c:v>
                </c:pt>
                <c:pt idx="3542">
                  <c:v>4241.28</c:v>
                </c:pt>
                <c:pt idx="3543">
                  <c:v>4251.62</c:v>
                </c:pt>
                <c:pt idx="3544">
                  <c:v>4235.3599999999997</c:v>
                </c:pt>
                <c:pt idx="3545">
                  <c:v>4261.79</c:v>
                </c:pt>
                <c:pt idx="3546">
                  <c:v>4247.75</c:v>
                </c:pt>
                <c:pt idx="3547">
                  <c:v>4256.08</c:v>
                </c:pt>
                <c:pt idx="3548">
                  <c:v>4291.53</c:v>
                </c:pt>
                <c:pt idx="3549">
                  <c:v>4290.5</c:v>
                </c:pt>
                <c:pt idx="3550">
                  <c:v>4258.24</c:v>
                </c:pt>
                <c:pt idx="3551">
                  <c:v>4300.9399999999996</c:v>
                </c:pt>
                <c:pt idx="3552">
                  <c:v>4316.3999999999996</c:v>
                </c:pt>
                <c:pt idx="3553">
                  <c:v>4307.37</c:v>
                </c:pt>
                <c:pt idx="3554">
                  <c:v>4258.01</c:v>
                </c:pt>
                <c:pt idx="3555">
                  <c:v>4208.82</c:v>
                </c:pt>
                <c:pt idx="3556">
                  <c:v>4212.1400000000003</c:v>
                </c:pt>
                <c:pt idx="3557">
                  <c:v>4232.3599999999997</c:v>
                </c:pt>
                <c:pt idx="3558">
                  <c:v>4245.51</c:v>
                </c:pt>
                <c:pt idx="3559">
                  <c:v>4250.71</c:v>
                </c:pt>
                <c:pt idx="3560">
                  <c:v>4245.55</c:v>
                </c:pt>
                <c:pt idx="3561">
                  <c:v>4220.43</c:v>
                </c:pt>
                <c:pt idx="3562">
                  <c:v>4213.7</c:v>
                </c:pt>
                <c:pt idx="3563">
                  <c:v>4201.8900000000003</c:v>
                </c:pt>
                <c:pt idx="3564">
                  <c:v>4233.95</c:v>
                </c:pt>
                <c:pt idx="3565">
                  <c:v>4214.12</c:v>
                </c:pt>
                <c:pt idx="3566">
                  <c:v>4216.41</c:v>
                </c:pt>
                <c:pt idx="3567">
                  <c:v>4201.8100000000004</c:v>
                </c:pt>
                <c:pt idx="3568">
                  <c:v>4254.8500000000004</c:v>
                </c:pt>
                <c:pt idx="3569">
                  <c:v>4279.97</c:v>
                </c:pt>
                <c:pt idx="3570">
                  <c:v>4296.3100000000004</c:v>
                </c:pt>
                <c:pt idx="3571">
                  <c:v>4281.6400000000003</c:v>
                </c:pt>
                <c:pt idx="3572">
                  <c:v>4339.28</c:v>
                </c:pt>
                <c:pt idx="3573">
                  <c:v>4366.3500000000004</c:v>
                </c:pt>
                <c:pt idx="3574">
                  <c:v>4371.3900000000003</c:v>
                </c:pt>
                <c:pt idx="3575">
                  <c:v>4353.1499999999996</c:v>
                </c:pt>
                <c:pt idx="3576">
                  <c:v>4342.01</c:v>
                </c:pt>
                <c:pt idx="3577">
                  <c:v>4387.8</c:v>
                </c:pt>
                <c:pt idx="3578">
                  <c:v>4386.3999999999996</c:v>
                </c:pt>
                <c:pt idx="3579">
                  <c:v>4402.03</c:v>
                </c:pt>
                <c:pt idx="3580">
                  <c:v>4368.7700000000004</c:v>
                </c:pt>
                <c:pt idx="3581">
                  <c:v>4369.68</c:v>
                </c:pt>
                <c:pt idx="3582">
                  <c:v>4359.47</c:v>
                </c:pt>
                <c:pt idx="3583">
                  <c:v>4353.34</c:v>
                </c:pt>
                <c:pt idx="3584">
                  <c:v>4323.21</c:v>
                </c:pt>
                <c:pt idx="3585">
                  <c:v>4310.66</c:v>
                </c:pt>
                <c:pt idx="3586">
                  <c:v>4304.29</c:v>
                </c:pt>
                <c:pt idx="3587">
                  <c:v>4348.6400000000003</c:v>
                </c:pt>
                <c:pt idx="3588">
                  <c:v>4350.49</c:v>
                </c:pt>
                <c:pt idx="3589">
                  <c:v>4383.62</c:v>
                </c:pt>
                <c:pt idx="3590">
                  <c:v>4393.43</c:v>
                </c:pt>
                <c:pt idx="3591">
                  <c:v>4373.2700000000004</c:v>
                </c:pt>
                <c:pt idx="3592">
                  <c:v>4423.5200000000004</c:v>
                </c:pt>
                <c:pt idx="3593">
                  <c:v>4428.09</c:v>
                </c:pt>
                <c:pt idx="3594">
                  <c:v>4396.5</c:v>
                </c:pt>
                <c:pt idx="3595">
                  <c:v>4375.6000000000004</c:v>
                </c:pt>
                <c:pt idx="3596">
                  <c:v>4337.68</c:v>
                </c:pt>
                <c:pt idx="3597">
                  <c:v>4360.49</c:v>
                </c:pt>
                <c:pt idx="3598">
                  <c:v>4367.3</c:v>
                </c:pt>
                <c:pt idx="3599">
                  <c:v>4387.6899999999996</c:v>
                </c:pt>
                <c:pt idx="3600">
                  <c:v>4309.1099999999997</c:v>
                </c:pt>
                <c:pt idx="3601">
                  <c:v>4315.92</c:v>
                </c:pt>
                <c:pt idx="3602">
                  <c:v>4327.18</c:v>
                </c:pt>
                <c:pt idx="3603">
                  <c:v>4296.3599999999997</c:v>
                </c:pt>
                <c:pt idx="3604">
                  <c:v>4320.6899999999996</c:v>
                </c:pt>
                <c:pt idx="3605">
                  <c:v>4317.2</c:v>
                </c:pt>
                <c:pt idx="3606">
                  <c:v>4343.6000000000004</c:v>
                </c:pt>
                <c:pt idx="3607">
                  <c:v>4351.8900000000003</c:v>
                </c:pt>
                <c:pt idx="3608">
                  <c:v>4347.5200000000004</c:v>
                </c:pt>
                <c:pt idx="3609">
                  <c:v>4348.7700000000004</c:v>
                </c:pt>
                <c:pt idx="3610">
                  <c:v>4373.53</c:v>
                </c:pt>
                <c:pt idx="3611">
                  <c:v>4341.3900000000003</c:v>
                </c:pt>
                <c:pt idx="3612">
                  <c:v>4362.6099999999997</c:v>
                </c:pt>
                <c:pt idx="3613">
                  <c:v>4379.18</c:v>
                </c:pt>
                <c:pt idx="3614">
                  <c:v>4389.5200000000004</c:v>
                </c:pt>
                <c:pt idx="3615">
                  <c:v>4400.68</c:v>
                </c:pt>
                <c:pt idx="3616">
                  <c:v>4396.09</c:v>
                </c:pt>
                <c:pt idx="3617">
                  <c:v>4372.12</c:v>
                </c:pt>
                <c:pt idx="3618">
                  <c:v>4405.6899999999996</c:v>
                </c:pt>
                <c:pt idx="3619">
                  <c:v>4402.05</c:v>
                </c:pt>
                <c:pt idx="3620">
                  <c:v>4312.25</c:v>
                </c:pt>
                <c:pt idx="3621">
                  <c:v>4202.2</c:v>
                </c:pt>
                <c:pt idx="3622">
                  <c:v>4204.6099999999997</c:v>
                </c:pt>
                <c:pt idx="3623">
                  <c:v>4178.62</c:v>
                </c:pt>
                <c:pt idx="3624">
                  <c:v>4193.7</c:v>
                </c:pt>
                <c:pt idx="3625">
                  <c:v>4223.04</c:v>
                </c:pt>
                <c:pt idx="3626">
                  <c:v>4246.96</c:v>
                </c:pt>
                <c:pt idx="3627">
                  <c:v>4233.76</c:v>
                </c:pt>
                <c:pt idx="3628">
                  <c:v>4189.0200000000004</c:v>
                </c:pt>
                <c:pt idx="3629">
                  <c:v>4178.1000000000004</c:v>
                </c:pt>
                <c:pt idx="3630">
                  <c:v>4184.84</c:v>
                </c:pt>
                <c:pt idx="3631">
                  <c:v>4224.0200000000004</c:v>
                </c:pt>
                <c:pt idx="3632">
                  <c:v>4245.54</c:v>
                </c:pt>
                <c:pt idx="3633">
                  <c:v>4264.3500000000004</c:v>
                </c:pt>
                <c:pt idx="3634">
                  <c:v>4299.51</c:v>
                </c:pt>
                <c:pt idx="3635">
                  <c:v>4311.0600000000004</c:v>
                </c:pt>
                <c:pt idx="3636">
                  <c:v>4292.41</c:v>
                </c:pt>
                <c:pt idx="3637">
                  <c:v>4251.13</c:v>
                </c:pt>
                <c:pt idx="3638">
                  <c:v>4244.16</c:v>
                </c:pt>
                <c:pt idx="3639">
                  <c:v>4267.05</c:v>
                </c:pt>
                <c:pt idx="3640">
                  <c:v>4275.7</c:v>
                </c:pt>
                <c:pt idx="3641">
                  <c:v>4262.18</c:v>
                </c:pt>
                <c:pt idx="3642">
                  <c:v>4251.7700000000004</c:v>
                </c:pt>
                <c:pt idx="3643">
                  <c:v>4324.6000000000004</c:v>
                </c:pt>
                <c:pt idx="3644">
                  <c:v>4360.42</c:v>
                </c:pt>
                <c:pt idx="3645">
                  <c:v>4360.68</c:v>
                </c:pt>
                <c:pt idx="3646">
                  <c:v>4406.95</c:v>
                </c:pt>
                <c:pt idx="3647">
                  <c:v>4396.6400000000003</c:v>
                </c:pt>
                <c:pt idx="3648">
                  <c:v>4389.54</c:v>
                </c:pt>
                <c:pt idx="3649">
                  <c:v>4436.6000000000004</c:v>
                </c:pt>
                <c:pt idx="3650">
                  <c:v>4444.71</c:v>
                </c:pt>
                <c:pt idx="3651">
                  <c:v>4480.43</c:v>
                </c:pt>
                <c:pt idx="3652">
                  <c:v>4460.63</c:v>
                </c:pt>
                <c:pt idx="3653">
                  <c:v>4527.17</c:v>
                </c:pt>
                <c:pt idx="3654">
                  <c:v>4532.17</c:v>
                </c:pt>
                <c:pt idx="3655">
                  <c:v>4510.3900000000003</c:v>
                </c:pt>
                <c:pt idx="3656">
                  <c:v>4497.26</c:v>
                </c:pt>
                <c:pt idx="3657">
                  <c:v>4566.01</c:v>
                </c:pt>
                <c:pt idx="3658">
                  <c:v>4557.29</c:v>
                </c:pt>
                <c:pt idx="3659">
                  <c:v>4562.75</c:v>
                </c:pt>
                <c:pt idx="3660">
                  <c:v>4586.1000000000004</c:v>
                </c:pt>
                <c:pt idx="3661">
                  <c:v>4599.21</c:v>
                </c:pt>
                <c:pt idx="3662">
                  <c:v>4591.6899999999996</c:v>
                </c:pt>
                <c:pt idx="3663">
                  <c:v>4548.42</c:v>
                </c:pt>
                <c:pt idx="3664">
                  <c:v>4579.87</c:v>
                </c:pt>
                <c:pt idx="3665">
                  <c:v>4604.57</c:v>
                </c:pt>
                <c:pt idx="3666">
                  <c:v>4586.8599999999997</c:v>
                </c:pt>
                <c:pt idx="3667">
                  <c:v>4608.1099999999997</c:v>
                </c:pt>
                <c:pt idx="3668">
                  <c:v>4619.6000000000004</c:v>
                </c:pt>
                <c:pt idx="3669">
                  <c:v>4627.4799999999996</c:v>
                </c:pt>
                <c:pt idx="3670">
                  <c:v>4566.4799999999996</c:v>
                </c:pt>
                <c:pt idx="3671">
                  <c:v>4523.82</c:v>
                </c:pt>
                <c:pt idx="3672">
                  <c:v>4557.46</c:v>
                </c:pt>
                <c:pt idx="3673">
                  <c:v>4583.63</c:v>
                </c:pt>
                <c:pt idx="3674">
                  <c:v>4586.28</c:v>
                </c:pt>
                <c:pt idx="3675">
                  <c:v>4617.07</c:v>
                </c:pt>
                <c:pt idx="3676">
                  <c:v>4623.41</c:v>
                </c:pt>
                <c:pt idx="3677">
                  <c:v>4603.6499999999996</c:v>
                </c:pt>
                <c:pt idx="3678">
                  <c:v>4615.49</c:v>
                </c:pt>
                <c:pt idx="3679">
                  <c:v>4530.18</c:v>
                </c:pt>
                <c:pt idx="3680">
                  <c:v>4597.97</c:v>
                </c:pt>
                <c:pt idx="3681">
                  <c:v>4663.38</c:v>
                </c:pt>
                <c:pt idx="3682">
                  <c:v>4653.03</c:v>
                </c:pt>
                <c:pt idx="3683">
                  <c:v>4679.8900000000003</c:v>
                </c:pt>
                <c:pt idx="3684">
                  <c:v>4699.2700000000004</c:v>
                </c:pt>
                <c:pt idx="3685">
                  <c:v>4712.8999999999996</c:v>
                </c:pt>
                <c:pt idx="3686">
                  <c:v>4719.57</c:v>
                </c:pt>
                <c:pt idx="3687">
                  <c:v>4770.54</c:v>
                </c:pt>
                <c:pt idx="3688">
                  <c:v>4784.5</c:v>
                </c:pt>
                <c:pt idx="3689">
                  <c:v>4829.87</c:v>
                </c:pt>
                <c:pt idx="3690">
                  <c:v>4836.8999999999996</c:v>
                </c:pt>
                <c:pt idx="3691">
                  <c:v>4842.7</c:v>
                </c:pt>
                <c:pt idx="3692">
                  <c:v>4843.49</c:v>
                </c:pt>
                <c:pt idx="3693">
                  <c:v>4855.3500000000004</c:v>
                </c:pt>
                <c:pt idx="3694">
                  <c:v>4892.5</c:v>
                </c:pt>
                <c:pt idx="3695">
                  <c:v>4886.5</c:v>
                </c:pt>
                <c:pt idx="3696">
                  <c:v>4890.8500000000004</c:v>
                </c:pt>
                <c:pt idx="3697">
                  <c:v>4932.87</c:v>
                </c:pt>
                <c:pt idx="3698">
                  <c:v>4923.12</c:v>
                </c:pt>
                <c:pt idx="3699">
                  <c:v>4874.0600000000004</c:v>
                </c:pt>
                <c:pt idx="3700">
                  <c:v>4827.18</c:v>
                </c:pt>
                <c:pt idx="3701">
                  <c:v>4837.8599999999997</c:v>
                </c:pt>
                <c:pt idx="3702">
                  <c:v>4909.4799999999996</c:v>
                </c:pt>
                <c:pt idx="3703">
                  <c:v>4990.57</c:v>
                </c:pt>
                <c:pt idx="3704">
                  <c:v>4953.93</c:v>
                </c:pt>
                <c:pt idx="3705">
                  <c:v>4937.33</c:v>
                </c:pt>
                <c:pt idx="3706">
                  <c:v>4922.34</c:v>
                </c:pt>
                <c:pt idx="3707">
                  <c:v>4883.8100000000004</c:v>
                </c:pt>
                <c:pt idx="3708">
                  <c:v>4871.46</c:v>
                </c:pt>
                <c:pt idx="3709">
                  <c:v>4851.2700000000004</c:v>
                </c:pt>
                <c:pt idx="3710">
                  <c:v>4929.91</c:v>
                </c:pt>
                <c:pt idx="3711">
                  <c:v>4941.6899999999996</c:v>
                </c:pt>
                <c:pt idx="3712">
                  <c:v>4917.74</c:v>
                </c:pt>
                <c:pt idx="3713">
                  <c:v>4915.95</c:v>
                </c:pt>
                <c:pt idx="3714">
                  <c:v>4856.01</c:v>
                </c:pt>
                <c:pt idx="3715">
                  <c:v>4783.8</c:v>
                </c:pt>
                <c:pt idx="3716">
                  <c:v>4812.24</c:v>
                </c:pt>
                <c:pt idx="3717">
                  <c:v>4791.72</c:v>
                </c:pt>
                <c:pt idx="3718">
                  <c:v>4829.6899999999996</c:v>
                </c:pt>
                <c:pt idx="3719">
                  <c:v>4842.9399999999996</c:v>
                </c:pt>
                <c:pt idx="3720">
                  <c:v>4837.8100000000004</c:v>
                </c:pt>
                <c:pt idx="3721">
                  <c:v>4909.8900000000003</c:v>
                </c:pt>
                <c:pt idx="3722">
                  <c:v>4968.28</c:v>
                </c:pt>
                <c:pt idx="3723">
                  <c:v>4988.1400000000003</c:v>
                </c:pt>
                <c:pt idx="3724">
                  <c:v>4992.75</c:v>
                </c:pt>
                <c:pt idx="3725">
                  <c:v>5005.93</c:v>
                </c:pt>
                <c:pt idx="3726">
                  <c:v>4989.9799999999996</c:v>
                </c:pt>
                <c:pt idx="3727">
                  <c:v>4901.88</c:v>
                </c:pt>
                <c:pt idx="3728">
                  <c:v>4911.17</c:v>
                </c:pt>
                <c:pt idx="3729">
                  <c:v>4905.9799999999996</c:v>
                </c:pt>
                <c:pt idx="3730">
                  <c:v>4986.5</c:v>
                </c:pt>
                <c:pt idx="3731">
                  <c:v>4926.13</c:v>
                </c:pt>
                <c:pt idx="3732">
                  <c:v>4962.8599999999997</c:v>
                </c:pt>
                <c:pt idx="3733">
                  <c:v>4875.22</c:v>
                </c:pt>
                <c:pt idx="3734">
                  <c:v>4849.01</c:v>
                </c:pt>
                <c:pt idx="3735">
                  <c:v>4882.58</c:v>
                </c:pt>
                <c:pt idx="3736">
                  <c:v>4998.16</c:v>
                </c:pt>
                <c:pt idx="3737">
                  <c:v>4965.88</c:v>
                </c:pt>
                <c:pt idx="3738">
                  <c:v>5048.74</c:v>
                </c:pt>
                <c:pt idx="3739">
                  <c:v>5021.17</c:v>
                </c:pt>
                <c:pt idx="3740">
                  <c:v>5044.12</c:v>
                </c:pt>
                <c:pt idx="3741">
                  <c:v>5082.07</c:v>
                </c:pt>
                <c:pt idx="3742">
                  <c:v>5138.0200000000004</c:v>
                </c:pt>
                <c:pt idx="3743">
                  <c:v>5069.42</c:v>
                </c:pt>
                <c:pt idx="3744">
                  <c:v>5017.2700000000004</c:v>
                </c:pt>
                <c:pt idx="3745">
                  <c:v>5007.7700000000004</c:v>
                </c:pt>
                <c:pt idx="3746">
                  <c:v>5022.79</c:v>
                </c:pt>
                <c:pt idx="3747">
                  <c:v>5032.46</c:v>
                </c:pt>
                <c:pt idx="3748">
                  <c:v>4981.7700000000004</c:v>
                </c:pt>
                <c:pt idx="3749">
                  <c:v>4950.07</c:v>
                </c:pt>
                <c:pt idx="3750">
                  <c:v>4975.5600000000004</c:v>
                </c:pt>
                <c:pt idx="3751">
                  <c:v>4978.83</c:v>
                </c:pt>
                <c:pt idx="3752">
                  <c:v>4947.18</c:v>
                </c:pt>
                <c:pt idx="3753">
                  <c:v>4845.9799999999996</c:v>
                </c:pt>
                <c:pt idx="3754">
                  <c:v>4864.25</c:v>
                </c:pt>
                <c:pt idx="3755">
                  <c:v>4838.3999999999996</c:v>
                </c:pt>
                <c:pt idx="3756">
                  <c:v>4901.79</c:v>
                </c:pt>
                <c:pt idx="3757">
                  <c:v>4872.97</c:v>
                </c:pt>
                <c:pt idx="3758">
                  <c:v>4900.79</c:v>
                </c:pt>
                <c:pt idx="3759">
                  <c:v>4806.05</c:v>
                </c:pt>
                <c:pt idx="3760">
                  <c:v>4825.6400000000003</c:v>
                </c:pt>
                <c:pt idx="3761">
                  <c:v>4929.07</c:v>
                </c:pt>
                <c:pt idx="3762">
                  <c:v>4922.55</c:v>
                </c:pt>
                <c:pt idx="3763">
                  <c:v>4954.83</c:v>
                </c:pt>
                <c:pt idx="3764">
                  <c:v>5011</c:v>
                </c:pt>
                <c:pt idx="3765">
                  <c:v>4995.24</c:v>
                </c:pt>
                <c:pt idx="3766">
                  <c:v>5024.2</c:v>
                </c:pt>
                <c:pt idx="3767">
                  <c:v>5008.83</c:v>
                </c:pt>
                <c:pt idx="3768">
                  <c:v>5011.38</c:v>
                </c:pt>
                <c:pt idx="3769">
                  <c:v>5015.55</c:v>
                </c:pt>
                <c:pt idx="3770">
                  <c:v>5090.75</c:v>
                </c:pt>
                <c:pt idx="3771">
                  <c:v>5092.43</c:v>
                </c:pt>
                <c:pt idx="3772">
                  <c:v>5110.6099999999997</c:v>
                </c:pt>
                <c:pt idx="3773">
                  <c:v>5081.46</c:v>
                </c:pt>
                <c:pt idx="3774">
                  <c:v>5099.72</c:v>
                </c:pt>
                <c:pt idx="3775">
                  <c:v>5123.5</c:v>
                </c:pt>
                <c:pt idx="3776">
                  <c:v>5170.6099999999997</c:v>
                </c:pt>
                <c:pt idx="3777">
                  <c:v>5174.72</c:v>
                </c:pt>
                <c:pt idx="3778">
                  <c:v>5196.08</c:v>
                </c:pt>
                <c:pt idx="3779">
                  <c:v>5187.9799999999996</c:v>
                </c:pt>
                <c:pt idx="3780">
                  <c:v>5194.2700000000004</c:v>
                </c:pt>
                <c:pt idx="3781">
                  <c:v>5176.59</c:v>
                </c:pt>
                <c:pt idx="3782">
                  <c:v>5199.4799999999996</c:v>
                </c:pt>
                <c:pt idx="3783">
                  <c:v>5193.3999999999996</c:v>
                </c:pt>
                <c:pt idx="3784">
                  <c:v>5266.55</c:v>
                </c:pt>
                <c:pt idx="3785">
                  <c:v>5307.99</c:v>
                </c:pt>
                <c:pt idx="3786">
                  <c:v>5266.86</c:v>
                </c:pt>
                <c:pt idx="3787">
                  <c:v>5300.85</c:v>
                </c:pt>
                <c:pt idx="3788">
                  <c:v>5266.75</c:v>
                </c:pt>
                <c:pt idx="3789">
                  <c:v>5286.75</c:v>
                </c:pt>
                <c:pt idx="3790">
                  <c:v>5282.13</c:v>
                </c:pt>
                <c:pt idx="3791">
                  <c:v>5301.21</c:v>
                </c:pt>
                <c:pt idx="3792">
                  <c:v>5310.28</c:v>
                </c:pt>
                <c:pt idx="3793">
                  <c:v>5286.76</c:v>
                </c:pt>
                <c:pt idx="3794">
                  <c:v>5295.82</c:v>
                </c:pt>
                <c:pt idx="3795">
                  <c:v>5353.66</c:v>
                </c:pt>
                <c:pt idx="3796">
                  <c:v>5350.18</c:v>
                </c:pt>
                <c:pt idx="3797">
                  <c:v>5356.6</c:v>
                </c:pt>
                <c:pt idx="3798">
                  <c:v>5397.23</c:v>
                </c:pt>
                <c:pt idx="3799">
                  <c:v>5398.28</c:v>
                </c:pt>
                <c:pt idx="3800">
                  <c:v>5419.05</c:v>
                </c:pt>
                <c:pt idx="3801">
                  <c:v>5444.84</c:v>
                </c:pt>
                <c:pt idx="3802">
                  <c:v>5447.15</c:v>
                </c:pt>
                <c:pt idx="3803">
                  <c:v>5458.58</c:v>
                </c:pt>
                <c:pt idx="3804">
                  <c:v>5408.26</c:v>
                </c:pt>
                <c:pt idx="3805">
                  <c:v>5449.98</c:v>
                </c:pt>
                <c:pt idx="3806">
                  <c:v>5460.68</c:v>
                </c:pt>
                <c:pt idx="3807">
                  <c:v>5523.62</c:v>
                </c:pt>
                <c:pt idx="3808">
                  <c:v>5516.53</c:v>
                </c:pt>
                <c:pt idx="3809">
                  <c:v>5536.32</c:v>
                </c:pt>
                <c:pt idx="3810">
                  <c:v>5537.11</c:v>
                </c:pt>
                <c:pt idx="3811">
                  <c:v>5494.71</c:v>
                </c:pt>
                <c:pt idx="3812">
                  <c:v>5532.89</c:v>
                </c:pt>
                <c:pt idx="3813">
                  <c:v>5542.13</c:v>
                </c:pt>
                <c:pt idx="3814">
                  <c:v>5483.09</c:v>
                </c:pt>
                <c:pt idx="3815">
                  <c:v>5514.64</c:v>
                </c:pt>
                <c:pt idx="3816">
                  <c:v>5460.16</c:v>
                </c:pt>
                <c:pt idx="3817">
                  <c:v>5395.61</c:v>
                </c:pt>
                <c:pt idx="3818">
                  <c:v>5430.84</c:v>
                </c:pt>
                <c:pt idx="3819">
                  <c:v>5349.02</c:v>
                </c:pt>
                <c:pt idx="3820">
                  <c:v>5348.72</c:v>
                </c:pt>
                <c:pt idx="3821">
                  <c:v>5334.3</c:v>
                </c:pt>
                <c:pt idx="3822">
                  <c:v>5427.09</c:v>
                </c:pt>
                <c:pt idx="3823">
                  <c:v>5548.91</c:v>
                </c:pt>
                <c:pt idx="3824">
                  <c:v>5647.42</c:v>
                </c:pt>
                <c:pt idx="3825">
                  <c:v>5660.03</c:v>
                </c:pt>
                <c:pt idx="3826">
                  <c:v>5674.15</c:v>
                </c:pt>
                <c:pt idx="3827">
                  <c:v>5726.53</c:v>
                </c:pt>
                <c:pt idx="3828">
                  <c:v>5649.6</c:v>
                </c:pt>
                <c:pt idx="3829">
                  <c:v>5657.12</c:v>
                </c:pt>
                <c:pt idx="3830">
                  <c:v>5666.78</c:v>
                </c:pt>
                <c:pt idx="3831">
                  <c:v>5672.92</c:v>
                </c:pt>
                <c:pt idx="3832">
                  <c:v>5666.41</c:v>
                </c:pt>
                <c:pt idx="3833">
                  <c:v>5743.68</c:v>
                </c:pt>
                <c:pt idx="3834">
                  <c:v>5701.47</c:v>
                </c:pt>
                <c:pt idx="3835">
                  <c:v>5756.33</c:v>
                </c:pt>
                <c:pt idx="3836">
                  <c:v>5763.4</c:v>
                </c:pt>
                <c:pt idx="3837">
                  <c:v>5764.37</c:v>
                </c:pt>
                <c:pt idx="3838">
                  <c:v>5789.25</c:v>
                </c:pt>
                <c:pt idx="3839">
                  <c:v>5795.48</c:v>
                </c:pt>
                <c:pt idx="3840">
                  <c:v>5793.95</c:v>
                </c:pt>
                <c:pt idx="3841">
                  <c:v>5801.04</c:v>
                </c:pt>
                <c:pt idx="3842">
                  <c:v>5862.06</c:v>
                </c:pt>
                <c:pt idx="3843">
                  <c:v>5857.88</c:v>
                </c:pt>
                <c:pt idx="3844">
                  <c:v>5870.79</c:v>
                </c:pt>
                <c:pt idx="3845">
                  <c:v>5915.15</c:v>
                </c:pt>
                <c:pt idx="3846">
                  <c:v>5796.04</c:v>
                </c:pt>
                <c:pt idx="3847">
                  <c:v>5866.61</c:v>
                </c:pt>
                <c:pt idx="3848">
                  <c:v>5783.49</c:v>
                </c:pt>
                <c:pt idx="3849">
                  <c:v>5721.46</c:v>
                </c:pt>
                <c:pt idx="3850">
                  <c:v>5754.06</c:v>
                </c:pt>
                <c:pt idx="3851">
                  <c:v>5739.28</c:v>
                </c:pt>
                <c:pt idx="3852">
                  <c:v>5673.36</c:v>
                </c:pt>
                <c:pt idx="3853">
                  <c:v>5732.22</c:v>
                </c:pt>
                <c:pt idx="3854">
                  <c:v>5804.92</c:v>
                </c:pt>
                <c:pt idx="3855">
                  <c:v>5855.16</c:v>
                </c:pt>
                <c:pt idx="3856">
                  <c:v>5870.88</c:v>
                </c:pt>
                <c:pt idx="3857">
                  <c:v>5898.48</c:v>
                </c:pt>
                <c:pt idx="3858">
                  <c:v>5897.79</c:v>
                </c:pt>
                <c:pt idx="3859">
                  <c:v>5882.38</c:v>
                </c:pt>
                <c:pt idx="3860">
                  <c:v>5902.79</c:v>
                </c:pt>
                <c:pt idx="3861">
                  <c:v>5911.86</c:v>
                </c:pt>
                <c:pt idx="3862">
                  <c:v>5932.31</c:v>
                </c:pt>
                <c:pt idx="3863">
                  <c:v>5947.11</c:v>
                </c:pt>
                <c:pt idx="3864">
                  <c:v>5973.14</c:v>
                </c:pt>
                <c:pt idx="3865">
                  <c:v>5912.26</c:v>
                </c:pt>
                <c:pt idx="3866">
                  <c:v>5890.63</c:v>
                </c:pt>
                <c:pt idx="3867">
                  <c:v>5914.78</c:v>
                </c:pt>
                <c:pt idx="3868">
                  <c:v>5984.19</c:v>
                </c:pt>
                <c:pt idx="3869">
                  <c:v>5970.08</c:v>
                </c:pt>
                <c:pt idx="3870">
                  <c:v>6024.05</c:v>
                </c:pt>
                <c:pt idx="3871">
                  <c:v>6013.85</c:v>
                </c:pt>
                <c:pt idx="3872">
                  <c:v>6029.2</c:v>
                </c:pt>
                <c:pt idx="3873">
                  <c:v>6031.39</c:v>
                </c:pt>
                <c:pt idx="3874">
                  <c:v>5952.92</c:v>
                </c:pt>
                <c:pt idx="3875">
                  <c:v>6003.4</c:v>
                </c:pt>
                <c:pt idx="3876">
                  <c:v>5908.47</c:v>
                </c:pt>
                <c:pt idx="3877">
                  <c:v>5901.25</c:v>
                </c:pt>
                <c:pt idx="3878">
                  <c:v>5918.57</c:v>
                </c:pt>
                <c:pt idx="3879">
                  <c:v>5902.58</c:v>
                </c:pt>
                <c:pt idx="3880">
                  <c:v>5993.76</c:v>
                </c:pt>
                <c:pt idx="3881">
                  <c:v>6063.28</c:v>
                </c:pt>
                <c:pt idx="3882">
                  <c:v>6094.75</c:v>
                </c:pt>
                <c:pt idx="3883">
                  <c:v>6079.09</c:v>
                </c:pt>
                <c:pt idx="3884">
                  <c:v>6078.8</c:v>
                </c:pt>
                <c:pt idx="3885">
                  <c:v>6107.12</c:v>
                </c:pt>
                <c:pt idx="3886">
                  <c:v>6067.74</c:v>
                </c:pt>
                <c:pt idx="3887">
                  <c:v>6009.89</c:v>
                </c:pt>
                <c:pt idx="3888">
                  <c:v>6051.29</c:v>
                </c:pt>
                <c:pt idx="3889">
                  <c:v>5968.96</c:v>
                </c:pt>
                <c:pt idx="3890">
                  <c:v>6039.32</c:v>
                </c:pt>
                <c:pt idx="3891">
                  <c:v>6113.29</c:v>
                </c:pt>
                <c:pt idx="3892">
                  <c:v>6127.98</c:v>
                </c:pt>
                <c:pt idx="3893">
                  <c:v>6140.72</c:v>
                </c:pt>
                <c:pt idx="3894">
                  <c:v>6118.38</c:v>
                </c:pt>
                <c:pt idx="3895">
                  <c:v>6054.72</c:v>
                </c:pt>
                <c:pt idx="3896">
                  <c:v>5916.28</c:v>
                </c:pt>
                <c:pt idx="3897">
                  <c:v>5857.03</c:v>
                </c:pt>
                <c:pt idx="3898">
                  <c:v>5851.92</c:v>
                </c:pt>
                <c:pt idx="3899">
                  <c:v>5652.72</c:v>
                </c:pt>
                <c:pt idx="3900">
                  <c:v>5666.07</c:v>
                </c:pt>
                <c:pt idx="3901">
                  <c:v>5672.28</c:v>
                </c:pt>
                <c:pt idx="3902">
                  <c:v>5546.24</c:v>
                </c:pt>
                <c:pt idx="3903">
                  <c:v>5678.49</c:v>
                </c:pt>
                <c:pt idx="3904">
                  <c:v>5587.23</c:v>
                </c:pt>
                <c:pt idx="3905">
                  <c:v>5706.06</c:v>
                </c:pt>
                <c:pt idx="3906">
                  <c:v>5788.36</c:v>
                </c:pt>
                <c:pt idx="3907">
                  <c:v>5755.02</c:v>
                </c:pt>
                <c:pt idx="3908">
                  <c:v>5622.43</c:v>
                </c:pt>
                <c:pt idx="3909">
                  <c:v>5692.86</c:v>
                </c:pt>
                <c:pt idx="3910">
                  <c:v>5707.59</c:v>
                </c:pt>
                <c:pt idx="3911">
                  <c:v>5687.04</c:v>
                </c:pt>
                <c:pt idx="3912">
                  <c:v>5621.19</c:v>
                </c:pt>
                <c:pt idx="3913">
                  <c:v>5502.81</c:v>
                </c:pt>
                <c:pt idx="3914">
                  <c:v>5543.93</c:v>
                </c:pt>
                <c:pt idx="3915">
                  <c:v>5383.28</c:v>
                </c:pt>
                <c:pt idx="3916">
                  <c:v>5464.08</c:v>
                </c:pt>
                <c:pt idx="3917">
                  <c:v>5395.55</c:v>
                </c:pt>
                <c:pt idx="3918">
                  <c:v>5292.14</c:v>
                </c:pt>
                <c:pt idx="3919">
                  <c:v>5305.99</c:v>
                </c:pt>
                <c:pt idx="3920">
                  <c:v>5422.22</c:v>
                </c:pt>
                <c:pt idx="3921">
                  <c:v>5376.01</c:v>
                </c:pt>
                <c:pt idx="3922">
                  <c:v>5439.23</c:v>
                </c:pt>
                <c:pt idx="3923">
                  <c:v>5493.61</c:v>
                </c:pt>
                <c:pt idx="3924">
                  <c:v>5503.41</c:v>
                </c:pt>
                <c:pt idx="3925">
                  <c:v>5533.42</c:v>
                </c:pt>
                <c:pt idx="3926">
                  <c:v>5529.74</c:v>
                </c:pt>
                <c:pt idx="3927">
                  <c:v>5514.63</c:v>
                </c:pt>
                <c:pt idx="3928">
                  <c:v>5459.15</c:v>
                </c:pt>
                <c:pt idx="3929">
                  <c:v>5456.87</c:v>
                </c:pt>
                <c:pt idx="3930">
                  <c:v>5581.67</c:v>
                </c:pt>
                <c:pt idx="3931">
                  <c:v>5683.31</c:v>
                </c:pt>
                <c:pt idx="3932">
                  <c:v>5712.69</c:v>
                </c:pt>
                <c:pt idx="3933">
                  <c:v>5729.01</c:v>
                </c:pt>
                <c:pt idx="3934">
                  <c:v>5625.63</c:v>
                </c:pt>
                <c:pt idx="3935">
                  <c:v>5695.47</c:v>
                </c:pt>
                <c:pt idx="3936">
                  <c:v>5681.85</c:v>
                </c:pt>
                <c:pt idx="3937">
                  <c:v>5706.32</c:v>
                </c:pt>
                <c:pt idx="3938">
                  <c:v>5616.04</c:v>
                </c:pt>
                <c:pt idx="3939">
                  <c:v>5637.82</c:v>
                </c:pt>
                <c:pt idx="3940">
                  <c:v>5527.29</c:v>
                </c:pt>
                <c:pt idx="3941">
                  <c:v>5422.22</c:v>
                </c:pt>
                <c:pt idx="3942">
                  <c:v>5416.96</c:v>
                </c:pt>
                <c:pt idx="3943">
                  <c:v>5396.85</c:v>
                </c:pt>
                <c:pt idx="3944">
                  <c:v>5539.29</c:v>
                </c:pt>
                <c:pt idx="3945">
                  <c:v>5545.82</c:v>
                </c:pt>
                <c:pt idx="3946">
                  <c:v>5451.01</c:v>
                </c:pt>
                <c:pt idx="3947">
                  <c:v>5578.05</c:v>
                </c:pt>
                <c:pt idx="3948">
                  <c:v>5565.76</c:v>
                </c:pt>
                <c:pt idx="3949">
                  <c:v>5583.1</c:v>
                </c:pt>
                <c:pt idx="3950">
                  <c:v>5659.07</c:v>
                </c:pt>
                <c:pt idx="3951">
                  <c:v>5705.42</c:v>
                </c:pt>
                <c:pt idx="3952">
                  <c:v>5681.97</c:v>
                </c:pt>
                <c:pt idx="3953">
                  <c:v>5596.74</c:v>
                </c:pt>
                <c:pt idx="3954">
                  <c:v>5680.82</c:v>
                </c:pt>
                <c:pt idx="3955">
                  <c:v>5640.03</c:v>
                </c:pt>
                <c:pt idx="3956">
                  <c:v>5723.03</c:v>
                </c:pt>
                <c:pt idx="3957">
                  <c:v>5626.67</c:v>
                </c:pt>
                <c:pt idx="3958">
                  <c:v>5651.92</c:v>
                </c:pt>
                <c:pt idx="3959">
                  <c:v>5702.81</c:v>
                </c:pt>
                <c:pt idx="3960">
                  <c:v>5630.96</c:v>
                </c:pt>
                <c:pt idx="3961">
                  <c:v>5628.37</c:v>
                </c:pt>
                <c:pt idx="3962">
                  <c:v>5692</c:v>
                </c:pt>
                <c:pt idx="3963">
                  <c:v>5776.8</c:v>
                </c:pt>
                <c:pt idx="3964">
                  <c:v>5812.94</c:v>
                </c:pt>
                <c:pt idx="3965">
                  <c:v>5833.51</c:v>
                </c:pt>
                <c:pt idx="3966">
                  <c:v>5817.02</c:v>
                </c:pt>
                <c:pt idx="3967">
                  <c:v>5794.83</c:v>
                </c:pt>
                <c:pt idx="3968">
                  <c:v>5818.41</c:v>
                </c:pt>
                <c:pt idx="3969">
                  <c:v>5775.54</c:v>
                </c:pt>
                <c:pt idx="3970">
                  <c:v>5814.08</c:v>
                </c:pt>
                <c:pt idx="3971">
                  <c:v>5811.47</c:v>
                </c:pt>
                <c:pt idx="3972">
                  <c:v>5854.99</c:v>
                </c:pt>
                <c:pt idx="3973">
                  <c:v>5847.02</c:v>
                </c:pt>
                <c:pt idx="3974">
                  <c:v>5867.53</c:v>
                </c:pt>
                <c:pt idx="3975">
                  <c:v>5859.57</c:v>
                </c:pt>
                <c:pt idx="3976">
                  <c:v>5876.54</c:v>
                </c:pt>
                <c:pt idx="3977">
                  <c:v>5909.72</c:v>
                </c:pt>
                <c:pt idx="3978">
                  <c:v>5884.07</c:v>
                </c:pt>
                <c:pt idx="3979">
                  <c:v>5813.06</c:v>
                </c:pt>
                <c:pt idx="3980">
                  <c:v>5773.72</c:v>
                </c:pt>
                <c:pt idx="3981">
                  <c:v>5795.26</c:v>
                </c:pt>
                <c:pt idx="3982">
                  <c:v>5798.46</c:v>
                </c:pt>
                <c:pt idx="3983">
                  <c:v>5873.85</c:v>
                </c:pt>
                <c:pt idx="3984">
                  <c:v>5906.12</c:v>
                </c:pt>
                <c:pt idx="3985">
                  <c:v>5907.37</c:v>
                </c:pt>
                <c:pt idx="3986">
                  <c:v>5937.87</c:v>
                </c:pt>
                <c:pt idx="3987">
                  <c:v>5926.33</c:v>
                </c:pt>
                <c:pt idx="3988">
                  <c:v>5873.46</c:v>
                </c:pt>
                <c:pt idx="3989">
                  <c:v>5954.38</c:v>
                </c:pt>
                <c:pt idx="3990">
                  <c:v>5962.03</c:v>
                </c:pt>
                <c:pt idx="3991">
                  <c:v>5883.32</c:v>
                </c:pt>
                <c:pt idx="3992">
                  <c:v>5901.66</c:v>
                </c:pt>
                <c:pt idx="3993">
                  <c:v>5960.63</c:v>
                </c:pt>
                <c:pt idx="3994">
                  <c:v>5989.71</c:v>
                </c:pt>
                <c:pt idx="3995">
                  <c:v>5989.16</c:v>
                </c:pt>
                <c:pt idx="3996">
                  <c:v>6004.33</c:v>
                </c:pt>
                <c:pt idx="3997">
                  <c:v>5999.46</c:v>
                </c:pt>
                <c:pt idx="3998">
                  <c:v>5992.22</c:v>
                </c:pt>
                <c:pt idx="3999">
                  <c:v>6046.37</c:v>
                </c:pt>
                <c:pt idx="4000">
                  <c:v>6075.28</c:v>
                </c:pt>
                <c:pt idx="4001">
                  <c:v>6085.82</c:v>
                </c:pt>
                <c:pt idx="4002">
                  <c:v>6084.4</c:v>
                </c:pt>
                <c:pt idx="4003">
                  <c:v>6117.71</c:v>
                </c:pt>
                <c:pt idx="4004">
                  <c:v>6119.45</c:v>
                </c:pt>
                <c:pt idx="4005">
                  <c:v>6160.28</c:v>
                </c:pt>
                <c:pt idx="4006">
                  <c:v>6173.68</c:v>
                </c:pt>
                <c:pt idx="4007">
                  <c:v>6186.54</c:v>
                </c:pt>
                <c:pt idx="4008">
                  <c:v>6115.1</c:v>
                </c:pt>
                <c:pt idx="4009">
                  <c:v>6182.78</c:v>
                </c:pt>
                <c:pt idx="4010">
                  <c:v>6177.42</c:v>
                </c:pt>
                <c:pt idx="4011">
                  <c:v>6202.82</c:v>
                </c:pt>
                <c:pt idx="4012">
                  <c:v>6242.91</c:v>
                </c:pt>
                <c:pt idx="4013">
                  <c:v>6247.52</c:v>
                </c:pt>
                <c:pt idx="4014">
                  <c:v>6264.92</c:v>
                </c:pt>
                <c:pt idx="4015">
                  <c:v>6284.19</c:v>
                </c:pt>
                <c:pt idx="4016">
                  <c:v>6262.54</c:v>
                </c:pt>
                <c:pt idx="4017">
                  <c:v>6258.19</c:v>
                </c:pt>
                <c:pt idx="4018">
                  <c:v>6268.92</c:v>
                </c:pt>
                <c:pt idx="4019">
                  <c:v>6291.9</c:v>
                </c:pt>
                <c:pt idx="4020">
                  <c:v>6223.33</c:v>
                </c:pt>
                <c:pt idx="4021">
                  <c:v>6241.15</c:v>
                </c:pt>
                <c:pt idx="4022">
                  <c:v>6330.65</c:v>
                </c:pt>
                <c:pt idx="4023">
                  <c:v>6361.96</c:v>
                </c:pt>
                <c:pt idx="4024">
                  <c:v>6349.26</c:v>
                </c:pt>
                <c:pt idx="4025">
                  <c:v>6358.68</c:v>
                </c:pt>
                <c:pt idx="4026">
                  <c:v>6357.77</c:v>
                </c:pt>
                <c:pt idx="4027">
                  <c:v>6393.73</c:v>
                </c:pt>
                <c:pt idx="4028">
                  <c:v>6387.38</c:v>
                </c:pt>
                <c:pt idx="4029">
                  <c:v>6430.89</c:v>
                </c:pt>
                <c:pt idx="4030">
                  <c:v>6443.02</c:v>
                </c:pt>
                <c:pt idx="4031">
                  <c:v>6412.36</c:v>
                </c:pt>
                <c:pt idx="4032">
                  <c:v>6452.33</c:v>
                </c:pt>
                <c:pt idx="4033">
                  <c:v>6460.39</c:v>
                </c:pt>
                <c:pt idx="4034">
                  <c:v>6476.13</c:v>
                </c:pt>
                <c:pt idx="4035">
                  <c:v>6475.25</c:v>
                </c:pt>
                <c:pt idx="4036">
                  <c:v>6411.96</c:v>
                </c:pt>
                <c:pt idx="4037">
                  <c:v>6298.17</c:v>
                </c:pt>
                <c:pt idx="4038">
                  <c:v>6281.68</c:v>
                </c:pt>
                <c:pt idx="4039">
                  <c:v>6363.8</c:v>
                </c:pt>
                <c:pt idx="4040">
                  <c:v>6309.19</c:v>
                </c:pt>
                <c:pt idx="4041">
                  <c:v>6241.13</c:v>
                </c:pt>
                <c:pt idx="4042">
                  <c:v>6295.23</c:v>
                </c:pt>
                <c:pt idx="4043">
                  <c:v>6372.8</c:v>
                </c:pt>
                <c:pt idx="4044">
                  <c:v>6369.51</c:v>
                </c:pt>
                <c:pt idx="4045">
                  <c:v>6413.03</c:v>
                </c:pt>
                <c:pt idx="4046">
                  <c:v>6427.41</c:v>
                </c:pt>
                <c:pt idx="4047">
                  <c:v>6469.42</c:v>
                </c:pt>
                <c:pt idx="4048">
                  <c:v>6476.17</c:v>
                </c:pt>
                <c:pt idx="4049">
                  <c:v>6520.77</c:v>
                </c:pt>
                <c:pt idx="4050">
                  <c:v>6552.58</c:v>
                </c:pt>
                <c:pt idx="4051">
                  <c:v>6588.83</c:v>
                </c:pt>
                <c:pt idx="4052">
                  <c:v>6597.25</c:v>
                </c:pt>
                <c:pt idx="4053">
                  <c:v>6553.51</c:v>
                </c:pt>
                <c:pt idx="4054">
                  <c:v>6586.91</c:v>
                </c:pt>
                <c:pt idx="4055">
                  <c:v>6573.96</c:v>
                </c:pt>
                <c:pt idx="4056">
                  <c:v>6503.13</c:v>
                </c:pt>
                <c:pt idx="4057">
                  <c:v>6608.86</c:v>
                </c:pt>
                <c:pt idx="4058">
                  <c:v>6611.81</c:v>
                </c:pt>
                <c:pt idx="4059">
                  <c:v>6596.92</c:v>
                </c:pt>
                <c:pt idx="4060">
                  <c:v>6681.13</c:v>
                </c:pt>
                <c:pt idx="4061">
                  <c:v>6691.32</c:v>
                </c:pt>
                <c:pt idx="4062">
                  <c:v>6674.4</c:v>
                </c:pt>
                <c:pt idx="4063">
                  <c:v>6593.09</c:v>
                </c:pt>
                <c:pt idx="4064">
                  <c:v>6607.59</c:v>
                </c:pt>
                <c:pt idx="4065">
                  <c:v>6614.37</c:v>
                </c:pt>
                <c:pt idx="4066">
                  <c:v>6566.56</c:v>
                </c:pt>
                <c:pt idx="4067">
                  <c:v>6687.3</c:v>
                </c:pt>
                <c:pt idx="4068">
                  <c:v>6705.17</c:v>
                </c:pt>
                <c:pt idx="4069">
                  <c:v>6731.74</c:v>
                </c:pt>
                <c:pt idx="4070">
                  <c:v>6716.82</c:v>
                </c:pt>
                <c:pt idx="4071">
                  <c:v>6701.7</c:v>
                </c:pt>
                <c:pt idx="4072">
                  <c:v>6689.62</c:v>
                </c:pt>
                <c:pt idx="4073">
                  <c:v>6747.17</c:v>
                </c:pt>
                <c:pt idx="4074">
                  <c:v>6687.31</c:v>
                </c:pt>
                <c:pt idx="4075">
                  <c:v>6678.93</c:v>
                </c:pt>
                <c:pt idx="4076">
                  <c:v>6748.37</c:v>
                </c:pt>
                <c:pt idx="4077">
                  <c:v>6719.58</c:v>
                </c:pt>
                <c:pt idx="4078">
                  <c:v>6690.34</c:v>
                </c:pt>
                <c:pt idx="4079">
                  <c:v>6726.01</c:v>
                </c:pt>
                <c:pt idx="4080">
                  <c:v>6788.23</c:v>
                </c:pt>
                <c:pt idx="4081">
                  <c:v>6789.11</c:v>
                </c:pt>
                <c:pt idx="4082">
                  <c:v>6851.28</c:v>
                </c:pt>
                <c:pt idx="4083">
                  <c:v>6885.76</c:v>
                </c:pt>
                <c:pt idx="4084">
                  <c:v>6874.06</c:v>
                </c:pt>
                <c:pt idx="4085">
                  <c:v>6875.7</c:v>
                </c:pt>
                <c:pt idx="4086">
                  <c:v>6915.56</c:v>
                </c:pt>
                <c:pt idx="4087">
                  <c:v>6876.73</c:v>
                </c:pt>
                <c:pt idx="4088">
                  <c:v>6911.11</c:v>
                </c:pt>
                <c:pt idx="4089">
                  <c:v>6859.45</c:v>
                </c:pt>
                <c:pt idx="4090">
                  <c:v>6895.34</c:v>
                </c:pt>
                <c:pt idx="4091">
                  <c:v>6961.18</c:v>
                </c:pt>
                <c:pt idx="4092">
                  <c:v>6958.62</c:v>
                </c:pt>
                <c:pt idx="4093">
                  <c:v>6957.07</c:v>
                </c:pt>
                <c:pt idx="4094">
                  <c:v>6987.08</c:v>
                </c:pt>
                <c:pt idx="4095">
                  <c:v>6982.91</c:v>
                </c:pt>
                <c:pt idx="4096">
                  <c:v>6941.66</c:v>
                </c:pt>
                <c:pt idx="4097">
                  <c:v>6973.73</c:v>
                </c:pt>
                <c:pt idx="4098">
                  <c:v>6992.58</c:v>
                </c:pt>
                <c:pt idx="4099">
                  <c:v>7027.59</c:v>
                </c:pt>
                <c:pt idx="4100">
                  <c:v>6819.65</c:v>
                </c:pt>
                <c:pt idx="4101">
                  <c:v>6715.44</c:v>
                </c:pt>
                <c:pt idx="4102">
                  <c:v>6640.24</c:v>
                </c:pt>
                <c:pt idx="4103">
                  <c:v>6603.32</c:v>
                </c:pt>
                <c:pt idx="4104">
                  <c:v>6534.57</c:v>
                </c:pt>
                <c:pt idx="4105">
                  <c:v>6595</c:v>
                </c:pt>
                <c:pt idx="4106">
                  <c:v>6617.75</c:v>
                </c:pt>
                <c:pt idx="4107">
                  <c:v>6713.23</c:v>
                </c:pt>
                <c:pt idx="4108">
                  <c:v>6716.52</c:v>
                </c:pt>
                <c:pt idx="4109">
                  <c:v>6715.49</c:v>
                </c:pt>
                <c:pt idx="4110">
                  <c:v>6623.99</c:v>
                </c:pt>
                <c:pt idx="4111">
                  <c:v>6447.7</c:v>
                </c:pt>
                <c:pt idx="4112">
                  <c:v>6585.47</c:v>
                </c:pt>
                <c:pt idx="4113">
                  <c:v>6579.87</c:v>
                </c:pt>
                <c:pt idx="4114">
                  <c:v>6671.41</c:v>
                </c:pt>
                <c:pt idx="4115">
                  <c:v>6700.29</c:v>
                </c:pt>
                <c:pt idx="4116">
                  <c:v>6712.06</c:v>
                </c:pt>
                <c:pt idx="4117">
                  <c:v>6856.96</c:v>
                </c:pt>
                <c:pt idx="4118">
                  <c:v>6899.06</c:v>
                </c:pt>
                <c:pt idx="4119">
                  <c:v>6828.82</c:v>
                </c:pt>
                <c:pt idx="4120">
                  <c:v>6858.34</c:v>
                </c:pt>
                <c:pt idx="4121">
                  <c:v>6816.89</c:v>
                </c:pt>
                <c:pt idx="4122">
                  <c:v>6897.08</c:v>
                </c:pt>
                <c:pt idx="4123">
                  <c:v>6917.03</c:v>
                </c:pt>
                <c:pt idx="4124">
                  <c:v>6937.17</c:v>
                </c:pt>
                <c:pt idx="4125">
                  <c:v>7045.56</c:v>
                </c:pt>
                <c:pt idx="4126">
                  <c:v>7073.91</c:v>
                </c:pt>
                <c:pt idx="4127">
                  <c:v>7099.91</c:v>
                </c:pt>
                <c:pt idx="4128">
                  <c:v>7166.67</c:v>
                </c:pt>
                <c:pt idx="4129">
                  <c:v>7152.83</c:v>
                </c:pt>
                <c:pt idx="4130">
                  <c:v>7142.95</c:v>
                </c:pt>
                <c:pt idx="4131">
                  <c:v>7212.07</c:v>
                </c:pt>
                <c:pt idx="4132">
                  <c:v>7338.06</c:v>
                </c:pt>
                <c:pt idx="4133">
                  <c:v>7348.83</c:v>
                </c:pt>
                <c:pt idx="4134">
                  <c:v>7282.34</c:v>
                </c:pt>
                <c:pt idx="4135">
                  <c:v>7242.73</c:v>
                </c:pt>
                <c:pt idx="4136">
                  <c:v>7342.54</c:v>
                </c:pt>
                <c:pt idx="4137">
                  <c:v>7335.62</c:v>
                </c:pt>
                <c:pt idx="4138">
                  <c:v>7270.32</c:v>
                </c:pt>
                <c:pt idx="4139">
                  <c:v>7343.08</c:v>
                </c:pt>
                <c:pt idx="4140">
                  <c:v>7387.02</c:v>
                </c:pt>
                <c:pt idx="4141">
                  <c:v>7378.12</c:v>
                </c:pt>
                <c:pt idx="4142">
                  <c:v>7408.87</c:v>
                </c:pt>
                <c:pt idx="4143">
                  <c:v>7455.93</c:v>
                </c:pt>
                <c:pt idx="4144">
                  <c:v>7476.69</c:v>
                </c:pt>
                <c:pt idx="4145">
                  <c:v>7516.76</c:v>
                </c:pt>
                <c:pt idx="4146">
                  <c:v>7525.69</c:v>
                </c:pt>
                <c:pt idx="4147">
                  <c:v>7442.2</c:v>
                </c:pt>
                <c:pt idx="4148">
                  <c:v>7475.99</c:v>
                </c:pt>
                <c:pt idx="4149">
                  <c:v>7415.33</c:v>
                </c:pt>
                <c:pt idx="4150">
                  <c:v>7479.34</c:v>
                </c:pt>
                <c:pt idx="4151">
                  <c:v>7459.61</c:v>
                </c:pt>
                <c:pt idx="4152">
                  <c:v>7505.35</c:v>
                </c:pt>
                <c:pt idx="4153">
                  <c:v>7481.25</c:v>
                </c:pt>
                <c:pt idx="4154">
                  <c:v>7499.5</c:v>
                </c:pt>
                <c:pt idx="4155">
                  <c:v>7607.54</c:v>
                </c:pt>
                <c:pt idx="4156">
                  <c:v>7619.31</c:v>
                </c:pt>
                <c:pt idx="4157">
                  <c:v>7659.39</c:v>
                </c:pt>
                <c:pt idx="4158">
                  <c:v>7735.88</c:v>
                </c:pt>
                <c:pt idx="4159">
                  <c:v>7697.38</c:v>
                </c:pt>
                <c:pt idx="4160">
                  <c:v>7739.2</c:v>
                </c:pt>
                <c:pt idx="4161">
                  <c:v>7781.04</c:v>
                </c:pt>
                <c:pt idx="4162">
                  <c:v>7764.97</c:v>
                </c:pt>
                <c:pt idx="4163">
                  <c:v>7883.04</c:v>
                </c:pt>
                <c:pt idx="4164">
                  <c:v>7987.85</c:v>
                </c:pt>
                <c:pt idx="4165">
                  <c:v>7976.79</c:v>
                </c:pt>
                <c:pt idx="4166">
                  <c:v>7919.83</c:v>
                </c:pt>
                <c:pt idx="4167">
                  <c:v>7730.05</c:v>
                </c:pt>
                <c:pt idx="4168">
                  <c:v>7618.61</c:v>
                </c:pt>
                <c:pt idx="4169">
                  <c:v>7590.5</c:v>
                </c:pt>
                <c:pt idx="4170">
                  <c:v>7706.1</c:v>
                </c:pt>
                <c:pt idx="4171">
                  <c:v>7678.26</c:v>
                </c:pt>
                <c:pt idx="4172">
                  <c:v>7680.76</c:v>
                </c:pt>
                <c:pt idx="4173">
                  <c:v>7849.16</c:v>
                </c:pt>
                <c:pt idx="4174">
                  <c:v>8030.64</c:v>
                </c:pt>
                <c:pt idx="4175">
                  <c:v>8036.12</c:v>
                </c:pt>
                <c:pt idx="4176">
                  <c:v>8033.52</c:v>
                </c:pt>
                <c:pt idx="4177">
                  <c:v>8090.49</c:v>
                </c:pt>
                <c:pt idx="4178">
                  <c:v>7964.71</c:v>
                </c:pt>
                <c:pt idx="4179">
                  <c:v>7949.63</c:v>
                </c:pt>
                <c:pt idx="4180">
                  <c:v>7930.61</c:v>
                </c:pt>
                <c:pt idx="4181">
                  <c:v>7860.52</c:v>
                </c:pt>
                <c:pt idx="4182">
                  <c:v>7801.23</c:v>
                </c:pt>
                <c:pt idx="4183">
                  <c:v>7921.36</c:v>
                </c:pt>
                <c:pt idx="4184">
                  <c:v>8007.32</c:v>
                </c:pt>
                <c:pt idx="4185">
                  <c:v>7958.24</c:v>
                </c:pt>
                <c:pt idx="4186">
                  <c:v>8050.68</c:v>
                </c:pt>
                <c:pt idx="4187">
                  <c:v>8075.26</c:v>
                </c:pt>
                <c:pt idx="4188">
                  <c:v>7987.13</c:v>
                </c:pt>
                <c:pt idx="4189">
                  <c:v>8048.32</c:v>
                </c:pt>
                <c:pt idx="4190">
                  <c:v>8077.39</c:v>
                </c:pt>
                <c:pt idx="4191">
                  <c:v>7964.76</c:v>
                </c:pt>
                <c:pt idx="4192">
                  <c:v>7898.54</c:v>
                </c:pt>
                <c:pt idx="4193">
                  <c:v>8053.43</c:v>
                </c:pt>
                <c:pt idx="4194">
                  <c:v>8092.77</c:v>
                </c:pt>
                <c:pt idx="4195">
                  <c:v>8105.69</c:v>
                </c:pt>
                <c:pt idx="4196">
                  <c:v>8038.21</c:v>
                </c:pt>
                <c:pt idx="4197">
                  <c:v>7893.61</c:v>
                </c:pt>
                <c:pt idx="4198">
                  <c:v>7991.21</c:v>
                </c:pt>
                <c:pt idx="4199">
                  <c:v>7874.85</c:v>
                </c:pt>
                <c:pt idx="4200">
                  <c:v>7944.21</c:v>
                </c:pt>
                <c:pt idx="4201">
                  <c:v>7806.79</c:v>
                </c:pt>
                <c:pt idx="4202">
                  <c:v>7692.55</c:v>
                </c:pt>
                <c:pt idx="4203">
                  <c:v>7508.96</c:v>
                </c:pt>
                <c:pt idx="4204">
                  <c:v>7451.68</c:v>
                </c:pt>
                <c:pt idx="4205">
                  <c:v>7456.31</c:v>
                </c:pt>
                <c:pt idx="4206">
                  <c:v>7584.14</c:v>
                </c:pt>
                <c:pt idx="4207">
                  <c:v>7473.93</c:v>
                </c:pt>
                <c:pt idx="4208">
                  <c:v>7534.13</c:v>
                </c:pt>
                <c:pt idx="4209">
                  <c:v>7435.67</c:v>
                </c:pt>
                <c:pt idx="4210">
                  <c:v>7444.45</c:v>
                </c:pt>
                <c:pt idx="4211">
                  <c:v>7513.66</c:v>
                </c:pt>
                <c:pt idx="4212">
                  <c:v>7605.94</c:v>
                </c:pt>
                <c:pt idx="4213">
                  <c:v>7453.59</c:v>
                </c:pt>
                <c:pt idx="4214">
                  <c:v>7343.26</c:v>
                </c:pt>
                <c:pt idx="4215">
                  <c:v>7474.33</c:v>
                </c:pt>
                <c:pt idx="4216">
                  <c:v>7425.07</c:v>
                </c:pt>
                <c:pt idx="4217">
                  <c:v>7445.9</c:v>
                </c:pt>
                <c:pt idx="4218">
                  <c:v>7270.07</c:v>
                </c:pt>
                <c:pt idx="4219">
                  <c:v>7378.29</c:v>
                </c:pt>
                <c:pt idx="4220">
                  <c:v>7407.53</c:v>
                </c:pt>
                <c:pt idx="4221">
                  <c:v>7424.75</c:v>
                </c:pt>
                <c:pt idx="4222">
                  <c:v>7500.48</c:v>
                </c:pt>
                <c:pt idx="4223">
                  <c:v>7511.96</c:v>
                </c:pt>
                <c:pt idx="4224">
                  <c:v>7507.27</c:v>
                </c:pt>
                <c:pt idx="4225">
                  <c:v>7485.99</c:v>
                </c:pt>
                <c:pt idx="4226">
                  <c:v>7430.24</c:v>
                </c:pt>
                <c:pt idx="4227">
                  <c:v>7439.18</c:v>
                </c:pt>
                <c:pt idx="4228">
                  <c:v>7519.94</c:v>
                </c:pt>
                <c:pt idx="4229">
                  <c:v>7638.17</c:v>
                </c:pt>
                <c:pt idx="4230">
                  <c:v>7648.58</c:v>
                </c:pt>
                <c:pt idx="4231">
                  <c:v>7721.77</c:v>
                </c:pt>
                <c:pt idx="4232">
                  <c:v>7588.03</c:v>
                </c:pt>
                <c:pt idx="4233">
                  <c:v>7621.72</c:v>
                </c:pt>
                <c:pt idx="4234">
                  <c:v>7436.63</c:v>
                </c:pt>
                <c:pt idx="4235">
                  <c:v>7375.44</c:v>
                </c:pt>
                <c:pt idx="4236">
                  <c:v>7457.9</c:v>
                </c:pt>
                <c:pt idx="4237">
                  <c:v>7472.99</c:v>
                </c:pt>
                <c:pt idx="4238">
                  <c:v>7535.97</c:v>
                </c:pt>
                <c:pt idx="4239">
                  <c:v>7497.74</c:v>
                </c:pt>
                <c:pt idx="4240">
                  <c:v>7479.85</c:v>
                </c:pt>
                <c:pt idx="4241">
                  <c:v>7575.21</c:v>
                </c:pt>
                <c:pt idx="4242">
                  <c:v>7750.84</c:v>
                </c:pt>
                <c:pt idx="4243">
                  <c:v>7735.09</c:v>
                </c:pt>
                <c:pt idx="4244">
                  <c:v>7794.43</c:v>
                </c:pt>
                <c:pt idx="4245">
                  <c:v>7787.92</c:v>
                </c:pt>
                <c:pt idx="4246">
                  <c:v>7769.44</c:v>
                </c:pt>
                <c:pt idx="4247">
                  <c:v>7804.15</c:v>
                </c:pt>
                <c:pt idx="4248">
                  <c:v>7853.79</c:v>
                </c:pt>
                <c:pt idx="4249">
                  <c:v>7861.51</c:v>
                </c:pt>
                <c:pt idx="4250">
                  <c:v>7922.42</c:v>
                </c:pt>
                <c:pt idx="4251">
                  <c:v>7946.79</c:v>
                </c:pt>
                <c:pt idx="4252">
                  <c:v>7955.3</c:v>
                </c:pt>
                <c:pt idx="4253">
                  <c:v>7944.99</c:v>
                </c:pt>
                <c:pt idx="4254">
                  <c:v>8002.18</c:v>
                </c:pt>
                <c:pt idx="4255">
                  <c:v>7974.37</c:v>
                </c:pt>
                <c:pt idx="4256">
                  <c:v>7980.44</c:v>
                </c:pt>
                <c:pt idx="4257">
                  <c:v>7986.57</c:v>
                </c:pt>
                <c:pt idx="4258">
                  <c:v>8033.69</c:v>
                </c:pt>
                <c:pt idx="4259">
                  <c:v>8041.26</c:v>
                </c:pt>
                <c:pt idx="4260">
                  <c:v>7969.47</c:v>
                </c:pt>
                <c:pt idx="4261">
                  <c:v>7962.64</c:v>
                </c:pt>
                <c:pt idx="4262">
                  <c:v>7985.41</c:v>
                </c:pt>
                <c:pt idx="4263">
                  <c:v>7921.4</c:v>
                </c:pt>
                <c:pt idx="4264">
                  <c:v>7884.12</c:v>
                </c:pt>
                <c:pt idx="4265">
                  <c:v>7794.94</c:v>
                </c:pt>
                <c:pt idx="4266">
                  <c:v>7842.79</c:v>
                </c:pt>
                <c:pt idx="4267">
                  <c:v>7828.96</c:v>
                </c:pt>
                <c:pt idx="4268">
                  <c:v>7932.44</c:v>
                </c:pt>
                <c:pt idx="4269">
                  <c:v>7949.17</c:v>
                </c:pt>
                <c:pt idx="4270">
                  <c:v>8009.67</c:v>
                </c:pt>
                <c:pt idx="4271">
                  <c:v>7977.94</c:v>
                </c:pt>
                <c:pt idx="4272">
                  <c:v>8019.22</c:v>
                </c:pt>
                <c:pt idx="4273">
                  <c:v>7880.85</c:v>
                </c:pt>
                <c:pt idx="4274">
                  <c:v>7849.49</c:v>
                </c:pt>
                <c:pt idx="4275">
                  <c:v>7807.55</c:v>
                </c:pt>
                <c:pt idx="4276">
                  <c:v>7827.19</c:v>
                </c:pt>
                <c:pt idx="4277">
                  <c:v>7799.62</c:v>
                </c:pt>
                <c:pt idx="4278">
                  <c:v>7819.47</c:v>
                </c:pt>
                <c:pt idx="4279">
                  <c:v>7812.4</c:v>
                </c:pt>
                <c:pt idx="4280">
                  <c:v>7806.84</c:v>
                </c:pt>
                <c:pt idx="4281">
                  <c:v>7777.56</c:v>
                </c:pt>
                <c:pt idx="4282">
                  <c:v>7783.11</c:v>
                </c:pt>
                <c:pt idx="4283">
                  <c:v>7667.03</c:v>
                </c:pt>
                <c:pt idx="4284">
                  <c:v>7612.26</c:v>
                </c:pt>
                <c:pt idx="4285">
                  <c:v>7511.97</c:v>
                </c:pt>
                <c:pt idx="4286">
                  <c:v>7630.31</c:v>
                </c:pt>
                <c:pt idx="4287">
                  <c:v>7518.42</c:v>
                </c:pt>
                <c:pt idx="4288">
                  <c:v>7562.1</c:v>
                </c:pt>
                <c:pt idx="4289">
                  <c:v>7608.96</c:v>
                </c:pt>
                <c:pt idx="4290">
                  <c:v>7567.36</c:v>
                </c:pt>
                <c:pt idx="4291">
                  <c:v>7531.35</c:v>
                </c:pt>
                <c:pt idx="4292">
                  <c:v>7723.66</c:v>
                </c:pt>
                <c:pt idx="4293">
                  <c:v>7765.19</c:v>
                </c:pt>
                <c:pt idx="4294">
                  <c:v>7870.52</c:v>
                </c:pt>
                <c:pt idx="4295">
                  <c:v>7837.26</c:v>
                </c:pt>
                <c:pt idx="4296">
                  <c:v>7808.94</c:v>
                </c:pt>
                <c:pt idx="4297">
                  <c:v>7944.77</c:v>
                </c:pt>
                <c:pt idx="4298">
                  <c:v>7940.58</c:v>
                </c:pt>
                <c:pt idx="4299">
                  <c:v>7994.07</c:v>
                </c:pt>
                <c:pt idx="4300">
                  <c:v>8033.36</c:v>
                </c:pt>
                <c:pt idx="4301">
                  <c:v>8009.42</c:v>
                </c:pt>
                <c:pt idx="4302">
                  <c:v>8076.12</c:v>
                </c:pt>
                <c:pt idx="4303">
                  <c:v>7928.31</c:v>
                </c:pt>
                <c:pt idx="4304">
                  <c:v>7948.36</c:v>
                </c:pt>
                <c:pt idx="4305">
                  <c:v>7825.44</c:v>
                </c:pt>
                <c:pt idx="4306">
                  <c:v>7850.74</c:v>
                </c:pt>
                <c:pt idx="4307">
                  <c:v>7837.32</c:v>
                </c:pt>
                <c:pt idx="4308">
                  <c:v>7869.19</c:v>
                </c:pt>
                <c:pt idx="4309">
                  <c:v>8002.67</c:v>
                </c:pt>
                <c:pt idx="4310">
                  <c:v>8038.6</c:v>
                </c:pt>
                <c:pt idx="4311">
                  <c:v>8067.32</c:v>
                </c:pt>
                <c:pt idx="4312">
                  <c:v>7949.11</c:v>
                </c:pt>
                <c:pt idx="4313">
                  <c:v>7908.41</c:v>
                </c:pt>
                <c:pt idx="4314">
                  <c:v>7808.69</c:v>
                </c:pt>
                <c:pt idx="4315">
                  <c:v>7817.17</c:v>
                </c:pt>
                <c:pt idx="4316">
                  <c:v>7849.99</c:v>
                </c:pt>
                <c:pt idx="4317">
                  <c:v>7782.71</c:v>
                </c:pt>
                <c:pt idx="4318">
                  <c:v>7713.09</c:v>
                </c:pt>
                <c:pt idx="4319">
                  <c:v>7717.95</c:v>
                </c:pt>
                <c:pt idx="4320">
                  <c:v>7732.02</c:v>
                </c:pt>
                <c:pt idx="4321">
                  <c:v>7566.38</c:v>
                </c:pt>
                <c:pt idx="4322">
                  <c:v>7471.57</c:v>
                </c:pt>
                <c:pt idx="4323">
                  <c:v>7413.53</c:v>
                </c:pt>
                <c:pt idx="4324">
                  <c:v>7314.17</c:v>
                </c:pt>
                <c:pt idx="4325">
                  <c:v>6790.19</c:v>
                </c:pt>
                <c:pt idx="4326">
                  <c:v>6769.47</c:v>
                </c:pt>
                <c:pt idx="4327">
                  <c:v>6439.21</c:v>
                </c:pt>
                <c:pt idx="4328">
                  <c:v>6821.07</c:v>
                </c:pt>
                <c:pt idx="4329">
                  <c:v>6816.74</c:v>
                </c:pt>
                <c:pt idx="4330">
                  <c:v>6818.85</c:v>
                </c:pt>
                <c:pt idx="4331">
                  <c:v>6892.96</c:v>
                </c:pt>
                <c:pt idx="4332">
                  <c:v>6875.35</c:v>
                </c:pt>
                <c:pt idx="4333">
                  <c:v>6851.75</c:v>
                </c:pt>
                <c:pt idx="4334">
                  <c:v>6968.67</c:v>
                </c:pt>
                <c:pt idx="4335">
                  <c:v>7000.49</c:v>
                </c:pt>
                <c:pt idx="4336">
                  <c:v>6765.25</c:v>
                </c:pt>
                <c:pt idx="4337">
                  <c:v>6847.51</c:v>
                </c:pt>
                <c:pt idx="4338">
                  <c:v>6733.72</c:v>
                </c:pt>
                <c:pt idx="4339">
                  <c:v>6767.28</c:v>
                </c:pt>
                <c:pt idx="4340">
                  <c:v>6743.54</c:v>
                </c:pt>
                <c:pt idx="4341">
                  <c:v>6967.84</c:v>
                </c:pt>
                <c:pt idx="4342">
                  <c:v>6973.67</c:v>
                </c:pt>
                <c:pt idx="4343">
                  <c:v>6962.28</c:v>
                </c:pt>
                <c:pt idx="4344">
                  <c:v>6832.43</c:v>
                </c:pt>
                <c:pt idx="4345">
                  <c:v>7002.29</c:v>
                </c:pt>
                <c:pt idx="4346">
                  <c:v>6899.68</c:v>
                </c:pt>
                <c:pt idx="4347">
                  <c:v>6904.85</c:v>
                </c:pt>
                <c:pt idx="4348">
                  <c:v>6806.29</c:v>
                </c:pt>
                <c:pt idx="4349">
                  <c:v>6882.56</c:v>
                </c:pt>
                <c:pt idx="4350">
                  <c:v>6985.97</c:v>
                </c:pt>
                <c:pt idx="4351">
                  <c:v>6997.85</c:v>
                </c:pt>
                <c:pt idx="4352">
                  <c:v>6862.52</c:v>
                </c:pt>
                <c:pt idx="4353">
                  <c:v>6748.13</c:v>
                </c:pt>
                <c:pt idx="4354">
                  <c:v>6689.95</c:v>
                </c:pt>
                <c:pt idx="4355">
                  <c:v>6545.04</c:v>
                </c:pt>
                <c:pt idx="4356">
                  <c:v>6683.71</c:v>
                </c:pt>
                <c:pt idx="4357">
                  <c:v>6591.31</c:v>
                </c:pt>
                <c:pt idx="4358">
                  <c:v>6513.99</c:v>
                </c:pt>
                <c:pt idx="4359">
                  <c:v>6448.08</c:v>
                </c:pt>
                <c:pt idx="4360">
                  <c:v>6524.57</c:v>
                </c:pt>
                <c:pt idx="4361">
                  <c:v>6599.37</c:v>
                </c:pt>
                <c:pt idx="4362">
                  <c:v>6500.56</c:v>
                </c:pt>
                <c:pt idx="4363">
                  <c:v>6451.9</c:v>
                </c:pt>
                <c:pt idx="4364">
                  <c:v>6182.3</c:v>
                </c:pt>
                <c:pt idx="4365">
                  <c:v>6393.39</c:v>
                </c:pt>
                <c:pt idx="4366">
                  <c:v>6361.22</c:v>
                </c:pt>
                <c:pt idx="4367">
                  <c:v>6319.99</c:v>
                </c:pt>
                <c:pt idx="4368">
                  <c:v>6524.71</c:v>
                </c:pt>
                <c:pt idx="4369">
                  <c:v>6489.26</c:v>
                </c:pt>
                <c:pt idx="4370">
                  <c:v>6578.06</c:v>
                </c:pt>
                <c:pt idx="4371">
                  <c:v>6559.9</c:v>
                </c:pt>
                <c:pt idx="4372">
                  <c:v>6534.97</c:v>
                </c:pt>
                <c:pt idx="4373">
                  <c:v>6720.33</c:v>
                </c:pt>
                <c:pt idx="4374">
                  <c:v>6777.44</c:v>
                </c:pt>
                <c:pt idx="4375">
                  <c:v>6741.72</c:v>
                </c:pt>
                <c:pt idx="4376">
                  <c:v>6763.39</c:v>
                </c:pt>
                <c:pt idx="4377">
                  <c:v>6821.03</c:v>
                </c:pt>
                <c:pt idx="4378">
                  <c:v>6771.98</c:v>
                </c:pt>
                <c:pt idx="4379">
                  <c:v>6721.36</c:v>
                </c:pt>
                <c:pt idx="4380">
                  <c:v>6704.32</c:v>
                </c:pt>
                <c:pt idx="4381">
                  <c:v>6603.57</c:v>
                </c:pt>
                <c:pt idx="4382">
                  <c:v>6554.49</c:v>
                </c:pt>
                <c:pt idx="4383">
                  <c:v>6585.05</c:v>
                </c:pt>
                <c:pt idx="4384">
                  <c:v>6702.84</c:v>
                </c:pt>
                <c:pt idx="4385">
                  <c:v>6681.81</c:v>
                </c:pt>
                <c:pt idx="4386">
                  <c:v>6843.08</c:v>
                </c:pt>
                <c:pt idx="4387">
                  <c:v>6786.55</c:v>
                </c:pt>
                <c:pt idx="4388">
                  <c:v>6728.3</c:v>
                </c:pt>
                <c:pt idx="4389">
                  <c:v>6795.03</c:v>
                </c:pt>
                <c:pt idx="4390">
                  <c:v>6821.32</c:v>
                </c:pt>
                <c:pt idx="4391">
                  <c:v>6896.58</c:v>
                </c:pt>
                <c:pt idx="4392">
                  <c:v>6925.33</c:v>
                </c:pt>
                <c:pt idx="4393">
                  <c:v>6885.34</c:v>
                </c:pt>
                <c:pt idx="4394">
                  <c:v>6948.82</c:v>
                </c:pt>
                <c:pt idx="4395">
                  <c:v>7043.23</c:v>
                </c:pt>
                <c:pt idx="4396">
                  <c:v>7052.08</c:v>
                </c:pt>
                <c:pt idx="4397">
                  <c:v>7017.1</c:v>
                </c:pt>
                <c:pt idx="4398">
                  <c:v>7076.25</c:v>
                </c:pt>
                <c:pt idx="4399">
                  <c:v>7071.9</c:v>
                </c:pt>
                <c:pt idx="4400">
                  <c:v>7003.17</c:v>
                </c:pt>
                <c:pt idx="4401">
                  <c:v>7035.95</c:v>
                </c:pt>
                <c:pt idx="4402">
                  <c:v>7060.19</c:v>
                </c:pt>
                <c:pt idx="4403">
                  <c:v>7083.24</c:v>
                </c:pt>
                <c:pt idx="4404">
                  <c:v>7081.05</c:v>
                </c:pt>
                <c:pt idx="4405">
                  <c:v>7156.55</c:v>
                </c:pt>
                <c:pt idx="4406">
                  <c:v>7225.94</c:v>
                </c:pt>
                <c:pt idx="4407">
                  <c:v>7118.5</c:v>
                </c:pt>
                <c:pt idx="4408">
                  <c:v>7040.83</c:v>
                </c:pt>
                <c:pt idx="4409">
                  <c:v>7070.33</c:v>
                </c:pt>
                <c:pt idx="4410">
                  <c:v>6944.05</c:v>
                </c:pt>
                <c:pt idx="4411">
                  <c:v>6953.84</c:v>
                </c:pt>
                <c:pt idx="4412">
                  <c:v>6958.66</c:v>
                </c:pt>
                <c:pt idx="4413">
                  <c:v>7033.84</c:v>
                </c:pt>
                <c:pt idx="4414">
                  <c:v>7055.03</c:v>
                </c:pt>
                <c:pt idx="4415">
                  <c:v>7096.79</c:v>
                </c:pt>
                <c:pt idx="4416">
                  <c:v>7008.77</c:v>
                </c:pt>
                <c:pt idx="4417">
                  <c:v>7019.13</c:v>
                </c:pt>
                <c:pt idx="4418">
                  <c:v>6965.43</c:v>
                </c:pt>
                <c:pt idx="4419">
                  <c:v>6941.83</c:v>
                </c:pt>
                <c:pt idx="4420">
                  <c:v>6803.81</c:v>
                </c:pt>
                <c:pt idx="4421">
                  <c:v>6815.63</c:v>
                </c:pt>
                <c:pt idx="4422">
                  <c:v>6771.1</c:v>
                </c:pt>
                <c:pt idx="4423">
                  <c:v>6650.26</c:v>
                </c:pt>
                <c:pt idx="4424">
                  <c:v>6714.52</c:v>
                </c:pt>
                <c:pt idx="4425">
                  <c:v>6765.32</c:v>
                </c:pt>
                <c:pt idx="4426">
                  <c:v>6729.88</c:v>
                </c:pt>
                <c:pt idx="4427">
                  <c:v>6796.16</c:v>
                </c:pt>
                <c:pt idx="4428">
                  <c:v>6728.91</c:v>
                </c:pt>
                <c:pt idx="4429">
                  <c:v>6721.17</c:v>
                </c:pt>
                <c:pt idx="4430">
                  <c:v>6578.44</c:v>
                </c:pt>
                <c:pt idx="4431">
                  <c:v>6589.46</c:v>
                </c:pt>
                <c:pt idx="4432">
                  <c:v>6536.06</c:v>
                </c:pt>
                <c:pt idx="4433">
                  <c:v>6617.84</c:v>
                </c:pt>
                <c:pt idx="4434">
                  <c:v>6459.6</c:v>
                </c:pt>
                <c:pt idx="4435">
                  <c:v>6421.91</c:v>
                </c:pt>
                <c:pt idx="4436">
                  <c:v>6418.32</c:v>
                </c:pt>
                <c:pt idx="4437">
                  <c:v>6315.94</c:v>
                </c:pt>
                <c:pt idx="4438">
                  <c:v>6305.42</c:v>
                </c:pt>
                <c:pt idx="4439">
                  <c:v>6353.74</c:v>
                </c:pt>
                <c:pt idx="4440">
                  <c:v>6272.21</c:v>
                </c:pt>
                <c:pt idx="4441">
                  <c:v>6395.75</c:v>
                </c:pt>
                <c:pt idx="4442">
                  <c:v>6304.41</c:v>
                </c:pt>
                <c:pt idx="4443">
                  <c:v>6386.46</c:v>
                </c:pt>
                <c:pt idx="4444">
                  <c:v>6305</c:v>
                </c:pt>
                <c:pt idx="4445">
                  <c:v>6153.3</c:v>
                </c:pt>
                <c:pt idx="4446">
                  <c:v>6200.25</c:v>
                </c:pt>
                <c:pt idx="4447">
                  <c:v>6081.7</c:v>
                </c:pt>
                <c:pt idx="4448">
                  <c:v>6155.37</c:v>
                </c:pt>
                <c:pt idx="4449">
                  <c:v>6271.27</c:v>
                </c:pt>
                <c:pt idx="4450">
                  <c:v>6382.65</c:v>
                </c:pt>
                <c:pt idx="4451">
                  <c:v>6424.84</c:v>
                </c:pt>
                <c:pt idx="4452">
                  <c:v>6442.79</c:v>
                </c:pt>
                <c:pt idx="4453">
                  <c:v>6536.09</c:v>
                </c:pt>
                <c:pt idx="4454">
                  <c:v>6440.7</c:v>
                </c:pt>
                <c:pt idx="4455">
                  <c:v>6436.71</c:v>
                </c:pt>
                <c:pt idx="4456">
                  <c:v>6351.15</c:v>
                </c:pt>
                <c:pt idx="4457">
                  <c:v>6398.8</c:v>
                </c:pt>
                <c:pt idx="4458">
                  <c:v>6460.12</c:v>
                </c:pt>
                <c:pt idx="4459">
                  <c:v>6479.56</c:v>
                </c:pt>
                <c:pt idx="4460">
                  <c:v>6396.46</c:v>
                </c:pt>
                <c:pt idx="4461">
                  <c:v>6349.81</c:v>
                </c:pt>
                <c:pt idx="4462">
                  <c:v>6518.7</c:v>
                </c:pt>
                <c:pt idx="4463">
                  <c:v>6561.39</c:v>
                </c:pt>
                <c:pt idx="4464">
                  <c:v>6543.49</c:v>
                </c:pt>
                <c:pt idx="4465">
                  <c:v>6561.65</c:v>
                </c:pt>
                <c:pt idx="4466">
                  <c:v>6609.63</c:v>
                </c:pt>
                <c:pt idx="4467">
                  <c:v>6585.87</c:v>
                </c:pt>
                <c:pt idx="4468">
                  <c:v>6422.19</c:v>
                </c:pt>
                <c:pt idx="4469">
                  <c:v>6442.21</c:v>
                </c:pt>
                <c:pt idx="4470">
                  <c:v>6446.02</c:v>
                </c:pt>
                <c:pt idx="4471">
                  <c:v>6432.88</c:v>
                </c:pt>
                <c:pt idx="4472">
                  <c:v>6282.43</c:v>
                </c:pt>
                <c:pt idx="4473">
                  <c:v>6317.8</c:v>
                </c:pt>
                <c:pt idx="4474">
                  <c:v>6236.96</c:v>
                </c:pt>
                <c:pt idx="4475">
                  <c:v>6342.42</c:v>
                </c:pt>
                <c:pt idx="4476">
                  <c:v>6296.95</c:v>
                </c:pt>
                <c:pt idx="4477">
                  <c:v>6340.52</c:v>
                </c:pt>
                <c:pt idx="4478">
                  <c:v>6321.03</c:v>
                </c:pt>
                <c:pt idx="4479">
                  <c:v>6420.54</c:v>
                </c:pt>
                <c:pt idx="4480">
                  <c:v>6422.3</c:v>
                </c:pt>
                <c:pt idx="4481">
                  <c:v>6421.8</c:v>
                </c:pt>
                <c:pt idx="4482">
                  <c:v>6518.47</c:v>
                </c:pt>
                <c:pt idx="4483">
                  <c:v>6467.49</c:v>
                </c:pt>
                <c:pt idx="4484">
                  <c:v>6279.57</c:v>
                </c:pt>
                <c:pt idx="4485">
                  <c:v>6127.44</c:v>
                </c:pt>
                <c:pt idx="4486">
                  <c:v>6263.74</c:v>
                </c:pt>
                <c:pt idx="4487">
                  <c:v>6233.41</c:v>
                </c:pt>
                <c:pt idx="4488">
                  <c:v>6210.32</c:v>
                </c:pt>
                <c:pt idx="4489">
                  <c:v>6178.9</c:v>
                </c:pt>
                <c:pt idx="4490">
                  <c:v>6234.89</c:v>
                </c:pt>
                <c:pt idx="4491">
                  <c:v>6064.16</c:v>
                </c:pt>
                <c:pt idx="4492">
                  <c:v>5965.17</c:v>
                </c:pt>
                <c:pt idx="4493">
                  <c:v>5860.98</c:v>
                </c:pt>
                <c:pt idx="4494">
                  <c:v>5863.42</c:v>
                </c:pt>
                <c:pt idx="4495">
                  <c:v>6143.42</c:v>
                </c:pt>
                <c:pt idx="4496">
                  <c:v>6107.75</c:v>
                </c:pt>
                <c:pt idx="4497">
                  <c:v>6068.53</c:v>
                </c:pt>
                <c:pt idx="4498">
                  <c:v>6052.87</c:v>
                </c:pt>
                <c:pt idx="4499">
                  <c:v>6173.03</c:v>
                </c:pt>
                <c:pt idx="4500">
                  <c:v>6063.5</c:v>
                </c:pt>
                <c:pt idx="4501">
                  <c:v>5807.08</c:v>
                </c:pt>
                <c:pt idx="4502">
                  <c:v>5831.02</c:v>
                </c:pt>
                <c:pt idx="4503">
                  <c:v>5806.33</c:v>
                </c:pt>
                <c:pt idx="4504">
                  <c:v>5660.63</c:v>
                </c:pt>
                <c:pt idx="4505">
                  <c:v>5797.03</c:v>
                </c:pt>
                <c:pt idx="4506">
                  <c:v>5387.01</c:v>
                </c:pt>
                <c:pt idx="4507">
                  <c:v>5326.63</c:v>
                </c:pt>
                <c:pt idx="4508">
                  <c:v>5013.62</c:v>
                </c:pt>
                <c:pt idx="4509">
                  <c:v>4887</c:v>
                </c:pt>
                <c:pt idx="4510">
                  <c:v>4544.3100000000004</c:v>
                </c:pt>
                <c:pt idx="4511">
                  <c:v>5062.45</c:v>
                </c:pt>
                <c:pt idx="4512">
                  <c:v>5199.1899999999996</c:v>
                </c:pt>
                <c:pt idx="4513">
                  <c:v>4861.63</c:v>
                </c:pt>
                <c:pt idx="4514">
                  <c:v>4622.8100000000004</c:v>
                </c:pt>
                <c:pt idx="4515">
                  <c:v>4781.33</c:v>
                </c:pt>
                <c:pt idx="4516">
                  <c:v>4835.01</c:v>
                </c:pt>
                <c:pt idx="4517">
                  <c:v>4784.41</c:v>
                </c:pt>
                <c:pt idx="4518">
                  <c:v>4571.07</c:v>
                </c:pt>
                <c:pt idx="4519">
                  <c:v>4519.7</c:v>
                </c:pt>
                <c:pt idx="4520">
                  <c:v>4295.67</c:v>
                </c:pt>
                <c:pt idx="4521">
                  <c:v>4334.6400000000003</c:v>
                </c:pt>
                <c:pt idx="4522">
                  <c:v>4823.45</c:v>
                </c:pt>
                <c:pt idx="4523">
                  <c:v>4808.6899999999996</c:v>
                </c:pt>
                <c:pt idx="4524">
                  <c:v>4869.3</c:v>
                </c:pt>
                <c:pt idx="4525">
                  <c:v>4987.97</c:v>
                </c:pt>
                <c:pt idx="4526">
                  <c:v>5026.84</c:v>
                </c:pt>
                <c:pt idx="4527">
                  <c:v>5278.04</c:v>
                </c:pt>
                <c:pt idx="4528">
                  <c:v>5166.87</c:v>
                </c:pt>
                <c:pt idx="4529">
                  <c:v>4813.57</c:v>
                </c:pt>
                <c:pt idx="4530">
                  <c:v>4938.46</c:v>
                </c:pt>
                <c:pt idx="4531">
                  <c:v>5025.53</c:v>
                </c:pt>
                <c:pt idx="4532">
                  <c:v>4761.58</c:v>
                </c:pt>
                <c:pt idx="4533">
                  <c:v>4620.8</c:v>
                </c:pt>
                <c:pt idx="4534">
                  <c:v>4649.5200000000004</c:v>
                </c:pt>
                <c:pt idx="4535">
                  <c:v>4710.24</c:v>
                </c:pt>
                <c:pt idx="4536">
                  <c:v>4557.2700000000004</c:v>
                </c:pt>
                <c:pt idx="4537">
                  <c:v>4579.47</c:v>
                </c:pt>
                <c:pt idx="4538">
                  <c:v>4354.09</c:v>
                </c:pt>
                <c:pt idx="4539">
                  <c:v>4220.2</c:v>
                </c:pt>
                <c:pt idx="4540">
                  <c:v>4127.41</c:v>
                </c:pt>
                <c:pt idx="4541">
                  <c:v>4554.33</c:v>
                </c:pt>
                <c:pt idx="4542">
                  <c:v>4560.42</c:v>
                </c:pt>
                <c:pt idx="4543">
                  <c:v>4560.5</c:v>
                </c:pt>
                <c:pt idx="4544">
                  <c:v>4665.2700000000004</c:v>
                </c:pt>
                <c:pt idx="4545">
                  <c:v>4669.4399999999996</c:v>
                </c:pt>
                <c:pt idx="4546">
                  <c:v>4394.79</c:v>
                </c:pt>
                <c:pt idx="4547">
                  <c:v>4531.79</c:v>
                </c:pt>
                <c:pt idx="4548">
                  <c:v>4567.24</c:v>
                </c:pt>
                <c:pt idx="4549">
                  <c:v>4564.2299999999996</c:v>
                </c:pt>
                <c:pt idx="4550">
                  <c:v>4381.47</c:v>
                </c:pt>
                <c:pt idx="4551">
                  <c:v>4715.88</c:v>
                </c:pt>
                <c:pt idx="4552">
                  <c:v>4779.1099999999997</c:v>
                </c:pt>
                <c:pt idx="4553">
                  <c:v>4804.88</c:v>
                </c:pt>
                <c:pt idx="4554">
                  <c:v>4767.2</c:v>
                </c:pt>
                <c:pt idx="4555">
                  <c:v>4663.37</c:v>
                </c:pt>
                <c:pt idx="4556">
                  <c:v>4654.82</c:v>
                </c:pt>
                <c:pt idx="4557">
                  <c:v>4729.91</c:v>
                </c:pt>
                <c:pt idx="4558">
                  <c:v>4708.38</c:v>
                </c:pt>
                <c:pt idx="4559">
                  <c:v>4756.3999999999996</c:v>
                </c:pt>
                <c:pt idx="4560">
                  <c:v>4696.7</c:v>
                </c:pt>
                <c:pt idx="4561">
                  <c:v>4639.0200000000004</c:v>
                </c:pt>
                <c:pt idx="4562">
                  <c:v>4629.38</c:v>
                </c:pt>
                <c:pt idx="4563">
                  <c:v>4629.38</c:v>
                </c:pt>
                <c:pt idx="4564">
                  <c:v>4629.38</c:v>
                </c:pt>
                <c:pt idx="4565">
                  <c:v>4704.8599999999997</c:v>
                </c:pt>
                <c:pt idx="4566">
                  <c:v>4810.2</c:v>
                </c:pt>
                <c:pt idx="4567">
                  <c:v>4973.07</c:v>
                </c:pt>
                <c:pt idx="4568">
                  <c:v>4983.99</c:v>
                </c:pt>
                <c:pt idx="4569">
                  <c:v>5026.3100000000004</c:v>
                </c:pt>
                <c:pt idx="4570">
                  <c:v>4937.47</c:v>
                </c:pt>
                <c:pt idx="4571">
                  <c:v>4879.91</c:v>
                </c:pt>
                <c:pt idx="4572">
                  <c:v>4783.8900000000003</c:v>
                </c:pt>
                <c:pt idx="4573">
                  <c:v>4719.62</c:v>
                </c:pt>
                <c:pt idx="4574">
                  <c:v>4636.9399999999996</c:v>
                </c:pt>
                <c:pt idx="4575">
                  <c:v>4422.3500000000004</c:v>
                </c:pt>
                <c:pt idx="4576">
                  <c:v>4336.7299999999996</c:v>
                </c:pt>
                <c:pt idx="4577">
                  <c:v>4366.28</c:v>
                </c:pt>
                <c:pt idx="4578">
                  <c:v>4316.1400000000003</c:v>
                </c:pt>
                <c:pt idx="4579">
                  <c:v>4239.8500000000004</c:v>
                </c:pt>
                <c:pt idx="4580">
                  <c:v>4261.1499999999996</c:v>
                </c:pt>
                <c:pt idx="4581">
                  <c:v>4219.42</c:v>
                </c:pt>
                <c:pt idx="4582">
                  <c:v>4178.9399999999996</c:v>
                </c:pt>
                <c:pt idx="4583">
                  <c:v>4326.87</c:v>
                </c:pt>
                <c:pt idx="4584">
                  <c:v>4323.42</c:v>
                </c:pt>
                <c:pt idx="4585">
                  <c:v>4518.72</c:v>
                </c:pt>
                <c:pt idx="4586">
                  <c:v>4428.1099999999997</c:v>
                </c:pt>
                <c:pt idx="4587">
                  <c:v>4338.3500000000004</c:v>
                </c:pt>
                <c:pt idx="4588">
                  <c:v>4271.04</c:v>
                </c:pt>
                <c:pt idx="4589">
                  <c:v>4374.96</c:v>
                </c:pt>
                <c:pt idx="4590">
                  <c:v>4492.79</c:v>
                </c:pt>
                <c:pt idx="4591">
                  <c:v>4510.49</c:v>
                </c:pt>
                <c:pt idx="4592">
                  <c:v>4644.63</c:v>
                </c:pt>
                <c:pt idx="4593">
                  <c:v>4666.82</c:v>
                </c:pt>
                <c:pt idx="4594">
                  <c:v>4505.54</c:v>
                </c:pt>
                <c:pt idx="4595">
                  <c:v>4530.09</c:v>
                </c:pt>
                <c:pt idx="4596">
                  <c:v>4407.5600000000004</c:v>
                </c:pt>
                <c:pt idx="4597">
                  <c:v>4413.3900000000003</c:v>
                </c:pt>
                <c:pt idx="4598">
                  <c:v>4216.6000000000004</c:v>
                </c:pt>
                <c:pt idx="4599">
                  <c:v>4204.96</c:v>
                </c:pt>
                <c:pt idx="4600">
                  <c:v>4215.21</c:v>
                </c:pt>
                <c:pt idx="4601">
                  <c:v>4014.66</c:v>
                </c:pt>
                <c:pt idx="4602">
                  <c:v>3936.45</c:v>
                </c:pt>
                <c:pt idx="4603">
                  <c:v>3895.75</c:v>
                </c:pt>
                <c:pt idx="4604">
                  <c:v>3846.21</c:v>
                </c:pt>
                <c:pt idx="4605">
                  <c:v>3942.62</c:v>
                </c:pt>
                <c:pt idx="4606">
                  <c:v>3843.74</c:v>
                </c:pt>
                <c:pt idx="4607">
                  <c:v>3710.07</c:v>
                </c:pt>
                <c:pt idx="4608">
                  <c:v>3690.72</c:v>
                </c:pt>
                <c:pt idx="4609">
                  <c:v>3890.94</c:v>
                </c:pt>
                <c:pt idx="4610">
                  <c:v>3695.49</c:v>
                </c:pt>
                <c:pt idx="4611">
                  <c:v>3666.41</c:v>
                </c:pt>
                <c:pt idx="4612">
                  <c:v>3692.03</c:v>
                </c:pt>
                <c:pt idx="4613">
                  <c:v>3886.98</c:v>
                </c:pt>
                <c:pt idx="4614">
                  <c:v>3914.1</c:v>
                </c:pt>
                <c:pt idx="4615">
                  <c:v>3956.22</c:v>
                </c:pt>
                <c:pt idx="4616">
                  <c:v>3953.6</c:v>
                </c:pt>
                <c:pt idx="4617">
                  <c:v>4044.54</c:v>
                </c:pt>
                <c:pt idx="4618">
                  <c:v>3987.77</c:v>
                </c:pt>
                <c:pt idx="4619">
                  <c:v>3996.32</c:v>
                </c:pt>
                <c:pt idx="4620">
                  <c:v>4043.46</c:v>
                </c:pt>
                <c:pt idx="4621">
                  <c:v>4068.74</c:v>
                </c:pt>
                <c:pt idx="4622">
                  <c:v>4176.37</c:v>
                </c:pt>
                <c:pt idx="4623">
                  <c:v>4187.3599999999997</c:v>
                </c:pt>
                <c:pt idx="4624">
                  <c:v>4223.29</c:v>
                </c:pt>
                <c:pt idx="4625">
                  <c:v>4259.37</c:v>
                </c:pt>
                <c:pt idx="4626">
                  <c:v>4203.55</c:v>
                </c:pt>
                <c:pt idx="4627">
                  <c:v>3989.23</c:v>
                </c:pt>
                <c:pt idx="4628">
                  <c:v>4084.76</c:v>
                </c:pt>
                <c:pt idx="4629">
                  <c:v>4131.07</c:v>
                </c:pt>
                <c:pt idx="4630">
                  <c:v>4381.92</c:v>
                </c:pt>
                <c:pt idx="4631">
                  <c:v>4384.99</c:v>
                </c:pt>
                <c:pt idx="4632">
                  <c:v>4349.8100000000004</c:v>
                </c:pt>
                <c:pt idx="4633">
                  <c:v>4322.5</c:v>
                </c:pt>
                <c:pt idx="4634">
                  <c:v>4357.92</c:v>
                </c:pt>
                <c:pt idx="4635">
                  <c:v>4491.12</c:v>
                </c:pt>
                <c:pt idx="4636">
                  <c:v>4491.12</c:v>
                </c:pt>
                <c:pt idx="4637">
                  <c:v>4557.01</c:v>
                </c:pt>
                <c:pt idx="4638">
                  <c:v>4549.79</c:v>
                </c:pt>
                <c:pt idx="4639">
                  <c:v>4609.46</c:v>
                </c:pt>
                <c:pt idx="4640">
                  <c:v>4676.84</c:v>
                </c:pt>
                <c:pt idx="4641">
                  <c:v>4486.3</c:v>
                </c:pt>
                <c:pt idx="4642">
                  <c:v>4501.63</c:v>
                </c:pt>
                <c:pt idx="4643">
                  <c:v>4594.42</c:v>
                </c:pt>
                <c:pt idx="4644">
                  <c:v>4538.21</c:v>
                </c:pt>
                <c:pt idx="4645">
                  <c:v>4674.32</c:v>
                </c:pt>
                <c:pt idx="4646">
                  <c:v>4694.07</c:v>
                </c:pt>
                <c:pt idx="4647">
                  <c:v>4607.42</c:v>
                </c:pt>
                <c:pt idx="4648">
                  <c:v>4704.5600000000004</c:v>
                </c:pt>
                <c:pt idx="4649">
                  <c:v>4769.45</c:v>
                </c:pt>
                <c:pt idx="4650">
                  <c:v>4769.45</c:v>
                </c:pt>
                <c:pt idx="4651">
                  <c:v>4902.45</c:v>
                </c:pt>
                <c:pt idx="4652">
                  <c:v>4853.03</c:v>
                </c:pt>
                <c:pt idx="4653">
                  <c:v>4880.71</c:v>
                </c:pt>
                <c:pt idx="4654">
                  <c:v>4804.1000000000004</c:v>
                </c:pt>
                <c:pt idx="4655">
                  <c:v>4913.8999999999996</c:v>
                </c:pt>
                <c:pt idx="4656">
                  <c:v>4866.91</c:v>
                </c:pt>
                <c:pt idx="4657">
                  <c:v>4854.1099999999997</c:v>
                </c:pt>
                <c:pt idx="4658">
                  <c:v>4727.6099999999997</c:v>
                </c:pt>
                <c:pt idx="4659">
                  <c:v>4738.47</c:v>
                </c:pt>
                <c:pt idx="4660">
                  <c:v>4737.5</c:v>
                </c:pt>
                <c:pt idx="4661">
                  <c:v>4851.96</c:v>
                </c:pt>
                <c:pt idx="4662">
                  <c:v>4959.62</c:v>
                </c:pt>
                <c:pt idx="4663">
                  <c:v>5038.9399999999996</c:v>
                </c:pt>
                <c:pt idx="4664">
                  <c:v>4900.67</c:v>
                </c:pt>
                <c:pt idx="4665">
                  <c:v>4918.75</c:v>
                </c:pt>
                <c:pt idx="4666">
                  <c:v>4918.45</c:v>
                </c:pt>
                <c:pt idx="4667">
                  <c:v>4985.6000000000004</c:v>
                </c:pt>
                <c:pt idx="4668">
                  <c:v>5000.7700000000004</c:v>
                </c:pt>
                <c:pt idx="4669">
                  <c:v>4932.88</c:v>
                </c:pt>
                <c:pt idx="4670">
                  <c:v>4940.82</c:v>
                </c:pt>
                <c:pt idx="4671">
                  <c:v>5142.5600000000004</c:v>
                </c:pt>
                <c:pt idx="4672">
                  <c:v>5144.0600000000004</c:v>
                </c:pt>
                <c:pt idx="4673">
                  <c:v>5054.53</c:v>
                </c:pt>
                <c:pt idx="4674">
                  <c:v>5064.8</c:v>
                </c:pt>
                <c:pt idx="4675">
                  <c:v>5077.03</c:v>
                </c:pt>
                <c:pt idx="4676">
                  <c:v>5004.72</c:v>
                </c:pt>
                <c:pt idx="4677">
                  <c:v>4997.8599999999997</c:v>
                </c:pt>
                <c:pt idx="4678">
                  <c:v>5051.18</c:v>
                </c:pt>
                <c:pt idx="4679">
                  <c:v>5107.26</c:v>
                </c:pt>
                <c:pt idx="4680">
                  <c:v>5069.24</c:v>
                </c:pt>
                <c:pt idx="4681">
                  <c:v>4889.9399999999996</c:v>
                </c:pt>
                <c:pt idx="4682">
                  <c:v>4890.72</c:v>
                </c:pt>
                <c:pt idx="4683">
                  <c:v>4799.9799999999996</c:v>
                </c:pt>
                <c:pt idx="4684">
                  <c:v>4837.4799999999996</c:v>
                </c:pt>
                <c:pt idx="4685">
                  <c:v>4839.46</c:v>
                </c:pt>
                <c:pt idx="4686">
                  <c:v>4693.3999999999996</c:v>
                </c:pt>
                <c:pt idx="4687">
                  <c:v>4707.1499999999996</c:v>
                </c:pt>
                <c:pt idx="4688">
                  <c:v>4836.01</c:v>
                </c:pt>
                <c:pt idx="4689">
                  <c:v>4800.5600000000004</c:v>
                </c:pt>
                <c:pt idx="4690">
                  <c:v>4776.47</c:v>
                </c:pt>
                <c:pt idx="4691">
                  <c:v>4885.09</c:v>
                </c:pt>
                <c:pt idx="4692">
                  <c:v>4808.6400000000003</c:v>
                </c:pt>
                <c:pt idx="4693">
                  <c:v>4905.4399999999996</c:v>
                </c:pt>
                <c:pt idx="4694">
                  <c:v>4718.49</c:v>
                </c:pt>
                <c:pt idx="4695">
                  <c:v>4708.21</c:v>
                </c:pt>
                <c:pt idx="4696">
                  <c:v>4651.82</c:v>
                </c:pt>
                <c:pt idx="4697">
                  <c:v>4598.1899999999996</c:v>
                </c:pt>
                <c:pt idx="4698">
                  <c:v>4572.6499999999996</c:v>
                </c:pt>
                <c:pt idx="4699">
                  <c:v>4630.07</c:v>
                </c:pt>
                <c:pt idx="4700">
                  <c:v>4576.3100000000004</c:v>
                </c:pt>
                <c:pt idx="4701">
                  <c:v>4722.34</c:v>
                </c:pt>
                <c:pt idx="4702">
                  <c:v>4781.6899999999996</c:v>
                </c:pt>
                <c:pt idx="4703">
                  <c:v>4928.4399999999996</c:v>
                </c:pt>
                <c:pt idx="4704">
                  <c:v>4957.1899999999996</c:v>
                </c:pt>
                <c:pt idx="4705">
                  <c:v>4978.3999999999996</c:v>
                </c:pt>
                <c:pt idx="4706">
                  <c:v>5030.1499999999996</c:v>
                </c:pt>
                <c:pt idx="4707">
                  <c:v>5093.97</c:v>
                </c:pt>
                <c:pt idx="4708">
                  <c:v>5121.5600000000004</c:v>
                </c:pt>
                <c:pt idx="4709">
                  <c:v>5247.28</c:v>
                </c:pt>
                <c:pt idx="4710">
                  <c:v>5229.3599999999997</c:v>
                </c:pt>
                <c:pt idx="4711">
                  <c:v>5251.55</c:v>
                </c:pt>
                <c:pt idx="4712">
                  <c:v>5174.74</c:v>
                </c:pt>
                <c:pt idx="4713">
                  <c:v>5270.32</c:v>
                </c:pt>
                <c:pt idx="4714">
                  <c:v>5360.66</c:v>
                </c:pt>
                <c:pt idx="4715">
                  <c:v>5332.14</c:v>
                </c:pt>
                <c:pt idx="4716">
                  <c:v>5426.85</c:v>
                </c:pt>
                <c:pt idx="4717">
                  <c:v>5417.02</c:v>
                </c:pt>
                <c:pt idx="4718">
                  <c:v>5353.01</c:v>
                </c:pt>
                <c:pt idx="4719">
                  <c:v>5369.98</c:v>
                </c:pt>
                <c:pt idx="4720">
                  <c:v>5458.96</c:v>
                </c:pt>
                <c:pt idx="4721">
                  <c:v>5418.12</c:v>
                </c:pt>
                <c:pt idx="4722">
                  <c:v>5285.81</c:v>
                </c:pt>
                <c:pt idx="4723">
                  <c:v>5350.09</c:v>
                </c:pt>
                <c:pt idx="4724">
                  <c:v>5401.11</c:v>
                </c:pt>
                <c:pt idx="4725">
                  <c:v>5309.11</c:v>
                </c:pt>
                <c:pt idx="4726">
                  <c:v>5201.6099999999997</c:v>
                </c:pt>
                <c:pt idx="4727">
                  <c:v>5250.74</c:v>
                </c:pt>
                <c:pt idx="4728">
                  <c:v>5231.9799999999996</c:v>
                </c:pt>
                <c:pt idx="4729">
                  <c:v>5311.06</c:v>
                </c:pt>
                <c:pt idx="4730">
                  <c:v>5462.74</c:v>
                </c:pt>
                <c:pt idx="4731">
                  <c:v>5519.75</c:v>
                </c:pt>
                <c:pt idx="4732">
                  <c:v>5557.09</c:v>
                </c:pt>
                <c:pt idx="4733">
                  <c:v>5521.97</c:v>
                </c:pt>
                <c:pt idx="4734">
                  <c:v>5470.33</c:v>
                </c:pt>
                <c:pt idx="4735">
                  <c:v>5517.35</c:v>
                </c:pt>
                <c:pt idx="4736">
                  <c:v>5458.04</c:v>
                </c:pt>
                <c:pt idx="4737">
                  <c:v>5327.29</c:v>
                </c:pt>
                <c:pt idx="4738">
                  <c:v>5319.84</c:v>
                </c:pt>
                <c:pt idx="4739">
                  <c:v>5301.42</c:v>
                </c:pt>
                <c:pt idx="4740">
                  <c:v>5384.43</c:v>
                </c:pt>
                <c:pt idx="4741">
                  <c:v>5463.51</c:v>
                </c:pt>
                <c:pt idx="4742">
                  <c:v>5481.73</c:v>
                </c:pt>
                <c:pt idx="4743">
                  <c:v>5574.26</c:v>
                </c:pt>
                <c:pt idx="4744">
                  <c:v>5594.77</c:v>
                </c:pt>
                <c:pt idx="4745">
                  <c:v>5624.02</c:v>
                </c:pt>
                <c:pt idx="4746">
                  <c:v>5620.24</c:v>
                </c:pt>
                <c:pt idx="4747">
                  <c:v>5628.98</c:v>
                </c:pt>
                <c:pt idx="4748">
                  <c:v>5700.26</c:v>
                </c:pt>
                <c:pt idx="4749">
                  <c:v>5731.14</c:v>
                </c:pt>
                <c:pt idx="4750">
                  <c:v>5703.83</c:v>
                </c:pt>
                <c:pt idx="4751">
                  <c:v>5668.65</c:v>
                </c:pt>
                <c:pt idx="4752">
                  <c:v>5709.38</c:v>
                </c:pt>
                <c:pt idx="4753">
                  <c:v>5702.05</c:v>
                </c:pt>
                <c:pt idx="4754">
                  <c:v>5605.21</c:v>
                </c:pt>
                <c:pt idx="4755">
                  <c:v>5581.41</c:v>
                </c:pt>
                <c:pt idx="4756">
                  <c:v>5736.31</c:v>
                </c:pt>
                <c:pt idx="4757">
                  <c:v>5713.52</c:v>
                </c:pt>
                <c:pt idx="4758">
                  <c:v>5675.16</c:v>
                </c:pt>
                <c:pt idx="4759">
                  <c:v>5554.55</c:v>
                </c:pt>
                <c:pt idx="4760">
                  <c:v>5467.9</c:v>
                </c:pt>
                <c:pt idx="4761">
                  <c:v>5508.85</c:v>
                </c:pt>
                <c:pt idx="4762">
                  <c:v>5657.64</c:v>
                </c:pt>
                <c:pt idx="4763">
                  <c:v>5640.75</c:v>
                </c:pt>
                <c:pt idx="4764">
                  <c:v>5716.54</c:v>
                </c:pt>
                <c:pt idx="4765">
                  <c:v>5711.88</c:v>
                </c:pt>
                <c:pt idx="4766">
                  <c:v>5783.23</c:v>
                </c:pt>
                <c:pt idx="4767">
                  <c:v>5714.31</c:v>
                </c:pt>
                <c:pt idx="4768">
                  <c:v>5854.14</c:v>
                </c:pt>
                <c:pt idx="4769">
                  <c:v>5830.77</c:v>
                </c:pt>
                <c:pt idx="4770">
                  <c:v>5743.39</c:v>
                </c:pt>
                <c:pt idx="4771">
                  <c:v>5852.56</c:v>
                </c:pt>
                <c:pt idx="4772">
                  <c:v>5811.77</c:v>
                </c:pt>
                <c:pt idx="4773">
                  <c:v>5833.49</c:v>
                </c:pt>
                <c:pt idx="4774">
                  <c:v>5762.93</c:v>
                </c:pt>
                <c:pt idx="4775">
                  <c:v>5740.25</c:v>
                </c:pt>
                <c:pt idx="4776">
                  <c:v>5642.16</c:v>
                </c:pt>
                <c:pt idx="4777">
                  <c:v>5635.02</c:v>
                </c:pt>
                <c:pt idx="4778">
                  <c:v>5496.27</c:v>
                </c:pt>
                <c:pt idx="4779">
                  <c:v>5587.45</c:v>
                </c:pt>
                <c:pt idx="4780">
                  <c:v>5414.96</c:v>
                </c:pt>
                <c:pt idx="4781">
                  <c:v>5430.82</c:v>
                </c:pt>
                <c:pt idx="4782">
                  <c:v>5353.35</c:v>
                </c:pt>
                <c:pt idx="4783">
                  <c:v>5444.23</c:v>
                </c:pt>
                <c:pt idx="4784">
                  <c:v>5480.92</c:v>
                </c:pt>
                <c:pt idx="4785">
                  <c:v>5488.25</c:v>
                </c:pt>
                <c:pt idx="4786">
                  <c:v>5619.72</c:v>
                </c:pt>
                <c:pt idx="4787">
                  <c:v>5613.2</c:v>
                </c:pt>
                <c:pt idx="4788">
                  <c:v>5668.35</c:v>
                </c:pt>
                <c:pt idx="4789">
                  <c:v>5663.96</c:v>
                </c:pt>
                <c:pt idx="4790">
                  <c:v>5686.83</c:v>
                </c:pt>
                <c:pt idx="4791">
                  <c:v>5804.82</c:v>
                </c:pt>
                <c:pt idx="4792">
                  <c:v>5778.43</c:v>
                </c:pt>
                <c:pt idx="4793">
                  <c:v>5787.61</c:v>
                </c:pt>
                <c:pt idx="4794">
                  <c:v>5702.18</c:v>
                </c:pt>
                <c:pt idx="4795">
                  <c:v>5663.15</c:v>
                </c:pt>
                <c:pt idx="4796">
                  <c:v>5801.48</c:v>
                </c:pt>
                <c:pt idx="4797">
                  <c:v>5769.31</c:v>
                </c:pt>
                <c:pt idx="4798">
                  <c:v>5803.02</c:v>
                </c:pt>
                <c:pt idx="4799">
                  <c:v>5614.17</c:v>
                </c:pt>
                <c:pt idx="4800">
                  <c:v>5685.61</c:v>
                </c:pt>
                <c:pt idx="4801">
                  <c:v>5625.95</c:v>
                </c:pt>
                <c:pt idx="4802">
                  <c:v>5776.61</c:v>
                </c:pt>
                <c:pt idx="4803">
                  <c:v>5781.68</c:v>
                </c:pt>
                <c:pt idx="4804">
                  <c:v>5770.35</c:v>
                </c:pt>
                <c:pt idx="4805">
                  <c:v>5817.65</c:v>
                </c:pt>
                <c:pt idx="4806">
                  <c:v>5784.75</c:v>
                </c:pt>
                <c:pt idx="4807">
                  <c:v>5688.58</c:v>
                </c:pt>
                <c:pt idx="4808">
                  <c:v>5647.84</c:v>
                </c:pt>
                <c:pt idx="4809">
                  <c:v>5709.02</c:v>
                </c:pt>
                <c:pt idx="4810">
                  <c:v>5756.29</c:v>
                </c:pt>
                <c:pt idx="4811">
                  <c:v>5802.26</c:v>
                </c:pt>
                <c:pt idx="4812">
                  <c:v>5811.34</c:v>
                </c:pt>
                <c:pt idx="4813">
                  <c:v>5903.43</c:v>
                </c:pt>
                <c:pt idx="4814">
                  <c:v>5844.44</c:v>
                </c:pt>
                <c:pt idx="4815">
                  <c:v>5831.21</c:v>
                </c:pt>
                <c:pt idx="4816">
                  <c:v>5930.53</c:v>
                </c:pt>
                <c:pt idx="4817">
                  <c:v>5945.69</c:v>
                </c:pt>
                <c:pt idx="4818">
                  <c:v>5957.44</c:v>
                </c:pt>
                <c:pt idx="4819">
                  <c:v>6002.92</c:v>
                </c:pt>
                <c:pt idx="4820">
                  <c:v>6011.55</c:v>
                </c:pt>
                <c:pt idx="4821">
                  <c:v>5957.43</c:v>
                </c:pt>
                <c:pt idx="4822">
                  <c:v>6048.3</c:v>
                </c:pt>
                <c:pt idx="4823">
                  <c:v>6031.86</c:v>
                </c:pt>
                <c:pt idx="4824">
                  <c:v>6034.33</c:v>
                </c:pt>
                <c:pt idx="4825">
                  <c:v>6019.36</c:v>
                </c:pt>
                <c:pt idx="4826">
                  <c:v>6037.61</c:v>
                </c:pt>
                <c:pt idx="4827">
                  <c:v>6040.5</c:v>
                </c:pt>
                <c:pt idx="4828">
                  <c:v>5943</c:v>
                </c:pt>
                <c:pt idx="4829">
                  <c:v>5963.14</c:v>
                </c:pt>
                <c:pt idx="4830">
                  <c:v>5988.88</c:v>
                </c:pt>
                <c:pt idx="4831">
                  <c:v>5875.97</c:v>
                </c:pt>
                <c:pt idx="4832">
                  <c:v>5918.55</c:v>
                </c:pt>
                <c:pt idx="4833">
                  <c:v>5976.48</c:v>
                </c:pt>
                <c:pt idx="4834">
                  <c:v>5851.53</c:v>
                </c:pt>
                <c:pt idx="4835">
                  <c:v>5746.97</c:v>
                </c:pt>
                <c:pt idx="4836">
                  <c:v>5695.32</c:v>
                </c:pt>
                <c:pt idx="4837">
                  <c:v>5631.37</c:v>
                </c:pt>
                <c:pt idx="4838">
                  <c:v>5668.93</c:v>
                </c:pt>
                <c:pt idx="4839">
                  <c:v>5643.2</c:v>
                </c:pt>
                <c:pt idx="4840">
                  <c:v>5540.33</c:v>
                </c:pt>
                <c:pt idx="4841">
                  <c:v>5608.79</c:v>
                </c:pt>
                <c:pt idx="4842">
                  <c:v>5654.48</c:v>
                </c:pt>
                <c:pt idx="4843">
                  <c:v>5709.66</c:v>
                </c:pt>
                <c:pt idx="4844">
                  <c:v>5672.09</c:v>
                </c:pt>
                <c:pt idx="4845">
                  <c:v>5533.24</c:v>
                </c:pt>
                <c:pt idx="4846">
                  <c:v>5434.34</c:v>
                </c:pt>
                <c:pt idx="4847">
                  <c:v>5484.85</c:v>
                </c:pt>
                <c:pt idx="4848">
                  <c:v>5498.26</c:v>
                </c:pt>
                <c:pt idx="4849">
                  <c:v>5536.37</c:v>
                </c:pt>
                <c:pt idx="4850">
                  <c:v>5503.93</c:v>
                </c:pt>
                <c:pt idx="4851">
                  <c:v>5500.39</c:v>
                </c:pt>
                <c:pt idx="4852">
                  <c:v>5511.1</c:v>
                </c:pt>
                <c:pt idx="4853">
                  <c:v>5592.12</c:v>
                </c:pt>
                <c:pt idx="4854">
                  <c:v>5648.34</c:v>
                </c:pt>
                <c:pt idx="4855">
                  <c:v>5680.41</c:v>
                </c:pt>
                <c:pt idx="4856">
                  <c:v>5722.05</c:v>
                </c:pt>
                <c:pt idx="4857">
                  <c:v>5688.44</c:v>
                </c:pt>
                <c:pt idx="4858">
                  <c:v>5604.07</c:v>
                </c:pt>
                <c:pt idx="4859">
                  <c:v>5615.51</c:v>
                </c:pt>
                <c:pt idx="4860">
                  <c:v>5532.33</c:v>
                </c:pt>
                <c:pt idx="4861">
                  <c:v>5598.46</c:v>
                </c:pt>
                <c:pt idx="4862">
                  <c:v>5713.51</c:v>
                </c:pt>
                <c:pt idx="4863">
                  <c:v>5776.56</c:v>
                </c:pt>
                <c:pt idx="4864">
                  <c:v>5817.88</c:v>
                </c:pt>
                <c:pt idx="4865">
                  <c:v>5795.32</c:v>
                </c:pt>
                <c:pt idx="4866">
                  <c:v>5877.36</c:v>
                </c:pt>
                <c:pt idx="4867">
                  <c:v>5875.91</c:v>
                </c:pt>
                <c:pt idx="4868">
                  <c:v>5885.89</c:v>
                </c:pt>
                <c:pt idx="4869">
                  <c:v>5936.72</c:v>
                </c:pt>
                <c:pt idx="4870">
                  <c:v>5928.63</c:v>
                </c:pt>
                <c:pt idx="4871">
                  <c:v>5945.11</c:v>
                </c:pt>
                <c:pt idx="4872">
                  <c:v>5903.56</c:v>
                </c:pt>
                <c:pt idx="4873">
                  <c:v>5970.99</c:v>
                </c:pt>
                <c:pt idx="4874">
                  <c:v>6024.28</c:v>
                </c:pt>
                <c:pt idx="4875">
                  <c:v>6012.31</c:v>
                </c:pt>
                <c:pt idx="4876">
                  <c:v>5982.43</c:v>
                </c:pt>
                <c:pt idx="4877">
                  <c:v>5987.5</c:v>
                </c:pt>
                <c:pt idx="4878">
                  <c:v>6017.27</c:v>
                </c:pt>
                <c:pt idx="4879">
                  <c:v>6039</c:v>
                </c:pt>
                <c:pt idx="4880">
                  <c:v>6132.95</c:v>
                </c:pt>
                <c:pt idx="4881">
                  <c:v>6120.05</c:v>
                </c:pt>
                <c:pt idx="4882">
                  <c:v>6156.85</c:v>
                </c:pt>
                <c:pt idx="4883">
                  <c:v>6142.45</c:v>
                </c:pt>
                <c:pt idx="4884">
                  <c:v>6153.55</c:v>
                </c:pt>
                <c:pt idx="4885">
                  <c:v>6235.56</c:v>
                </c:pt>
                <c:pt idx="4886">
                  <c:v>6235.56</c:v>
                </c:pt>
                <c:pt idx="4887">
                  <c:v>6252.21</c:v>
                </c:pt>
                <c:pt idx="4888">
                  <c:v>6222.41</c:v>
                </c:pt>
                <c:pt idx="4889">
                  <c:v>6171.83</c:v>
                </c:pt>
                <c:pt idx="4890">
                  <c:v>6249.7</c:v>
                </c:pt>
                <c:pt idx="4891">
                  <c:v>6250.69</c:v>
                </c:pt>
                <c:pt idx="4892">
                  <c:v>6230.83</c:v>
                </c:pt>
                <c:pt idx="4893">
                  <c:v>6278.4</c:v>
                </c:pt>
                <c:pt idx="4894">
                  <c:v>6291.45</c:v>
                </c:pt>
                <c:pt idx="4895">
                  <c:v>6180.9</c:v>
                </c:pt>
                <c:pt idx="4896">
                  <c:v>6162.44</c:v>
                </c:pt>
                <c:pt idx="4897">
                  <c:v>6264.23</c:v>
                </c:pt>
                <c:pt idx="4898">
                  <c:v>6230.38</c:v>
                </c:pt>
                <c:pt idx="4899">
                  <c:v>6168.72</c:v>
                </c:pt>
                <c:pt idx="4900">
                  <c:v>6259.53</c:v>
                </c:pt>
                <c:pt idx="4901">
                  <c:v>6332.1</c:v>
                </c:pt>
              </c:numCache>
            </c:numRef>
          </c:val>
          <c:smooth val="0"/>
          <c:extLst>
            <c:ext xmlns:c16="http://schemas.microsoft.com/office/drawing/2014/chart" uri="{C3380CC4-5D6E-409C-BE32-E72D297353CC}">
              <c16:uniqueId val="{00000000-B4CD-40B6-A573-3992FD94723F}"/>
            </c:ext>
          </c:extLst>
        </c:ser>
        <c:dLbls>
          <c:showLegendKey val="0"/>
          <c:showVal val="0"/>
          <c:showCatName val="0"/>
          <c:showSerName val="0"/>
          <c:showPercent val="0"/>
          <c:showBubbleSize val="0"/>
        </c:dLbls>
        <c:smooth val="0"/>
        <c:axId val="189356288"/>
        <c:axId val="189358080"/>
      </c:lineChart>
      <c:dateAx>
        <c:axId val="189356288"/>
        <c:scaling>
          <c:orientation val="minMax"/>
        </c:scaling>
        <c:delete val="0"/>
        <c:axPos val="b"/>
        <c:numFmt formatCode="m/d/yyyy" sourceLinked="1"/>
        <c:majorTickMark val="out"/>
        <c:minorTickMark val="none"/>
        <c:tickLblPos val="nextTo"/>
        <c:crossAx val="189358080"/>
        <c:crosses val="autoZero"/>
        <c:auto val="1"/>
        <c:lblOffset val="100"/>
        <c:baseTimeUnit val="days"/>
      </c:dateAx>
      <c:valAx>
        <c:axId val="189358080"/>
        <c:scaling>
          <c:orientation val="minMax"/>
        </c:scaling>
        <c:delete val="0"/>
        <c:axPos val="l"/>
        <c:majorGridlines/>
        <c:numFmt formatCode="General" sourceLinked="1"/>
        <c:majorTickMark val="out"/>
        <c:minorTickMark val="none"/>
        <c:tickLblPos val="nextTo"/>
        <c:crossAx val="189356288"/>
        <c:crosses val="autoZero"/>
        <c:crossBetween val="between"/>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Histogramm</a:t>
            </a:r>
          </a:p>
        </c:rich>
      </c:tx>
      <c:overlay val="0"/>
    </c:title>
    <c:autoTitleDeleted val="0"/>
    <c:plotArea>
      <c:layout>
        <c:manualLayout>
          <c:layoutTarget val="inner"/>
          <c:xMode val="edge"/>
          <c:yMode val="edge"/>
          <c:x val="0.18282524310897919"/>
          <c:y val="0.11851164358574316"/>
          <c:w val="0.79650194587745493"/>
          <c:h val="0.70695887348682174"/>
        </c:manualLayout>
      </c:layout>
      <c:barChart>
        <c:barDir val="col"/>
        <c:grouping val="clustered"/>
        <c:varyColors val="0"/>
        <c:ser>
          <c:idx val="0"/>
          <c:order val="0"/>
          <c:tx>
            <c:v>Häufigkeit</c:v>
          </c:tx>
          <c:invertIfNegative val="0"/>
          <c:cat>
            <c:strRef>
              <c:f>'Aufgabe 4'!$L$21:$L$42</c:f>
              <c:strCache>
                <c:ptCount val="22"/>
                <c:pt idx="0">
                  <c:v>-5,00%</c:v>
                </c:pt>
                <c:pt idx="1">
                  <c:v>-4,50%</c:v>
                </c:pt>
                <c:pt idx="2">
                  <c:v>-4,00%</c:v>
                </c:pt>
                <c:pt idx="3">
                  <c:v>-3,50%</c:v>
                </c:pt>
                <c:pt idx="4">
                  <c:v>-3,00%</c:v>
                </c:pt>
                <c:pt idx="5">
                  <c:v>-2,50%</c:v>
                </c:pt>
                <c:pt idx="6">
                  <c:v>-2,00%</c:v>
                </c:pt>
                <c:pt idx="7">
                  <c:v>-1,50%</c:v>
                </c:pt>
                <c:pt idx="8">
                  <c:v>-1,00%</c:v>
                </c:pt>
                <c:pt idx="9">
                  <c:v>-0,50%</c:v>
                </c:pt>
                <c:pt idx="10">
                  <c:v>0,00%</c:v>
                </c:pt>
                <c:pt idx="11">
                  <c:v>0,50%</c:v>
                </c:pt>
                <c:pt idx="12">
                  <c:v>1,00%</c:v>
                </c:pt>
                <c:pt idx="13">
                  <c:v>1,50%</c:v>
                </c:pt>
                <c:pt idx="14">
                  <c:v>2,00%</c:v>
                </c:pt>
                <c:pt idx="15">
                  <c:v>2,50%</c:v>
                </c:pt>
                <c:pt idx="16">
                  <c:v>3,00%</c:v>
                </c:pt>
                <c:pt idx="17">
                  <c:v>3,50%</c:v>
                </c:pt>
                <c:pt idx="18">
                  <c:v>4,00%</c:v>
                </c:pt>
                <c:pt idx="19">
                  <c:v>4,50%</c:v>
                </c:pt>
                <c:pt idx="20">
                  <c:v>5,00%</c:v>
                </c:pt>
                <c:pt idx="21">
                  <c:v>und größer</c:v>
                </c:pt>
              </c:strCache>
            </c:strRef>
          </c:cat>
          <c:val>
            <c:numRef>
              <c:f>'Aufgabe 4'!$M$21:$M$42</c:f>
              <c:numCache>
                <c:formatCode>General</c:formatCode>
                <c:ptCount val="22"/>
                <c:pt idx="0">
                  <c:v>35</c:v>
                </c:pt>
                <c:pt idx="1">
                  <c:v>14</c:v>
                </c:pt>
                <c:pt idx="2">
                  <c:v>15</c:v>
                </c:pt>
                <c:pt idx="3">
                  <c:v>24</c:v>
                </c:pt>
                <c:pt idx="4">
                  <c:v>42</c:v>
                </c:pt>
                <c:pt idx="5">
                  <c:v>73</c:v>
                </c:pt>
                <c:pt idx="6">
                  <c:v>122</c:v>
                </c:pt>
                <c:pt idx="7">
                  <c:v>211</c:v>
                </c:pt>
                <c:pt idx="8">
                  <c:v>360</c:v>
                </c:pt>
                <c:pt idx="9">
                  <c:v>518</c:v>
                </c:pt>
                <c:pt idx="10">
                  <c:v>884</c:v>
                </c:pt>
                <c:pt idx="11">
                  <c:v>988</c:v>
                </c:pt>
                <c:pt idx="12">
                  <c:v>642</c:v>
                </c:pt>
                <c:pt idx="13">
                  <c:v>438</c:v>
                </c:pt>
                <c:pt idx="14">
                  <c:v>220</c:v>
                </c:pt>
                <c:pt idx="15">
                  <c:v>141</c:v>
                </c:pt>
                <c:pt idx="16">
                  <c:v>68</c:v>
                </c:pt>
                <c:pt idx="17">
                  <c:v>45</c:v>
                </c:pt>
                <c:pt idx="18">
                  <c:v>20</c:v>
                </c:pt>
                <c:pt idx="19">
                  <c:v>9</c:v>
                </c:pt>
                <c:pt idx="20">
                  <c:v>7</c:v>
                </c:pt>
                <c:pt idx="21">
                  <c:v>25</c:v>
                </c:pt>
              </c:numCache>
            </c:numRef>
          </c:val>
          <c:extLst>
            <c:ext xmlns:c16="http://schemas.microsoft.com/office/drawing/2014/chart" uri="{C3380CC4-5D6E-409C-BE32-E72D297353CC}">
              <c16:uniqueId val="{00000000-16E6-4501-BB55-3990E76D4D7A}"/>
            </c:ext>
          </c:extLst>
        </c:ser>
        <c:dLbls>
          <c:showLegendKey val="0"/>
          <c:showVal val="0"/>
          <c:showCatName val="0"/>
          <c:showSerName val="0"/>
          <c:showPercent val="0"/>
          <c:showBubbleSize val="0"/>
        </c:dLbls>
        <c:gapWidth val="150"/>
        <c:axId val="190156800"/>
        <c:axId val="190158720"/>
      </c:barChart>
      <c:catAx>
        <c:axId val="190156800"/>
        <c:scaling>
          <c:orientation val="minMax"/>
        </c:scaling>
        <c:delete val="0"/>
        <c:axPos val="b"/>
        <c:title>
          <c:tx>
            <c:rich>
              <a:bodyPr/>
              <a:lstStyle/>
              <a:p>
                <a:pPr>
                  <a:defRPr/>
                </a:pPr>
                <a:r>
                  <a:rPr lang="de-DE"/>
                  <a:t>Klasse</a:t>
                </a:r>
              </a:p>
            </c:rich>
          </c:tx>
          <c:overlay val="0"/>
        </c:title>
        <c:numFmt formatCode="General" sourceLinked="0"/>
        <c:majorTickMark val="out"/>
        <c:minorTickMark val="none"/>
        <c:tickLblPos val="nextTo"/>
        <c:crossAx val="190158720"/>
        <c:crosses val="autoZero"/>
        <c:auto val="1"/>
        <c:lblAlgn val="ctr"/>
        <c:lblOffset val="100"/>
        <c:noMultiLvlLbl val="0"/>
      </c:catAx>
      <c:valAx>
        <c:axId val="190158720"/>
        <c:scaling>
          <c:orientation val="minMax"/>
        </c:scaling>
        <c:delete val="0"/>
        <c:axPos val="l"/>
        <c:title>
          <c:tx>
            <c:rich>
              <a:bodyPr/>
              <a:lstStyle/>
              <a:p>
                <a:pPr>
                  <a:defRPr/>
                </a:pPr>
                <a:r>
                  <a:rPr lang="de-DE"/>
                  <a:t>Häufigkeit</a:t>
                </a:r>
              </a:p>
            </c:rich>
          </c:tx>
          <c:overlay val="0"/>
        </c:title>
        <c:numFmt formatCode="General" sourceLinked="1"/>
        <c:majorTickMark val="out"/>
        <c:minorTickMark val="none"/>
        <c:tickLblPos val="nextTo"/>
        <c:crossAx val="190156800"/>
        <c:crosses val="autoZero"/>
        <c:crossBetween val="between"/>
      </c:valAx>
    </c:plotArea>
    <c:legend>
      <c:legendPos val="r"/>
      <c:layout>
        <c:manualLayout>
          <c:xMode val="edge"/>
          <c:yMode val="edge"/>
          <c:x val="0.19501941008259277"/>
          <c:y val="0.24777080304759122"/>
          <c:w val="0.18670090807614564"/>
          <c:h val="5.0930610859954289E-2"/>
        </c:manualLayout>
      </c:layout>
      <c:overlay val="0"/>
    </c:legend>
    <c:plotVisOnly val="1"/>
    <c:dispBlanksAs val="gap"/>
    <c:showDLblsOverMax val="0"/>
  </c:chart>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Histogramm</a:t>
            </a:r>
          </a:p>
        </c:rich>
      </c:tx>
      <c:overlay val="0"/>
    </c:title>
    <c:autoTitleDeleted val="0"/>
    <c:plotArea>
      <c:layout>
        <c:manualLayout>
          <c:layoutTarget val="inner"/>
          <c:xMode val="edge"/>
          <c:yMode val="edge"/>
          <c:x val="0.16655773461538945"/>
          <c:y val="0.1191661258995132"/>
          <c:w val="0.81277935040312399"/>
          <c:h val="0.69098201085102251"/>
        </c:manualLayout>
      </c:layout>
      <c:barChart>
        <c:barDir val="col"/>
        <c:grouping val="clustered"/>
        <c:varyColors val="0"/>
        <c:ser>
          <c:idx val="0"/>
          <c:order val="0"/>
          <c:tx>
            <c:v>Häufigkeit</c:v>
          </c:tx>
          <c:invertIfNegative val="0"/>
          <c:cat>
            <c:strRef>
              <c:f>'Aufgabe 4'!$S$21:$S$42</c:f>
              <c:strCache>
                <c:ptCount val="22"/>
                <c:pt idx="0">
                  <c:v>-10,00%</c:v>
                </c:pt>
                <c:pt idx="1">
                  <c:v>-9,00%</c:v>
                </c:pt>
                <c:pt idx="2">
                  <c:v>-8,00%</c:v>
                </c:pt>
                <c:pt idx="3">
                  <c:v>-7,00%</c:v>
                </c:pt>
                <c:pt idx="4">
                  <c:v>-6,00%</c:v>
                </c:pt>
                <c:pt idx="5">
                  <c:v>-5,00%</c:v>
                </c:pt>
                <c:pt idx="6">
                  <c:v>-4,00%</c:v>
                </c:pt>
                <c:pt idx="7">
                  <c:v>-3,00%</c:v>
                </c:pt>
                <c:pt idx="8">
                  <c:v>-2,00%</c:v>
                </c:pt>
                <c:pt idx="9">
                  <c:v>-1,00%</c:v>
                </c:pt>
                <c:pt idx="10">
                  <c:v>0,00%</c:v>
                </c:pt>
                <c:pt idx="11">
                  <c:v>1,00%</c:v>
                </c:pt>
                <c:pt idx="12">
                  <c:v>2,00%</c:v>
                </c:pt>
                <c:pt idx="13">
                  <c:v>3,00%</c:v>
                </c:pt>
                <c:pt idx="14">
                  <c:v>4,00%</c:v>
                </c:pt>
                <c:pt idx="15">
                  <c:v>5,00%</c:v>
                </c:pt>
                <c:pt idx="16">
                  <c:v>6,00%</c:v>
                </c:pt>
                <c:pt idx="17">
                  <c:v>7,00%</c:v>
                </c:pt>
                <c:pt idx="18">
                  <c:v>8,00%</c:v>
                </c:pt>
                <c:pt idx="19">
                  <c:v>9,00%</c:v>
                </c:pt>
                <c:pt idx="20">
                  <c:v>10,00%</c:v>
                </c:pt>
                <c:pt idx="21">
                  <c:v>und größer</c:v>
                </c:pt>
              </c:strCache>
            </c:strRef>
          </c:cat>
          <c:val>
            <c:numRef>
              <c:f>'Aufgabe 4'!$T$21:$T$42</c:f>
              <c:numCache>
                <c:formatCode>General</c:formatCode>
                <c:ptCount val="22"/>
                <c:pt idx="0">
                  <c:v>5</c:v>
                </c:pt>
                <c:pt idx="1">
                  <c:v>4</c:v>
                </c:pt>
                <c:pt idx="2">
                  <c:v>4</c:v>
                </c:pt>
                <c:pt idx="3">
                  <c:v>9</c:v>
                </c:pt>
                <c:pt idx="4">
                  <c:v>7</c:v>
                </c:pt>
                <c:pt idx="5">
                  <c:v>25</c:v>
                </c:pt>
                <c:pt idx="6">
                  <c:v>29</c:v>
                </c:pt>
                <c:pt idx="7">
                  <c:v>48</c:v>
                </c:pt>
                <c:pt idx="8">
                  <c:v>76</c:v>
                </c:pt>
                <c:pt idx="9">
                  <c:v>99</c:v>
                </c:pt>
                <c:pt idx="10">
                  <c:v>147</c:v>
                </c:pt>
                <c:pt idx="11">
                  <c:v>170</c:v>
                </c:pt>
                <c:pt idx="12">
                  <c:v>140</c:v>
                </c:pt>
                <c:pt idx="13">
                  <c:v>106</c:v>
                </c:pt>
                <c:pt idx="14">
                  <c:v>68</c:v>
                </c:pt>
                <c:pt idx="15">
                  <c:v>33</c:v>
                </c:pt>
                <c:pt idx="16">
                  <c:v>20</c:v>
                </c:pt>
                <c:pt idx="17">
                  <c:v>8</c:v>
                </c:pt>
                <c:pt idx="18">
                  <c:v>7</c:v>
                </c:pt>
                <c:pt idx="19">
                  <c:v>3</c:v>
                </c:pt>
                <c:pt idx="20">
                  <c:v>0</c:v>
                </c:pt>
                <c:pt idx="21">
                  <c:v>5</c:v>
                </c:pt>
              </c:numCache>
            </c:numRef>
          </c:val>
          <c:extLst>
            <c:ext xmlns:c16="http://schemas.microsoft.com/office/drawing/2014/chart" uri="{C3380CC4-5D6E-409C-BE32-E72D297353CC}">
              <c16:uniqueId val="{00000000-6769-460F-883C-C2685D412A7C}"/>
            </c:ext>
          </c:extLst>
        </c:ser>
        <c:dLbls>
          <c:showLegendKey val="0"/>
          <c:showVal val="0"/>
          <c:showCatName val="0"/>
          <c:showSerName val="0"/>
          <c:showPercent val="0"/>
          <c:showBubbleSize val="0"/>
        </c:dLbls>
        <c:gapWidth val="150"/>
        <c:axId val="190200064"/>
        <c:axId val="190206336"/>
      </c:barChart>
      <c:catAx>
        <c:axId val="190200064"/>
        <c:scaling>
          <c:orientation val="minMax"/>
        </c:scaling>
        <c:delete val="0"/>
        <c:axPos val="b"/>
        <c:title>
          <c:tx>
            <c:rich>
              <a:bodyPr/>
              <a:lstStyle/>
              <a:p>
                <a:pPr>
                  <a:defRPr/>
                </a:pPr>
                <a:r>
                  <a:rPr lang="de-DE"/>
                  <a:t>Klasse</a:t>
                </a:r>
              </a:p>
            </c:rich>
          </c:tx>
          <c:overlay val="0"/>
        </c:title>
        <c:numFmt formatCode="General" sourceLinked="0"/>
        <c:majorTickMark val="out"/>
        <c:minorTickMark val="none"/>
        <c:tickLblPos val="nextTo"/>
        <c:crossAx val="190206336"/>
        <c:crosses val="autoZero"/>
        <c:auto val="1"/>
        <c:lblAlgn val="ctr"/>
        <c:lblOffset val="100"/>
        <c:noMultiLvlLbl val="0"/>
      </c:catAx>
      <c:valAx>
        <c:axId val="190206336"/>
        <c:scaling>
          <c:orientation val="minMax"/>
        </c:scaling>
        <c:delete val="0"/>
        <c:axPos val="l"/>
        <c:title>
          <c:tx>
            <c:rich>
              <a:bodyPr/>
              <a:lstStyle/>
              <a:p>
                <a:pPr>
                  <a:defRPr/>
                </a:pPr>
                <a:r>
                  <a:rPr lang="de-DE"/>
                  <a:t>Häufigkeit</a:t>
                </a:r>
              </a:p>
            </c:rich>
          </c:tx>
          <c:overlay val="0"/>
        </c:title>
        <c:numFmt formatCode="General" sourceLinked="1"/>
        <c:majorTickMark val="out"/>
        <c:minorTickMark val="none"/>
        <c:tickLblPos val="nextTo"/>
        <c:crossAx val="190200064"/>
        <c:crosses val="autoZero"/>
        <c:crossBetween val="between"/>
      </c:valAx>
    </c:plotArea>
    <c:legend>
      <c:legendPos val="r"/>
      <c:layout>
        <c:manualLayout>
          <c:xMode val="edge"/>
          <c:yMode val="edge"/>
          <c:x val="0.21022905884969262"/>
          <c:y val="0.20106503254637775"/>
          <c:w val="0.18661153473575498"/>
          <c:h val="5.1211875915680466E-2"/>
        </c:manualLayout>
      </c:layout>
      <c:overlay val="0"/>
    </c:legend>
    <c:plotVisOnly val="1"/>
    <c:dispBlanksAs val="gap"/>
    <c:showDLblsOverMax val="0"/>
  </c:chart>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Histogramm</a:t>
            </a:r>
          </a:p>
        </c:rich>
      </c:tx>
      <c:overlay val="0"/>
    </c:title>
    <c:autoTitleDeleted val="0"/>
    <c:plotArea>
      <c:layout>
        <c:manualLayout>
          <c:layoutTarget val="inner"/>
          <c:xMode val="edge"/>
          <c:yMode val="edge"/>
          <c:x val="0.15052185319192551"/>
          <c:y val="0.11947063899806391"/>
          <c:w val="0.81645657972676755"/>
          <c:h val="0.69311929066788291"/>
        </c:manualLayout>
      </c:layout>
      <c:barChart>
        <c:barDir val="col"/>
        <c:grouping val="clustered"/>
        <c:varyColors val="0"/>
        <c:ser>
          <c:idx val="0"/>
          <c:order val="0"/>
          <c:tx>
            <c:v>Häufigkeit</c:v>
          </c:tx>
          <c:invertIfNegative val="0"/>
          <c:cat>
            <c:strRef>
              <c:f>'Aufgabe 4'!$Z$21:$Z$42</c:f>
              <c:strCache>
                <c:ptCount val="22"/>
                <c:pt idx="0">
                  <c:v>-20,00%</c:v>
                </c:pt>
                <c:pt idx="1">
                  <c:v>-18,00%</c:v>
                </c:pt>
                <c:pt idx="2">
                  <c:v>-16,00%</c:v>
                </c:pt>
                <c:pt idx="3">
                  <c:v>-14,00%</c:v>
                </c:pt>
                <c:pt idx="4">
                  <c:v>-12,00%</c:v>
                </c:pt>
                <c:pt idx="5">
                  <c:v>-10,00%</c:v>
                </c:pt>
                <c:pt idx="6">
                  <c:v>-8,00%</c:v>
                </c:pt>
                <c:pt idx="7">
                  <c:v>-6,00%</c:v>
                </c:pt>
                <c:pt idx="8">
                  <c:v>-4,00%</c:v>
                </c:pt>
                <c:pt idx="9">
                  <c:v>-2,00%</c:v>
                </c:pt>
                <c:pt idx="10">
                  <c:v>0,00%</c:v>
                </c:pt>
                <c:pt idx="11">
                  <c:v>2,00%</c:v>
                </c:pt>
                <c:pt idx="12">
                  <c:v>4,00%</c:v>
                </c:pt>
                <c:pt idx="13">
                  <c:v>6,00%</c:v>
                </c:pt>
                <c:pt idx="14">
                  <c:v>8,00%</c:v>
                </c:pt>
                <c:pt idx="15">
                  <c:v>10,00%</c:v>
                </c:pt>
                <c:pt idx="16">
                  <c:v>12,00%</c:v>
                </c:pt>
                <c:pt idx="17">
                  <c:v>14,00%</c:v>
                </c:pt>
                <c:pt idx="18">
                  <c:v>16,00%</c:v>
                </c:pt>
                <c:pt idx="19">
                  <c:v>18,00%</c:v>
                </c:pt>
                <c:pt idx="20">
                  <c:v>20,00%</c:v>
                </c:pt>
                <c:pt idx="21">
                  <c:v>und größer</c:v>
                </c:pt>
              </c:strCache>
            </c:strRef>
          </c:cat>
          <c:val>
            <c:numRef>
              <c:f>'Aufgabe 4'!$AA$21:$AA$42</c:f>
              <c:numCache>
                <c:formatCode>General</c:formatCode>
                <c:ptCount val="22"/>
                <c:pt idx="0">
                  <c:v>1</c:v>
                </c:pt>
                <c:pt idx="1">
                  <c:v>2</c:v>
                </c:pt>
                <c:pt idx="2">
                  <c:v>2</c:v>
                </c:pt>
                <c:pt idx="3">
                  <c:v>1</c:v>
                </c:pt>
                <c:pt idx="4">
                  <c:v>3</c:v>
                </c:pt>
                <c:pt idx="5">
                  <c:v>5</c:v>
                </c:pt>
                <c:pt idx="6">
                  <c:v>6</c:v>
                </c:pt>
                <c:pt idx="7">
                  <c:v>9</c:v>
                </c:pt>
                <c:pt idx="8">
                  <c:v>18</c:v>
                </c:pt>
                <c:pt idx="9">
                  <c:v>17</c:v>
                </c:pt>
                <c:pt idx="10">
                  <c:v>31</c:v>
                </c:pt>
                <c:pt idx="11">
                  <c:v>32</c:v>
                </c:pt>
                <c:pt idx="12">
                  <c:v>37</c:v>
                </c:pt>
                <c:pt idx="13">
                  <c:v>30</c:v>
                </c:pt>
                <c:pt idx="14">
                  <c:v>22</c:v>
                </c:pt>
                <c:pt idx="15">
                  <c:v>8</c:v>
                </c:pt>
                <c:pt idx="16">
                  <c:v>3</c:v>
                </c:pt>
                <c:pt idx="17">
                  <c:v>1</c:v>
                </c:pt>
                <c:pt idx="18">
                  <c:v>2</c:v>
                </c:pt>
                <c:pt idx="19">
                  <c:v>1</c:v>
                </c:pt>
                <c:pt idx="20">
                  <c:v>1</c:v>
                </c:pt>
                <c:pt idx="21">
                  <c:v>0</c:v>
                </c:pt>
              </c:numCache>
            </c:numRef>
          </c:val>
          <c:extLst>
            <c:ext xmlns:c16="http://schemas.microsoft.com/office/drawing/2014/chart" uri="{C3380CC4-5D6E-409C-BE32-E72D297353CC}">
              <c16:uniqueId val="{00000000-F606-43D6-8F29-A9EDE240E7E8}"/>
            </c:ext>
          </c:extLst>
        </c:ser>
        <c:dLbls>
          <c:showLegendKey val="0"/>
          <c:showVal val="0"/>
          <c:showCatName val="0"/>
          <c:showSerName val="0"/>
          <c:showPercent val="0"/>
          <c:showBubbleSize val="0"/>
        </c:dLbls>
        <c:gapWidth val="150"/>
        <c:axId val="190239488"/>
        <c:axId val="190241408"/>
      </c:barChart>
      <c:catAx>
        <c:axId val="190239488"/>
        <c:scaling>
          <c:orientation val="minMax"/>
        </c:scaling>
        <c:delete val="0"/>
        <c:axPos val="b"/>
        <c:title>
          <c:tx>
            <c:rich>
              <a:bodyPr/>
              <a:lstStyle/>
              <a:p>
                <a:pPr>
                  <a:defRPr/>
                </a:pPr>
                <a:r>
                  <a:rPr lang="de-DE"/>
                  <a:t>Klasse</a:t>
                </a:r>
              </a:p>
            </c:rich>
          </c:tx>
          <c:overlay val="0"/>
        </c:title>
        <c:numFmt formatCode="General" sourceLinked="0"/>
        <c:majorTickMark val="out"/>
        <c:minorTickMark val="none"/>
        <c:tickLblPos val="nextTo"/>
        <c:crossAx val="190241408"/>
        <c:crosses val="autoZero"/>
        <c:auto val="1"/>
        <c:lblAlgn val="ctr"/>
        <c:lblOffset val="100"/>
        <c:noMultiLvlLbl val="0"/>
      </c:catAx>
      <c:valAx>
        <c:axId val="190241408"/>
        <c:scaling>
          <c:orientation val="minMax"/>
        </c:scaling>
        <c:delete val="0"/>
        <c:axPos val="l"/>
        <c:title>
          <c:tx>
            <c:rich>
              <a:bodyPr/>
              <a:lstStyle/>
              <a:p>
                <a:pPr>
                  <a:defRPr/>
                </a:pPr>
                <a:r>
                  <a:rPr lang="de-DE"/>
                  <a:t>Häufigkeit</a:t>
                </a:r>
              </a:p>
            </c:rich>
          </c:tx>
          <c:overlay val="0"/>
        </c:title>
        <c:numFmt formatCode="General" sourceLinked="1"/>
        <c:majorTickMark val="out"/>
        <c:minorTickMark val="none"/>
        <c:tickLblPos val="nextTo"/>
        <c:crossAx val="190239488"/>
        <c:crosses val="autoZero"/>
        <c:crossBetween val="between"/>
      </c:valAx>
    </c:plotArea>
    <c:legend>
      <c:legendPos val="r"/>
      <c:layout>
        <c:manualLayout>
          <c:xMode val="edge"/>
          <c:yMode val="edge"/>
          <c:x val="0.21586096658856788"/>
          <c:y val="0.19746184835924474"/>
          <c:w val="0.18679036706420321"/>
          <c:h val="5.1342741015976072E-2"/>
        </c:manualLayout>
      </c:layout>
      <c:overlay val="0"/>
    </c:legend>
    <c:plotVisOnly val="1"/>
    <c:dispBlanksAs val="gap"/>
    <c:showDLblsOverMax val="0"/>
  </c:chart>
  <c:printSettings>
    <c:headerFooter/>
    <c:pageMargins b="0.78740157499999996" l="0.7" r="0.7" t="0.78740157499999996" header="0.3" footer="0.3"/>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2</xdr:col>
      <xdr:colOff>723900</xdr:colOff>
      <xdr:row>8</xdr:row>
      <xdr:rowOff>104775</xdr:rowOff>
    </xdr:from>
    <xdr:ext cx="4313149" cy="1507006"/>
    <xdr:sp macro="" textlink="">
      <xdr:nvSpPr>
        <xdr:cNvPr id="2" name="Rechteck 1">
          <a:extLst>
            <a:ext uri="{FF2B5EF4-FFF2-40B4-BE49-F238E27FC236}">
              <a16:creationId xmlns:a16="http://schemas.microsoft.com/office/drawing/2014/main" id="{00000000-0008-0000-0000-000002000000}"/>
            </a:ext>
          </a:extLst>
        </xdr:cNvPr>
        <xdr:cNvSpPr/>
      </xdr:nvSpPr>
      <xdr:spPr>
        <a:xfrm rot="18995149">
          <a:off x="1895475" y="1743075"/>
          <a:ext cx="4313149" cy="1507006"/>
        </a:xfrm>
        <a:prstGeom prst="rect">
          <a:avLst/>
        </a:prstGeom>
        <a:noFill/>
        <a:effectLst/>
      </xdr:spPr>
      <xdr:txBody>
        <a:bodyPr wrap="square" lIns="91440" tIns="45720" rIns="91440" bIns="45720">
          <a:no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de-DE" sz="8800" b="1" cap="none" spc="0">
              <a:ln w="11430"/>
              <a:solidFill>
                <a:schemeClr val="accent6">
                  <a:alpha val="46000"/>
                </a:schemeClr>
              </a:solidFill>
              <a:effectLst>
                <a:outerShdw blurRad="80000" dist="40000" dir="5040000" algn="tl">
                  <a:srgbClr val="000000">
                    <a:alpha val="30000"/>
                  </a:srgbClr>
                </a:outerShdw>
              </a:effectLst>
            </a:rPr>
            <a:t>Lösung</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9525</xdr:colOff>
      <xdr:row>66</xdr:row>
      <xdr:rowOff>65653</xdr:rowOff>
    </xdr:from>
    <xdr:to>
      <xdr:col>5</xdr:col>
      <xdr:colOff>695325</xdr:colOff>
      <xdr:row>85</xdr:row>
      <xdr:rowOff>137090</xdr:rowOff>
    </xdr:to>
    <xdr:graphicFrame macro="">
      <xdr:nvGraphicFramePr>
        <xdr:cNvPr id="3" name="Diagramm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695325</xdr:colOff>
      <xdr:row>66</xdr:row>
      <xdr:rowOff>65484</xdr:rowOff>
    </xdr:from>
    <xdr:to>
      <xdr:col>10</xdr:col>
      <xdr:colOff>771525</xdr:colOff>
      <xdr:row>85</xdr:row>
      <xdr:rowOff>137259</xdr:rowOff>
    </xdr:to>
    <xdr:graphicFrame macro="">
      <xdr:nvGraphicFramePr>
        <xdr:cNvPr id="4" name="Diagramm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0.115</cdr:x>
      <cdr:y>0.90991</cdr:y>
    </cdr:from>
    <cdr:to>
      <cdr:x>0.8</cdr:x>
      <cdr:y>0.99743</cdr:y>
    </cdr:to>
    <cdr:sp macro="" textlink="">
      <cdr:nvSpPr>
        <cdr:cNvPr id="2" name="Textfeld 1"/>
        <cdr:cNvSpPr txBox="1"/>
      </cdr:nvSpPr>
      <cdr:spPr>
        <a:xfrm xmlns:a="http://schemas.openxmlformats.org/drawingml/2006/main">
          <a:off x="438150" y="3367087"/>
          <a:ext cx="260985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de-DE" sz="1100"/>
            <a:t>Wie oft</a:t>
          </a:r>
          <a:r>
            <a:rPr lang="de-DE" sz="1100" baseline="0"/>
            <a:t> wurde welche Stückzahl verkauft?</a:t>
          </a:r>
          <a:endParaRPr lang="de-DE" sz="1100"/>
        </a:p>
      </cdr:txBody>
    </cdr:sp>
  </cdr:relSizeAnchor>
</c:userShapes>
</file>

<file path=xl/drawings/drawing4.xml><?xml version="1.0" encoding="utf-8"?>
<xdr:wsDr xmlns:xdr="http://schemas.openxmlformats.org/drawingml/2006/spreadsheetDrawing" xmlns:a="http://schemas.openxmlformats.org/drawingml/2006/main">
  <xdr:oneCellAnchor>
    <xdr:from>
      <xdr:col>3</xdr:col>
      <xdr:colOff>314325</xdr:colOff>
      <xdr:row>27</xdr:row>
      <xdr:rowOff>119062</xdr:rowOff>
    </xdr:from>
    <xdr:ext cx="914400" cy="342786"/>
    <mc:AlternateContent xmlns:mc="http://schemas.openxmlformats.org/markup-compatibility/2006" xmlns:a14="http://schemas.microsoft.com/office/drawing/2010/main">
      <mc:Choice Requires="a14">
        <xdr:sp macro="" textlink="">
          <xdr:nvSpPr>
            <xdr:cNvPr id="2" name="Textfeld 1">
              <a:extLst>
                <a:ext uri="{FF2B5EF4-FFF2-40B4-BE49-F238E27FC236}">
                  <a16:creationId xmlns:a16="http://schemas.microsoft.com/office/drawing/2014/main" id="{00000000-0008-0000-0500-000002000000}"/>
                </a:ext>
              </a:extLst>
            </xdr:cNvPr>
            <xdr:cNvSpPr txBox="1"/>
          </xdr:nvSpPr>
          <xdr:spPr>
            <a:xfrm>
              <a:off x="2657475" y="5719762"/>
              <a:ext cx="9144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acc>
                      <m:accPr>
                        <m:chr m:val="̅"/>
                        <m:ctrlPr>
                          <a:rPr lang="de-DE" sz="1600" i="1">
                            <a:latin typeface="Cambria Math" panose="02040503050406030204" pitchFamily="18" charset="0"/>
                          </a:rPr>
                        </m:ctrlPr>
                      </m:accPr>
                      <m:e>
                        <m:r>
                          <a:rPr lang="de-DE" sz="1600" b="0" i="1">
                            <a:latin typeface="Cambria Math"/>
                          </a:rPr>
                          <m:t>𝑥</m:t>
                        </m:r>
                      </m:e>
                    </m:acc>
                  </m:oMath>
                </m:oMathPara>
              </a14:m>
              <a:endParaRPr lang="de-DE" sz="1600"/>
            </a:p>
          </xdr:txBody>
        </xdr:sp>
      </mc:Choice>
      <mc:Fallback xmlns="">
        <xdr:sp macro="" textlink="">
          <xdr:nvSpPr>
            <xdr:cNvPr id="2" name="Textfeld 1"/>
            <xdr:cNvSpPr txBox="1"/>
          </xdr:nvSpPr>
          <xdr:spPr>
            <a:xfrm>
              <a:off x="2657475" y="5719762"/>
              <a:ext cx="9144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de-DE" sz="1600" b="0" i="0">
                  <a:latin typeface="Cambria Math"/>
                </a:rPr>
                <a:t>𝑥 ̅</a:t>
              </a:r>
              <a:endParaRPr lang="de-DE" sz="16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5</xdr:col>
      <xdr:colOff>152400</xdr:colOff>
      <xdr:row>30</xdr:row>
      <xdr:rowOff>47625</xdr:rowOff>
    </xdr:from>
    <xdr:to>
      <xdr:col>9</xdr:col>
      <xdr:colOff>755650</xdr:colOff>
      <xdr:row>47</xdr:row>
      <xdr:rowOff>57150</xdr:rowOff>
    </xdr:to>
    <xdr:graphicFrame macro="">
      <xdr:nvGraphicFramePr>
        <xdr:cNvPr id="2" name="Diagramm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80010</xdr:colOff>
      <xdr:row>19</xdr:row>
      <xdr:rowOff>19050</xdr:rowOff>
    </xdr:from>
    <xdr:to>
      <xdr:col>17</xdr:col>
      <xdr:colOff>809625</xdr:colOff>
      <xdr:row>41</xdr:row>
      <xdr:rowOff>156210</xdr:rowOff>
    </xdr:to>
    <xdr:graphicFrame macro="">
      <xdr:nvGraphicFramePr>
        <xdr:cNvPr id="3" name="Diagramm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49530</xdr:colOff>
      <xdr:row>19</xdr:row>
      <xdr:rowOff>31432</xdr:rowOff>
    </xdr:from>
    <xdr:to>
      <xdr:col>24</xdr:col>
      <xdr:colOff>704850</xdr:colOff>
      <xdr:row>41</xdr:row>
      <xdr:rowOff>143827</xdr:rowOff>
    </xdr:to>
    <xdr:graphicFrame macro="">
      <xdr:nvGraphicFramePr>
        <xdr:cNvPr id="4" name="Diagramm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81915</xdr:colOff>
      <xdr:row>19</xdr:row>
      <xdr:rowOff>37147</xdr:rowOff>
    </xdr:from>
    <xdr:to>
      <xdr:col>32</xdr:col>
      <xdr:colOff>152400</xdr:colOff>
      <xdr:row>41</xdr:row>
      <xdr:rowOff>138112</xdr:rowOff>
    </xdr:to>
    <xdr:graphicFrame macro="">
      <xdr:nvGraphicFramePr>
        <xdr:cNvPr id="5" name="Diagramm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zoomScale="80" zoomScaleNormal="80" workbookViewId="0">
      <selection activeCell="B1" sqref="B1"/>
    </sheetView>
  </sheetViews>
  <sheetFormatPr baseColWidth="10" defaultRowHeight="12.5" x14ac:dyDescent="0.25"/>
  <cols>
    <col min="2" max="2" width="5.54296875" customWidth="1"/>
  </cols>
  <sheetData>
    <row r="2" spans="2:21" ht="18" x14ac:dyDescent="0.25">
      <c r="B2" s="4" t="s">
        <v>71</v>
      </c>
      <c r="C2" s="5"/>
      <c r="D2" s="5"/>
      <c r="E2" s="5"/>
      <c r="F2" s="5"/>
      <c r="G2" s="5"/>
      <c r="H2" s="5"/>
      <c r="I2" s="5"/>
      <c r="J2" s="6"/>
    </row>
    <row r="3" spans="2:21" ht="20" x14ac:dyDescent="0.25">
      <c r="B3" s="7"/>
      <c r="C3" s="8"/>
      <c r="D3" s="8"/>
      <c r="E3" s="8"/>
      <c r="F3" s="8"/>
      <c r="G3" s="8"/>
      <c r="H3" s="8"/>
      <c r="I3" s="8"/>
      <c r="J3" s="9"/>
      <c r="L3" s="251" t="s">
        <v>202</v>
      </c>
      <c r="M3" s="251"/>
      <c r="N3" s="251"/>
      <c r="O3" s="251"/>
      <c r="P3" s="251"/>
      <c r="Q3" s="251"/>
      <c r="R3" s="251"/>
      <c r="S3" s="251"/>
      <c r="T3" s="251"/>
      <c r="U3" s="251"/>
    </row>
    <row r="4" spans="2:21" ht="15.5" x14ac:dyDescent="0.35">
      <c r="B4" s="10" t="s">
        <v>140</v>
      </c>
      <c r="C4" s="11"/>
      <c r="D4" s="11"/>
      <c r="E4" s="11"/>
      <c r="F4" s="11"/>
      <c r="G4" s="11"/>
      <c r="H4" s="11"/>
      <c r="I4" s="8"/>
      <c r="J4" s="9"/>
      <c r="L4" s="251"/>
      <c r="M4" s="251"/>
      <c r="N4" s="251"/>
      <c r="O4" s="251"/>
      <c r="P4" s="251"/>
      <c r="Q4" s="251"/>
      <c r="R4" s="251"/>
      <c r="S4" s="251"/>
      <c r="T4" s="251"/>
      <c r="U4" s="251"/>
    </row>
    <row r="5" spans="2:21" ht="15.5" x14ac:dyDescent="0.35">
      <c r="B5" s="12"/>
      <c r="C5" s="11"/>
      <c r="D5" s="11"/>
      <c r="E5" s="11"/>
      <c r="F5" s="11"/>
      <c r="G5" s="11"/>
      <c r="H5" s="11"/>
      <c r="I5" s="8"/>
      <c r="J5" s="9"/>
      <c r="L5" s="251"/>
      <c r="M5" s="251"/>
      <c r="N5" s="251"/>
      <c r="O5" s="251"/>
      <c r="P5" s="251"/>
      <c r="Q5" s="251"/>
      <c r="R5" s="251"/>
      <c r="S5" s="251"/>
      <c r="T5" s="251"/>
      <c r="U5" s="251"/>
    </row>
    <row r="6" spans="2:21" ht="15.5" x14ac:dyDescent="0.35">
      <c r="B6" s="13" t="s">
        <v>141</v>
      </c>
      <c r="C6" s="11"/>
      <c r="D6" s="11"/>
      <c r="E6" s="11"/>
      <c r="F6" s="11"/>
      <c r="G6" s="11"/>
      <c r="H6" s="11"/>
      <c r="I6" s="8"/>
      <c r="J6" s="9"/>
      <c r="L6" s="251"/>
      <c r="M6" s="251"/>
      <c r="N6" s="251"/>
      <c r="O6" s="251"/>
      <c r="P6" s="251"/>
      <c r="Q6" s="251"/>
      <c r="R6" s="251"/>
      <c r="S6" s="251"/>
      <c r="T6" s="251"/>
      <c r="U6" s="251"/>
    </row>
    <row r="7" spans="2:21" ht="15.5" x14ac:dyDescent="0.35">
      <c r="B7" s="12"/>
      <c r="C7" s="11"/>
      <c r="D7" s="11"/>
      <c r="E7" s="11"/>
      <c r="F7" s="11"/>
      <c r="G7" s="11"/>
      <c r="H7" s="11"/>
      <c r="I7" s="8"/>
      <c r="J7" s="9"/>
      <c r="L7" s="251"/>
      <c r="M7" s="251"/>
      <c r="N7" s="251"/>
      <c r="O7" s="251"/>
      <c r="P7" s="251"/>
      <c r="Q7" s="251"/>
      <c r="R7" s="251"/>
      <c r="S7" s="251"/>
      <c r="T7" s="251"/>
      <c r="U7" s="251"/>
    </row>
    <row r="8" spans="2:21" ht="15.5" x14ac:dyDescent="0.35">
      <c r="B8" s="13"/>
      <c r="C8" s="11"/>
      <c r="D8" s="11"/>
      <c r="E8" s="11"/>
      <c r="F8" s="11"/>
      <c r="G8" s="11"/>
      <c r="H8" s="11"/>
      <c r="I8" s="8"/>
      <c r="J8" s="9"/>
      <c r="L8" s="251"/>
      <c r="M8" s="251"/>
      <c r="N8" s="251"/>
      <c r="O8" s="251"/>
      <c r="P8" s="251"/>
      <c r="Q8" s="251"/>
      <c r="R8" s="251"/>
      <c r="S8" s="251"/>
      <c r="T8" s="251"/>
      <c r="U8" s="251"/>
    </row>
    <row r="9" spans="2:21" ht="15.5" x14ac:dyDescent="0.35">
      <c r="B9" s="12"/>
      <c r="C9" s="11"/>
      <c r="D9" s="11"/>
      <c r="E9" s="11"/>
      <c r="F9" s="11"/>
      <c r="G9" s="11"/>
      <c r="H9" s="11"/>
      <c r="I9" s="8"/>
      <c r="J9" s="9"/>
      <c r="L9" s="251"/>
      <c r="M9" s="251"/>
      <c r="N9" s="251"/>
      <c r="O9" s="251"/>
      <c r="P9" s="251"/>
      <c r="Q9" s="251"/>
      <c r="R9" s="251"/>
      <c r="S9" s="251"/>
      <c r="T9" s="251"/>
      <c r="U9" s="251"/>
    </row>
    <row r="10" spans="2:21" ht="15.5" x14ac:dyDescent="0.35">
      <c r="B10" s="13"/>
      <c r="C10" s="11"/>
      <c r="D10" s="11"/>
      <c r="E10" s="11"/>
      <c r="F10" s="11"/>
      <c r="G10" s="11"/>
      <c r="H10" s="11"/>
      <c r="I10" s="8"/>
      <c r="J10" s="9"/>
      <c r="L10" s="251"/>
      <c r="M10" s="251"/>
      <c r="N10" s="251"/>
      <c r="O10" s="251"/>
      <c r="P10" s="251"/>
      <c r="Q10" s="251"/>
      <c r="R10" s="251"/>
      <c r="S10" s="251"/>
      <c r="T10" s="251"/>
      <c r="U10" s="251"/>
    </row>
    <row r="11" spans="2:21" ht="15.5" x14ac:dyDescent="0.35">
      <c r="B11" s="12"/>
      <c r="C11" s="11"/>
      <c r="D11" s="11"/>
      <c r="E11" s="11"/>
      <c r="F11" s="11"/>
      <c r="G11" s="11"/>
      <c r="H11" s="11"/>
      <c r="I11" s="8"/>
      <c r="J11" s="9"/>
      <c r="L11" s="251"/>
      <c r="M11" s="251"/>
      <c r="N11" s="251"/>
      <c r="O11" s="251"/>
      <c r="P11" s="251"/>
      <c r="Q11" s="251"/>
      <c r="R11" s="251"/>
      <c r="S11" s="251"/>
      <c r="T11" s="251"/>
      <c r="U11" s="251"/>
    </row>
    <row r="12" spans="2:21" ht="15.5" x14ac:dyDescent="0.35">
      <c r="B12" s="13"/>
      <c r="C12" s="11"/>
      <c r="D12" s="11"/>
      <c r="E12" s="11"/>
      <c r="F12" s="11"/>
      <c r="G12" s="11"/>
      <c r="H12" s="11"/>
      <c r="I12" s="8"/>
      <c r="J12" s="9"/>
      <c r="L12" s="251"/>
      <c r="M12" s="251"/>
      <c r="N12" s="251"/>
      <c r="O12" s="251"/>
      <c r="P12" s="251"/>
      <c r="Q12" s="251"/>
      <c r="R12" s="251"/>
      <c r="S12" s="251"/>
      <c r="T12" s="251"/>
      <c r="U12" s="251"/>
    </row>
    <row r="13" spans="2:21" ht="15.5" x14ac:dyDescent="0.35">
      <c r="B13" s="12"/>
      <c r="C13" s="11"/>
      <c r="D13" s="11"/>
      <c r="E13" s="11"/>
      <c r="F13" s="11"/>
      <c r="G13" s="11"/>
      <c r="H13" s="11"/>
      <c r="I13" s="8"/>
      <c r="J13" s="9"/>
      <c r="L13" s="251"/>
      <c r="M13" s="251"/>
      <c r="N13" s="251"/>
      <c r="O13" s="251"/>
      <c r="P13" s="251"/>
      <c r="Q13" s="251"/>
      <c r="R13" s="251"/>
      <c r="S13" s="251"/>
      <c r="T13" s="251"/>
      <c r="U13" s="251"/>
    </row>
    <row r="14" spans="2:21" ht="15.5" x14ac:dyDescent="0.35">
      <c r="B14" s="13"/>
      <c r="C14" s="11"/>
      <c r="D14" s="11"/>
      <c r="E14" s="11"/>
      <c r="F14" s="11"/>
      <c r="G14" s="11"/>
      <c r="H14" s="11"/>
      <c r="I14" s="8"/>
      <c r="J14" s="9"/>
      <c r="L14" s="251"/>
      <c r="M14" s="251"/>
      <c r="N14" s="251"/>
      <c r="O14" s="251"/>
      <c r="P14" s="251"/>
      <c r="Q14" s="251"/>
      <c r="R14" s="251"/>
      <c r="S14" s="251"/>
      <c r="T14" s="251"/>
      <c r="U14" s="251"/>
    </row>
    <row r="15" spans="2:21" ht="15.5" x14ac:dyDescent="0.35">
      <c r="B15" s="12"/>
      <c r="C15" s="11"/>
      <c r="D15" s="11"/>
      <c r="E15" s="11"/>
      <c r="F15" s="11"/>
      <c r="G15" s="11"/>
      <c r="H15" s="11"/>
      <c r="I15" s="8"/>
      <c r="J15" s="9"/>
      <c r="L15" s="251"/>
      <c r="M15" s="251"/>
      <c r="N15" s="251"/>
      <c r="O15" s="251"/>
      <c r="P15" s="251"/>
      <c r="Q15" s="251"/>
      <c r="R15" s="251"/>
      <c r="S15" s="251"/>
      <c r="T15" s="251"/>
      <c r="U15" s="251"/>
    </row>
    <row r="16" spans="2:21" x14ac:dyDescent="0.25">
      <c r="B16" s="14"/>
      <c r="C16" s="8"/>
      <c r="D16" s="8"/>
      <c r="E16" s="8"/>
      <c r="F16" s="8"/>
      <c r="G16" s="8"/>
      <c r="H16" s="8"/>
      <c r="I16" s="8"/>
      <c r="J16" s="9"/>
      <c r="L16" s="251"/>
      <c r="M16" s="251"/>
      <c r="N16" s="251"/>
      <c r="O16" s="251"/>
      <c r="P16" s="251"/>
      <c r="Q16" s="251"/>
      <c r="R16" s="251"/>
      <c r="S16" s="251"/>
      <c r="T16" s="251"/>
      <c r="U16" s="251"/>
    </row>
    <row r="17" spans="2:21" x14ac:dyDescent="0.25">
      <c r="B17" s="14"/>
      <c r="C17" s="8"/>
      <c r="D17" s="8"/>
      <c r="E17" s="8"/>
      <c r="F17" s="8"/>
      <c r="G17" s="8"/>
      <c r="H17" s="8"/>
      <c r="I17" s="8"/>
      <c r="J17" s="9"/>
      <c r="L17" s="251"/>
      <c r="M17" s="251"/>
      <c r="N17" s="251"/>
      <c r="O17" s="251"/>
      <c r="P17" s="251"/>
      <c r="Q17" s="251"/>
      <c r="R17" s="251"/>
      <c r="S17" s="251"/>
      <c r="T17" s="251"/>
      <c r="U17" s="251"/>
    </row>
    <row r="18" spans="2:21" ht="18" x14ac:dyDescent="0.25">
      <c r="B18" s="15" t="s">
        <v>72</v>
      </c>
      <c r="C18" s="16"/>
      <c r="D18" s="16"/>
      <c r="E18" s="16"/>
      <c r="F18" s="16"/>
      <c r="G18" s="16"/>
      <c r="H18" s="16"/>
      <c r="I18" s="16"/>
      <c r="J18" s="17"/>
      <c r="L18" s="251"/>
      <c r="M18" s="251"/>
      <c r="N18" s="251"/>
      <c r="O18" s="251"/>
      <c r="P18" s="251"/>
      <c r="Q18" s="251"/>
      <c r="R18" s="251"/>
      <c r="S18" s="251"/>
      <c r="T18" s="251"/>
      <c r="U18" s="251"/>
    </row>
    <row r="19" spans="2:21" ht="15.5" x14ac:dyDescent="0.25">
      <c r="B19" s="14"/>
      <c r="C19" s="18" t="s">
        <v>73</v>
      </c>
      <c r="D19" s="8"/>
      <c r="E19" s="8"/>
      <c r="F19" s="8"/>
      <c r="G19" s="8"/>
      <c r="H19" s="8"/>
      <c r="I19" s="8"/>
      <c r="J19" s="9"/>
    </row>
    <row r="20" spans="2:21" ht="15.5" x14ac:dyDescent="0.25">
      <c r="B20" s="14"/>
      <c r="C20" s="18" t="s">
        <v>139</v>
      </c>
      <c r="D20" s="8"/>
      <c r="E20" s="8"/>
      <c r="F20" s="8"/>
      <c r="G20" s="8"/>
      <c r="H20" s="8"/>
      <c r="I20" s="8"/>
      <c r="J20" s="9"/>
    </row>
    <row r="21" spans="2:21" ht="15.5" x14ac:dyDescent="0.25">
      <c r="B21" s="14"/>
      <c r="C21" s="18" t="s">
        <v>138</v>
      </c>
      <c r="D21" s="8"/>
      <c r="E21" s="8"/>
      <c r="F21" s="8"/>
      <c r="G21" s="8"/>
      <c r="H21" s="8"/>
      <c r="I21" s="8"/>
      <c r="J21" s="9"/>
    </row>
    <row r="22" spans="2:21" ht="15.5" x14ac:dyDescent="0.25">
      <c r="B22" s="14"/>
      <c r="C22" s="18" t="s">
        <v>75</v>
      </c>
      <c r="D22" s="8"/>
      <c r="E22" s="8"/>
      <c r="F22" s="8"/>
      <c r="G22" s="8"/>
      <c r="H22" s="8"/>
      <c r="I22" s="8"/>
      <c r="J22" s="9"/>
    </row>
    <row r="23" spans="2:21" ht="15.5" x14ac:dyDescent="0.25">
      <c r="B23" s="14"/>
      <c r="C23" s="18" t="s">
        <v>157</v>
      </c>
      <c r="D23" s="8"/>
      <c r="E23" s="8"/>
      <c r="F23" s="8"/>
      <c r="G23" s="8"/>
      <c r="H23" s="8"/>
      <c r="I23" s="8"/>
      <c r="J23" s="9"/>
    </row>
    <row r="24" spans="2:21" ht="15.5" x14ac:dyDescent="0.25">
      <c r="B24" s="14"/>
      <c r="C24" s="18" t="s">
        <v>77</v>
      </c>
      <c r="D24" s="8"/>
      <c r="E24" s="8"/>
      <c r="F24" s="8"/>
      <c r="G24" s="8"/>
      <c r="H24" s="8"/>
      <c r="I24" s="8"/>
      <c r="J24" s="9"/>
    </row>
    <row r="25" spans="2:21" ht="15.5" x14ac:dyDescent="0.25">
      <c r="B25" s="14"/>
      <c r="C25" s="18" t="s">
        <v>76</v>
      </c>
      <c r="D25" s="8"/>
      <c r="E25" s="8"/>
      <c r="F25" s="8"/>
      <c r="G25" s="8"/>
      <c r="H25" s="8"/>
      <c r="I25" s="8"/>
      <c r="J25" s="9"/>
    </row>
    <row r="26" spans="2:21" ht="15.5" x14ac:dyDescent="0.25">
      <c r="B26" s="14"/>
      <c r="C26" s="18"/>
      <c r="D26" s="8"/>
      <c r="E26" s="8"/>
      <c r="F26" s="8"/>
      <c r="G26" s="8"/>
      <c r="H26" s="8"/>
      <c r="I26" s="8"/>
      <c r="J26" s="9"/>
    </row>
    <row r="27" spans="2:21" ht="15.5" x14ac:dyDescent="0.25">
      <c r="B27" s="14"/>
      <c r="C27" s="18"/>
      <c r="D27" s="8"/>
      <c r="E27" s="8"/>
      <c r="F27" s="8"/>
      <c r="G27" s="8"/>
      <c r="H27" s="8"/>
      <c r="I27" s="8"/>
      <c r="J27" s="9"/>
    </row>
    <row r="28" spans="2:21" ht="15.5" x14ac:dyDescent="0.25">
      <c r="B28" s="19"/>
      <c r="C28" s="20"/>
      <c r="D28" s="21"/>
      <c r="E28" s="21"/>
      <c r="F28" s="21"/>
      <c r="G28" s="21"/>
      <c r="H28" s="21"/>
      <c r="I28" s="21"/>
      <c r="J28" s="22"/>
    </row>
  </sheetData>
  <mergeCells count="1">
    <mergeCell ref="L3:U18"/>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84"/>
  <sheetViews>
    <sheetView topLeftCell="A40" zoomScale="80" zoomScaleNormal="80" workbookViewId="0">
      <selection activeCell="E29" sqref="E29"/>
    </sheetView>
  </sheetViews>
  <sheetFormatPr baseColWidth="10" defaultColWidth="11.54296875" defaultRowHeight="15.5" x14ac:dyDescent="0.35"/>
  <cols>
    <col min="1" max="1" width="1" style="2" customWidth="1"/>
    <col min="2" max="2" width="14.26953125" style="2" customWidth="1"/>
    <col min="3" max="3" width="13.1796875" style="2" customWidth="1"/>
    <col min="4" max="4" width="18.54296875" style="2" customWidth="1"/>
    <col min="5" max="5" width="15.26953125" style="2" customWidth="1"/>
    <col min="6" max="7" width="11.54296875" style="2"/>
    <col min="8" max="9" width="13.26953125" style="2" customWidth="1"/>
    <col min="10" max="16384" width="11.54296875" style="2"/>
  </cols>
  <sheetData>
    <row r="2" spans="2:10" ht="20" x14ac:dyDescent="0.4">
      <c r="B2" s="23" t="s">
        <v>79</v>
      </c>
      <c r="C2" s="30"/>
      <c r="D2" s="30"/>
      <c r="E2" s="30"/>
      <c r="F2" s="30"/>
    </row>
    <row r="3" spans="2:10" x14ac:dyDescent="0.35">
      <c r="B3" s="41"/>
    </row>
    <row r="4" spans="2:10" ht="18.5" thickBot="1" x14ac:dyDescent="0.45">
      <c r="B4" s="25" t="s">
        <v>78</v>
      </c>
      <c r="C4" s="30"/>
    </row>
    <row r="5" spans="2:10" x14ac:dyDescent="0.35">
      <c r="B5" s="26"/>
      <c r="C5" s="27"/>
      <c r="D5" s="27"/>
      <c r="E5" s="27"/>
      <c r="F5" s="27"/>
      <c r="G5" s="27"/>
      <c r="H5" s="27"/>
      <c r="I5" s="27"/>
      <c r="J5" s="28"/>
    </row>
    <row r="6" spans="2:10" x14ac:dyDescent="0.35">
      <c r="B6" s="29" t="s">
        <v>82</v>
      </c>
      <c r="C6" s="30"/>
      <c r="D6" s="30"/>
      <c r="E6" s="30"/>
      <c r="F6" s="30"/>
      <c r="G6" s="30"/>
      <c r="H6" s="30"/>
      <c r="I6" s="30"/>
      <c r="J6" s="31"/>
    </row>
    <row r="7" spans="2:10" x14ac:dyDescent="0.35">
      <c r="B7" s="255" t="s">
        <v>84</v>
      </c>
      <c r="C7" s="256"/>
      <c r="D7" s="256"/>
      <c r="E7" s="256"/>
      <c r="F7" s="256"/>
      <c r="G7" s="256"/>
      <c r="H7" s="256"/>
      <c r="I7" s="256"/>
      <c r="J7" s="257"/>
    </row>
    <row r="8" spans="2:10" x14ac:dyDescent="0.35">
      <c r="B8" s="258" t="s">
        <v>85</v>
      </c>
      <c r="C8" s="259"/>
      <c r="D8" s="259"/>
      <c r="E8" s="259"/>
      <c r="F8" s="259"/>
      <c r="G8" s="259"/>
      <c r="H8" s="259"/>
      <c r="I8" s="259"/>
      <c r="J8" s="260"/>
    </row>
    <row r="9" spans="2:10" x14ac:dyDescent="0.35">
      <c r="B9" s="32"/>
      <c r="C9" s="11"/>
      <c r="D9" s="11"/>
      <c r="E9" s="11"/>
      <c r="F9" s="11"/>
      <c r="G9" s="11"/>
      <c r="H9" s="11"/>
      <c r="I9" s="11"/>
      <c r="J9" s="33"/>
    </row>
    <row r="10" spans="2:10" x14ac:dyDescent="0.35">
      <c r="B10" s="29" t="s">
        <v>83</v>
      </c>
      <c r="C10" s="30"/>
      <c r="D10" s="30"/>
      <c r="E10" s="30"/>
      <c r="F10" s="30"/>
      <c r="G10" s="30"/>
      <c r="H10" s="30"/>
      <c r="I10" s="30"/>
      <c r="J10" s="31"/>
    </row>
    <row r="11" spans="2:10" ht="34.15" customHeight="1" x14ac:dyDescent="0.35">
      <c r="B11" s="261" t="s">
        <v>116</v>
      </c>
      <c r="C11" s="262"/>
      <c r="D11" s="262"/>
      <c r="E11" s="262"/>
      <c r="F11" s="262"/>
      <c r="G11" s="262"/>
      <c r="H11" s="262"/>
      <c r="I11" s="262"/>
      <c r="J11" s="263"/>
    </row>
    <row r="12" spans="2:10" x14ac:dyDescent="0.35">
      <c r="B12" s="258" t="s">
        <v>86</v>
      </c>
      <c r="C12" s="259"/>
      <c r="D12" s="259"/>
      <c r="E12" s="259"/>
      <c r="F12" s="259"/>
      <c r="G12" s="259"/>
      <c r="H12" s="259"/>
      <c r="I12" s="259"/>
      <c r="J12" s="260"/>
    </row>
    <row r="13" spans="2:10" x14ac:dyDescent="0.35">
      <c r="B13" s="37"/>
      <c r="C13" s="11"/>
      <c r="D13" s="11"/>
      <c r="E13" s="11"/>
      <c r="F13" s="11"/>
      <c r="G13" s="11"/>
      <c r="H13" s="11"/>
      <c r="I13" s="11"/>
      <c r="J13" s="33"/>
    </row>
    <row r="14" spans="2:10" x14ac:dyDescent="0.35">
      <c r="B14" s="75" t="s">
        <v>87</v>
      </c>
      <c r="C14" s="76"/>
      <c r="D14" s="76"/>
      <c r="E14" s="76"/>
      <c r="F14" s="76"/>
      <c r="G14" s="76"/>
      <c r="H14" s="76"/>
      <c r="I14" s="76"/>
      <c r="J14" s="77"/>
    </row>
    <row r="15" spans="2:10" ht="31.15" customHeight="1" x14ac:dyDescent="0.35">
      <c r="B15" s="32"/>
      <c r="C15" s="59" t="s">
        <v>21</v>
      </c>
      <c r="D15" s="60" t="s">
        <v>80</v>
      </c>
      <c r="E15" s="61" t="s">
        <v>93</v>
      </c>
      <c r="F15" s="11"/>
      <c r="G15" s="62"/>
      <c r="H15" s="62"/>
      <c r="I15" s="62"/>
      <c r="J15" s="33"/>
    </row>
    <row r="16" spans="2:10" x14ac:dyDescent="0.35">
      <c r="B16" s="32"/>
      <c r="C16" s="63">
        <v>1</v>
      </c>
      <c r="D16" s="64">
        <v>180</v>
      </c>
      <c r="E16" s="65">
        <v>3</v>
      </c>
      <c r="F16" s="11"/>
      <c r="G16" s="62"/>
      <c r="H16" s="62"/>
      <c r="I16" s="62"/>
      <c r="J16" s="33"/>
    </row>
    <row r="17" spans="2:10" x14ac:dyDescent="0.35">
      <c r="B17" s="32"/>
      <c r="C17" s="66">
        <v>2</v>
      </c>
      <c r="D17" s="67">
        <v>190</v>
      </c>
      <c r="E17" s="68">
        <v>4</v>
      </c>
      <c r="F17" s="11"/>
      <c r="G17" s="62"/>
      <c r="H17" s="62"/>
      <c r="I17" s="62"/>
      <c r="J17" s="33"/>
    </row>
    <row r="18" spans="2:10" x14ac:dyDescent="0.35">
      <c r="B18" s="32"/>
      <c r="C18" s="66">
        <v>3</v>
      </c>
      <c r="D18" s="67">
        <v>196</v>
      </c>
      <c r="E18" s="68">
        <v>7</v>
      </c>
      <c r="F18" s="11"/>
      <c r="G18" s="62"/>
      <c r="H18" s="62"/>
      <c r="I18" s="62"/>
      <c r="J18" s="33"/>
    </row>
    <row r="19" spans="2:10" x14ac:dyDescent="0.35">
      <c r="B19" s="32"/>
      <c r="C19" s="66">
        <v>4</v>
      </c>
      <c r="D19" s="67">
        <v>204</v>
      </c>
      <c r="E19" s="68">
        <v>6</v>
      </c>
      <c r="F19" s="11"/>
      <c r="G19" s="62"/>
      <c r="H19" s="62"/>
      <c r="I19" s="62"/>
      <c r="J19" s="33"/>
    </row>
    <row r="20" spans="2:10" x14ac:dyDescent="0.35">
      <c r="B20" s="32"/>
      <c r="C20" s="66">
        <v>5</v>
      </c>
      <c r="D20" s="67">
        <v>198</v>
      </c>
      <c r="E20" s="68">
        <v>5.5</v>
      </c>
      <c r="F20" s="11"/>
      <c r="G20" s="62"/>
      <c r="H20" s="62"/>
      <c r="I20" s="62"/>
      <c r="J20" s="33"/>
    </row>
    <row r="21" spans="2:10" x14ac:dyDescent="0.35">
      <c r="B21" s="32"/>
      <c r="C21" s="66">
        <v>6</v>
      </c>
      <c r="D21" s="67">
        <v>160</v>
      </c>
      <c r="E21" s="68">
        <v>7</v>
      </c>
      <c r="F21" s="11"/>
      <c r="G21" s="62"/>
      <c r="H21" s="62"/>
      <c r="I21" s="62"/>
      <c r="J21" s="33"/>
    </row>
    <row r="22" spans="2:10" x14ac:dyDescent="0.35">
      <c r="B22" s="32"/>
      <c r="C22" s="66">
        <v>7</v>
      </c>
      <c r="D22" s="67">
        <v>167</v>
      </c>
      <c r="E22" s="68">
        <v>9</v>
      </c>
      <c r="F22" s="11"/>
      <c r="G22" s="62"/>
      <c r="H22" s="62"/>
      <c r="I22" s="62"/>
      <c r="J22" s="33"/>
    </row>
    <row r="23" spans="2:10" x14ac:dyDescent="0.35">
      <c r="B23" s="32"/>
      <c r="C23" s="66">
        <v>8</v>
      </c>
      <c r="D23" s="67">
        <v>172</v>
      </c>
      <c r="E23" s="68">
        <v>8</v>
      </c>
      <c r="F23" s="11"/>
      <c r="G23" s="62"/>
      <c r="H23" s="62"/>
      <c r="I23" s="62"/>
      <c r="J23" s="33"/>
    </row>
    <row r="24" spans="2:10" x14ac:dyDescent="0.35">
      <c r="B24" s="32"/>
      <c r="C24" s="66">
        <v>9</v>
      </c>
      <c r="D24" s="67">
        <v>178</v>
      </c>
      <c r="E24" s="68">
        <v>6</v>
      </c>
      <c r="F24" s="11"/>
      <c r="G24" s="62"/>
      <c r="H24" s="62"/>
      <c r="I24" s="62"/>
      <c r="J24" s="33"/>
    </row>
    <row r="25" spans="2:10" x14ac:dyDescent="0.35">
      <c r="B25" s="32"/>
      <c r="C25" s="69">
        <v>10</v>
      </c>
      <c r="D25" s="70">
        <v>201</v>
      </c>
      <c r="E25" s="71">
        <v>24</v>
      </c>
      <c r="F25" s="11"/>
      <c r="G25" s="62"/>
      <c r="H25" s="62"/>
      <c r="I25" s="62"/>
      <c r="J25" s="33"/>
    </row>
    <row r="26" spans="2:10" x14ac:dyDescent="0.35">
      <c r="B26" s="32"/>
      <c r="C26" s="11"/>
      <c r="D26" s="11"/>
      <c r="E26" s="11"/>
      <c r="F26" s="11"/>
      <c r="G26" s="11"/>
      <c r="H26" s="11"/>
      <c r="I26" s="11"/>
      <c r="J26" s="33"/>
    </row>
    <row r="27" spans="2:10" x14ac:dyDescent="0.35">
      <c r="B27" s="72" t="s">
        <v>88</v>
      </c>
      <c r="C27" s="73"/>
      <c r="D27" s="73"/>
      <c r="E27" s="73"/>
      <c r="F27" s="73"/>
      <c r="G27" s="73"/>
      <c r="H27" s="73"/>
      <c r="I27" s="73"/>
      <c r="J27" s="74"/>
    </row>
    <row r="28" spans="2:10" x14ac:dyDescent="0.35">
      <c r="B28" s="37"/>
      <c r="C28" s="11" t="s">
        <v>19</v>
      </c>
      <c r="D28" s="11"/>
      <c r="E28" s="11"/>
      <c r="F28" s="11"/>
      <c r="G28" s="11"/>
      <c r="H28" s="11"/>
      <c r="I28" s="11"/>
      <c r="J28" s="33"/>
    </row>
    <row r="29" spans="2:10" x14ac:dyDescent="0.35">
      <c r="B29" s="37"/>
      <c r="C29" s="11"/>
      <c r="D29" s="11"/>
      <c r="E29" s="58">
        <f>SUMIF(E16:E25,"&gt;7")</f>
        <v>41</v>
      </c>
      <c r="F29" s="11" t="s">
        <v>92</v>
      </c>
      <c r="G29" s="11"/>
      <c r="H29" s="11"/>
      <c r="I29" s="11"/>
      <c r="J29" s="33"/>
    </row>
    <row r="30" spans="2:10" x14ac:dyDescent="0.35">
      <c r="B30" s="37"/>
      <c r="C30" s="11"/>
      <c r="D30" s="11"/>
      <c r="E30" s="11"/>
      <c r="F30" s="11"/>
      <c r="G30" s="11"/>
      <c r="H30" s="11"/>
      <c r="I30" s="11"/>
      <c r="J30" s="33"/>
    </row>
    <row r="31" spans="2:10" x14ac:dyDescent="0.35">
      <c r="B31" s="37"/>
      <c r="C31" s="11" t="s">
        <v>91</v>
      </c>
      <c r="D31" s="11"/>
      <c r="E31" s="11"/>
      <c r="F31" s="11"/>
      <c r="G31" s="11"/>
      <c r="H31" s="11"/>
      <c r="I31" s="11"/>
      <c r="J31" s="33"/>
    </row>
    <row r="32" spans="2:10" x14ac:dyDescent="0.35">
      <c r="B32" s="37"/>
      <c r="C32" s="11"/>
      <c r="D32" s="11"/>
      <c r="E32" s="58">
        <f>SUMIF(D16:D25,"&gt;200",E16:E25)</f>
        <v>30</v>
      </c>
      <c r="F32" s="11" t="s">
        <v>92</v>
      </c>
      <c r="G32" s="11"/>
      <c r="H32" s="11"/>
      <c r="I32" s="11"/>
      <c r="J32" s="33"/>
    </row>
    <row r="33" spans="2:10" x14ac:dyDescent="0.35">
      <c r="B33" s="37"/>
      <c r="C33" s="11"/>
      <c r="D33" s="11"/>
      <c r="E33" s="11"/>
      <c r="F33" s="11"/>
      <c r="G33" s="11"/>
      <c r="H33" s="11"/>
      <c r="I33" s="11"/>
      <c r="J33" s="33"/>
    </row>
    <row r="34" spans="2:10" x14ac:dyDescent="0.35">
      <c r="B34" s="72" t="s">
        <v>89</v>
      </c>
      <c r="C34" s="73"/>
      <c r="D34" s="73"/>
      <c r="E34" s="73"/>
      <c r="F34" s="73"/>
      <c r="G34" s="73"/>
      <c r="H34" s="73"/>
      <c r="I34" s="73"/>
      <c r="J34" s="74"/>
    </row>
    <row r="35" spans="2:10" x14ac:dyDescent="0.35">
      <c r="B35" s="32"/>
      <c r="C35" s="11" t="s">
        <v>90</v>
      </c>
      <c r="D35" s="11"/>
      <c r="E35" s="11"/>
      <c r="F35" s="11"/>
      <c r="G35" s="11"/>
      <c r="H35" s="11"/>
      <c r="I35" s="11"/>
      <c r="J35" s="33"/>
    </row>
    <row r="36" spans="2:10" x14ac:dyDescent="0.35">
      <c r="B36" s="32"/>
      <c r="C36" s="11"/>
      <c r="D36" s="11"/>
      <c r="E36" s="58">
        <f>COUNTIF(D16:D25,"&gt;200")</f>
        <v>2</v>
      </c>
      <c r="F36" s="11"/>
      <c r="G36" s="11"/>
      <c r="H36" s="11"/>
      <c r="I36" s="11"/>
      <c r="J36" s="33"/>
    </row>
    <row r="37" spans="2:10" x14ac:dyDescent="0.35">
      <c r="B37" s="32"/>
      <c r="C37" s="11"/>
      <c r="D37" s="11"/>
      <c r="E37" s="11"/>
      <c r="F37" s="11"/>
      <c r="G37" s="11"/>
      <c r="H37" s="11"/>
      <c r="I37" s="11"/>
      <c r="J37" s="33"/>
    </row>
    <row r="38" spans="2:10" x14ac:dyDescent="0.35">
      <c r="B38" s="32"/>
      <c r="C38" s="11" t="s">
        <v>20</v>
      </c>
      <c r="D38" s="11"/>
      <c r="E38" s="11"/>
      <c r="F38" s="11"/>
      <c r="G38" s="11"/>
      <c r="H38" s="11"/>
      <c r="I38" s="11"/>
      <c r="J38" s="33"/>
    </row>
    <row r="39" spans="2:10" x14ac:dyDescent="0.35">
      <c r="B39" s="32"/>
      <c r="C39" s="11"/>
      <c r="D39" s="11"/>
      <c r="E39" s="58">
        <f>COUNTIF(E16:E25,"&gt;7")</f>
        <v>3</v>
      </c>
      <c r="F39" s="11"/>
      <c r="G39" s="11"/>
      <c r="H39" s="11"/>
      <c r="I39" s="11"/>
      <c r="J39" s="33"/>
    </row>
    <row r="40" spans="2:10" ht="16" thickBot="1" x14ac:dyDescent="0.4">
      <c r="B40" s="34"/>
      <c r="C40" s="35"/>
      <c r="D40" s="35"/>
      <c r="E40" s="35"/>
      <c r="F40" s="35"/>
      <c r="G40" s="35"/>
      <c r="H40" s="35"/>
      <c r="I40" s="35"/>
      <c r="J40" s="36"/>
    </row>
    <row r="43" spans="2:10" ht="18.5" thickBot="1" x14ac:dyDescent="0.45">
      <c r="B43" s="25" t="s">
        <v>81</v>
      </c>
      <c r="C43" s="30"/>
    </row>
    <row r="44" spans="2:10" x14ac:dyDescent="0.35">
      <c r="B44" s="83" t="s">
        <v>94</v>
      </c>
      <c r="C44" s="84"/>
      <c r="D44" s="84"/>
      <c r="E44" s="84"/>
      <c r="F44" s="84"/>
      <c r="G44" s="84"/>
      <c r="H44" s="84"/>
      <c r="I44" s="84"/>
      <c r="J44" s="85"/>
    </row>
    <row r="45" spans="2:10" x14ac:dyDescent="0.35">
      <c r="B45" s="48"/>
      <c r="J45" s="49"/>
    </row>
    <row r="46" spans="2:10" x14ac:dyDescent="0.35">
      <c r="B46" s="112" t="s">
        <v>18</v>
      </c>
      <c r="C46" s="98" t="s">
        <v>101</v>
      </c>
      <c r="D46" s="99" t="s">
        <v>17</v>
      </c>
      <c r="E46" s="100" t="s">
        <v>16</v>
      </c>
      <c r="J46" s="49"/>
    </row>
    <row r="47" spans="2:10" x14ac:dyDescent="0.35">
      <c r="B47" s="113" t="s">
        <v>15</v>
      </c>
      <c r="C47" s="91">
        <v>8</v>
      </c>
      <c r="D47" s="81">
        <v>5</v>
      </c>
      <c r="E47" s="82" t="s">
        <v>11</v>
      </c>
      <c r="J47" s="49"/>
    </row>
    <row r="48" spans="2:10" x14ac:dyDescent="0.35">
      <c r="B48" s="113" t="s">
        <v>9</v>
      </c>
      <c r="C48" s="92">
        <v>9</v>
      </c>
      <c r="D48" s="53">
        <v>2</v>
      </c>
      <c r="E48" s="54" t="s">
        <v>8</v>
      </c>
      <c r="J48" s="49"/>
    </row>
    <row r="49" spans="2:10" x14ac:dyDescent="0.35">
      <c r="B49" s="113" t="s">
        <v>9</v>
      </c>
      <c r="C49" s="92">
        <v>9</v>
      </c>
      <c r="D49" s="53">
        <v>3</v>
      </c>
      <c r="E49" s="54" t="s">
        <v>8</v>
      </c>
      <c r="J49" s="49"/>
    </row>
    <row r="50" spans="2:10" x14ac:dyDescent="0.35">
      <c r="B50" s="113" t="s">
        <v>14</v>
      </c>
      <c r="C50" s="92">
        <v>6.5</v>
      </c>
      <c r="D50" s="53">
        <v>4</v>
      </c>
      <c r="E50" s="54" t="s">
        <v>11</v>
      </c>
      <c r="G50" s="55"/>
      <c r="H50" s="55"/>
      <c r="I50" s="55"/>
      <c r="J50" s="129"/>
    </row>
    <row r="51" spans="2:10" x14ac:dyDescent="0.35">
      <c r="B51" s="113" t="s">
        <v>12</v>
      </c>
      <c r="C51" s="92">
        <v>8</v>
      </c>
      <c r="D51" s="53">
        <v>3</v>
      </c>
      <c r="E51" s="54" t="s">
        <v>11</v>
      </c>
      <c r="G51" s="55"/>
      <c r="H51" s="55"/>
      <c r="I51" s="55"/>
      <c r="J51" s="129"/>
    </row>
    <row r="52" spans="2:10" x14ac:dyDescent="0.35">
      <c r="B52" s="113" t="s">
        <v>10</v>
      </c>
      <c r="C52" s="92">
        <v>7</v>
      </c>
      <c r="D52" s="53">
        <v>2</v>
      </c>
      <c r="E52" s="54" t="s">
        <v>8</v>
      </c>
      <c r="G52" s="55"/>
      <c r="H52" s="55"/>
      <c r="I52" s="55"/>
      <c r="J52" s="129"/>
    </row>
    <row r="53" spans="2:10" x14ac:dyDescent="0.35">
      <c r="B53" s="113" t="s">
        <v>9</v>
      </c>
      <c r="C53" s="93">
        <v>9</v>
      </c>
      <c r="D53" s="87">
        <v>2.5</v>
      </c>
      <c r="E53" s="88" t="s">
        <v>8</v>
      </c>
      <c r="F53" s="78"/>
      <c r="J53" s="49"/>
    </row>
    <row r="54" spans="2:10" x14ac:dyDescent="0.35">
      <c r="B54" s="48"/>
      <c r="J54" s="49"/>
    </row>
    <row r="55" spans="2:10" x14ac:dyDescent="0.35">
      <c r="B55" s="72" t="s">
        <v>96</v>
      </c>
      <c r="C55" s="73"/>
      <c r="D55" s="73"/>
      <c r="E55" s="73"/>
      <c r="F55" s="73"/>
      <c r="G55" s="73"/>
      <c r="H55" s="73"/>
      <c r="I55" s="73"/>
      <c r="J55" s="74"/>
    </row>
    <row r="56" spans="2:10" x14ac:dyDescent="0.35">
      <c r="B56" s="48" t="s">
        <v>97</v>
      </c>
      <c r="J56" s="49"/>
    </row>
    <row r="57" spans="2:10" x14ac:dyDescent="0.35">
      <c r="B57" s="48"/>
      <c r="D57" s="58">
        <f>SUMIF(E47:E53,"ja",D47:D53)</f>
        <v>12</v>
      </c>
      <c r="J57" s="49"/>
    </row>
    <row r="58" spans="2:10" x14ac:dyDescent="0.35">
      <c r="B58" s="48" t="s">
        <v>98</v>
      </c>
      <c r="J58" s="49"/>
    </row>
    <row r="59" spans="2:10" x14ac:dyDescent="0.35">
      <c r="B59" s="48"/>
      <c r="D59" s="58">
        <f>SUMIF(B47:B53,"Donnerstag",C47:C53)</f>
        <v>27</v>
      </c>
      <c r="J59" s="49"/>
    </row>
    <row r="60" spans="2:10" ht="30.65" customHeight="1" x14ac:dyDescent="0.35">
      <c r="B60" s="252" t="s">
        <v>13</v>
      </c>
      <c r="C60" s="253"/>
      <c r="D60" s="253"/>
      <c r="E60" s="253"/>
      <c r="F60" s="253"/>
      <c r="G60" s="253"/>
      <c r="H60" s="253"/>
      <c r="I60" s="253"/>
      <c r="J60" s="254"/>
    </row>
    <row r="61" spans="2:10" x14ac:dyDescent="0.35">
      <c r="B61" s="48"/>
      <c r="J61" s="49"/>
    </row>
    <row r="62" spans="2:10" x14ac:dyDescent="0.35">
      <c r="B62" s="48"/>
      <c r="C62" s="2" t="s">
        <v>99</v>
      </c>
      <c r="D62" s="58">
        <f>SUMIF(schmerz?,"ja",knie)</f>
        <v>12</v>
      </c>
      <c r="J62" s="49"/>
    </row>
    <row r="63" spans="2:10" x14ac:dyDescent="0.35">
      <c r="B63" s="48"/>
      <c r="C63" s="2" t="s">
        <v>100</v>
      </c>
      <c r="D63" s="58">
        <f>SUMIF(tag,"Donnerstag",C47:C53)</f>
        <v>27</v>
      </c>
      <c r="J63" s="49"/>
    </row>
    <row r="64" spans="2:10" x14ac:dyDescent="0.35">
      <c r="B64" s="48"/>
      <c r="J64" s="49"/>
    </row>
    <row r="65" spans="2:10" x14ac:dyDescent="0.35">
      <c r="B65" s="75" t="s">
        <v>95</v>
      </c>
      <c r="C65" s="80"/>
      <c r="D65" s="80"/>
      <c r="E65" s="80"/>
      <c r="F65" s="80"/>
      <c r="G65" s="80"/>
      <c r="H65" s="80"/>
      <c r="I65" s="80"/>
      <c r="J65" s="86"/>
    </row>
    <row r="66" spans="2:10" ht="16" thickBot="1" x14ac:dyDescent="0.4">
      <c r="B66" s="48"/>
      <c r="C66" s="45"/>
      <c r="D66" s="45"/>
      <c r="E66" s="45"/>
      <c r="F66" s="45"/>
      <c r="G66" s="45"/>
      <c r="H66" s="45"/>
      <c r="I66" s="45"/>
      <c r="J66" s="101"/>
    </row>
    <row r="67" spans="2:10" x14ac:dyDescent="0.35">
      <c r="B67" s="108" t="s">
        <v>7</v>
      </c>
      <c r="C67" s="106" t="s">
        <v>102</v>
      </c>
      <c r="D67" s="102" t="s">
        <v>6</v>
      </c>
      <c r="J67" s="49"/>
    </row>
    <row r="68" spans="2:10" x14ac:dyDescent="0.35">
      <c r="B68" s="109" t="s">
        <v>2</v>
      </c>
      <c r="C68" s="91">
        <v>190</v>
      </c>
      <c r="D68" s="103">
        <v>3600</v>
      </c>
      <c r="J68" s="49"/>
    </row>
    <row r="69" spans="2:10" x14ac:dyDescent="0.35">
      <c r="B69" s="110" t="s">
        <v>5</v>
      </c>
      <c r="C69" s="92">
        <v>220</v>
      </c>
      <c r="D69" s="104">
        <v>200</v>
      </c>
      <c r="J69" s="49"/>
    </row>
    <row r="70" spans="2:10" x14ac:dyDescent="0.35">
      <c r="B70" s="110" t="s">
        <v>5</v>
      </c>
      <c r="C70" s="92">
        <v>167</v>
      </c>
      <c r="D70" s="104">
        <v>150</v>
      </c>
      <c r="J70" s="49"/>
    </row>
    <row r="71" spans="2:10" x14ac:dyDescent="0.35">
      <c r="B71" s="110" t="s">
        <v>5</v>
      </c>
      <c r="C71" s="92">
        <v>250</v>
      </c>
      <c r="D71" s="104">
        <v>380</v>
      </c>
      <c r="J71" s="49"/>
    </row>
    <row r="72" spans="2:10" ht="31" x14ac:dyDescent="0.35">
      <c r="B72" s="114" t="s">
        <v>103</v>
      </c>
      <c r="C72" s="92">
        <v>36</v>
      </c>
      <c r="D72" s="104">
        <v>170</v>
      </c>
      <c r="J72" s="49"/>
    </row>
    <row r="73" spans="2:10" ht="31" x14ac:dyDescent="0.35">
      <c r="B73" s="114" t="s">
        <v>104</v>
      </c>
      <c r="C73" s="92">
        <v>54</v>
      </c>
      <c r="D73" s="104">
        <v>650</v>
      </c>
      <c r="J73" s="49"/>
    </row>
    <row r="74" spans="2:10" x14ac:dyDescent="0.35">
      <c r="B74" s="110" t="s">
        <v>2</v>
      </c>
      <c r="C74" s="92">
        <v>175</v>
      </c>
      <c r="D74" s="104">
        <v>2800</v>
      </c>
      <c r="J74" s="49"/>
    </row>
    <row r="75" spans="2:10" ht="16" thickBot="1" x14ac:dyDescent="0.4">
      <c r="B75" s="111" t="s">
        <v>2</v>
      </c>
      <c r="C75" s="107">
        <v>160</v>
      </c>
      <c r="D75" s="105">
        <v>5400</v>
      </c>
      <c r="J75" s="49"/>
    </row>
    <row r="76" spans="2:10" x14ac:dyDescent="0.35">
      <c r="B76" s="48"/>
      <c r="J76" s="49"/>
    </row>
    <row r="77" spans="2:10" x14ac:dyDescent="0.35">
      <c r="B77" s="72" t="s">
        <v>96</v>
      </c>
      <c r="C77" s="73"/>
      <c r="D77" s="73"/>
      <c r="E77" s="73"/>
      <c r="F77" s="73"/>
      <c r="G77" s="73"/>
      <c r="H77" s="73"/>
      <c r="I77" s="73"/>
      <c r="J77" s="74"/>
    </row>
    <row r="78" spans="2:10" x14ac:dyDescent="0.35">
      <c r="B78" s="48" t="s">
        <v>105</v>
      </c>
      <c r="J78" s="49"/>
    </row>
    <row r="79" spans="2:10" x14ac:dyDescent="0.35">
      <c r="B79" s="48"/>
      <c r="D79" s="58">
        <f>SUMIF(C68:C75,"&gt;=180")</f>
        <v>660</v>
      </c>
      <c r="J79" s="49"/>
    </row>
    <row r="80" spans="2:10" x14ac:dyDescent="0.35">
      <c r="B80" s="48" t="s">
        <v>4</v>
      </c>
      <c r="J80" s="49"/>
    </row>
    <row r="81" spans="2:10" x14ac:dyDescent="0.35">
      <c r="B81" s="48"/>
      <c r="D81" s="58">
        <f>D79/COUNTIF(C68:C75,"&gt;=180")</f>
        <v>220</v>
      </c>
      <c r="E81" s="58">
        <f>AVERAGEIF(C68:C75,"&gt;180")</f>
        <v>220</v>
      </c>
      <c r="J81" s="49"/>
    </row>
    <row r="82" spans="2:10" x14ac:dyDescent="0.35">
      <c r="B82" s="48" t="s">
        <v>3</v>
      </c>
      <c r="J82" s="49"/>
    </row>
    <row r="83" spans="2:10" x14ac:dyDescent="0.35">
      <c r="B83" s="48"/>
      <c r="D83" s="58">
        <f>SUMIF(C68:C75,"&gt;=180",D68:D75)</f>
        <v>4180</v>
      </c>
      <c r="J83" s="49"/>
    </row>
    <row r="84" spans="2:10" ht="16" thickBot="1" x14ac:dyDescent="0.4">
      <c r="B84" s="50"/>
      <c r="C84" s="51"/>
      <c r="D84" s="51"/>
      <c r="E84" s="51"/>
      <c r="F84" s="51"/>
      <c r="G84" s="51"/>
      <c r="H84" s="51"/>
      <c r="I84" s="51"/>
      <c r="J84" s="52"/>
    </row>
  </sheetData>
  <mergeCells count="5">
    <mergeCell ref="B60:J60"/>
    <mergeCell ref="B7:J7"/>
    <mergeCell ref="B8:J8"/>
    <mergeCell ref="B11:J11"/>
    <mergeCell ref="B12:J12"/>
  </mergeCells>
  <pageMargins left="0.78740157499999996" right="0.78740157499999996" top="0.984251969" bottom="0.984251969" header="0.4921259845" footer="0.492125984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5"/>
  <sheetViews>
    <sheetView zoomScale="80" zoomScaleNormal="80" workbookViewId="0">
      <selection activeCell="B1" sqref="B1"/>
    </sheetView>
  </sheetViews>
  <sheetFormatPr baseColWidth="10" defaultColWidth="11.54296875" defaultRowHeight="15.5" x14ac:dyDescent="0.35"/>
  <cols>
    <col min="1" max="1" width="1.1796875" style="2" customWidth="1"/>
    <col min="2" max="2" width="11.54296875" style="2"/>
    <col min="3" max="3" width="13.7265625" style="2" customWidth="1"/>
    <col min="4" max="4" width="16" style="2" customWidth="1"/>
    <col min="5" max="5" width="16.26953125" style="2" bestFit="1" customWidth="1"/>
    <col min="6" max="6" width="13.26953125" style="2" bestFit="1" customWidth="1"/>
    <col min="7" max="7" width="11.54296875" style="2"/>
    <col min="8" max="8" width="18.54296875" style="2" customWidth="1"/>
    <col min="9" max="9" width="11.54296875" style="2"/>
    <col min="10" max="10" width="4.453125" style="2" customWidth="1"/>
    <col min="11" max="16384" width="11.54296875" style="2"/>
  </cols>
  <sheetData>
    <row r="2" spans="2:9" ht="20" x14ac:dyDescent="0.4">
      <c r="B2" s="130" t="s">
        <v>74</v>
      </c>
      <c r="C2" s="131"/>
      <c r="D2" s="131"/>
      <c r="E2" s="30"/>
    </row>
    <row r="4" spans="2:9" ht="18.5" thickBot="1" x14ac:dyDescent="0.45">
      <c r="B4" s="25" t="s">
        <v>78</v>
      </c>
      <c r="C4" s="30"/>
      <c r="D4" s="30"/>
    </row>
    <row r="5" spans="2:9" x14ac:dyDescent="0.35">
      <c r="B5" s="132"/>
      <c r="C5" s="27"/>
      <c r="D5" s="27"/>
      <c r="E5" s="27"/>
      <c r="F5" s="27"/>
      <c r="G5" s="27"/>
      <c r="H5" s="27"/>
      <c r="I5" s="28"/>
    </row>
    <row r="6" spans="2:9" x14ac:dyDescent="0.35">
      <c r="B6" s="37" t="s">
        <v>108</v>
      </c>
      <c r="C6" s="11"/>
      <c r="D6" s="11"/>
      <c r="E6" s="11"/>
      <c r="F6" s="11"/>
      <c r="G6" s="11"/>
      <c r="H6" s="11"/>
      <c r="I6" s="33"/>
    </row>
    <row r="7" spans="2:9" x14ac:dyDescent="0.35">
      <c r="B7" s="32" t="s">
        <v>115</v>
      </c>
      <c r="C7" s="11"/>
      <c r="D7" s="11"/>
      <c r="E7" s="11"/>
      <c r="F7" s="11"/>
      <c r="G7" s="11"/>
      <c r="H7" s="11"/>
      <c r="I7" s="33"/>
    </row>
    <row r="8" spans="2:9" x14ac:dyDescent="0.35">
      <c r="B8" s="37" t="s">
        <v>109</v>
      </c>
      <c r="C8" s="11"/>
      <c r="D8" s="11"/>
      <c r="E8" s="11"/>
      <c r="F8" s="11"/>
      <c r="G8" s="11"/>
      <c r="H8" s="11"/>
      <c r="I8" s="33"/>
    </row>
    <row r="9" spans="2:9" x14ac:dyDescent="0.35">
      <c r="B9" s="32" t="s">
        <v>117</v>
      </c>
      <c r="C9" s="11"/>
      <c r="D9" s="11"/>
      <c r="E9" s="11"/>
      <c r="F9" s="11"/>
      <c r="G9" s="11"/>
      <c r="H9" s="11"/>
      <c r="I9" s="33"/>
    </row>
    <row r="10" spans="2:9" x14ac:dyDescent="0.35">
      <c r="B10" s="37" t="s">
        <v>118</v>
      </c>
      <c r="C10" s="11"/>
      <c r="D10" s="11"/>
      <c r="E10" s="11"/>
      <c r="F10" s="11"/>
      <c r="G10" s="11"/>
      <c r="H10" s="11"/>
      <c r="I10" s="33"/>
    </row>
    <row r="11" spans="2:9" x14ac:dyDescent="0.35">
      <c r="B11" s="32" t="s">
        <v>119</v>
      </c>
      <c r="C11" s="11"/>
      <c r="D11" s="11"/>
      <c r="E11" s="11"/>
      <c r="F11" s="11"/>
      <c r="G11" s="11"/>
      <c r="H11" s="11"/>
      <c r="I11" s="33"/>
    </row>
    <row r="12" spans="2:9" x14ac:dyDescent="0.35">
      <c r="B12" s="37" t="s">
        <v>120</v>
      </c>
      <c r="C12" s="11"/>
      <c r="D12" s="11"/>
      <c r="E12" s="11"/>
      <c r="F12" s="11"/>
      <c r="G12" s="11"/>
      <c r="H12" s="11"/>
      <c r="I12" s="33"/>
    </row>
    <row r="13" spans="2:9" x14ac:dyDescent="0.35">
      <c r="B13" s="32" t="s">
        <v>121</v>
      </c>
      <c r="C13" s="11"/>
      <c r="D13" s="11"/>
      <c r="E13" s="11"/>
      <c r="F13" s="11"/>
      <c r="G13" s="11"/>
      <c r="H13" s="11"/>
      <c r="I13" s="33"/>
    </row>
    <row r="14" spans="2:9" x14ac:dyDescent="0.35">
      <c r="B14" s="37" t="s">
        <v>110</v>
      </c>
      <c r="C14" s="11"/>
      <c r="D14" s="11"/>
      <c r="E14" s="11"/>
      <c r="F14" s="11"/>
      <c r="G14" s="11"/>
      <c r="H14" s="11"/>
      <c r="I14" s="33"/>
    </row>
    <row r="15" spans="2:9" x14ac:dyDescent="0.35">
      <c r="B15" s="32" t="s">
        <v>122</v>
      </c>
      <c r="C15" s="11"/>
      <c r="D15" s="11"/>
      <c r="E15" s="11"/>
      <c r="F15" s="11"/>
      <c r="G15" s="11"/>
      <c r="H15" s="11"/>
      <c r="I15" s="33"/>
    </row>
    <row r="16" spans="2:9" x14ac:dyDescent="0.35">
      <c r="B16" s="37" t="s">
        <v>111</v>
      </c>
      <c r="C16" s="11"/>
      <c r="D16" s="11"/>
      <c r="E16" s="11"/>
      <c r="F16" s="11"/>
      <c r="G16" s="11"/>
      <c r="H16" s="11"/>
      <c r="I16" s="33"/>
    </row>
    <row r="17" spans="2:9" x14ac:dyDescent="0.35">
      <c r="B17" s="32" t="s">
        <v>123</v>
      </c>
      <c r="C17" s="11"/>
      <c r="D17" s="11"/>
      <c r="E17" s="11"/>
      <c r="F17" s="11"/>
      <c r="G17" s="11"/>
      <c r="H17" s="11"/>
      <c r="I17" s="33"/>
    </row>
    <row r="18" spans="2:9" x14ac:dyDescent="0.35">
      <c r="B18" s="37" t="s">
        <v>112</v>
      </c>
      <c r="C18" s="11"/>
      <c r="D18" s="11"/>
      <c r="E18" s="11"/>
      <c r="F18" s="11"/>
      <c r="G18" s="11"/>
      <c r="H18" s="11"/>
      <c r="I18" s="33"/>
    </row>
    <row r="19" spans="2:9" x14ac:dyDescent="0.35">
      <c r="B19" s="32" t="s">
        <v>124</v>
      </c>
      <c r="C19" s="11"/>
      <c r="D19" s="11"/>
      <c r="E19" s="11"/>
      <c r="F19" s="11"/>
      <c r="G19" s="11"/>
      <c r="H19" s="11"/>
      <c r="I19" s="33"/>
    </row>
    <row r="20" spans="2:9" x14ac:dyDescent="0.35">
      <c r="B20" s="37" t="s">
        <v>113</v>
      </c>
      <c r="C20" s="11"/>
      <c r="D20" s="11"/>
      <c r="E20" s="11"/>
      <c r="F20" s="11"/>
      <c r="G20" s="11"/>
      <c r="H20" s="11"/>
      <c r="I20" s="33"/>
    </row>
    <row r="21" spans="2:9" x14ac:dyDescent="0.35">
      <c r="B21" s="32" t="s">
        <v>125</v>
      </c>
      <c r="C21" s="11"/>
      <c r="D21" s="11"/>
      <c r="E21" s="11"/>
      <c r="F21" s="11"/>
      <c r="G21" s="11"/>
      <c r="H21" s="11"/>
      <c r="I21" s="33"/>
    </row>
    <row r="22" spans="2:9" x14ac:dyDescent="0.35">
      <c r="B22" s="37" t="s">
        <v>114</v>
      </c>
      <c r="C22" s="11"/>
      <c r="D22" s="11"/>
      <c r="E22" s="11"/>
      <c r="F22" s="11"/>
      <c r="G22" s="11"/>
      <c r="H22" s="11"/>
      <c r="I22" s="33"/>
    </row>
    <row r="23" spans="2:9" x14ac:dyDescent="0.35">
      <c r="B23" s="32" t="s">
        <v>126</v>
      </c>
      <c r="C23" s="11"/>
      <c r="D23" s="11"/>
      <c r="E23" s="11"/>
      <c r="F23" s="11"/>
      <c r="G23" s="11"/>
      <c r="H23" s="11"/>
      <c r="I23" s="33"/>
    </row>
    <row r="24" spans="2:9" ht="16" thickBot="1" x14ac:dyDescent="0.4">
      <c r="B24" s="34"/>
      <c r="C24" s="35"/>
      <c r="D24" s="35"/>
      <c r="E24" s="35"/>
      <c r="F24" s="35"/>
      <c r="G24" s="35"/>
      <c r="H24" s="35"/>
      <c r="I24" s="36"/>
    </row>
    <row r="27" spans="2:9" ht="18.5" thickBot="1" x14ac:dyDescent="0.45">
      <c r="B27" s="25" t="s">
        <v>81</v>
      </c>
      <c r="C27" s="30"/>
      <c r="D27" s="30"/>
    </row>
    <row r="28" spans="2:9" x14ac:dyDescent="0.35">
      <c r="B28" s="146"/>
      <c r="C28" s="46"/>
      <c r="D28" s="46"/>
      <c r="E28" s="46"/>
      <c r="F28" s="46"/>
      <c r="G28" s="46"/>
      <c r="H28" s="46"/>
      <c r="I28" s="47"/>
    </row>
    <row r="29" spans="2:9" x14ac:dyDescent="0.35">
      <c r="B29" s="75" t="s">
        <v>128</v>
      </c>
      <c r="C29" s="80"/>
      <c r="D29" s="80"/>
      <c r="E29" s="80"/>
      <c r="F29" s="80"/>
      <c r="G29" s="80"/>
      <c r="H29" s="80"/>
      <c r="I29" s="86"/>
    </row>
    <row r="30" spans="2:9" x14ac:dyDescent="0.35">
      <c r="B30" s="48"/>
      <c r="I30" s="49"/>
    </row>
    <row r="31" spans="2:9" ht="16" thickBot="1" x14ac:dyDescent="0.4">
      <c r="B31" s="48" t="s">
        <v>26</v>
      </c>
      <c r="I31" s="49"/>
    </row>
    <row r="32" spans="2:9" ht="16.899999999999999" customHeight="1" x14ac:dyDescent="0.4">
      <c r="B32" s="115" t="s">
        <v>25</v>
      </c>
      <c r="C32" s="116" t="s">
        <v>106</v>
      </c>
      <c r="E32" s="120" t="s">
        <v>24</v>
      </c>
      <c r="F32" s="133">
        <f>COUNT(C33:C38)</f>
        <v>6</v>
      </c>
      <c r="H32" s="120" t="s">
        <v>32</v>
      </c>
      <c r="I32" s="147">
        <f>AVERAGE(C33:C38)</f>
        <v>18.166666666666668</v>
      </c>
    </row>
    <row r="33" spans="2:9" x14ac:dyDescent="0.35">
      <c r="B33" s="117">
        <v>1</v>
      </c>
      <c r="C33" s="90">
        <v>30</v>
      </c>
      <c r="I33" s="49"/>
    </row>
    <row r="34" spans="2:9" x14ac:dyDescent="0.35">
      <c r="B34" s="117">
        <v>2</v>
      </c>
      <c r="C34" s="90">
        <v>20</v>
      </c>
      <c r="E34" s="121" t="s">
        <v>40</v>
      </c>
      <c r="F34" s="134">
        <f>COUNTIF(C33:C38,"&gt;28")</f>
        <v>2</v>
      </c>
      <c r="H34" s="120" t="s">
        <v>31</v>
      </c>
      <c r="I34" s="147">
        <f>MIN(C33:C38)</f>
        <v>0</v>
      </c>
    </row>
    <row r="35" spans="2:9" x14ac:dyDescent="0.35">
      <c r="B35" s="117">
        <v>3</v>
      </c>
      <c r="C35" s="90">
        <v>10</v>
      </c>
      <c r="E35" s="123" t="s">
        <v>39</v>
      </c>
      <c r="F35" s="124" t="s">
        <v>38</v>
      </c>
      <c r="I35" s="49"/>
    </row>
    <row r="36" spans="2:9" x14ac:dyDescent="0.35">
      <c r="B36" s="117">
        <v>4</v>
      </c>
      <c r="C36" s="90">
        <v>0</v>
      </c>
      <c r="H36" s="120" t="s">
        <v>30</v>
      </c>
      <c r="I36" s="147">
        <f>MAX(C33:C38)</f>
        <v>30</v>
      </c>
    </row>
    <row r="37" spans="2:9" x14ac:dyDescent="0.35">
      <c r="B37" s="117">
        <v>5</v>
      </c>
      <c r="C37" s="90">
        <v>20</v>
      </c>
      <c r="E37" s="121" t="s">
        <v>34</v>
      </c>
      <c r="F37" s="122"/>
      <c r="I37" s="49"/>
    </row>
    <row r="38" spans="2:9" ht="16" thickBot="1" x14ac:dyDescent="0.4">
      <c r="B38" s="118">
        <v>6</v>
      </c>
      <c r="C38" s="119">
        <v>29</v>
      </c>
      <c r="E38" s="96" t="s">
        <v>22</v>
      </c>
      <c r="F38" s="97" t="s">
        <v>33</v>
      </c>
      <c r="H38" s="120" t="s">
        <v>135</v>
      </c>
      <c r="I38" s="147">
        <f>LARGE(C33:C38,2)</f>
        <v>29</v>
      </c>
    </row>
    <row r="39" spans="2:9" x14ac:dyDescent="0.35">
      <c r="B39" s="48"/>
      <c r="E39" s="94">
        <v>10</v>
      </c>
      <c r="F39" s="135">
        <f t="array" ref="F39:F42">FREQUENCY(C33:C38,E39:E41)</f>
        <v>2</v>
      </c>
      <c r="I39" s="49"/>
    </row>
    <row r="40" spans="2:9" x14ac:dyDescent="0.35">
      <c r="B40" s="48"/>
      <c r="E40" s="94">
        <v>20</v>
      </c>
      <c r="F40" s="135">
        <v>2</v>
      </c>
      <c r="H40" s="120" t="s">
        <v>134</v>
      </c>
      <c r="I40" s="147">
        <f>SMALL(C33:C38,3)</f>
        <v>20</v>
      </c>
    </row>
    <row r="41" spans="2:9" x14ac:dyDescent="0.35">
      <c r="B41" s="48"/>
      <c r="E41" s="94">
        <v>29</v>
      </c>
      <c r="F41" s="135">
        <v>1</v>
      </c>
      <c r="I41" s="49"/>
    </row>
    <row r="42" spans="2:9" x14ac:dyDescent="0.35">
      <c r="B42" s="48"/>
      <c r="E42" s="95"/>
      <c r="F42" s="136">
        <v>1</v>
      </c>
      <c r="I42" s="49"/>
    </row>
    <row r="43" spans="2:9" x14ac:dyDescent="0.35">
      <c r="B43" s="48"/>
      <c r="I43" s="49"/>
    </row>
    <row r="44" spans="2:9" ht="46.5" x14ac:dyDescent="0.35">
      <c r="B44" s="48"/>
      <c r="E44" s="137" t="s">
        <v>127</v>
      </c>
      <c r="F44" s="138">
        <f>_xlfn.STDEV.S(C33:C38)</f>
        <v>11.496376240653689</v>
      </c>
      <c r="I44" s="49"/>
    </row>
    <row r="45" spans="2:9" x14ac:dyDescent="0.35">
      <c r="B45" s="48"/>
      <c r="I45" s="49"/>
    </row>
    <row r="46" spans="2:9" x14ac:dyDescent="0.35">
      <c r="B46" s="75" t="s">
        <v>129</v>
      </c>
      <c r="C46" s="76"/>
      <c r="D46" s="76"/>
      <c r="E46" s="76"/>
      <c r="F46" s="76"/>
      <c r="G46" s="76"/>
      <c r="H46" s="76"/>
      <c r="I46" s="77"/>
    </row>
    <row r="47" spans="2:9" ht="17.5" x14ac:dyDescent="0.45">
      <c r="B47" s="72" t="s">
        <v>130</v>
      </c>
      <c r="C47" s="141"/>
      <c r="D47" s="141"/>
      <c r="E47" s="141"/>
      <c r="F47" s="141"/>
      <c r="G47" s="141"/>
      <c r="H47" s="141"/>
      <c r="I47" s="148"/>
    </row>
    <row r="48" spans="2:9" x14ac:dyDescent="0.35">
      <c r="B48" s="48"/>
      <c r="I48" s="49"/>
    </row>
    <row r="49" spans="2:9" ht="16" thickBot="1" x14ac:dyDescent="0.4">
      <c r="B49" s="48" t="s">
        <v>26</v>
      </c>
      <c r="I49" s="49"/>
    </row>
    <row r="50" spans="2:9" ht="16.5" x14ac:dyDescent="0.4">
      <c r="B50" s="115" t="s">
        <v>25</v>
      </c>
      <c r="C50" s="116" t="s">
        <v>106</v>
      </c>
      <c r="D50" s="127" t="s">
        <v>107</v>
      </c>
      <c r="I50" s="49"/>
    </row>
    <row r="51" spans="2:9" x14ac:dyDescent="0.35">
      <c r="B51" s="117">
        <v>1</v>
      </c>
      <c r="C51" s="90">
        <v>-20</v>
      </c>
      <c r="D51" s="139">
        <f>ABS(C51)</f>
        <v>20</v>
      </c>
      <c r="I51" s="49"/>
    </row>
    <row r="52" spans="2:9" x14ac:dyDescent="0.35">
      <c r="B52" s="117">
        <v>2</v>
      </c>
      <c r="C52" s="90">
        <v>-5</v>
      </c>
      <c r="D52" s="139">
        <f>ABS(C52)</f>
        <v>5</v>
      </c>
      <c r="I52" s="49"/>
    </row>
    <row r="53" spans="2:9" x14ac:dyDescent="0.35">
      <c r="B53" s="117">
        <v>3</v>
      </c>
      <c r="C53" s="90">
        <v>-6</v>
      </c>
      <c r="D53" s="139">
        <f t="shared" ref="D53:D55" si="0">ABS(C53)</f>
        <v>6</v>
      </c>
      <c r="I53" s="49"/>
    </row>
    <row r="54" spans="2:9" x14ac:dyDescent="0.35">
      <c r="B54" s="117">
        <v>4</v>
      </c>
      <c r="C54" s="90">
        <v>4</v>
      </c>
      <c r="D54" s="139">
        <f t="shared" si="0"/>
        <v>4</v>
      </c>
      <c r="I54" s="49"/>
    </row>
    <row r="55" spans="2:9" x14ac:dyDescent="0.35">
      <c r="B55" s="117">
        <v>5</v>
      </c>
      <c r="C55" s="90">
        <v>13</v>
      </c>
      <c r="D55" s="139">
        <f t="shared" si="0"/>
        <v>13</v>
      </c>
      <c r="I55" s="49"/>
    </row>
    <row r="56" spans="2:9" ht="16" thickBot="1" x14ac:dyDescent="0.4">
      <c r="B56" s="118">
        <v>6</v>
      </c>
      <c r="C56" s="119">
        <v>99</v>
      </c>
      <c r="D56" s="140">
        <f>ABS(C56)</f>
        <v>99</v>
      </c>
      <c r="I56" s="49"/>
    </row>
    <row r="57" spans="2:9" x14ac:dyDescent="0.35">
      <c r="B57" s="48"/>
      <c r="C57" s="45"/>
      <c r="I57" s="49"/>
    </row>
    <row r="58" spans="2:9" x14ac:dyDescent="0.35">
      <c r="B58" s="48"/>
      <c r="I58" s="49"/>
    </row>
    <row r="59" spans="2:9" x14ac:dyDescent="0.35">
      <c r="B59" s="75" t="s">
        <v>131</v>
      </c>
      <c r="C59" s="80"/>
      <c r="D59" s="80"/>
      <c r="E59" s="80"/>
      <c r="F59" s="80"/>
      <c r="G59" s="80"/>
      <c r="H59" s="80"/>
      <c r="I59" s="86"/>
    </row>
    <row r="60" spans="2:9" x14ac:dyDescent="0.35">
      <c r="B60" s="72" t="s">
        <v>132</v>
      </c>
      <c r="C60" s="141"/>
      <c r="D60" s="141"/>
      <c r="E60" s="141"/>
      <c r="F60" s="141"/>
      <c r="G60" s="141"/>
      <c r="H60" s="141"/>
      <c r="I60" s="148"/>
    </row>
    <row r="61" spans="2:9" x14ac:dyDescent="0.35">
      <c r="B61" s="48"/>
      <c r="I61" s="49"/>
    </row>
    <row r="62" spans="2:9" ht="16" thickBot="1" x14ac:dyDescent="0.4">
      <c r="B62" s="48" t="s">
        <v>133</v>
      </c>
      <c r="I62" s="49"/>
    </row>
    <row r="63" spans="2:9" ht="16.5" x14ac:dyDescent="0.4">
      <c r="B63" s="115" t="s">
        <v>25</v>
      </c>
      <c r="C63" s="116" t="s">
        <v>106</v>
      </c>
      <c r="E63" s="120" t="s">
        <v>24</v>
      </c>
      <c r="F63" s="133">
        <f>COUNT(C64:C69)</f>
        <v>6</v>
      </c>
      <c r="H63" s="120" t="s">
        <v>32</v>
      </c>
      <c r="I63" s="147">
        <f>AVERAGE(C64:C69)</f>
        <v>14.366666666666667</v>
      </c>
    </row>
    <row r="64" spans="2:9" x14ac:dyDescent="0.35">
      <c r="B64" s="117">
        <v>1</v>
      </c>
      <c r="C64" s="90">
        <v>11</v>
      </c>
      <c r="I64" s="49"/>
    </row>
    <row r="65" spans="2:9" x14ac:dyDescent="0.35">
      <c r="B65" s="117">
        <v>2</v>
      </c>
      <c r="C65" s="90">
        <v>11.2</v>
      </c>
      <c r="E65" s="121" t="s">
        <v>40</v>
      </c>
      <c r="F65" s="134">
        <f>COUNTIF(C64:C69,"=17")</f>
        <v>2</v>
      </c>
      <c r="H65" s="120" t="s">
        <v>31</v>
      </c>
      <c r="I65" s="147">
        <f>MIN(C64:C69)</f>
        <v>11</v>
      </c>
    </row>
    <row r="66" spans="2:9" x14ac:dyDescent="0.35">
      <c r="B66" s="117">
        <v>3</v>
      </c>
      <c r="C66" s="90">
        <v>12</v>
      </c>
      <c r="E66" s="123" t="s">
        <v>39</v>
      </c>
      <c r="F66" s="124" t="s">
        <v>37</v>
      </c>
      <c r="I66" s="49"/>
    </row>
    <row r="67" spans="2:9" x14ac:dyDescent="0.35">
      <c r="B67" s="117">
        <v>4</v>
      </c>
      <c r="C67" s="90">
        <v>17</v>
      </c>
      <c r="H67" s="120" t="s">
        <v>30</v>
      </c>
      <c r="I67" s="147">
        <f>MAX(C64:C69)</f>
        <v>18</v>
      </c>
    </row>
    <row r="68" spans="2:9" x14ac:dyDescent="0.35">
      <c r="B68" s="117">
        <v>5</v>
      </c>
      <c r="C68" s="90">
        <v>17</v>
      </c>
      <c r="E68" s="121" t="s">
        <v>34</v>
      </c>
      <c r="F68" s="122"/>
      <c r="I68" s="49"/>
    </row>
    <row r="69" spans="2:9" ht="16" thickBot="1" x14ac:dyDescent="0.4">
      <c r="B69" s="118">
        <v>6</v>
      </c>
      <c r="C69" s="119">
        <v>18</v>
      </c>
      <c r="E69" s="96" t="s">
        <v>22</v>
      </c>
      <c r="F69" s="97" t="s">
        <v>33</v>
      </c>
      <c r="H69" s="120" t="s">
        <v>29</v>
      </c>
      <c r="I69" s="147">
        <f>LARGE(C64:C69,4)</f>
        <v>12</v>
      </c>
    </row>
    <row r="70" spans="2:9" x14ac:dyDescent="0.35">
      <c r="B70" s="48"/>
      <c r="E70" s="94">
        <v>11</v>
      </c>
      <c r="F70" s="135">
        <f t="array" ref="F70:F73">FREQUENCY(C64:C69,E70:E72)</f>
        <v>1</v>
      </c>
      <c r="I70" s="49"/>
    </row>
    <row r="71" spans="2:9" x14ac:dyDescent="0.35">
      <c r="B71" s="48"/>
      <c r="E71" s="94">
        <v>13</v>
      </c>
      <c r="F71" s="135">
        <v>2</v>
      </c>
      <c r="H71" s="120" t="s">
        <v>27</v>
      </c>
      <c r="I71" s="147">
        <f>SMALL(C64:C69,2)</f>
        <v>11.2</v>
      </c>
    </row>
    <row r="72" spans="2:9" x14ac:dyDescent="0.35">
      <c r="B72" s="48"/>
      <c r="E72" s="94">
        <v>18</v>
      </c>
      <c r="F72" s="135">
        <v>3</v>
      </c>
      <c r="I72" s="49"/>
    </row>
    <row r="73" spans="2:9" x14ac:dyDescent="0.35">
      <c r="B73" s="48"/>
      <c r="E73" s="95"/>
      <c r="F73" s="136">
        <v>0</v>
      </c>
      <c r="I73" s="49"/>
    </row>
    <row r="74" spans="2:9" x14ac:dyDescent="0.35">
      <c r="B74" s="48"/>
      <c r="I74" s="49"/>
    </row>
    <row r="75" spans="2:9" ht="46.5" x14ac:dyDescent="0.35">
      <c r="B75" s="48"/>
      <c r="E75" s="137" t="s">
        <v>127</v>
      </c>
      <c r="F75" s="138">
        <f>_xlfn.STDEV.S(C64:C69)</f>
        <v>3.287349489583768</v>
      </c>
      <c r="I75" s="49"/>
    </row>
    <row r="76" spans="2:9" x14ac:dyDescent="0.35">
      <c r="B76" s="48"/>
      <c r="I76" s="49"/>
    </row>
    <row r="77" spans="2:9" x14ac:dyDescent="0.35">
      <c r="B77" s="48"/>
      <c r="I77" s="49"/>
    </row>
    <row r="78" spans="2:9" x14ac:dyDescent="0.35">
      <c r="B78" s="75" t="s">
        <v>136</v>
      </c>
      <c r="C78" s="80"/>
      <c r="D78" s="80"/>
      <c r="E78" s="80"/>
      <c r="F78" s="80"/>
      <c r="G78" s="80"/>
      <c r="H78" s="80"/>
      <c r="I78" s="86"/>
    </row>
    <row r="79" spans="2:9" x14ac:dyDescent="0.35">
      <c r="B79" s="72" t="s">
        <v>132</v>
      </c>
      <c r="C79" s="141"/>
      <c r="D79" s="141"/>
      <c r="E79" s="141"/>
      <c r="F79" s="141"/>
      <c r="G79" s="141"/>
      <c r="H79" s="141"/>
      <c r="I79" s="148"/>
    </row>
    <row r="80" spans="2:9" x14ac:dyDescent="0.35">
      <c r="B80" s="48"/>
      <c r="I80" s="49"/>
    </row>
    <row r="81" spans="2:9" ht="31.15" customHeight="1" thickBot="1" x14ac:dyDescent="0.4">
      <c r="B81" s="264" t="s">
        <v>137</v>
      </c>
      <c r="C81" s="265"/>
      <c r="I81" s="49"/>
    </row>
    <row r="82" spans="2:9" ht="16.5" x14ac:dyDescent="0.4">
      <c r="B82" s="115" t="s">
        <v>25</v>
      </c>
      <c r="C82" s="116" t="s">
        <v>106</v>
      </c>
      <c r="D82" s="56"/>
      <c r="E82" s="120" t="s">
        <v>24</v>
      </c>
      <c r="F82" s="133">
        <f>COUNT(C83:C89)</f>
        <v>5</v>
      </c>
      <c r="H82" s="120" t="s">
        <v>32</v>
      </c>
      <c r="I82" s="147">
        <f>AVERAGE(C83:C89)</f>
        <v>6.4</v>
      </c>
    </row>
    <row r="83" spans="2:9" x14ac:dyDescent="0.35">
      <c r="B83" s="117">
        <v>1</v>
      </c>
      <c r="C83" s="90">
        <v>4</v>
      </c>
      <c r="D83" s="56"/>
      <c r="I83" s="49"/>
    </row>
    <row r="84" spans="2:9" x14ac:dyDescent="0.35">
      <c r="B84" s="117">
        <v>2</v>
      </c>
      <c r="C84" s="90">
        <v>5</v>
      </c>
      <c r="D84" s="56"/>
      <c r="E84" s="121" t="s">
        <v>40</v>
      </c>
      <c r="F84" s="134">
        <f>COUNTIF(C83:C89,"&lt;=5")</f>
        <v>3</v>
      </c>
      <c r="H84" s="120" t="s">
        <v>31</v>
      </c>
      <c r="I84" s="147">
        <f>MIN(C83:C89)</f>
        <v>4</v>
      </c>
    </row>
    <row r="85" spans="2:9" x14ac:dyDescent="0.35">
      <c r="B85" s="117">
        <v>3</v>
      </c>
      <c r="C85" s="90">
        <v>5</v>
      </c>
      <c r="D85" s="56"/>
      <c r="E85" s="123" t="s">
        <v>39</v>
      </c>
      <c r="F85" s="124" t="s">
        <v>36</v>
      </c>
      <c r="I85" s="49"/>
    </row>
    <row r="86" spans="2:9" x14ac:dyDescent="0.35">
      <c r="B86" s="117">
        <v>4</v>
      </c>
      <c r="C86" s="90">
        <v>9</v>
      </c>
      <c r="D86" s="56"/>
      <c r="H86" s="120" t="s">
        <v>30</v>
      </c>
      <c r="I86" s="147">
        <f>MAX(C83:C89)</f>
        <v>9</v>
      </c>
    </row>
    <row r="87" spans="2:9" x14ac:dyDescent="0.35">
      <c r="B87" s="117">
        <v>5</v>
      </c>
      <c r="C87" s="90">
        <v>9</v>
      </c>
      <c r="D87" s="56"/>
      <c r="E87" s="121" t="s">
        <v>34</v>
      </c>
      <c r="F87" s="122"/>
      <c r="I87" s="49"/>
    </row>
    <row r="88" spans="2:9" x14ac:dyDescent="0.35">
      <c r="B88" s="117">
        <v>6</v>
      </c>
      <c r="C88" s="90" t="s">
        <v>41</v>
      </c>
      <c r="D88" s="56"/>
      <c r="E88" s="96" t="s">
        <v>22</v>
      </c>
      <c r="F88" s="97" t="s">
        <v>33</v>
      </c>
      <c r="H88" s="120" t="s">
        <v>28</v>
      </c>
      <c r="I88" s="147">
        <f>LARGE(C83:C89,2)</f>
        <v>9</v>
      </c>
    </row>
    <row r="89" spans="2:9" ht="16" thickBot="1" x14ac:dyDescent="0.4">
      <c r="B89" s="118">
        <v>7</v>
      </c>
      <c r="C89" s="119" t="s">
        <v>41</v>
      </c>
      <c r="D89" s="56"/>
      <c r="E89" s="94">
        <v>4</v>
      </c>
      <c r="F89" s="135">
        <f t="array" ref="F89:F92">FREQUENCY(C83:C89,E89:E91)</f>
        <v>1</v>
      </c>
      <c r="I89" s="49"/>
    </row>
    <row r="90" spans="2:9" x14ac:dyDescent="0.35">
      <c r="B90" s="48"/>
      <c r="E90" s="94">
        <v>5</v>
      </c>
      <c r="F90" s="135">
        <v>2</v>
      </c>
      <c r="H90" s="120" t="s">
        <v>27</v>
      </c>
      <c r="I90" s="147">
        <f>SMALL(C83:C89,2)</f>
        <v>5</v>
      </c>
    </row>
    <row r="91" spans="2:9" x14ac:dyDescent="0.35">
      <c r="B91" s="48"/>
      <c r="E91" s="94">
        <v>9</v>
      </c>
      <c r="F91" s="135">
        <v>2</v>
      </c>
      <c r="I91" s="49"/>
    </row>
    <row r="92" spans="2:9" x14ac:dyDescent="0.35">
      <c r="B92" s="48"/>
      <c r="E92" s="95"/>
      <c r="F92" s="136">
        <v>0</v>
      </c>
      <c r="H92" s="121" t="s">
        <v>40</v>
      </c>
      <c r="I92" s="149">
        <f>COUNTIF(C83:C89,"&lt;&gt;9")</f>
        <v>5</v>
      </c>
    </row>
    <row r="93" spans="2:9" x14ac:dyDescent="0.35">
      <c r="B93" s="48"/>
      <c r="H93" s="123" t="s">
        <v>39</v>
      </c>
      <c r="I93" s="150" t="s">
        <v>35</v>
      </c>
    </row>
    <row r="94" spans="2:9" ht="46.5" x14ac:dyDescent="0.35">
      <c r="B94" s="48"/>
      <c r="E94" s="137" t="s">
        <v>127</v>
      </c>
      <c r="F94" s="138">
        <f>_xlfn.STDEV.S(C83:C89)</f>
        <v>2.4083189157584584</v>
      </c>
      <c r="I94" s="49"/>
    </row>
    <row r="95" spans="2:9" ht="16" thickBot="1" x14ac:dyDescent="0.4">
      <c r="B95" s="50"/>
      <c r="C95" s="51"/>
      <c r="D95" s="51"/>
      <c r="E95" s="51"/>
      <c r="F95" s="51"/>
      <c r="G95" s="51"/>
      <c r="H95" s="51"/>
      <c r="I95" s="52"/>
    </row>
  </sheetData>
  <mergeCells count="1">
    <mergeCell ref="B81:C81"/>
  </mergeCells>
  <pageMargins left="0.78740157499999996" right="0.78740157499999996" top="0.984251969" bottom="0.984251969" header="0.4921259845" footer="0.4921259845"/>
  <pageSetup paperSize="9" orientation="portrait"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K72"/>
  <sheetViews>
    <sheetView topLeftCell="A28" zoomScale="55" zoomScaleNormal="55" workbookViewId="0">
      <selection activeCell="G53" sqref="G53"/>
    </sheetView>
  </sheetViews>
  <sheetFormatPr baseColWidth="10" defaultColWidth="11.54296875" defaultRowHeight="15.5" x14ac:dyDescent="0.35"/>
  <cols>
    <col min="1" max="1" width="0.81640625" style="2" customWidth="1"/>
    <col min="2" max="3" width="11.453125" style="2" customWidth="1"/>
    <col min="4" max="4" width="11.453125" style="56" customWidth="1"/>
    <col min="5" max="14" width="11.453125" style="2" customWidth="1"/>
    <col min="15" max="16384" width="11.54296875" style="2"/>
  </cols>
  <sheetData>
    <row r="2" spans="2:11" ht="20" x14ac:dyDescent="0.4">
      <c r="B2" s="130" t="s">
        <v>75</v>
      </c>
      <c r="C2" s="30"/>
      <c r="D2" s="154"/>
    </row>
    <row r="3" spans="2:11" ht="16" thickBot="1" x14ac:dyDescent="0.4"/>
    <row r="4" spans="2:11" x14ac:dyDescent="0.35">
      <c r="B4" s="83" t="s">
        <v>144</v>
      </c>
      <c r="C4" s="84"/>
      <c r="D4" s="168"/>
      <c r="E4" s="84"/>
      <c r="F4" s="84"/>
      <c r="G4" s="84"/>
      <c r="H4" s="84"/>
      <c r="I4" s="84"/>
      <c r="J4" s="84"/>
      <c r="K4" s="85"/>
    </row>
    <row r="5" spans="2:11" x14ac:dyDescent="0.35">
      <c r="B5" s="269" t="s">
        <v>142</v>
      </c>
      <c r="C5" s="270"/>
      <c r="D5" s="270"/>
      <c r="E5" s="270"/>
      <c r="F5" s="270"/>
      <c r="G5" s="270"/>
      <c r="H5" s="270"/>
      <c r="I5" s="270"/>
      <c r="J5" s="270"/>
      <c r="K5" s="271"/>
    </row>
    <row r="6" spans="2:11" ht="16" thickBot="1" x14ac:dyDescent="0.4">
      <c r="B6" s="48"/>
      <c r="K6" s="49"/>
    </row>
    <row r="7" spans="2:11" x14ac:dyDescent="0.35">
      <c r="B7" s="163" t="s">
        <v>43</v>
      </c>
      <c r="C7" s="143">
        <v>1</v>
      </c>
      <c r="D7" s="159">
        <v>2</v>
      </c>
      <c r="E7" s="159">
        <v>3</v>
      </c>
      <c r="F7" s="159">
        <v>4</v>
      </c>
      <c r="G7" s="159">
        <v>5</v>
      </c>
      <c r="H7" s="159">
        <v>6</v>
      </c>
      <c r="I7" s="159">
        <v>7</v>
      </c>
      <c r="J7" s="116">
        <v>8</v>
      </c>
      <c r="K7" s="49"/>
    </row>
    <row r="8" spans="2:11" x14ac:dyDescent="0.35">
      <c r="B8" s="164" t="s">
        <v>24</v>
      </c>
      <c r="C8" s="144">
        <v>5</v>
      </c>
      <c r="D8" s="56">
        <v>2</v>
      </c>
      <c r="E8" s="56">
        <v>3</v>
      </c>
      <c r="F8" s="56">
        <v>0</v>
      </c>
      <c r="G8" s="56">
        <v>0</v>
      </c>
      <c r="H8" s="56">
        <v>1</v>
      </c>
      <c r="I8" s="56">
        <v>3</v>
      </c>
      <c r="J8" s="90">
        <v>6</v>
      </c>
      <c r="K8" s="49"/>
    </row>
    <row r="9" spans="2:11" x14ac:dyDescent="0.35">
      <c r="B9" s="57"/>
      <c r="J9" s="49"/>
      <c r="K9" s="49"/>
    </row>
    <row r="10" spans="2:11" x14ac:dyDescent="0.35">
      <c r="B10" s="57" t="s">
        <v>43</v>
      </c>
      <c r="C10" s="160">
        <v>9</v>
      </c>
      <c r="D10" s="161">
        <v>10</v>
      </c>
      <c r="E10" s="161">
        <v>11</v>
      </c>
      <c r="F10" s="161">
        <v>12</v>
      </c>
      <c r="G10" s="161">
        <v>13</v>
      </c>
      <c r="H10" s="161">
        <v>14</v>
      </c>
      <c r="I10" s="161">
        <v>15</v>
      </c>
      <c r="J10" s="162">
        <v>16</v>
      </c>
      <c r="K10" s="49"/>
    </row>
    <row r="11" spans="2:11" x14ac:dyDescent="0.35">
      <c r="B11" s="164" t="s">
        <v>24</v>
      </c>
      <c r="C11" s="144">
        <v>0</v>
      </c>
      <c r="D11" s="56">
        <v>2</v>
      </c>
      <c r="E11" s="56">
        <v>1</v>
      </c>
      <c r="F11" s="56">
        <v>0</v>
      </c>
      <c r="G11" s="56">
        <v>1</v>
      </c>
      <c r="H11" s="56">
        <v>0</v>
      </c>
      <c r="I11" s="56">
        <v>2</v>
      </c>
      <c r="J11" s="90">
        <v>3</v>
      </c>
      <c r="K11" s="49"/>
    </row>
    <row r="12" spans="2:11" x14ac:dyDescent="0.35">
      <c r="B12" s="57"/>
      <c r="J12" s="49"/>
      <c r="K12" s="49"/>
    </row>
    <row r="13" spans="2:11" x14ac:dyDescent="0.35">
      <c r="B13" s="165" t="s">
        <v>43</v>
      </c>
      <c r="C13" s="160">
        <v>17</v>
      </c>
      <c r="D13" s="161">
        <v>18</v>
      </c>
      <c r="E13" s="161">
        <v>19</v>
      </c>
      <c r="F13" s="161">
        <v>20</v>
      </c>
      <c r="G13" s="161">
        <v>21</v>
      </c>
      <c r="H13" s="161">
        <v>22</v>
      </c>
      <c r="I13" s="161">
        <v>23</v>
      </c>
      <c r="J13" s="162">
        <v>24</v>
      </c>
      <c r="K13" s="49"/>
    </row>
    <row r="14" spans="2:11" x14ac:dyDescent="0.35">
      <c r="B14" s="57" t="s">
        <v>24</v>
      </c>
      <c r="C14" s="144">
        <v>5</v>
      </c>
      <c r="D14" s="56">
        <v>1</v>
      </c>
      <c r="E14" s="56">
        <v>0</v>
      </c>
      <c r="F14" s="56">
        <v>0</v>
      </c>
      <c r="G14" s="56">
        <v>3</v>
      </c>
      <c r="H14" s="56">
        <v>5</v>
      </c>
      <c r="I14" s="56">
        <v>3</v>
      </c>
      <c r="J14" s="90">
        <v>1</v>
      </c>
      <c r="K14" s="49"/>
    </row>
    <row r="15" spans="2:11" x14ac:dyDescent="0.35">
      <c r="B15" s="57"/>
      <c r="J15" s="49"/>
      <c r="K15" s="49"/>
    </row>
    <row r="16" spans="2:11" x14ac:dyDescent="0.35">
      <c r="B16" s="57" t="s">
        <v>43</v>
      </c>
      <c r="C16" s="160">
        <v>25</v>
      </c>
      <c r="D16" s="161">
        <v>26</v>
      </c>
      <c r="E16" s="161">
        <v>27</v>
      </c>
      <c r="F16" s="161">
        <v>28</v>
      </c>
      <c r="G16" s="161">
        <v>29</v>
      </c>
      <c r="H16" s="161">
        <v>30</v>
      </c>
      <c r="J16" s="49"/>
      <c r="K16" s="49"/>
    </row>
    <row r="17" spans="1:11" ht="16" thickBot="1" x14ac:dyDescent="0.4">
      <c r="B17" s="166" t="s">
        <v>24</v>
      </c>
      <c r="C17" s="155">
        <v>0</v>
      </c>
      <c r="D17" s="155">
        <v>0</v>
      </c>
      <c r="E17" s="155">
        <v>0</v>
      </c>
      <c r="F17" s="155">
        <v>6</v>
      </c>
      <c r="G17" s="155">
        <v>3</v>
      </c>
      <c r="H17" s="155">
        <v>1</v>
      </c>
      <c r="I17" s="51"/>
      <c r="J17" s="52"/>
      <c r="K17" s="49"/>
    </row>
    <row r="18" spans="1:11" x14ac:dyDescent="0.35">
      <c r="B18" s="48"/>
      <c r="K18" s="49"/>
    </row>
    <row r="19" spans="1:11" x14ac:dyDescent="0.35">
      <c r="B19" s="48"/>
      <c r="K19" s="49"/>
    </row>
    <row r="20" spans="1:11" x14ac:dyDescent="0.35">
      <c r="B20" s="72" t="s">
        <v>96</v>
      </c>
      <c r="C20" s="141"/>
      <c r="D20" s="167"/>
      <c r="E20" s="141"/>
      <c r="F20" s="141"/>
      <c r="G20" s="141"/>
      <c r="H20" s="141"/>
      <c r="I20" s="141"/>
      <c r="J20" s="141"/>
      <c r="K20" s="148"/>
    </row>
    <row r="21" spans="1:11" ht="15" customHeight="1" x14ac:dyDescent="0.35">
      <c r="B21" s="269" t="s">
        <v>147</v>
      </c>
      <c r="C21" s="270"/>
      <c r="D21" s="270"/>
      <c r="E21" s="270"/>
      <c r="F21" s="270"/>
      <c r="G21" s="270"/>
      <c r="H21" s="270"/>
      <c r="I21" s="270"/>
      <c r="J21" s="270"/>
      <c r="K21" s="271"/>
    </row>
    <row r="22" spans="1:11" ht="30" customHeight="1" x14ac:dyDescent="0.35">
      <c r="B22" s="252" t="s">
        <v>145</v>
      </c>
      <c r="C22" s="253"/>
      <c r="D22" s="253"/>
      <c r="E22" s="253"/>
      <c r="F22" s="253"/>
      <c r="G22" s="253"/>
      <c r="H22" s="253"/>
      <c r="I22" s="253"/>
      <c r="J22" s="253"/>
      <c r="K22" s="254"/>
    </row>
    <row r="23" spans="1:11" ht="45" customHeight="1" x14ac:dyDescent="0.35">
      <c r="B23" s="272" t="s">
        <v>146</v>
      </c>
      <c r="C23" s="273"/>
      <c r="D23" s="273"/>
      <c r="E23" s="273"/>
      <c r="F23" s="273"/>
      <c r="G23" s="273"/>
      <c r="H23" s="273"/>
      <c r="I23" s="273"/>
      <c r="J23" s="273"/>
      <c r="K23" s="274"/>
    </row>
    <row r="24" spans="1:11" ht="46.15" customHeight="1" thickBot="1" x14ac:dyDescent="0.4">
      <c r="B24" s="264" t="s">
        <v>143</v>
      </c>
      <c r="C24" s="265"/>
      <c r="D24" s="265"/>
      <c r="E24" s="265"/>
      <c r="F24" s="265"/>
      <c r="G24" s="265"/>
      <c r="H24" s="265"/>
      <c r="I24" s="265"/>
      <c r="J24" s="265"/>
      <c r="K24" s="267"/>
    </row>
    <row r="25" spans="1:11" ht="15" customHeight="1" x14ac:dyDescent="0.35">
      <c r="A25" s="55"/>
    </row>
    <row r="26" spans="1:11" ht="15" customHeight="1" x14ac:dyDescent="0.35">
      <c r="A26" s="55"/>
    </row>
    <row r="27" spans="1:11" ht="15" customHeight="1" x14ac:dyDescent="0.35"/>
    <row r="28" spans="1:11" ht="15" customHeight="1" x14ac:dyDescent="0.35"/>
    <row r="29" spans="1:11" x14ac:dyDescent="0.35">
      <c r="B29" s="275" t="s">
        <v>46</v>
      </c>
      <c r="C29" s="276"/>
      <c r="D29" s="183">
        <v>3</v>
      </c>
    </row>
    <row r="31" spans="1:11" x14ac:dyDescent="0.35">
      <c r="B31" s="120" t="s">
        <v>45</v>
      </c>
      <c r="C31" s="97"/>
      <c r="D31" s="174" t="s">
        <v>44</v>
      </c>
      <c r="F31" s="268" t="s">
        <v>148</v>
      </c>
      <c r="G31" s="268"/>
      <c r="H31" s="268"/>
      <c r="I31" s="268"/>
      <c r="J31" s="268"/>
      <c r="K31" s="268"/>
    </row>
    <row r="32" spans="1:11" ht="15.65" customHeight="1" x14ac:dyDescent="0.35">
      <c r="B32" s="175" t="s">
        <v>43</v>
      </c>
      <c r="C32" s="176" t="s">
        <v>24</v>
      </c>
      <c r="D32" s="177" t="s">
        <v>42</v>
      </c>
      <c r="G32" s="169"/>
    </row>
    <row r="33" spans="2:11" x14ac:dyDescent="0.35">
      <c r="B33" s="144">
        <v>1</v>
      </c>
      <c r="C33" s="172">
        <v>5</v>
      </c>
      <c r="D33" s="170">
        <f>C33*$D$29</f>
        <v>15</v>
      </c>
      <c r="G33" s="128"/>
    </row>
    <row r="34" spans="2:11" ht="33" x14ac:dyDescent="0.45">
      <c r="B34" s="144">
        <v>2</v>
      </c>
      <c r="C34" s="172">
        <v>2</v>
      </c>
      <c r="D34" s="170">
        <f t="shared" ref="D34:D61" si="0">C34*$D$29</f>
        <v>6</v>
      </c>
      <c r="F34" s="180" t="s">
        <v>149</v>
      </c>
      <c r="G34" s="181" t="s">
        <v>150</v>
      </c>
      <c r="H34" s="182" t="s">
        <v>151</v>
      </c>
    </row>
    <row r="35" spans="2:11" x14ac:dyDescent="0.35">
      <c r="B35" s="144">
        <v>3</v>
      </c>
      <c r="C35" s="172">
        <v>3</v>
      </c>
      <c r="D35" s="170">
        <f t="shared" si="0"/>
        <v>9</v>
      </c>
      <c r="F35" s="156">
        <v>0</v>
      </c>
      <c r="G35" s="79">
        <f>COUNTIF($C$33:$C$62,F35)</f>
        <v>10</v>
      </c>
      <c r="H35" s="156">
        <f>G35/$G$42</f>
        <v>0.33333333333333331</v>
      </c>
    </row>
    <row r="36" spans="2:11" x14ac:dyDescent="0.35">
      <c r="B36" s="144">
        <v>4</v>
      </c>
      <c r="C36" s="172">
        <v>0</v>
      </c>
      <c r="D36" s="170">
        <f t="shared" si="0"/>
        <v>0</v>
      </c>
      <c r="F36" s="94">
        <v>1</v>
      </c>
      <c r="G36" s="2">
        <f>COUNTIF($C$33:$C$62,F36)</f>
        <v>6</v>
      </c>
      <c r="H36" s="94">
        <f>G36/$G$42</f>
        <v>0.2</v>
      </c>
    </row>
    <row r="37" spans="2:11" x14ac:dyDescent="0.35">
      <c r="B37" s="144">
        <v>5</v>
      </c>
      <c r="C37" s="172">
        <v>0</v>
      </c>
      <c r="D37" s="170">
        <f t="shared" si="0"/>
        <v>0</v>
      </c>
      <c r="F37" s="94">
        <v>2</v>
      </c>
      <c r="G37" s="2">
        <f t="shared" ref="G37:G41" si="1">COUNTIF($C$33:$C$62,F37)</f>
        <v>3</v>
      </c>
      <c r="H37" s="94">
        <f t="shared" ref="H37:H41" si="2">G37/$G$42</f>
        <v>0.1</v>
      </c>
    </row>
    <row r="38" spans="2:11" x14ac:dyDescent="0.35">
      <c r="B38" s="144">
        <v>6</v>
      </c>
      <c r="C38" s="172">
        <v>1</v>
      </c>
      <c r="D38" s="170">
        <f t="shared" si="0"/>
        <v>3</v>
      </c>
      <c r="F38" s="94">
        <v>3</v>
      </c>
      <c r="G38" s="2">
        <f t="shared" si="1"/>
        <v>6</v>
      </c>
      <c r="H38" s="94">
        <f t="shared" si="2"/>
        <v>0.2</v>
      </c>
    </row>
    <row r="39" spans="2:11" x14ac:dyDescent="0.35">
      <c r="B39" s="144">
        <v>7</v>
      </c>
      <c r="C39" s="172">
        <v>3</v>
      </c>
      <c r="D39" s="170">
        <f t="shared" si="0"/>
        <v>9</v>
      </c>
      <c r="F39" s="94">
        <v>4</v>
      </c>
      <c r="G39" s="2">
        <f t="shared" si="1"/>
        <v>0</v>
      </c>
      <c r="H39" s="94">
        <f t="shared" si="2"/>
        <v>0</v>
      </c>
    </row>
    <row r="40" spans="2:11" x14ac:dyDescent="0.35">
      <c r="B40" s="144">
        <v>8</v>
      </c>
      <c r="C40" s="172">
        <v>6</v>
      </c>
      <c r="D40" s="170">
        <f t="shared" si="0"/>
        <v>18</v>
      </c>
      <c r="F40" s="94">
        <v>5</v>
      </c>
      <c r="G40" s="2">
        <f t="shared" si="1"/>
        <v>3</v>
      </c>
      <c r="H40" s="94">
        <f t="shared" si="2"/>
        <v>0.1</v>
      </c>
    </row>
    <row r="41" spans="2:11" x14ac:dyDescent="0.35">
      <c r="B41" s="144">
        <v>9</v>
      </c>
      <c r="C41" s="172">
        <v>0</v>
      </c>
      <c r="D41" s="170">
        <f t="shared" si="0"/>
        <v>0</v>
      </c>
      <c r="F41" s="94">
        <v>6</v>
      </c>
      <c r="G41" s="2">
        <f t="shared" si="1"/>
        <v>2</v>
      </c>
      <c r="H41" s="94">
        <f t="shared" si="2"/>
        <v>6.6666666666666666E-2</v>
      </c>
    </row>
    <row r="42" spans="2:11" x14ac:dyDescent="0.35">
      <c r="B42" s="144">
        <v>10</v>
      </c>
      <c r="C42" s="172">
        <v>2</v>
      </c>
      <c r="D42" s="170">
        <f t="shared" si="0"/>
        <v>6</v>
      </c>
      <c r="F42" s="179" t="s">
        <v>0</v>
      </c>
      <c r="G42" s="145">
        <f>SUM(G35:G41)</f>
        <v>30</v>
      </c>
      <c r="H42" s="95">
        <f>SUM(H35:H41)</f>
        <v>0.99999999999999989</v>
      </c>
    </row>
    <row r="43" spans="2:11" x14ac:dyDescent="0.35">
      <c r="B43" s="144">
        <v>11</v>
      </c>
      <c r="C43" s="172">
        <v>1</v>
      </c>
      <c r="D43" s="170">
        <f t="shared" si="0"/>
        <v>3</v>
      </c>
    </row>
    <row r="44" spans="2:11" x14ac:dyDescent="0.35">
      <c r="B44" s="144">
        <v>12</v>
      </c>
      <c r="C44" s="172">
        <v>0</v>
      </c>
      <c r="D44" s="170">
        <f t="shared" si="0"/>
        <v>0</v>
      </c>
    </row>
    <row r="45" spans="2:11" x14ac:dyDescent="0.35">
      <c r="B45" s="144">
        <v>13</v>
      </c>
      <c r="C45" s="172">
        <v>1</v>
      </c>
      <c r="D45" s="170">
        <f t="shared" si="0"/>
        <v>3</v>
      </c>
    </row>
    <row r="46" spans="2:11" x14ac:dyDescent="0.35">
      <c r="B46" s="144">
        <v>14</v>
      </c>
      <c r="C46" s="172">
        <v>0</v>
      </c>
      <c r="D46" s="170">
        <f t="shared" si="0"/>
        <v>0</v>
      </c>
      <c r="F46" s="268" t="s">
        <v>152</v>
      </c>
      <c r="G46" s="268"/>
      <c r="H46" s="268"/>
      <c r="I46" s="268"/>
      <c r="J46" s="268"/>
      <c r="K46" s="268"/>
    </row>
    <row r="47" spans="2:11" x14ac:dyDescent="0.35">
      <c r="B47" s="144">
        <v>15</v>
      </c>
      <c r="C47" s="172">
        <v>2</v>
      </c>
      <c r="D47" s="170">
        <f t="shared" si="0"/>
        <v>6</v>
      </c>
      <c r="G47" s="169"/>
    </row>
    <row r="48" spans="2:11" x14ac:dyDescent="0.35">
      <c r="B48" s="144">
        <v>16</v>
      </c>
      <c r="C48" s="172">
        <v>3</v>
      </c>
      <c r="D48" s="170">
        <f t="shared" si="0"/>
        <v>9</v>
      </c>
      <c r="G48" s="128"/>
    </row>
    <row r="49" spans="2:8" ht="33" x14ac:dyDescent="0.45">
      <c r="B49" s="144">
        <v>17</v>
      </c>
      <c r="C49" s="172">
        <v>5</v>
      </c>
      <c r="D49" s="170">
        <f t="shared" si="0"/>
        <v>15</v>
      </c>
      <c r="F49" s="180" t="s">
        <v>149</v>
      </c>
      <c r="G49" s="181" t="s">
        <v>153</v>
      </c>
      <c r="H49" s="244" t="s">
        <v>154</v>
      </c>
    </row>
    <row r="50" spans="2:8" x14ac:dyDescent="0.35">
      <c r="B50" s="144">
        <v>18</v>
      </c>
      <c r="C50" s="172">
        <v>1</v>
      </c>
      <c r="D50" s="170">
        <f t="shared" si="0"/>
        <v>3</v>
      </c>
      <c r="F50" s="156">
        <v>0</v>
      </c>
      <c r="G50" s="79">
        <f>SUM($G$35:G35)</f>
        <v>10</v>
      </c>
      <c r="H50" s="156">
        <f>SUM($H$35:H35)</f>
        <v>0.33333333333333331</v>
      </c>
    </row>
    <row r="51" spans="2:8" x14ac:dyDescent="0.35">
      <c r="B51" s="144">
        <v>19</v>
      </c>
      <c r="C51" s="172">
        <v>0</v>
      </c>
      <c r="D51" s="170">
        <f t="shared" si="0"/>
        <v>0</v>
      </c>
      <c r="F51" s="94">
        <v>1</v>
      </c>
      <c r="G51" s="2">
        <f>SUM($G$35:G36)</f>
        <v>16</v>
      </c>
      <c r="H51" s="94">
        <f>SUM($H$35:H36)</f>
        <v>0.53333333333333333</v>
      </c>
    </row>
    <row r="52" spans="2:8" x14ac:dyDescent="0.35">
      <c r="B52" s="144">
        <v>20</v>
      </c>
      <c r="C52" s="172">
        <v>0</v>
      </c>
      <c r="D52" s="170">
        <f t="shared" si="0"/>
        <v>0</v>
      </c>
      <c r="F52" s="94">
        <v>2</v>
      </c>
      <c r="G52" s="2">
        <f>SUM($G$35:G37)</f>
        <v>19</v>
      </c>
      <c r="H52" s="94">
        <f>SUM($H$35:H37)</f>
        <v>0.6333333333333333</v>
      </c>
    </row>
    <row r="53" spans="2:8" x14ac:dyDescent="0.35">
      <c r="B53" s="144">
        <v>21</v>
      </c>
      <c r="C53" s="172">
        <v>3</v>
      </c>
      <c r="D53" s="170">
        <f t="shared" si="0"/>
        <v>9</v>
      </c>
      <c r="F53" s="94">
        <v>3</v>
      </c>
      <c r="G53" s="2">
        <f>SUM($G$35:G38)</f>
        <v>25</v>
      </c>
      <c r="H53" s="94">
        <f>SUM($H$35:H38)</f>
        <v>0.83333333333333326</v>
      </c>
    </row>
    <row r="54" spans="2:8" x14ac:dyDescent="0.35">
      <c r="B54" s="144">
        <v>22</v>
      </c>
      <c r="C54" s="172">
        <v>5</v>
      </c>
      <c r="D54" s="170">
        <f t="shared" si="0"/>
        <v>15</v>
      </c>
      <c r="F54" s="94">
        <v>4</v>
      </c>
      <c r="G54" s="2">
        <f>SUM($G$35:G39)</f>
        <v>25</v>
      </c>
      <c r="H54" s="94">
        <f>SUM($H$35:H39)</f>
        <v>0.83333333333333326</v>
      </c>
    </row>
    <row r="55" spans="2:8" x14ac:dyDescent="0.35">
      <c r="B55" s="144">
        <v>23</v>
      </c>
      <c r="C55" s="172">
        <v>3</v>
      </c>
      <c r="D55" s="170">
        <f t="shared" si="0"/>
        <v>9</v>
      </c>
      <c r="F55" s="94">
        <v>5</v>
      </c>
      <c r="G55" s="2">
        <f>SUM($G$35:G40)</f>
        <v>28</v>
      </c>
      <c r="H55" s="94">
        <f>SUM($H$35:H40)</f>
        <v>0.93333333333333324</v>
      </c>
    </row>
    <row r="56" spans="2:8" x14ac:dyDescent="0.35">
      <c r="B56" s="144">
        <v>24</v>
      </c>
      <c r="C56" s="172">
        <v>1</v>
      </c>
      <c r="D56" s="170">
        <f t="shared" si="0"/>
        <v>3</v>
      </c>
      <c r="F56" s="94">
        <v>6</v>
      </c>
      <c r="G56" s="2">
        <f>SUM($G$35:G41)</f>
        <v>30</v>
      </c>
      <c r="H56" s="94">
        <f>SUM($H$35:H41)</f>
        <v>0.99999999999999989</v>
      </c>
    </row>
    <row r="57" spans="2:8" x14ac:dyDescent="0.35">
      <c r="B57" s="144">
        <v>25</v>
      </c>
      <c r="C57" s="172">
        <v>0</v>
      </c>
      <c r="D57" s="170">
        <f t="shared" si="0"/>
        <v>0</v>
      </c>
      <c r="F57" s="179" t="s">
        <v>0</v>
      </c>
      <c r="G57" s="145"/>
      <c r="H57" s="95"/>
    </row>
    <row r="58" spans="2:8" x14ac:dyDescent="0.35">
      <c r="B58" s="144">
        <v>26</v>
      </c>
      <c r="C58" s="172">
        <v>0</v>
      </c>
      <c r="D58" s="170">
        <f t="shared" si="0"/>
        <v>0</v>
      </c>
    </row>
    <row r="59" spans="2:8" x14ac:dyDescent="0.35">
      <c r="B59" s="144">
        <v>27</v>
      </c>
      <c r="C59" s="172">
        <v>0</v>
      </c>
      <c r="D59" s="170">
        <f t="shared" si="0"/>
        <v>0</v>
      </c>
    </row>
    <row r="60" spans="2:8" x14ac:dyDescent="0.35">
      <c r="B60" s="144">
        <v>28</v>
      </c>
      <c r="C60" s="172">
        <v>6</v>
      </c>
      <c r="D60" s="170">
        <f t="shared" si="0"/>
        <v>18</v>
      </c>
    </row>
    <row r="61" spans="2:8" x14ac:dyDescent="0.35">
      <c r="B61" s="144">
        <v>29</v>
      </c>
      <c r="C61" s="172">
        <v>3</v>
      </c>
      <c r="D61" s="170">
        <f t="shared" si="0"/>
        <v>9</v>
      </c>
    </row>
    <row r="62" spans="2:8" x14ac:dyDescent="0.35">
      <c r="B62" s="160">
        <v>30</v>
      </c>
      <c r="C62" s="173">
        <v>1</v>
      </c>
      <c r="D62" s="171">
        <f>C62*$D$29</f>
        <v>3</v>
      </c>
    </row>
    <row r="63" spans="2:8" x14ac:dyDescent="0.35">
      <c r="G63" s="153"/>
    </row>
    <row r="64" spans="2:8" x14ac:dyDescent="0.35">
      <c r="G64" s="153"/>
    </row>
    <row r="65" spans="2:11" x14ac:dyDescent="0.35">
      <c r="G65" s="153"/>
    </row>
    <row r="66" spans="2:11" x14ac:dyDescent="0.35">
      <c r="B66" s="266" t="s">
        <v>155</v>
      </c>
      <c r="C66" s="266"/>
      <c r="D66" s="266"/>
      <c r="E66" s="266"/>
      <c r="F66" s="266"/>
      <c r="G66" s="266"/>
      <c r="H66" s="266"/>
      <c r="I66" s="266"/>
      <c r="J66" s="266"/>
      <c r="K66" s="266"/>
    </row>
    <row r="67" spans="2:11" x14ac:dyDescent="0.35">
      <c r="D67" s="2"/>
    </row>
    <row r="68" spans="2:11" x14ac:dyDescent="0.35">
      <c r="D68" s="2"/>
    </row>
    <row r="72" spans="2:11" x14ac:dyDescent="0.35">
      <c r="D72" s="2"/>
      <c r="F72" s="45"/>
    </row>
  </sheetData>
  <mergeCells count="9">
    <mergeCell ref="B66:K66"/>
    <mergeCell ref="B24:K24"/>
    <mergeCell ref="F31:K31"/>
    <mergeCell ref="B5:K5"/>
    <mergeCell ref="B21:K21"/>
    <mergeCell ref="B22:K22"/>
    <mergeCell ref="B23:K23"/>
    <mergeCell ref="B29:C29"/>
    <mergeCell ref="F46:K46"/>
  </mergeCells>
  <pageMargins left="0.78740157499999996" right="0.78740157499999996" top="0.984251969" bottom="0.984251969" header="0.4921259845" footer="0.492125984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3"/>
  <sheetViews>
    <sheetView zoomScale="80" zoomScaleNormal="80" workbookViewId="0">
      <selection activeCell="E39" sqref="E39"/>
    </sheetView>
  </sheetViews>
  <sheetFormatPr baseColWidth="10" defaultColWidth="11.54296875" defaultRowHeight="15.5" x14ac:dyDescent="0.35"/>
  <cols>
    <col min="1" max="1" width="0.81640625" style="2" customWidth="1"/>
    <col min="2" max="3" width="11.453125" style="2" customWidth="1"/>
    <col min="4" max="4" width="14.26953125" style="2" customWidth="1"/>
    <col min="5" max="7" width="11.453125" style="2" customWidth="1"/>
    <col min="8" max="15" width="11.453125" style="56" customWidth="1"/>
    <col min="16" max="16" width="11.453125" style="2" customWidth="1"/>
    <col min="17" max="18" width="11.54296875" style="2"/>
    <col min="19" max="19" width="13.7265625" style="2" customWidth="1"/>
    <col min="20" max="16384" width="11.54296875" style="2"/>
  </cols>
  <sheetData>
    <row r="1" spans="1:10" ht="15.65" customHeight="1" x14ac:dyDescent="0.35">
      <c r="A1" s="45"/>
    </row>
    <row r="2" spans="1:10" ht="19.149999999999999" customHeight="1" x14ac:dyDescent="0.4">
      <c r="B2" s="130" t="s">
        <v>157</v>
      </c>
      <c r="C2" s="30"/>
      <c r="D2" s="154"/>
    </row>
    <row r="3" spans="1:10" ht="14.5" customHeight="1" thickBot="1" x14ac:dyDescent="0.45">
      <c r="B3" s="190"/>
      <c r="D3" s="56"/>
    </row>
    <row r="4" spans="1:10" ht="14.5" customHeight="1" x14ac:dyDescent="0.35">
      <c r="B4" s="83" t="s">
        <v>144</v>
      </c>
      <c r="C4" s="192"/>
      <c r="D4" s="193"/>
      <c r="E4" s="192"/>
      <c r="F4" s="192"/>
      <c r="G4" s="192"/>
      <c r="H4" s="193"/>
      <c r="I4" s="193"/>
      <c r="J4" s="194"/>
    </row>
    <row r="5" spans="1:10" ht="31.15" customHeight="1" x14ac:dyDescent="0.35">
      <c r="B5" s="277" t="s">
        <v>49</v>
      </c>
      <c r="C5" s="278"/>
      <c r="D5" s="278"/>
      <c r="E5" s="278"/>
      <c r="F5" s="278"/>
      <c r="G5" s="278"/>
      <c r="H5" s="278"/>
      <c r="I5" s="278"/>
      <c r="J5" s="279"/>
    </row>
    <row r="6" spans="1:10" ht="15.65" customHeight="1" x14ac:dyDescent="0.35">
      <c r="B6" s="48"/>
      <c r="J6" s="90"/>
    </row>
    <row r="7" spans="1:10" ht="15.65" customHeight="1" thickBot="1" x14ac:dyDescent="0.4">
      <c r="B7" s="48"/>
      <c r="C7" s="2" t="s">
        <v>26</v>
      </c>
      <c r="F7" s="2" t="s">
        <v>48</v>
      </c>
      <c r="J7" s="90"/>
    </row>
    <row r="8" spans="1:10" ht="15.65" customHeight="1" x14ac:dyDescent="0.4">
      <c r="B8" s="48"/>
      <c r="C8" s="115" t="s">
        <v>47</v>
      </c>
      <c r="D8" s="116" t="s">
        <v>156</v>
      </c>
      <c r="F8" s="115" t="s">
        <v>25</v>
      </c>
      <c r="G8" s="116" t="s">
        <v>106</v>
      </c>
      <c r="J8" s="90"/>
    </row>
    <row r="9" spans="1:10" ht="15.65" customHeight="1" x14ac:dyDescent="0.35">
      <c r="B9" s="48"/>
      <c r="C9" s="151">
        <v>1</v>
      </c>
      <c r="D9" s="185">
        <v>3</v>
      </c>
      <c r="F9" s="117">
        <v>1</v>
      </c>
      <c r="G9" s="90">
        <v>0</v>
      </c>
      <c r="J9" s="90"/>
    </row>
    <row r="10" spans="1:10" ht="15.65" customHeight="1" x14ac:dyDescent="0.35">
      <c r="B10" s="48"/>
      <c r="C10" s="151">
        <v>2</v>
      </c>
      <c r="D10" s="185">
        <v>10</v>
      </c>
      <c r="F10" s="117">
        <v>2</v>
      </c>
      <c r="G10" s="90">
        <v>0</v>
      </c>
      <c r="J10" s="90"/>
    </row>
    <row r="11" spans="1:10" ht="15.65" customHeight="1" x14ac:dyDescent="0.35">
      <c r="B11" s="48"/>
      <c r="C11" s="151">
        <v>3</v>
      </c>
      <c r="D11" s="185">
        <v>1</v>
      </c>
      <c r="F11" s="117">
        <v>3</v>
      </c>
      <c r="G11" s="90">
        <v>1</v>
      </c>
      <c r="J11" s="90"/>
    </row>
    <row r="12" spans="1:10" ht="15.65" customHeight="1" x14ac:dyDescent="0.35">
      <c r="B12" s="48"/>
      <c r="C12" s="151">
        <v>4</v>
      </c>
      <c r="D12" s="185">
        <v>2</v>
      </c>
      <c r="F12" s="117">
        <v>4</v>
      </c>
      <c r="G12" s="90">
        <v>1</v>
      </c>
      <c r="J12" s="90"/>
    </row>
    <row r="13" spans="1:10" ht="15.65" customHeight="1" x14ac:dyDescent="0.35">
      <c r="B13" s="48"/>
      <c r="C13" s="151">
        <v>5</v>
      </c>
      <c r="D13" s="185">
        <v>3</v>
      </c>
      <c r="F13" s="117">
        <v>5</v>
      </c>
      <c r="G13" s="90">
        <v>2</v>
      </c>
      <c r="J13" s="90"/>
    </row>
    <row r="14" spans="1:10" ht="15.65" customHeight="1" x14ac:dyDescent="0.35">
      <c r="B14" s="48"/>
      <c r="C14" s="151">
        <v>6</v>
      </c>
      <c r="D14" s="185">
        <v>0</v>
      </c>
      <c r="F14" s="117">
        <v>6</v>
      </c>
      <c r="G14" s="90">
        <v>2</v>
      </c>
      <c r="J14" s="90"/>
    </row>
    <row r="15" spans="1:10" ht="15.65" customHeight="1" x14ac:dyDescent="0.35">
      <c r="B15" s="48"/>
      <c r="C15" s="151">
        <v>7</v>
      </c>
      <c r="D15" s="185">
        <v>2</v>
      </c>
      <c r="F15" s="117">
        <v>7</v>
      </c>
      <c r="G15" s="90">
        <v>3</v>
      </c>
      <c r="J15" s="90"/>
    </row>
    <row r="16" spans="1:10" ht="15.65" customHeight="1" x14ac:dyDescent="0.35">
      <c r="B16" s="48"/>
      <c r="C16" s="151">
        <v>8</v>
      </c>
      <c r="D16" s="185">
        <v>1</v>
      </c>
      <c r="F16" s="117">
        <v>8</v>
      </c>
      <c r="G16" s="90">
        <v>3</v>
      </c>
      <c r="J16" s="90"/>
    </row>
    <row r="17" spans="2:10" ht="15.65" customHeight="1" x14ac:dyDescent="0.35">
      <c r="B17" s="48"/>
      <c r="C17" s="151">
        <v>9</v>
      </c>
      <c r="D17" s="185">
        <v>0</v>
      </c>
      <c r="F17" s="117">
        <v>9</v>
      </c>
      <c r="G17" s="90">
        <v>3</v>
      </c>
      <c r="J17" s="90"/>
    </row>
    <row r="18" spans="2:10" ht="15.65" customHeight="1" thickBot="1" x14ac:dyDescent="0.4">
      <c r="B18" s="48"/>
      <c r="C18" s="186">
        <v>10</v>
      </c>
      <c r="D18" s="187">
        <v>3</v>
      </c>
      <c r="F18" s="118">
        <v>10</v>
      </c>
      <c r="G18" s="119">
        <v>10</v>
      </c>
      <c r="J18" s="90"/>
    </row>
    <row r="19" spans="2:10" ht="15.65" customHeight="1" x14ac:dyDescent="0.35">
      <c r="B19" s="48"/>
      <c r="C19" s="3"/>
      <c r="D19" s="3"/>
      <c r="F19" s="56"/>
      <c r="G19" s="56"/>
      <c r="J19" s="90"/>
    </row>
    <row r="20" spans="2:10" ht="15.65" customHeight="1" x14ac:dyDescent="0.35">
      <c r="B20" s="72" t="s">
        <v>96</v>
      </c>
      <c r="C20" s="191"/>
      <c r="D20" s="191"/>
      <c r="E20" s="141"/>
      <c r="F20" s="167"/>
      <c r="G20" s="167"/>
      <c r="H20" s="167"/>
      <c r="I20" s="167"/>
      <c r="J20" s="195"/>
    </row>
    <row r="21" spans="2:10" ht="15.65" customHeight="1" x14ac:dyDescent="0.35">
      <c r="B21" s="269" t="s">
        <v>158</v>
      </c>
      <c r="C21" s="270"/>
      <c r="D21" s="270"/>
      <c r="E21" s="270"/>
      <c r="F21" s="270"/>
      <c r="G21" s="270"/>
      <c r="H21" s="270"/>
      <c r="I21" s="270"/>
      <c r="J21" s="271"/>
    </row>
    <row r="22" spans="2:10" ht="30.65" customHeight="1" thickBot="1" x14ac:dyDescent="0.4">
      <c r="B22" s="280" t="s">
        <v>160</v>
      </c>
      <c r="C22" s="281"/>
      <c r="D22" s="281"/>
      <c r="E22" s="281"/>
      <c r="F22" s="281"/>
      <c r="G22" s="281"/>
      <c r="H22" s="281"/>
      <c r="I22" s="281"/>
      <c r="J22" s="282"/>
    </row>
    <row r="23" spans="2:10" ht="15.65" customHeight="1" x14ac:dyDescent="0.35"/>
    <row r="24" spans="2:10" ht="15.65" customHeight="1" x14ac:dyDescent="0.35">
      <c r="F24" s="3"/>
      <c r="G24" s="3"/>
    </row>
    <row r="25" spans="2:10" ht="15.65" customHeight="1" x14ac:dyDescent="0.35">
      <c r="C25" s="142" t="s">
        <v>44</v>
      </c>
      <c r="D25" s="79" t="s">
        <v>167</v>
      </c>
      <c r="E25" s="197">
        <f>SUM(D9:D18)</f>
        <v>25</v>
      </c>
      <c r="G25" s="56"/>
    </row>
    <row r="26" spans="2:10" ht="15.65" customHeight="1" x14ac:dyDescent="0.35">
      <c r="C26" s="78"/>
      <c r="E26" s="198"/>
      <c r="G26" s="56"/>
    </row>
    <row r="27" spans="2:10" ht="15.65" customHeight="1" x14ac:dyDescent="0.35">
      <c r="C27" s="126"/>
      <c r="D27" s="145" t="s">
        <v>159</v>
      </c>
      <c r="E27" s="136">
        <f>COUNT(D9:D18)</f>
        <v>10</v>
      </c>
      <c r="G27" s="56"/>
      <c r="H27" s="184"/>
    </row>
    <row r="28" spans="2:10" ht="15.65" customHeight="1" x14ac:dyDescent="0.35">
      <c r="D28" s="196"/>
      <c r="G28" s="56"/>
    </row>
    <row r="29" spans="2:10" ht="15.65" customHeight="1" x14ac:dyDescent="0.35">
      <c r="C29" s="142" t="s">
        <v>1</v>
      </c>
      <c r="D29" s="199" t="s">
        <v>161</v>
      </c>
      <c r="E29" s="134">
        <f>E25/E27</f>
        <v>2.5</v>
      </c>
      <c r="F29" s="58">
        <f>AVERAGE(D9:D18)</f>
        <v>2.5</v>
      </c>
      <c r="G29" s="56"/>
    </row>
    <row r="30" spans="2:10" ht="15.65" customHeight="1" x14ac:dyDescent="0.35">
      <c r="C30" s="78"/>
      <c r="D30" s="152"/>
      <c r="E30" s="125"/>
      <c r="G30" s="56"/>
    </row>
    <row r="31" spans="2:10" ht="15.65" customHeight="1" x14ac:dyDescent="0.4">
      <c r="C31" s="78"/>
      <c r="D31" s="152" t="s">
        <v>162</v>
      </c>
      <c r="E31" s="135">
        <f>_xlfn.MODE.SNGL(D9:D18)</f>
        <v>3</v>
      </c>
      <c r="G31" s="56"/>
    </row>
    <row r="32" spans="2:10" ht="15.65" customHeight="1" x14ac:dyDescent="0.35">
      <c r="C32" s="78"/>
      <c r="D32" s="152"/>
      <c r="E32" s="125"/>
      <c r="G32" s="56"/>
    </row>
    <row r="33" spans="2:15" ht="15.65" customHeight="1" x14ac:dyDescent="0.4">
      <c r="C33" s="78"/>
      <c r="D33" s="152" t="s">
        <v>163</v>
      </c>
      <c r="E33" s="135">
        <f>MEDIAN(D9:D18)</f>
        <v>2</v>
      </c>
      <c r="G33" s="56"/>
    </row>
    <row r="34" spans="2:15" ht="15.65" customHeight="1" x14ac:dyDescent="0.35">
      <c r="C34" s="78"/>
      <c r="D34" s="152"/>
      <c r="E34" s="125"/>
      <c r="G34" s="56"/>
    </row>
    <row r="35" spans="2:15" ht="15.65" customHeight="1" x14ac:dyDescent="0.35">
      <c r="C35" s="78"/>
      <c r="D35" s="152" t="s">
        <v>164</v>
      </c>
      <c r="E35" s="135">
        <f>MIN(D9:D189)</f>
        <v>0</v>
      </c>
      <c r="F35" s="56"/>
      <c r="G35" s="56"/>
    </row>
    <row r="36" spans="2:15" ht="15.65" customHeight="1" x14ac:dyDescent="0.35">
      <c r="C36" s="78"/>
      <c r="D36" s="152"/>
      <c r="E36" s="125"/>
      <c r="F36" s="56"/>
      <c r="G36" s="56"/>
    </row>
    <row r="37" spans="2:15" ht="15.65" customHeight="1" x14ac:dyDescent="0.35">
      <c r="C37" s="78"/>
      <c r="D37" s="152" t="s">
        <v>165</v>
      </c>
      <c r="E37" s="135">
        <f>MAX(D9:D18)</f>
        <v>10</v>
      </c>
      <c r="F37" s="56"/>
      <c r="G37" s="56"/>
    </row>
    <row r="38" spans="2:15" ht="15.65" customHeight="1" x14ac:dyDescent="0.35">
      <c r="C38" s="78"/>
      <c r="D38" s="152"/>
      <c r="E38" s="125"/>
      <c r="F38" s="56"/>
      <c r="G38" s="56"/>
    </row>
    <row r="39" spans="2:15" ht="15.65" customHeight="1" x14ac:dyDescent="0.35">
      <c r="C39" s="126"/>
      <c r="D39" s="200" t="s">
        <v>166</v>
      </c>
      <c r="E39" s="136">
        <f>E37-E35</f>
        <v>10</v>
      </c>
      <c r="F39" s="56"/>
      <c r="G39" s="56"/>
    </row>
    <row r="40" spans="2:15" ht="15.65" customHeight="1" x14ac:dyDescent="0.35">
      <c r="B40" s="3"/>
      <c r="C40" s="3"/>
      <c r="E40" s="56"/>
      <c r="F40" s="56"/>
      <c r="G40" s="56"/>
    </row>
    <row r="41" spans="2:15" ht="15.65" customHeight="1" x14ac:dyDescent="0.35"/>
    <row r="42" spans="2:15" ht="15.65" customHeight="1" x14ac:dyDescent="0.35">
      <c r="H42" s="2"/>
      <c r="K42" s="188"/>
    </row>
    <row r="43" spans="2:15" ht="15.65" customHeight="1" x14ac:dyDescent="0.35">
      <c r="H43" s="2"/>
    </row>
    <row r="44" spans="2:15" ht="15.65" customHeight="1" x14ac:dyDescent="0.35">
      <c r="H44" s="2"/>
      <c r="K44" s="189"/>
    </row>
    <row r="45" spans="2:15" ht="15.65" customHeight="1" x14ac:dyDescent="0.35">
      <c r="H45" s="2"/>
    </row>
    <row r="46" spans="2:15" ht="15.65" customHeight="1" x14ac:dyDescent="0.35">
      <c r="H46" s="2"/>
      <c r="M46" s="184"/>
      <c r="N46" s="184"/>
      <c r="O46" s="184"/>
    </row>
    <row r="47" spans="2:15" ht="15.65" customHeight="1" x14ac:dyDescent="0.35">
      <c r="H47" s="2"/>
    </row>
    <row r="48" spans="2:15" ht="15.65" customHeight="1" x14ac:dyDescent="0.35">
      <c r="H48" s="2"/>
      <c r="N48" s="152"/>
      <c r="O48" s="3"/>
    </row>
    <row r="49" spans="8:8" ht="15.65" customHeight="1" x14ac:dyDescent="0.35">
      <c r="H49" s="2"/>
    </row>
    <row r="50" spans="8:8" ht="15.65" customHeight="1" x14ac:dyDescent="0.35">
      <c r="H50" s="2"/>
    </row>
    <row r="51" spans="8:8" ht="15.65" customHeight="1" x14ac:dyDescent="0.35">
      <c r="H51" s="2"/>
    </row>
    <row r="52" spans="8:8" ht="15.65" customHeight="1" x14ac:dyDescent="0.35">
      <c r="H52" s="2"/>
    </row>
    <row r="53" spans="8:8" ht="15.65" customHeight="1" x14ac:dyDescent="0.35">
      <c r="H53" s="2"/>
    </row>
  </sheetData>
  <mergeCells count="3">
    <mergeCell ref="B5:J5"/>
    <mergeCell ref="B21:J21"/>
    <mergeCell ref="B22:J22"/>
  </mergeCells>
  <pageMargins left="0.78740157499999996" right="0.78740157499999996" top="0.984251969" bottom="0.984251969" header="0.4921259845" footer="0.492125984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J56"/>
  <sheetViews>
    <sheetView tabSelected="1" topLeftCell="A10" zoomScale="80" zoomScaleNormal="80" workbookViewId="0">
      <selection activeCell="F52" sqref="F52"/>
    </sheetView>
  </sheetViews>
  <sheetFormatPr baseColWidth="10" defaultColWidth="11.453125" defaultRowHeight="15.5" x14ac:dyDescent="0.35"/>
  <cols>
    <col min="1" max="1" width="0.7265625" style="2" customWidth="1"/>
    <col min="2" max="3" width="18.1796875" style="2" customWidth="1"/>
    <col min="4" max="7" width="12.7265625" style="2" bestFit="1" customWidth="1"/>
    <col min="8" max="16384" width="11.453125" style="2"/>
  </cols>
  <sheetData>
    <row r="2" spans="1:10" ht="20" x14ac:dyDescent="0.4">
      <c r="B2" s="130" t="s">
        <v>77</v>
      </c>
    </row>
    <row r="3" spans="1:10" ht="16" thickBot="1" x14ac:dyDescent="0.4"/>
    <row r="4" spans="1:10" ht="18" x14ac:dyDescent="0.4">
      <c r="A4" s="1"/>
      <c r="B4" s="83" t="s">
        <v>144</v>
      </c>
      <c r="C4" s="192"/>
      <c r="D4" s="193"/>
      <c r="E4" s="192"/>
      <c r="F4" s="192"/>
      <c r="G4" s="192"/>
      <c r="H4" s="193"/>
      <c r="I4" s="194"/>
      <c r="J4" s="56"/>
    </row>
    <row r="5" spans="1:10" ht="45" customHeight="1" x14ac:dyDescent="0.35">
      <c r="B5" s="252" t="s">
        <v>168</v>
      </c>
      <c r="C5" s="253"/>
      <c r="D5" s="253"/>
      <c r="E5" s="253"/>
      <c r="F5" s="253"/>
      <c r="G5" s="253"/>
      <c r="H5" s="253"/>
      <c r="I5" s="254"/>
    </row>
    <row r="6" spans="1:10" x14ac:dyDescent="0.35">
      <c r="B6" s="89"/>
      <c r="C6" s="178"/>
      <c r="D6" s="178"/>
      <c r="E6" s="178"/>
      <c r="F6" s="178"/>
      <c r="G6" s="178"/>
      <c r="H6" s="178"/>
      <c r="I6" s="208"/>
    </row>
    <row r="7" spans="1:10" x14ac:dyDescent="0.35">
      <c r="B7" s="209" t="s">
        <v>58</v>
      </c>
      <c r="C7" s="201" t="s">
        <v>57</v>
      </c>
      <c r="D7" s="245" t="s">
        <v>187</v>
      </c>
      <c r="I7" s="49"/>
    </row>
    <row r="8" spans="1:10" x14ac:dyDescent="0.35">
      <c r="B8" s="210">
        <v>1</v>
      </c>
      <c r="C8" s="202">
        <v>19616.74874028665</v>
      </c>
      <c r="D8" s="214">
        <f ca="1">DATEDIF(C8,TODAY(),"y")</f>
        <v>72</v>
      </c>
      <c r="E8" s="211"/>
      <c r="I8" s="49"/>
    </row>
    <row r="9" spans="1:10" x14ac:dyDescent="0.35">
      <c r="B9" s="210">
        <v>2</v>
      </c>
      <c r="C9" s="202">
        <v>22664.623194444444</v>
      </c>
      <c r="D9" s="215">
        <f ca="1">DATEDIF(C9,TODAY(),"y")</f>
        <v>64</v>
      </c>
      <c r="I9" s="49"/>
    </row>
    <row r="10" spans="1:10" x14ac:dyDescent="0.35">
      <c r="B10" s="210">
        <v>3</v>
      </c>
      <c r="C10" s="202">
        <v>23092.160667044594</v>
      </c>
      <c r="D10" s="215">
        <f t="shared" ref="D10:D39" ca="1" si="0">DATEDIF(C10,TODAY(),"y")</f>
        <v>63</v>
      </c>
      <c r="E10" s="211"/>
      <c r="I10" s="49"/>
    </row>
    <row r="11" spans="1:10" x14ac:dyDescent="0.35">
      <c r="B11" s="210">
        <v>4</v>
      </c>
      <c r="C11" s="202">
        <v>30152.74354239738</v>
      </c>
      <c r="D11" s="215">
        <f t="shared" ca="1" si="0"/>
        <v>43</v>
      </c>
      <c r="E11" s="211"/>
      <c r="I11" s="49"/>
    </row>
    <row r="12" spans="1:10" x14ac:dyDescent="0.35">
      <c r="B12" s="210">
        <v>5</v>
      </c>
      <c r="C12" s="202">
        <v>20541.737014774626</v>
      </c>
      <c r="D12" s="215">
        <f t="shared" ca="1" si="0"/>
        <v>70</v>
      </c>
      <c r="E12" s="211"/>
      <c r="I12" s="49"/>
    </row>
    <row r="13" spans="1:10" x14ac:dyDescent="0.35">
      <c r="B13" s="210">
        <v>6</v>
      </c>
      <c r="C13" s="202">
        <v>17215.537398570261</v>
      </c>
      <c r="D13" s="215">
        <f t="shared" ca="1" si="0"/>
        <v>79</v>
      </c>
      <c r="E13" s="211"/>
      <c r="I13" s="49"/>
    </row>
    <row r="14" spans="1:10" x14ac:dyDescent="0.35">
      <c r="B14" s="210">
        <v>7</v>
      </c>
      <c r="C14" s="202">
        <v>19358.444090272504</v>
      </c>
      <c r="D14" s="215">
        <f t="shared" ca="1" si="0"/>
        <v>73</v>
      </c>
      <c r="E14" s="211"/>
      <c r="I14" s="49"/>
    </row>
    <row r="15" spans="1:10" x14ac:dyDescent="0.35">
      <c r="B15" s="210">
        <v>8</v>
      </c>
      <c r="C15" s="202">
        <v>22202.708571201059</v>
      </c>
      <c r="D15" s="215">
        <f t="shared" ca="1" si="0"/>
        <v>65</v>
      </c>
      <c r="E15" s="211"/>
      <c r="I15" s="49"/>
    </row>
    <row r="16" spans="1:10" x14ac:dyDescent="0.35">
      <c r="B16" s="210">
        <v>9</v>
      </c>
      <c r="C16" s="202">
        <v>30387.280127314814</v>
      </c>
      <c r="D16" s="215">
        <f t="shared" ca="1" si="0"/>
        <v>43</v>
      </c>
      <c r="E16" s="211"/>
      <c r="I16" s="49"/>
    </row>
    <row r="17" spans="2:9" x14ac:dyDescent="0.35">
      <c r="B17" s="210">
        <v>10</v>
      </c>
      <c r="C17" s="202">
        <v>15489.329245601459</v>
      </c>
      <c r="D17" s="215">
        <f t="shared" ca="1" si="0"/>
        <v>83</v>
      </c>
      <c r="E17" s="211"/>
      <c r="I17" s="49"/>
    </row>
    <row r="18" spans="2:9" x14ac:dyDescent="0.35">
      <c r="B18" s="210">
        <v>11</v>
      </c>
      <c r="C18" s="202">
        <v>28445.882647881939</v>
      </c>
      <c r="D18" s="215">
        <f t="shared" ca="1" si="0"/>
        <v>48</v>
      </c>
      <c r="E18" s="211"/>
      <c r="I18" s="49"/>
    </row>
    <row r="19" spans="2:9" x14ac:dyDescent="0.35">
      <c r="B19" s="210">
        <v>12</v>
      </c>
      <c r="C19" s="202">
        <v>21037.96193287037</v>
      </c>
      <c r="D19" s="215">
        <f t="shared" ca="1" si="0"/>
        <v>68</v>
      </c>
      <c r="E19" s="211"/>
      <c r="I19" s="49"/>
    </row>
    <row r="20" spans="2:9" x14ac:dyDescent="0.35">
      <c r="B20" s="210">
        <v>13</v>
      </c>
      <c r="C20" s="202">
        <v>21314.662577553547</v>
      </c>
      <c r="D20" s="215">
        <f t="shared" ca="1" si="0"/>
        <v>68</v>
      </c>
      <c r="E20" s="211"/>
      <c r="I20" s="49"/>
    </row>
    <row r="21" spans="2:9" x14ac:dyDescent="0.35">
      <c r="B21" s="210">
        <v>14</v>
      </c>
      <c r="C21" s="202">
        <v>18512.888543982361</v>
      </c>
      <c r="D21" s="215">
        <f t="shared" ca="1" si="0"/>
        <v>75</v>
      </c>
      <c r="E21" s="211"/>
      <c r="I21" s="49"/>
    </row>
    <row r="22" spans="2:9" x14ac:dyDescent="0.35">
      <c r="B22" s="210">
        <v>15</v>
      </c>
      <c r="C22" s="202">
        <v>31834.75325024749</v>
      </c>
      <c r="D22" s="215">
        <f t="shared" ca="1" si="0"/>
        <v>39</v>
      </c>
      <c r="E22" s="211"/>
      <c r="I22" s="49"/>
    </row>
    <row r="23" spans="2:9" x14ac:dyDescent="0.35">
      <c r="B23" s="210">
        <v>16</v>
      </c>
      <c r="C23" s="202">
        <v>18725.062918104493</v>
      </c>
      <c r="D23" s="215">
        <f t="shared" ca="1" si="0"/>
        <v>75</v>
      </c>
      <c r="E23" s="211"/>
      <c r="I23" s="49"/>
    </row>
    <row r="24" spans="2:9" x14ac:dyDescent="0.35">
      <c r="B24" s="210">
        <v>17</v>
      </c>
      <c r="C24" s="202">
        <v>27182.777359072421</v>
      </c>
      <c r="D24" s="215">
        <f t="shared" ca="1" si="0"/>
        <v>51</v>
      </c>
      <c r="E24" s="211"/>
      <c r="I24" s="49"/>
    </row>
    <row r="25" spans="2:9" x14ac:dyDescent="0.35">
      <c r="B25" s="210">
        <v>18</v>
      </c>
      <c r="C25" s="202">
        <v>22764.910949074074</v>
      </c>
      <c r="D25" s="215">
        <f t="shared" ca="1" si="0"/>
        <v>64</v>
      </c>
      <c r="I25" s="49"/>
    </row>
    <row r="26" spans="2:9" x14ac:dyDescent="0.35">
      <c r="B26" s="210">
        <v>19</v>
      </c>
      <c r="C26" s="202">
        <v>30244.89804398148</v>
      </c>
      <c r="D26" s="215">
        <f t="shared" ca="1" si="0"/>
        <v>43</v>
      </c>
      <c r="I26" s="49"/>
    </row>
    <row r="27" spans="2:9" x14ac:dyDescent="0.35">
      <c r="B27" s="210">
        <v>20</v>
      </c>
      <c r="C27" s="202">
        <v>28413.544798525545</v>
      </c>
      <c r="D27" s="215">
        <f t="shared" ca="1" si="0"/>
        <v>48</v>
      </c>
      <c r="I27" s="49"/>
    </row>
    <row r="28" spans="2:9" x14ac:dyDescent="0.35">
      <c r="B28" s="210">
        <v>21</v>
      </c>
      <c r="C28" s="202">
        <v>33227.848507341652</v>
      </c>
      <c r="D28" s="215">
        <f t="shared" ca="1" si="0"/>
        <v>35</v>
      </c>
      <c r="I28" s="49"/>
    </row>
    <row r="29" spans="2:9" x14ac:dyDescent="0.35">
      <c r="B29" s="210">
        <v>22</v>
      </c>
      <c r="C29" s="202">
        <v>24731.067187500001</v>
      </c>
      <c r="D29" s="215">
        <f t="shared" ca="1" si="0"/>
        <v>58</v>
      </c>
      <c r="I29" s="49"/>
    </row>
    <row r="30" spans="2:9" x14ac:dyDescent="0.35">
      <c r="B30" s="210">
        <v>23</v>
      </c>
      <c r="C30" s="202">
        <v>16049.931784416593</v>
      </c>
      <c r="D30" s="215">
        <f t="shared" ca="1" si="0"/>
        <v>82</v>
      </c>
      <c r="I30" s="49"/>
    </row>
    <row r="31" spans="2:9" x14ac:dyDescent="0.35">
      <c r="B31" s="210">
        <v>24</v>
      </c>
      <c r="C31" s="202">
        <v>30137.711875000001</v>
      </c>
      <c r="D31" s="215">
        <f t="shared" ca="1" si="0"/>
        <v>43</v>
      </c>
      <c r="I31" s="49"/>
    </row>
    <row r="32" spans="2:9" x14ac:dyDescent="0.35">
      <c r="B32" s="210">
        <v>25</v>
      </c>
      <c r="C32" s="202">
        <v>20890.136390419804</v>
      </c>
      <c r="D32" s="215">
        <f t="shared" ca="1" si="0"/>
        <v>69</v>
      </c>
      <c r="I32" s="49"/>
    </row>
    <row r="33" spans="2:9" x14ac:dyDescent="0.35">
      <c r="B33" s="210">
        <v>26</v>
      </c>
      <c r="C33" s="202">
        <v>30141.626863425925</v>
      </c>
      <c r="D33" s="215">
        <f t="shared" ca="1" si="0"/>
        <v>43</v>
      </c>
      <c r="I33" s="49"/>
    </row>
    <row r="34" spans="2:9" x14ac:dyDescent="0.35">
      <c r="B34" s="210">
        <v>27</v>
      </c>
      <c r="C34" s="202">
        <v>32595.52306712963</v>
      </c>
      <c r="D34" s="215">
        <f t="shared" ca="1" si="0"/>
        <v>37</v>
      </c>
      <c r="I34" s="49"/>
    </row>
    <row r="35" spans="2:9" x14ac:dyDescent="0.35">
      <c r="B35" s="210">
        <v>28</v>
      </c>
      <c r="C35" s="202">
        <v>25590.223090640618</v>
      </c>
      <c r="D35" s="215">
        <f t="shared" ca="1" si="0"/>
        <v>56</v>
      </c>
      <c r="I35" s="49"/>
    </row>
    <row r="36" spans="2:9" x14ac:dyDescent="0.35">
      <c r="B36" s="210">
        <v>29</v>
      </c>
      <c r="C36" s="202">
        <v>27791.729814814815</v>
      </c>
      <c r="D36" s="215">
        <f t="shared" ca="1" si="0"/>
        <v>50</v>
      </c>
      <c r="I36" s="49"/>
    </row>
    <row r="37" spans="2:9" x14ac:dyDescent="0.35">
      <c r="B37" s="210">
        <v>30</v>
      </c>
      <c r="C37" s="202">
        <v>26809.999604827375</v>
      </c>
      <c r="D37" s="215">
        <f t="shared" ca="1" si="0"/>
        <v>52</v>
      </c>
      <c r="I37" s="49"/>
    </row>
    <row r="38" spans="2:9" x14ac:dyDescent="0.35">
      <c r="B38" s="210">
        <v>31</v>
      </c>
      <c r="C38" s="202">
        <v>31925.743346667565</v>
      </c>
      <c r="D38" s="215">
        <f t="shared" ca="1" si="0"/>
        <v>38</v>
      </c>
      <c r="I38" s="49"/>
    </row>
    <row r="39" spans="2:9" x14ac:dyDescent="0.35">
      <c r="B39" s="210">
        <v>32</v>
      </c>
      <c r="C39" s="202">
        <v>33051.11078703704</v>
      </c>
      <c r="D39" s="215">
        <f t="shared" ca="1" si="0"/>
        <v>35</v>
      </c>
      <c r="I39" s="49"/>
    </row>
    <row r="40" spans="2:9" x14ac:dyDescent="0.35">
      <c r="B40" s="212">
        <v>33</v>
      </c>
      <c r="C40" s="203">
        <v>22896.211003555487</v>
      </c>
      <c r="D40" s="216">
        <f ca="1">DATEDIF(C40,TODAY(),"y")</f>
        <v>63</v>
      </c>
      <c r="I40" s="49"/>
    </row>
    <row r="41" spans="2:9" x14ac:dyDescent="0.35">
      <c r="B41" s="210"/>
      <c r="I41" s="49"/>
    </row>
    <row r="42" spans="2:9" x14ac:dyDescent="0.35">
      <c r="B42" s="210"/>
      <c r="I42" s="49"/>
    </row>
    <row r="43" spans="2:9" x14ac:dyDescent="0.35">
      <c r="B43" s="283" t="s">
        <v>169</v>
      </c>
      <c r="C43" s="284"/>
      <c r="D43" s="284"/>
      <c r="E43" s="284"/>
      <c r="F43" s="284"/>
      <c r="G43" s="284"/>
      <c r="H43" s="284"/>
      <c r="I43" s="285"/>
    </row>
    <row r="44" spans="2:9" x14ac:dyDescent="0.35">
      <c r="B44" s="213"/>
      <c r="I44" s="49"/>
    </row>
    <row r="45" spans="2:9" x14ac:dyDescent="0.35">
      <c r="B45" s="157" t="s">
        <v>59</v>
      </c>
      <c r="C45" s="79"/>
      <c r="D45" s="79"/>
      <c r="E45" s="79"/>
      <c r="F45" s="204">
        <f ca="1">COUNTIF(D8:D40,27)</f>
        <v>0</v>
      </c>
      <c r="I45" s="49"/>
    </row>
    <row r="46" spans="2:9" x14ac:dyDescent="0.35">
      <c r="B46" s="48" t="s">
        <v>56</v>
      </c>
      <c r="F46" s="205">
        <f ca="1">COUNTIF($D$8:$D$40,"&lt;=40")</f>
        <v>5</v>
      </c>
      <c r="I46" s="49"/>
    </row>
    <row r="47" spans="2:9" x14ac:dyDescent="0.35">
      <c r="B47" s="48" t="s">
        <v>55</v>
      </c>
      <c r="F47" s="205">
        <f ca="1">COUNTIF($D$8:$D$40,"&gt;50")</f>
        <v>20</v>
      </c>
      <c r="I47" s="49"/>
    </row>
    <row r="48" spans="2:9" x14ac:dyDescent="0.35">
      <c r="B48" s="48" t="s">
        <v>54</v>
      </c>
      <c r="F48" s="205">
        <f ca="1">MAX(D8:D40)</f>
        <v>83</v>
      </c>
      <c r="I48" s="49"/>
    </row>
    <row r="49" spans="2:9" x14ac:dyDescent="0.35">
      <c r="B49" s="158" t="s">
        <v>60</v>
      </c>
      <c r="C49" s="145"/>
      <c r="D49" s="145"/>
      <c r="E49" s="145"/>
      <c r="F49" s="206">
        <f ca="1">AVERAGE(D8:D40)</f>
        <v>57.424242424242422</v>
      </c>
      <c r="I49" s="49"/>
    </row>
    <row r="50" spans="2:9" x14ac:dyDescent="0.35">
      <c r="B50" s="48"/>
      <c r="I50" s="49"/>
    </row>
    <row r="51" spans="2:9" x14ac:dyDescent="0.35">
      <c r="B51" s="157" t="s">
        <v>170</v>
      </c>
      <c r="C51" s="79"/>
      <c r="D51" s="79"/>
      <c r="E51" s="79"/>
      <c r="F51" s="122"/>
      <c r="I51" s="49"/>
    </row>
    <row r="52" spans="2:9" x14ac:dyDescent="0.35">
      <c r="B52" s="48" t="s">
        <v>53</v>
      </c>
      <c r="E52" s="2">
        <v>17</v>
      </c>
      <c r="F52" s="205">
        <f t="array" aca="1" ref="F52:F55" ca="1">FREQUENCY(D8:D40,E52:E54)</f>
        <v>0</v>
      </c>
      <c r="I52" s="49"/>
    </row>
    <row r="53" spans="2:9" x14ac:dyDescent="0.35">
      <c r="B53" s="48" t="s">
        <v>52</v>
      </c>
      <c r="E53" s="2">
        <v>35</v>
      </c>
      <c r="F53" s="205">
        <f ca="1"/>
        <v>2</v>
      </c>
      <c r="I53" s="49"/>
    </row>
    <row r="54" spans="2:9" x14ac:dyDescent="0.35">
      <c r="B54" s="48" t="s">
        <v>51</v>
      </c>
      <c r="E54" s="2">
        <v>49</v>
      </c>
      <c r="F54" s="205">
        <f ca="1"/>
        <v>10</v>
      </c>
      <c r="I54" s="49"/>
    </row>
    <row r="55" spans="2:9" ht="16" thickBot="1" x14ac:dyDescent="0.4">
      <c r="B55" s="158" t="s">
        <v>50</v>
      </c>
      <c r="C55" s="145"/>
      <c r="D55" s="145"/>
      <c r="E55" s="51"/>
      <c r="F55" s="207">
        <f ca="1"/>
        <v>21</v>
      </c>
      <c r="I55" s="49"/>
    </row>
    <row r="56" spans="2:9" ht="16" thickBot="1" x14ac:dyDescent="0.4">
      <c r="B56" s="50"/>
      <c r="C56" s="51"/>
      <c r="D56" s="51"/>
      <c r="F56" s="51"/>
      <c r="G56" s="51"/>
      <c r="H56" s="51"/>
      <c r="I56" s="52"/>
    </row>
  </sheetData>
  <mergeCells count="2">
    <mergeCell ref="B5:I5"/>
    <mergeCell ref="B43:I43"/>
  </mergeCells>
  <pageMargins left="0.78740157499999996" right="0.78740157499999996" top="0.984251969" bottom="0.984251969" header="0.4921259845" footer="0.492125984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AB4955"/>
  <sheetViews>
    <sheetView zoomScale="80" zoomScaleNormal="80" workbookViewId="0">
      <selection activeCell="B1" sqref="B1"/>
    </sheetView>
  </sheetViews>
  <sheetFormatPr baseColWidth="10" defaultColWidth="11.453125" defaultRowHeight="15.5" x14ac:dyDescent="0.35"/>
  <cols>
    <col min="1" max="1" width="0.81640625" style="39" customWidth="1"/>
    <col min="2" max="2" width="13.81640625" style="39" customWidth="1"/>
    <col min="3" max="3" width="12.81640625" style="39" bestFit="1" customWidth="1"/>
    <col min="4" max="4" width="15.453125" style="39" customWidth="1"/>
    <col min="5" max="5" width="13.7265625" style="39" customWidth="1"/>
    <col min="6" max="6" width="12.26953125" style="39" bestFit="1" customWidth="1"/>
    <col min="7" max="7" width="12.7265625" style="39" bestFit="1" customWidth="1"/>
    <col min="8" max="8" width="11.453125" style="39"/>
    <col min="9" max="9" width="13.1796875" style="39" bestFit="1" customWidth="1"/>
    <col min="10" max="10" width="11.453125" style="39"/>
    <col min="11" max="11" width="12.26953125" style="39" bestFit="1" customWidth="1"/>
    <col min="12" max="12" width="12.7265625" style="39" bestFit="1" customWidth="1"/>
    <col min="13" max="13" width="11.453125" style="39"/>
    <col min="14" max="14" width="12.26953125" style="39" bestFit="1" customWidth="1"/>
    <col min="15" max="16" width="11.453125" style="39"/>
    <col min="17" max="17" width="12.26953125" style="39" bestFit="1" customWidth="1"/>
    <col min="18" max="18" width="12.7265625" style="39" bestFit="1" customWidth="1"/>
    <col min="19" max="19" width="11.453125" style="39"/>
    <col min="20" max="20" width="12.7265625" style="39" customWidth="1"/>
    <col min="21" max="21" width="11.81640625" style="39" customWidth="1"/>
    <col min="22" max="22" width="12.26953125" style="39" bestFit="1" customWidth="1"/>
    <col min="23" max="23" width="12.7265625" style="39" bestFit="1" customWidth="1"/>
    <col min="24" max="25" width="11.453125" style="39"/>
    <col min="26" max="26" width="11.453125" style="249"/>
    <col min="27" max="16384" width="11.453125" style="39"/>
  </cols>
  <sheetData>
    <row r="2" spans="2:16" ht="20" x14ac:dyDescent="0.4">
      <c r="B2" s="130" t="s">
        <v>76</v>
      </c>
      <c r="C2" s="30"/>
      <c r="D2" s="30"/>
    </row>
    <row r="3" spans="2:16" x14ac:dyDescent="0.35">
      <c r="B3" s="41"/>
    </row>
    <row r="4" spans="2:16" ht="18.5" thickBot="1" x14ac:dyDescent="0.45">
      <c r="B4" s="25" t="s">
        <v>178</v>
      </c>
      <c r="C4" s="24"/>
      <c r="D4" s="24"/>
      <c r="E4" s="24"/>
    </row>
    <row r="5" spans="2:16" ht="16.5" x14ac:dyDescent="0.4">
      <c r="B5" s="226" t="s">
        <v>61</v>
      </c>
      <c r="C5" s="227"/>
      <c r="D5" s="227" t="s">
        <v>171</v>
      </c>
      <c r="E5" s="227"/>
      <c r="F5" s="227"/>
      <c r="G5" s="227"/>
      <c r="H5" s="227"/>
      <c r="I5" s="227"/>
      <c r="J5" s="228"/>
    </row>
    <row r="6" spans="2:16" ht="51" customHeight="1" x14ac:dyDescent="0.35">
      <c r="B6" s="294" t="s">
        <v>172</v>
      </c>
      <c r="C6" s="295"/>
      <c r="D6" s="295"/>
      <c r="E6" s="295"/>
      <c r="F6" s="295"/>
      <c r="G6" s="295"/>
      <c r="H6" s="295"/>
      <c r="I6" s="295"/>
      <c r="J6" s="296"/>
    </row>
    <row r="7" spans="2:16" x14ac:dyDescent="0.35">
      <c r="B7" s="223"/>
      <c r="C7" s="224"/>
      <c r="D7" s="224"/>
      <c r="E7" s="224"/>
      <c r="F7" s="224"/>
      <c r="G7" s="224"/>
      <c r="H7" s="224"/>
      <c r="I7" s="224"/>
      <c r="J7" s="225"/>
    </row>
    <row r="8" spans="2:16" ht="16.5" x14ac:dyDescent="0.4">
      <c r="B8" s="229" t="s">
        <v>62</v>
      </c>
      <c r="C8" s="24"/>
      <c r="D8" s="24" t="s">
        <v>173</v>
      </c>
      <c r="E8" s="24"/>
      <c r="F8" s="24"/>
      <c r="G8" s="24"/>
      <c r="H8" s="24"/>
      <c r="I8" s="24"/>
      <c r="J8" s="230"/>
    </row>
    <row r="9" spans="2:16" ht="47.5" customHeight="1" x14ac:dyDescent="0.35">
      <c r="B9" s="294" t="s">
        <v>63</v>
      </c>
      <c r="C9" s="295"/>
      <c r="D9" s="295"/>
      <c r="E9" s="295"/>
      <c r="F9" s="295"/>
      <c r="G9" s="295"/>
      <c r="H9" s="295"/>
      <c r="I9" s="295"/>
      <c r="J9" s="296"/>
    </row>
    <row r="10" spans="2:16" ht="48.65" customHeight="1" thickBot="1" x14ac:dyDescent="0.4">
      <c r="B10" s="297" t="s">
        <v>179</v>
      </c>
      <c r="C10" s="298"/>
      <c r="D10" s="298"/>
      <c r="E10" s="298"/>
      <c r="F10" s="298"/>
      <c r="G10" s="298"/>
      <c r="H10" s="298"/>
      <c r="I10" s="298"/>
      <c r="J10" s="299"/>
    </row>
    <row r="12" spans="2:16" x14ac:dyDescent="0.35">
      <c r="B12" s="41"/>
    </row>
    <row r="13" spans="2:16" ht="18.5" thickBot="1" x14ac:dyDescent="0.45">
      <c r="B13" s="25" t="s">
        <v>180</v>
      </c>
      <c r="C13" s="24"/>
      <c r="D13" s="24"/>
      <c r="E13" s="24"/>
      <c r="K13" s="41"/>
    </row>
    <row r="14" spans="2:16" ht="77.5" customHeight="1" x14ac:dyDescent="0.35">
      <c r="B14" s="300" t="s">
        <v>174</v>
      </c>
      <c r="C14" s="301"/>
      <c r="D14" s="301"/>
      <c r="E14" s="301"/>
      <c r="F14" s="301"/>
      <c r="G14" s="301"/>
      <c r="H14" s="301"/>
      <c r="I14" s="301"/>
      <c r="J14" s="302"/>
    </row>
    <row r="15" spans="2:16" ht="15" customHeight="1" x14ac:dyDescent="0.35">
      <c r="B15" s="43"/>
      <c r="C15" s="42"/>
      <c r="D15" s="42"/>
      <c r="E15" s="42"/>
      <c r="F15" s="42"/>
      <c r="G15" s="42"/>
      <c r="H15" s="42"/>
      <c r="I15" s="42"/>
      <c r="J15" s="44"/>
    </row>
    <row r="16" spans="2:16" ht="30.65" customHeight="1" x14ac:dyDescent="0.35">
      <c r="B16" s="303" t="s">
        <v>175</v>
      </c>
      <c r="C16" s="304"/>
      <c r="D16" s="304"/>
      <c r="E16" s="304"/>
      <c r="F16" s="304"/>
      <c r="G16" s="304"/>
      <c r="H16" s="304"/>
      <c r="I16" s="304"/>
      <c r="J16" s="305"/>
      <c r="O16" s="42"/>
      <c r="P16" s="42"/>
    </row>
    <row r="17" spans="2:28" x14ac:dyDescent="0.35">
      <c r="B17" s="43"/>
      <c r="C17" s="42"/>
      <c r="D17" s="42"/>
      <c r="E17" s="42"/>
      <c r="F17" s="42"/>
      <c r="G17" s="42"/>
      <c r="H17" s="42"/>
      <c r="I17" s="42"/>
      <c r="J17" s="44"/>
      <c r="K17" s="42"/>
      <c r="L17" s="42"/>
      <c r="M17" s="42"/>
      <c r="N17" s="42"/>
      <c r="O17" s="42"/>
      <c r="P17" s="42"/>
    </row>
    <row r="18" spans="2:28" ht="31.9" customHeight="1" thickBot="1" x14ac:dyDescent="0.4">
      <c r="B18" s="306" t="s">
        <v>176</v>
      </c>
      <c r="C18" s="307"/>
      <c r="D18" s="307"/>
      <c r="E18" s="307"/>
      <c r="F18" s="307"/>
      <c r="G18" s="307"/>
      <c r="H18" s="307"/>
      <c r="I18" s="307"/>
      <c r="J18" s="308"/>
      <c r="K18" s="42"/>
      <c r="L18" s="42"/>
      <c r="M18" s="42"/>
      <c r="N18" s="42"/>
      <c r="O18" s="42"/>
      <c r="P18" s="42"/>
    </row>
    <row r="19" spans="2:28" ht="16.5" customHeight="1" thickBot="1" x14ac:dyDescent="0.4">
      <c r="B19" s="42"/>
      <c r="C19" s="42"/>
      <c r="D19" s="42"/>
      <c r="E19" s="42"/>
      <c r="F19" s="42"/>
      <c r="G19" s="42"/>
      <c r="H19" s="42"/>
      <c r="I19" s="42"/>
      <c r="K19" s="42"/>
      <c r="L19" s="290" t="s">
        <v>198</v>
      </c>
      <c r="M19" s="290"/>
      <c r="N19" s="290"/>
      <c r="O19" s="42"/>
      <c r="P19" s="42"/>
      <c r="S19" s="290" t="s">
        <v>199</v>
      </c>
      <c r="T19" s="290"/>
      <c r="U19" s="290"/>
      <c r="Z19" s="286" t="s">
        <v>200</v>
      </c>
      <c r="AA19" s="286"/>
      <c r="AB19" s="286"/>
    </row>
    <row r="20" spans="2:28" ht="16.5" customHeight="1" thickBot="1" x14ac:dyDescent="0.4">
      <c r="B20" s="42"/>
      <c r="C20" s="42"/>
      <c r="D20" s="42"/>
      <c r="E20" s="42"/>
      <c r="F20" s="42"/>
      <c r="G20" s="42"/>
      <c r="H20" s="42"/>
      <c r="I20" s="42"/>
      <c r="K20" s="42"/>
      <c r="L20" s="243" t="s">
        <v>185</v>
      </c>
      <c r="M20" s="243" t="s">
        <v>34</v>
      </c>
      <c r="N20" s="42"/>
      <c r="O20" s="42"/>
      <c r="P20" s="42"/>
      <c r="S20" s="243" t="s">
        <v>185</v>
      </c>
      <c r="T20" s="243" t="s">
        <v>34</v>
      </c>
      <c r="Z20" s="243" t="s">
        <v>185</v>
      </c>
      <c r="AA20" s="243" t="s">
        <v>34</v>
      </c>
    </row>
    <row r="21" spans="2:28" ht="16.5" customHeight="1" thickBot="1" x14ac:dyDescent="0.4">
      <c r="B21" s="42"/>
      <c r="C21" s="291" t="s">
        <v>64</v>
      </c>
      <c r="D21" s="292"/>
      <c r="E21" s="236" t="s">
        <v>23</v>
      </c>
      <c r="F21" s="236" t="s">
        <v>65</v>
      </c>
      <c r="G21" s="237" t="s">
        <v>32</v>
      </c>
      <c r="H21" s="42"/>
      <c r="I21" s="42"/>
      <c r="K21" s="42"/>
      <c r="L21" s="241">
        <v>-0.05</v>
      </c>
      <c r="M21">
        <v>35</v>
      </c>
      <c r="N21" s="42"/>
      <c r="O21" s="42"/>
      <c r="P21" s="42"/>
      <c r="S21" s="241">
        <v>-0.1</v>
      </c>
      <c r="T21">
        <v>5</v>
      </c>
      <c r="Z21" s="241">
        <v>-0.2</v>
      </c>
      <c r="AA21">
        <v>1</v>
      </c>
    </row>
    <row r="22" spans="2:28" ht="16.5" customHeight="1" thickBot="1" x14ac:dyDescent="0.4">
      <c r="B22" s="42"/>
      <c r="C22" s="309" t="s">
        <v>181</v>
      </c>
      <c r="D22" s="310"/>
      <c r="E22" s="231">
        <f>MAX(D55:D4955)</f>
        <v>0.10797465491784128</v>
      </c>
      <c r="F22" s="231">
        <f>MIN(D55:D4955)</f>
        <v>-9.8709163382626017E-2</v>
      </c>
      <c r="G22" s="232">
        <f>AVERAGE(D55:D4955)</f>
        <v>3.017280278241839E-4</v>
      </c>
      <c r="H22" s="42"/>
      <c r="I22" s="42"/>
      <c r="K22" s="42"/>
      <c r="L22" s="241">
        <v>-4.4999999999999998E-2</v>
      </c>
      <c r="M22">
        <v>14</v>
      </c>
      <c r="N22" s="42"/>
      <c r="O22" s="42"/>
      <c r="P22" s="42"/>
      <c r="S22" s="241">
        <v>-0.09</v>
      </c>
      <c r="T22">
        <v>4</v>
      </c>
      <c r="Z22" s="241">
        <v>-0.18</v>
      </c>
      <c r="AA22">
        <v>2</v>
      </c>
    </row>
    <row r="23" spans="2:28" ht="16.5" customHeight="1" thickBot="1" x14ac:dyDescent="0.4">
      <c r="B23" s="42"/>
      <c r="C23" s="291" t="s">
        <v>182</v>
      </c>
      <c r="D23" s="292"/>
      <c r="E23" s="238">
        <f>MAX(O55:O1067)</f>
        <v>0.14942147475142722</v>
      </c>
      <c r="F23" s="239">
        <f>MIN(O55:O1067)</f>
        <v>-0.24346981651193622</v>
      </c>
      <c r="G23" s="240">
        <f>AVERAGE(O55:O1067)</f>
        <v>1.4611607451142613E-3</v>
      </c>
      <c r="H23" s="42"/>
      <c r="I23" s="42"/>
      <c r="K23" s="42"/>
      <c r="L23" s="241">
        <v>-0.04</v>
      </c>
      <c r="M23">
        <v>15</v>
      </c>
      <c r="N23" s="42"/>
      <c r="O23" s="42"/>
      <c r="P23" s="42"/>
      <c r="S23" s="241">
        <v>-0.08</v>
      </c>
      <c r="T23">
        <v>4</v>
      </c>
      <c r="Z23" s="241">
        <v>-0.16</v>
      </c>
      <c r="AA23">
        <v>2</v>
      </c>
    </row>
    <row r="24" spans="2:28" ht="16.5" customHeight="1" thickBot="1" x14ac:dyDescent="0.4">
      <c r="B24" s="42"/>
      <c r="C24" s="311" t="s">
        <v>183</v>
      </c>
      <c r="D24" s="312"/>
      <c r="E24" s="233">
        <f>MAX(Z55:Z286)</f>
        <v>0.193737781874012</v>
      </c>
      <c r="F24" s="234">
        <f>MIN(Z55:Z286)</f>
        <v>-0.29332693725825054</v>
      </c>
      <c r="G24" s="235">
        <f>AVERAGE(Z55:Z287)</f>
        <v>6.3526001493594162E-3</v>
      </c>
      <c r="H24" s="42"/>
      <c r="I24" s="42"/>
      <c r="K24" s="42"/>
      <c r="L24" s="241">
        <v>-3.5000000000000003E-2</v>
      </c>
      <c r="M24">
        <v>24</v>
      </c>
      <c r="N24" s="42"/>
      <c r="O24" s="42"/>
      <c r="P24" s="42"/>
      <c r="S24" s="241">
        <v>-7.0000000000000007E-2</v>
      </c>
      <c r="T24">
        <v>9</v>
      </c>
      <c r="Z24" s="241">
        <v>-0.14000000000000001</v>
      </c>
      <c r="AA24">
        <v>1</v>
      </c>
    </row>
    <row r="25" spans="2:28" ht="16.5" customHeight="1" x14ac:dyDescent="0.35">
      <c r="B25" s="42"/>
      <c r="C25" s="42"/>
      <c r="D25" s="42"/>
      <c r="E25" s="42"/>
      <c r="F25" s="42"/>
      <c r="G25" s="42"/>
      <c r="H25" s="42"/>
      <c r="I25" s="42"/>
      <c r="K25" s="42"/>
      <c r="L25" s="241">
        <v>-0.03</v>
      </c>
      <c r="M25">
        <v>42</v>
      </c>
      <c r="N25" s="42"/>
      <c r="O25" s="42"/>
      <c r="P25" s="42"/>
      <c r="S25" s="241">
        <v>-0.06</v>
      </c>
      <c r="T25">
        <v>7</v>
      </c>
      <c r="Z25" s="241">
        <v>-0.12</v>
      </c>
      <c r="AA25">
        <v>3</v>
      </c>
    </row>
    <row r="26" spans="2:28" ht="16.5" customHeight="1" x14ac:dyDescent="0.35">
      <c r="B26" s="42"/>
      <c r="C26" s="42"/>
      <c r="D26" s="42"/>
      <c r="E26" s="42"/>
      <c r="F26" s="42"/>
      <c r="G26" s="42"/>
      <c r="H26" s="42"/>
      <c r="I26" s="42"/>
      <c r="K26" s="42"/>
      <c r="L26" s="241">
        <v>-2.5000000000000001E-2</v>
      </c>
      <c r="M26">
        <v>73</v>
      </c>
      <c r="N26" s="42"/>
      <c r="O26" s="42"/>
      <c r="P26" s="42"/>
      <c r="S26" s="241">
        <v>-0.05</v>
      </c>
      <c r="T26">
        <v>25</v>
      </c>
      <c r="Z26" s="241">
        <v>-0.1</v>
      </c>
      <c r="AA26">
        <v>5</v>
      </c>
    </row>
    <row r="27" spans="2:28" ht="15" customHeight="1" x14ac:dyDescent="0.35">
      <c r="C27" s="293" t="s">
        <v>184</v>
      </c>
      <c r="D27" s="293"/>
      <c r="E27" s="293"/>
      <c r="G27" s="42"/>
      <c r="H27" s="42"/>
      <c r="I27" s="42"/>
      <c r="L27" s="241">
        <v>-0.02</v>
      </c>
      <c r="M27">
        <v>122</v>
      </c>
      <c r="S27" s="241">
        <v>-3.9999999999999897E-2</v>
      </c>
      <c r="T27">
        <v>29</v>
      </c>
      <c r="Z27" s="241">
        <v>-0.08</v>
      </c>
      <c r="AA27">
        <v>6</v>
      </c>
    </row>
    <row r="28" spans="2:28" x14ac:dyDescent="0.35">
      <c r="C28" s="38" t="s">
        <v>66</v>
      </c>
      <c r="D28" s="38" t="s">
        <v>67</v>
      </c>
      <c r="E28" s="38" t="s">
        <v>68</v>
      </c>
      <c r="G28" s="42"/>
      <c r="H28" s="42"/>
      <c r="I28" s="42"/>
      <c r="L28" s="241">
        <v>-1.4999999999999999E-2</v>
      </c>
      <c r="M28">
        <v>211</v>
      </c>
      <c r="S28" s="241">
        <v>-2.9999999999999898E-2</v>
      </c>
      <c r="T28">
        <v>48</v>
      </c>
      <c r="Z28" s="241">
        <v>-0.06</v>
      </c>
      <c r="AA28">
        <v>9</v>
      </c>
    </row>
    <row r="29" spans="2:28" ht="15" customHeight="1" x14ac:dyDescent="0.35">
      <c r="B29" s="2">
        <v>1</v>
      </c>
      <c r="C29" s="217">
        <v>-0.05</v>
      </c>
      <c r="D29" s="217">
        <v>-0.1</v>
      </c>
      <c r="E29" s="217">
        <v>-0.2</v>
      </c>
      <c r="G29" s="42"/>
      <c r="H29" s="42"/>
      <c r="I29" s="42"/>
      <c r="L29" s="241">
        <v>-0.01</v>
      </c>
      <c r="M29">
        <v>360</v>
      </c>
      <c r="N29" s="42"/>
      <c r="O29" s="42"/>
      <c r="P29" s="42"/>
      <c r="S29" s="241">
        <v>-1.99999999999999E-2</v>
      </c>
      <c r="T29">
        <v>76</v>
      </c>
      <c r="Z29" s="241">
        <v>-0.04</v>
      </c>
      <c r="AA29">
        <v>18</v>
      </c>
    </row>
    <row r="30" spans="2:28" x14ac:dyDescent="0.35">
      <c r="B30" s="2">
        <v>2</v>
      </c>
      <c r="C30" s="217">
        <v>-4.4999999999999998E-2</v>
      </c>
      <c r="D30" s="217">
        <v>-0.09</v>
      </c>
      <c r="E30" s="217">
        <v>-0.18</v>
      </c>
      <c r="G30" s="42"/>
      <c r="H30" s="42"/>
      <c r="I30" s="42"/>
      <c r="K30" s="42"/>
      <c r="L30" s="241">
        <v>-5.0000000000000001E-3</v>
      </c>
      <c r="M30">
        <v>518</v>
      </c>
      <c r="N30" s="42"/>
      <c r="O30" s="42"/>
      <c r="P30" s="42"/>
      <c r="S30" s="241">
        <v>-9.99999999999991E-3</v>
      </c>
      <c r="T30">
        <v>99</v>
      </c>
      <c r="Z30" s="241">
        <v>-0.02</v>
      </c>
      <c r="AA30">
        <v>17</v>
      </c>
    </row>
    <row r="31" spans="2:28" x14ac:dyDescent="0.35">
      <c r="B31" s="2">
        <v>3</v>
      </c>
      <c r="C31" s="217">
        <v>-0.04</v>
      </c>
      <c r="D31" s="217">
        <v>-0.08</v>
      </c>
      <c r="E31" s="217">
        <v>-0.16</v>
      </c>
      <c r="G31" s="42"/>
      <c r="H31" s="42"/>
      <c r="I31" s="42"/>
      <c r="K31" s="42"/>
      <c r="L31" s="241">
        <v>0</v>
      </c>
      <c r="M31">
        <v>884</v>
      </c>
      <c r="N31" s="42"/>
      <c r="O31" s="42"/>
      <c r="P31" s="42"/>
      <c r="S31" s="241">
        <v>0</v>
      </c>
      <c r="T31">
        <v>147</v>
      </c>
      <c r="Z31" s="241">
        <v>0</v>
      </c>
      <c r="AA31">
        <v>31</v>
      </c>
    </row>
    <row r="32" spans="2:28" ht="18" customHeight="1" x14ac:dyDescent="0.35">
      <c r="B32" s="2">
        <v>4</v>
      </c>
      <c r="C32" s="217">
        <v>-3.5000000000000003E-2</v>
      </c>
      <c r="D32" s="217">
        <v>-7.0000000000000007E-2</v>
      </c>
      <c r="E32" s="217">
        <v>-0.14000000000000001</v>
      </c>
      <c r="G32" s="42"/>
      <c r="H32" s="42"/>
      <c r="I32" s="42"/>
      <c r="K32" s="42"/>
      <c r="L32" s="241">
        <v>5.0000000000000001E-3</v>
      </c>
      <c r="M32">
        <v>988</v>
      </c>
      <c r="N32" s="42"/>
      <c r="O32" s="42"/>
      <c r="P32" s="42"/>
      <c r="S32" s="241">
        <v>0.01</v>
      </c>
      <c r="T32">
        <v>170</v>
      </c>
      <c r="Z32" s="241">
        <v>0.02</v>
      </c>
      <c r="AA32">
        <v>32</v>
      </c>
    </row>
    <row r="33" spans="2:27" x14ac:dyDescent="0.35">
      <c r="B33" s="2">
        <v>5</v>
      </c>
      <c r="C33" s="217">
        <v>-0.03</v>
      </c>
      <c r="D33" s="217">
        <v>-0.06</v>
      </c>
      <c r="E33" s="217">
        <v>-0.12</v>
      </c>
      <c r="L33" s="241">
        <v>1.0000000000000101E-2</v>
      </c>
      <c r="M33">
        <v>642</v>
      </c>
      <c r="S33" s="241">
        <v>0.02</v>
      </c>
      <c r="T33">
        <v>140</v>
      </c>
      <c r="Z33" s="241">
        <v>0.04</v>
      </c>
      <c r="AA33">
        <v>37</v>
      </c>
    </row>
    <row r="34" spans="2:27" ht="15" customHeight="1" x14ac:dyDescent="0.35">
      <c r="B34" s="2">
        <v>6</v>
      </c>
      <c r="C34" s="217">
        <v>-2.5000000000000001E-2</v>
      </c>
      <c r="D34" s="217">
        <v>-0.05</v>
      </c>
      <c r="E34" s="217">
        <v>-0.1</v>
      </c>
      <c r="L34" s="241">
        <v>1.50000000000001E-2</v>
      </c>
      <c r="M34">
        <v>438</v>
      </c>
      <c r="N34" s="42"/>
      <c r="O34" s="42"/>
      <c r="P34" s="42"/>
      <c r="S34" s="241">
        <v>0.03</v>
      </c>
      <c r="T34">
        <v>106</v>
      </c>
      <c r="Z34" s="241">
        <v>0.06</v>
      </c>
      <c r="AA34">
        <v>30</v>
      </c>
    </row>
    <row r="35" spans="2:27" ht="15" customHeight="1" x14ac:dyDescent="0.35">
      <c r="B35" s="2">
        <v>7</v>
      </c>
      <c r="C35" s="217">
        <v>-0.02</v>
      </c>
      <c r="D35" s="217">
        <v>-3.9999999999999897E-2</v>
      </c>
      <c r="E35" s="217">
        <v>-0.08</v>
      </c>
      <c r="L35" s="241">
        <v>2.0000000000000101E-2</v>
      </c>
      <c r="M35">
        <v>220</v>
      </c>
      <c r="N35" s="42"/>
      <c r="O35" s="42"/>
      <c r="P35" s="42"/>
      <c r="S35" s="241">
        <v>0.04</v>
      </c>
      <c r="T35">
        <v>68</v>
      </c>
      <c r="Z35" s="241">
        <v>0.08</v>
      </c>
      <c r="AA35">
        <v>22</v>
      </c>
    </row>
    <row r="36" spans="2:27" x14ac:dyDescent="0.35">
      <c r="B36" s="2">
        <v>8</v>
      </c>
      <c r="C36" s="217">
        <v>-1.4999999999999999E-2</v>
      </c>
      <c r="D36" s="217">
        <v>-2.9999999999999898E-2</v>
      </c>
      <c r="E36" s="217">
        <v>-0.06</v>
      </c>
      <c r="L36" s="241">
        <v>2.5000000000000099E-2</v>
      </c>
      <c r="M36">
        <v>141</v>
      </c>
      <c r="N36" s="42"/>
      <c r="O36" s="42"/>
      <c r="P36" s="42"/>
      <c r="S36" s="241">
        <v>0.05</v>
      </c>
      <c r="T36">
        <v>33</v>
      </c>
      <c r="Z36" s="241">
        <v>0.1</v>
      </c>
      <c r="AA36">
        <v>8</v>
      </c>
    </row>
    <row r="37" spans="2:27" x14ac:dyDescent="0.35">
      <c r="B37" s="2">
        <v>9</v>
      </c>
      <c r="C37" s="217">
        <v>-0.01</v>
      </c>
      <c r="D37" s="217">
        <v>-1.99999999999999E-2</v>
      </c>
      <c r="E37" s="217">
        <v>-0.04</v>
      </c>
      <c r="L37" s="241">
        <v>3.00000000000001E-2</v>
      </c>
      <c r="M37">
        <v>68</v>
      </c>
      <c r="S37" s="241">
        <v>0.06</v>
      </c>
      <c r="T37">
        <v>20</v>
      </c>
      <c r="Z37" s="241">
        <v>0.12</v>
      </c>
      <c r="AA37">
        <v>3</v>
      </c>
    </row>
    <row r="38" spans="2:27" x14ac:dyDescent="0.35">
      <c r="B38" s="2">
        <v>10</v>
      </c>
      <c r="C38" s="217">
        <v>-5.0000000000000001E-3</v>
      </c>
      <c r="D38" s="217">
        <v>-9.99999999999991E-3</v>
      </c>
      <c r="E38" s="217">
        <v>-0.02</v>
      </c>
      <c r="L38" s="241">
        <v>3.50000000000001E-2</v>
      </c>
      <c r="M38">
        <v>45</v>
      </c>
      <c r="S38" s="241">
        <v>7.0000000000000007E-2</v>
      </c>
      <c r="T38">
        <v>8</v>
      </c>
      <c r="Z38" s="241">
        <v>0.14000000000000001</v>
      </c>
      <c r="AA38">
        <v>1</v>
      </c>
    </row>
    <row r="39" spans="2:27" x14ac:dyDescent="0.35">
      <c r="B39" s="2">
        <v>11</v>
      </c>
      <c r="C39" s="217">
        <v>0</v>
      </c>
      <c r="D39" s="217">
        <v>0</v>
      </c>
      <c r="E39" s="217">
        <v>0</v>
      </c>
      <c r="L39" s="241">
        <v>4.0000000000000098E-2</v>
      </c>
      <c r="M39">
        <v>20</v>
      </c>
      <c r="S39" s="241">
        <v>0.08</v>
      </c>
      <c r="T39">
        <v>7</v>
      </c>
      <c r="Z39" s="241">
        <v>0.16</v>
      </c>
      <c r="AA39">
        <v>2</v>
      </c>
    </row>
    <row r="40" spans="2:27" x14ac:dyDescent="0.35">
      <c r="B40" s="2">
        <v>12</v>
      </c>
      <c r="C40" s="217">
        <v>5.0000000000000001E-3</v>
      </c>
      <c r="D40" s="217">
        <v>0.01</v>
      </c>
      <c r="E40" s="217">
        <v>0.02</v>
      </c>
      <c r="L40" s="241">
        <v>4.5000000000000102E-2</v>
      </c>
      <c r="M40">
        <v>9</v>
      </c>
      <c r="S40" s="241">
        <v>0.09</v>
      </c>
      <c r="T40">
        <v>3</v>
      </c>
      <c r="Z40" s="241">
        <v>0.18</v>
      </c>
      <c r="AA40">
        <v>1</v>
      </c>
    </row>
    <row r="41" spans="2:27" x14ac:dyDescent="0.35">
      <c r="B41" s="2">
        <v>13</v>
      </c>
      <c r="C41" s="217">
        <v>1.0000000000000101E-2</v>
      </c>
      <c r="D41" s="217">
        <v>0.02</v>
      </c>
      <c r="E41" s="217">
        <v>0.04</v>
      </c>
      <c r="L41" s="241">
        <v>0.05</v>
      </c>
      <c r="M41">
        <v>7</v>
      </c>
      <c r="S41" s="241">
        <v>0.1</v>
      </c>
      <c r="T41">
        <v>0</v>
      </c>
      <c r="Z41" s="241">
        <v>0.2</v>
      </c>
      <c r="AA41">
        <v>1</v>
      </c>
    </row>
    <row r="42" spans="2:27" ht="16" thickBot="1" x14ac:dyDescent="0.4">
      <c r="B42" s="2">
        <v>14</v>
      </c>
      <c r="C42" s="217">
        <v>1.50000000000001E-2</v>
      </c>
      <c r="D42" s="217">
        <v>0.03</v>
      </c>
      <c r="E42" s="217">
        <v>0.06</v>
      </c>
      <c r="L42" s="242" t="s">
        <v>186</v>
      </c>
      <c r="M42" s="242">
        <v>25</v>
      </c>
      <c r="S42" s="242" t="s">
        <v>186</v>
      </c>
      <c r="T42" s="242">
        <v>5</v>
      </c>
      <c r="Z42" s="242" t="s">
        <v>186</v>
      </c>
      <c r="AA42" s="242">
        <v>0</v>
      </c>
    </row>
    <row r="43" spans="2:27" x14ac:dyDescent="0.35">
      <c r="B43" s="2">
        <v>15</v>
      </c>
      <c r="C43" s="217">
        <v>2.0000000000000101E-2</v>
      </c>
      <c r="D43" s="217">
        <v>0.04</v>
      </c>
      <c r="E43" s="217">
        <v>0.08</v>
      </c>
    </row>
    <row r="44" spans="2:27" x14ac:dyDescent="0.35">
      <c r="B44" s="2">
        <v>16</v>
      </c>
      <c r="C44" s="217">
        <v>2.5000000000000099E-2</v>
      </c>
      <c r="D44" s="217">
        <v>0.05</v>
      </c>
      <c r="E44" s="217">
        <v>0.1</v>
      </c>
    </row>
    <row r="45" spans="2:27" x14ac:dyDescent="0.35">
      <c r="B45" s="2">
        <v>17</v>
      </c>
      <c r="C45" s="217">
        <v>3.00000000000001E-2</v>
      </c>
      <c r="D45" s="217">
        <v>0.06</v>
      </c>
      <c r="E45" s="217">
        <v>0.12</v>
      </c>
    </row>
    <row r="46" spans="2:27" x14ac:dyDescent="0.35">
      <c r="B46" s="2">
        <v>18</v>
      </c>
      <c r="C46" s="217">
        <v>3.50000000000001E-2</v>
      </c>
      <c r="D46" s="217">
        <v>7.0000000000000007E-2</v>
      </c>
      <c r="E46" s="217">
        <v>0.14000000000000001</v>
      </c>
    </row>
    <row r="47" spans="2:27" x14ac:dyDescent="0.35">
      <c r="B47" s="2">
        <v>19</v>
      </c>
      <c r="C47" s="217">
        <v>4.0000000000000098E-2</v>
      </c>
      <c r="D47" s="217">
        <v>0.08</v>
      </c>
      <c r="E47" s="217">
        <v>0.16</v>
      </c>
    </row>
    <row r="48" spans="2:27" x14ac:dyDescent="0.35">
      <c r="B48" s="2">
        <v>20</v>
      </c>
      <c r="C48" s="217">
        <v>4.5000000000000102E-2</v>
      </c>
      <c r="D48" s="217">
        <v>0.09</v>
      </c>
      <c r="E48" s="217">
        <v>0.18</v>
      </c>
    </row>
    <row r="49" spans="2:27" x14ac:dyDescent="0.35">
      <c r="B49" s="2">
        <v>21</v>
      </c>
      <c r="C49" s="217">
        <v>0.05</v>
      </c>
      <c r="D49" s="217">
        <v>0.1</v>
      </c>
      <c r="E49" s="217">
        <v>0.2</v>
      </c>
    </row>
    <row r="50" spans="2:27" ht="30" customHeight="1" x14ac:dyDescent="0.35">
      <c r="K50" s="288" t="s">
        <v>191</v>
      </c>
      <c r="L50" s="288"/>
      <c r="M50" s="288"/>
      <c r="N50" s="288"/>
    </row>
    <row r="51" spans="2:27" ht="32.5" customHeight="1" x14ac:dyDescent="0.35">
      <c r="F51" s="287" t="s">
        <v>190</v>
      </c>
      <c r="G51" s="287"/>
      <c r="H51" s="287"/>
      <c r="I51" s="287"/>
      <c r="K51" s="289" t="s">
        <v>192</v>
      </c>
      <c r="L51" s="289"/>
      <c r="M51" s="289"/>
      <c r="N51" s="289"/>
      <c r="Q51" s="287" t="s">
        <v>196</v>
      </c>
      <c r="R51" s="287"/>
      <c r="S51" s="287"/>
      <c r="T51" s="287"/>
    </row>
    <row r="52" spans="2:27" ht="13.5" customHeight="1" x14ac:dyDescent="0.35">
      <c r="B52" s="42"/>
      <c r="K52" s="218"/>
      <c r="L52" s="218"/>
      <c r="M52" s="218"/>
      <c r="N52" s="218"/>
      <c r="U52" s="39" t="s">
        <v>201</v>
      </c>
    </row>
    <row r="53" spans="2:27" s="246" customFormat="1" ht="31" x14ac:dyDescent="0.25">
      <c r="B53" s="221" t="s">
        <v>69</v>
      </c>
      <c r="C53" s="222" t="s">
        <v>177</v>
      </c>
      <c r="D53" s="220" t="s">
        <v>70</v>
      </c>
      <c r="F53" s="221" t="s">
        <v>69</v>
      </c>
      <c r="G53" s="222" t="s">
        <v>177</v>
      </c>
      <c r="H53" s="247" t="s">
        <v>188</v>
      </c>
      <c r="I53" s="220" t="s">
        <v>189</v>
      </c>
      <c r="K53" s="221" t="s">
        <v>69</v>
      </c>
      <c r="L53" s="222" t="s">
        <v>177</v>
      </c>
      <c r="M53" s="247" t="s">
        <v>188</v>
      </c>
      <c r="N53" s="220" t="s">
        <v>195</v>
      </c>
      <c r="O53" s="248" t="s">
        <v>193</v>
      </c>
      <c r="Q53" s="221" t="s">
        <v>69</v>
      </c>
      <c r="R53" s="222" t="s">
        <v>177</v>
      </c>
      <c r="S53" s="247" t="s">
        <v>194</v>
      </c>
      <c r="T53" s="220" t="s">
        <v>195</v>
      </c>
      <c r="V53" s="221" t="s">
        <v>69</v>
      </c>
      <c r="W53" s="222" t="s">
        <v>177</v>
      </c>
      <c r="X53" s="247" t="s">
        <v>194</v>
      </c>
      <c r="Y53" s="220" t="s">
        <v>195</v>
      </c>
      <c r="Z53" s="250" t="s">
        <v>197</v>
      </c>
    </row>
    <row r="54" spans="2:27" x14ac:dyDescent="0.35">
      <c r="B54" s="40">
        <v>33203</v>
      </c>
      <c r="C54" s="39">
        <v>1443.2</v>
      </c>
      <c r="F54" s="40">
        <v>33203</v>
      </c>
      <c r="G54" s="39">
        <v>1443.2</v>
      </c>
      <c r="H54" s="39">
        <f>WEEKDAY(F54,2)</f>
        <v>1</v>
      </c>
      <c r="I54" s="39">
        <f>IF(H54&gt;H55,G54,0)</f>
        <v>0</v>
      </c>
      <c r="K54" s="40">
        <v>33207</v>
      </c>
      <c r="L54" s="39">
        <v>1441.2</v>
      </c>
      <c r="M54" s="39">
        <v>5</v>
      </c>
      <c r="N54" s="39">
        <v>1441.2</v>
      </c>
      <c r="Q54" s="40">
        <v>33203</v>
      </c>
      <c r="R54" s="39">
        <v>1443.2</v>
      </c>
      <c r="S54" s="39">
        <f>MONTH(Q54)</f>
        <v>11</v>
      </c>
      <c r="T54" s="39">
        <f>IF(S55&lt;&gt;S54,R54,0)</f>
        <v>0</v>
      </c>
      <c r="U54" s="39">
        <f>IF(S55=S54,0,R54)</f>
        <v>0</v>
      </c>
      <c r="V54" s="40">
        <v>33207</v>
      </c>
      <c r="W54" s="39">
        <v>1441.2</v>
      </c>
      <c r="X54" s="39">
        <v>11</v>
      </c>
      <c r="Y54" s="39">
        <v>1441.2</v>
      </c>
    </row>
    <row r="55" spans="2:27" x14ac:dyDescent="0.35">
      <c r="B55" s="40">
        <v>33204</v>
      </c>
      <c r="C55" s="39">
        <v>1415.3</v>
      </c>
      <c r="D55" s="219">
        <f>LN(C55/C54)</f>
        <v>-1.9521347568566057E-2</v>
      </c>
      <c r="F55" s="40">
        <v>33204</v>
      </c>
      <c r="G55" s="39">
        <v>1415.3</v>
      </c>
      <c r="H55" s="39">
        <f t="shared" ref="H55:H118" si="0">WEEKDAY(F55,2)</f>
        <v>2</v>
      </c>
      <c r="I55" s="39">
        <f t="shared" ref="I55:I118" si="1">IF(H55&gt;H56,G55,0)</f>
        <v>0</v>
      </c>
      <c r="K55" s="40">
        <v>33214</v>
      </c>
      <c r="L55" s="39">
        <v>1512.8</v>
      </c>
      <c r="M55" s="39">
        <v>5</v>
      </c>
      <c r="N55" s="39">
        <v>1512.8</v>
      </c>
      <c r="O55" s="219">
        <f>LN(N55/N54)</f>
        <v>4.848613847030947E-2</v>
      </c>
      <c r="Q55" s="40">
        <v>33204</v>
      </c>
      <c r="R55" s="39">
        <v>1415.3</v>
      </c>
      <c r="S55" s="39">
        <f t="shared" ref="S55:S118" si="2">MONTH(Q55)</f>
        <v>11</v>
      </c>
      <c r="T55" s="39">
        <f t="shared" ref="T55:T118" si="3">IF(S56&lt;&gt;S55,R55,0)</f>
        <v>0</v>
      </c>
      <c r="U55" s="39">
        <f t="shared" ref="U55:U88" si="4">IF(S56=S55,0,R55)</f>
        <v>0</v>
      </c>
      <c r="V55" s="40">
        <v>33235</v>
      </c>
      <c r="W55" s="39">
        <v>1398.2</v>
      </c>
      <c r="X55" s="39">
        <v>12</v>
      </c>
      <c r="Y55" s="39">
        <v>1398.2</v>
      </c>
      <c r="Z55" s="249">
        <f>LN(Y55/Y54)</f>
        <v>-3.0290404796053348E-2</v>
      </c>
      <c r="AA55" s="219"/>
    </row>
    <row r="56" spans="2:27" x14ac:dyDescent="0.35">
      <c r="B56" s="40">
        <v>33205</v>
      </c>
      <c r="C56" s="39">
        <v>1420.6</v>
      </c>
      <c r="D56" s="219">
        <f t="shared" ref="D56:D119" si="5">LN(C56/C55)</f>
        <v>3.7377948239163306E-3</v>
      </c>
      <c r="F56" s="40">
        <v>33205</v>
      </c>
      <c r="G56" s="39">
        <v>1420.6</v>
      </c>
      <c r="H56" s="39">
        <f t="shared" si="0"/>
        <v>3</v>
      </c>
      <c r="I56" s="39">
        <f t="shared" si="1"/>
        <v>0</v>
      </c>
      <c r="K56" s="40">
        <v>33221</v>
      </c>
      <c r="L56" s="39">
        <v>1522.4</v>
      </c>
      <c r="M56" s="39">
        <v>5</v>
      </c>
      <c r="N56" s="39">
        <v>1522.4</v>
      </c>
      <c r="O56" s="219">
        <f t="shared" ref="O56:O119" si="6">LN(N56/N55)</f>
        <v>6.3257986376921097E-3</v>
      </c>
      <c r="Q56" s="40">
        <v>33205</v>
      </c>
      <c r="R56" s="39">
        <v>1420.6</v>
      </c>
      <c r="S56" s="39">
        <f t="shared" si="2"/>
        <v>11</v>
      </c>
      <c r="T56" s="39">
        <f t="shared" si="3"/>
        <v>0</v>
      </c>
      <c r="U56" s="39">
        <f t="shared" si="4"/>
        <v>0</v>
      </c>
      <c r="V56" s="40">
        <v>33269</v>
      </c>
      <c r="W56" s="39">
        <v>1420.1</v>
      </c>
      <c r="X56" s="39">
        <v>1</v>
      </c>
      <c r="Y56" s="39">
        <v>1420.1</v>
      </c>
      <c r="Z56" s="249">
        <f t="shared" ref="Z56:Z119" si="7">LN(Y56/Y55)</f>
        <v>1.5541596573082525E-2</v>
      </c>
      <c r="AA56" s="219"/>
    </row>
    <row r="57" spans="2:27" x14ac:dyDescent="0.35">
      <c r="B57" s="40">
        <v>33206</v>
      </c>
      <c r="C57" s="39">
        <v>1418.9</v>
      </c>
      <c r="D57" s="219">
        <f t="shared" si="5"/>
        <v>-1.1973940504417509E-3</v>
      </c>
      <c r="F57" s="40">
        <v>33206</v>
      </c>
      <c r="G57" s="39">
        <v>1418.9</v>
      </c>
      <c r="H57" s="39">
        <f t="shared" si="0"/>
        <v>4</v>
      </c>
      <c r="I57" s="39">
        <f t="shared" si="1"/>
        <v>0</v>
      </c>
      <c r="K57" s="40">
        <v>33228</v>
      </c>
      <c r="L57" s="39">
        <v>1414.9</v>
      </c>
      <c r="M57" s="39">
        <v>5</v>
      </c>
      <c r="N57" s="39">
        <v>1414.9</v>
      </c>
      <c r="O57" s="219">
        <f t="shared" si="6"/>
        <v>-7.3229179780033141E-2</v>
      </c>
      <c r="Q57" s="40">
        <v>33206</v>
      </c>
      <c r="R57" s="39">
        <v>1418.9</v>
      </c>
      <c r="S57" s="39">
        <f t="shared" si="2"/>
        <v>11</v>
      </c>
      <c r="T57" s="39">
        <f t="shared" si="3"/>
        <v>0</v>
      </c>
      <c r="U57" s="39">
        <f t="shared" si="4"/>
        <v>0</v>
      </c>
      <c r="V57" s="40">
        <v>33297</v>
      </c>
      <c r="W57" s="39">
        <v>1542.1</v>
      </c>
      <c r="X57" s="39">
        <v>2</v>
      </c>
      <c r="Y57" s="39">
        <v>1542.1</v>
      </c>
      <c r="Z57" s="249">
        <f t="shared" si="7"/>
        <v>8.2417832212643358E-2</v>
      </c>
      <c r="AA57" s="219"/>
    </row>
    <row r="58" spans="2:27" x14ac:dyDescent="0.35">
      <c r="B58" s="40">
        <v>33207</v>
      </c>
      <c r="C58" s="39">
        <v>1441.2</v>
      </c>
      <c r="D58" s="219">
        <f t="shared" si="5"/>
        <v>1.5594176360670516E-2</v>
      </c>
      <c r="F58" s="40">
        <v>33207</v>
      </c>
      <c r="G58" s="39">
        <v>1441.2</v>
      </c>
      <c r="H58" s="39">
        <f t="shared" si="0"/>
        <v>5</v>
      </c>
      <c r="I58" s="39">
        <f t="shared" si="1"/>
        <v>1441.2</v>
      </c>
      <c r="K58" s="40">
        <v>33235</v>
      </c>
      <c r="L58" s="39">
        <v>1398.2</v>
      </c>
      <c r="M58" s="39">
        <v>5</v>
      </c>
      <c r="N58" s="39">
        <v>1398.2</v>
      </c>
      <c r="O58" s="219">
        <f t="shared" si="6"/>
        <v>-1.1873162124021855E-2</v>
      </c>
      <c r="Q58" s="40">
        <v>33207</v>
      </c>
      <c r="R58" s="39">
        <v>1441.2</v>
      </c>
      <c r="S58" s="39">
        <f t="shared" si="2"/>
        <v>11</v>
      </c>
      <c r="T58" s="39">
        <f t="shared" si="3"/>
        <v>1441.2</v>
      </c>
      <c r="U58" s="39">
        <f t="shared" si="4"/>
        <v>1441.2</v>
      </c>
      <c r="V58" s="40">
        <v>33325</v>
      </c>
      <c r="W58" s="39">
        <v>1522.8</v>
      </c>
      <c r="X58" s="39">
        <v>3</v>
      </c>
      <c r="Y58" s="39">
        <v>1522.8</v>
      </c>
      <c r="Z58" s="249">
        <f t="shared" si="7"/>
        <v>-1.2594378355268374E-2</v>
      </c>
      <c r="AA58" s="219"/>
    </row>
    <row r="59" spans="2:27" x14ac:dyDescent="0.35">
      <c r="B59" s="40">
        <v>33210</v>
      </c>
      <c r="C59" s="39">
        <v>1462.6</v>
      </c>
      <c r="D59" s="219">
        <f t="shared" si="5"/>
        <v>1.473957396291245E-2</v>
      </c>
      <c r="F59" s="40">
        <v>33210</v>
      </c>
      <c r="G59" s="39">
        <v>1462.6</v>
      </c>
      <c r="H59" s="39">
        <f t="shared" si="0"/>
        <v>1</v>
      </c>
      <c r="I59" s="39">
        <f t="shared" si="1"/>
        <v>0</v>
      </c>
      <c r="K59" s="40">
        <v>33242</v>
      </c>
      <c r="L59" s="39">
        <v>1396.1</v>
      </c>
      <c r="M59" s="39">
        <v>5</v>
      </c>
      <c r="N59" s="39">
        <v>1396.1</v>
      </c>
      <c r="O59" s="219">
        <f t="shared" si="6"/>
        <v>-1.5030600832826593E-3</v>
      </c>
      <c r="Q59" s="40">
        <v>33210</v>
      </c>
      <c r="R59" s="39">
        <v>1462.6</v>
      </c>
      <c r="S59" s="39">
        <f t="shared" si="2"/>
        <v>12</v>
      </c>
      <c r="T59" s="39">
        <f t="shared" si="3"/>
        <v>0</v>
      </c>
      <c r="U59" s="39">
        <f t="shared" si="4"/>
        <v>0</v>
      </c>
      <c r="V59" s="40">
        <v>33358</v>
      </c>
      <c r="W59" s="39">
        <v>1605.8</v>
      </c>
      <c r="X59" s="39">
        <v>4</v>
      </c>
      <c r="Y59" s="39">
        <v>1605.8</v>
      </c>
      <c r="Z59" s="249">
        <f t="shared" si="7"/>
        <v>5.3071329242241283E-2</v>
      </c>
      <c r="AA59" s="219"/>
    </row>
    <row r="60" spans="2:27" x14ac:dyDescent="0.35">
      <c r="B60" s="40">
        <v>33211</v>
      </c>
      <c r="C60" s="39">
        <v>1446.3</v>
      </c>
      <c r="D60" s="219">
        <f t="shared" si="5"/>
        <v>-1.1207102757164453E-2</v>
      </c>
      <c r="F60" s="40">
        <v>33211</v>
      </c>
      <c r="G60" s="39">
        <v>1446.3</v>
      </c>
      <c r="H60" s="39">
        <f t="shared" si="0"/>
        <v>2</v>
      </c>
      <c r="I60" s="39">
        <f t="shared" si="1"/>
        <v>0</v>
      </c>
      <c r="K60" s="40">
        <v>33249</v>
      </c>
      <c r="L60" s="39">
        <v>1382.3</v>
      </c>
      <c r="M60" s="39">
        <v>5</v>
      </c>
      <c r="N60" s="39">
        <v>1382.3</v>
      </c>
      <c r="O60" s="219">
        <f t="shared" si="6"/>
        <v>-9.9338565242906244E-3</v>
      </c>
      <c r="Q60" s="40">
        <v>33211</v>
      </c>
      <c r="R60" s="39">
        <v>1446.3</v>
      </c>
      <c r="S60" s="39">
        <f t="shared" si="2"/>
        <v>12</v>
      </c>
      <c r="T60" s="39">
        <f t="shared" si="3"/>
        <v>0</v>
      </c>
      <c r="U60" s="39">
        <f t="shared" si="4"/>
        <v>0</v>
      </c>
      <c r="V60" s="40">
        <v>33389</v>
      </c>
      <c r="W60" s="39">
        <v>1704.1</v>
      </c>
      <c r="X60" s="39">
        <v>5</v>
      </c>
      <c r="Y60" s="39">
        <v>1704.1</v>
      </c>
      <c r="Z60" s="249">
        <f t="shared" si="7"/>
        <v>5.9415037362763413E-2</v>
      </c>
      <c r="AA60" s="219"/>
    </row>
    <row r="61" spans="2:27" x14ac:dyDescent="0.35">
      <c r="B61" s="40">
        <v>33212</v>
      </c>
      <c r="C61" s="39">
        <v>1471</v>
      </c>
      <c r="D61" s="219">
        <f t="shared" si="5"/>
        <v>1.6933870521751229E-2</v>
      </c>
      <c r="F61" s="40">
        <v>33212</v>
      </c>
      <c r="G61" s="39">
        <v>1471</v>
      </c>
      <c r="H61" s="39">
        <f t="shared" si="0"/>
        <v>3</v>
      </c>
      <c r="I61" s="39">
        <f t="shared" si="1"/>
        <v>0</v>
      </c>
      <c r="K61" s="40">
        <v>33256</v>
      </c>
      <c r="L61" s="39">
        <v>1405.1</v>
      </c>
      <c r="M61" s="39">
        <v>5</v>
      </c>
      <c r="N61" s="39">
        <v>1405.1</v>
      </c>
      <c r="O61" s="219">
        <f t="shared" si="6"/>
        <v>1.6359696141982998E-2</v>
      </c>
      <c r="Q61" s="40">
        <v>33212</v>
      </c>
      <c r="R61" s="39">
        <v>1471</v>
      </c>
      <c r="S61" s="39">
        <f t="shared" si="2"/>
        <v>12</v>
      </c>
      <c r="T61" s="39">
        <f t="shared" si="3"/>
        <v>0</v>
      </c>
      <c r="U61" s="39">
        <f t="shared" si="4"/>
        <v>0</v>
      </c>
      <c r="V61" s="40">
        <v>33417</v>
      </c>
      <c r="W61" s="39">
        <v>1622.2</v>
      </c>
      <c r="X61" s="39">
        <v>6</v>
      </c>
      <c r="Y61" s="39">
        <v>1622.2</v>
      </c>
      <c r="Z61" s="249">
        <f t="shared" si="7"/>
        <v>-4.9253859477102584E-2</v>
      </c>
      <c r="AA61" s="219"/>
    </row>
    <row r="62" spans="2:27" x14ac:dyDescent="0.35">
      <c r="B62" s="40">
        <v>33213</v>
      </c>
      <c r="C62" s="39">
        <v>1504.7</v>
      </c>
      <c r="D62" s="219">
        <f t="shared" si="5"/>
        <v>2.2651101163394811E-2</v>
      </c>
      <c r="F62" s="40">
        <v>33213</v>
      </c>
      <c r="G62" s="39">
        <v>1504.7</v>
      </c>
      <c r="H62" s="39">
        <f t="shared" si="0"/>
        <v>4</v>
      </c>
      <c r="I62" s="39">
        <f t="shared" si="1"/>
        <v>0</v>
      </c>
      <c r="K62" s="40">
        <v>33263</v>
      </c>
      <c r="L62" s="39">
        <v>1382.1</v>
      </c>
      <c r="M62" s="39">
        <v>5</v>
      </c>
      <c r="N62" s="39">
        <v>1382.1</v>
      </c>
      <c r="O62" s="219">
        <f t="shared" si="6"/>
        <v>-1.6504393002313506E-2</v>
      </c>
      <c r="Q62" s="40">
        <v>33213</v>
      </c>
      <c r="R62" s="39">
        <v>1504.7</v>
      </c>
      <c r="S62" s="39">
        <f t="shared" si="2"/>
        <v>12</v>
      </c>
      <c r="T62" s="39">
        <f t="shared" si="3"/>
        <v>0</v>
      </c>
      <c r="U62" s="39">
        <f t="shared" si="4"/>
        <v>0</v>
      </c>
      <c r="V62" s="40">
        <v>33450</v>
      </c>
      <c r="W62" s="39">
        <v>1622.3</v>
      </c>
      <c r="X62" s="39">
        <v>7</v>
      </c>
      <c r="Y62" s="39">
        <v>1622.3</v>
      </c>
      <c r="Z62" s="249">
        <f t="shared" si="7"/>
        <v>6.164278010887888E-5</v>
      </c>
      <c r="AA62" s="219"/>
    </row>
    <row r="63" spans="2:27" x14ac:dyDescent="0.35">
      <c r="B63" s="40">
        <v>33214</v>
      </c>
      <c r="C63" s="39">
        <v>1512.8</v>
      </c>
      <c r="D63" s="219">
        <f t="shared" si="5"/>
        <v>5.368695579415203E-3</v>
      </c>
      <c r="F63" s="40">
        <v>33214</v>
      </c>
      <c r="G63" s="39">
        <v>1512.8</v>
      </c>
      <c r="H63" s="39">
        <f t="shared" si="0"/>
        <v>5</v>
      </c>
      <c r="I63" s="39">
        <f t="shared" si="1"/>
        <v>1512.8</v>
      </c>
      <c r="K63" s="40">
        <v>33270</v>
      </c>
      <c r="L63" s="39">
        <v>1426.5</v>
      </c>
      <c r="M63" s="39">
        <v>5</v>
      </c>
      <c r="N63" s="39">
        <v>1426.5</v>
      </c>
      <c r="O63" s="219">
        <f t="shared" si="6"/>
        <v>3.1619810043573761E-2</v>
      </c>
      <c r="Q63" s="40">
        <v>33214</v>
      </c>
      <c r="R63" s="39">
        <v>1512.8</v>
      </c>
      <c r="S63" s="39">
        <f t="shared" si="2"/>
        <v>12</v>
      </c>
      <c r="T63" s="39">
        <f t="shared" si="3"/>
        <v>0</v>
      </c>
      <c r="U63" s="39">
        <f t="shared" si="4"/>
        <v>0</v>
      </c>
      <c r="V63" s="40">
        <v>33480</v>
      </c>
      <c r="W63" s="39">
        <v>1650.5</v>
      </c>
      <c r="X63" s="39">
        <v>8</v>
      </c>
      <c r="Y63" s="39">
        <v>1650.5</v>
      </c>
      <c r="Z63" s="249">
        <f t="shared" si="7"/>
        <v>1.7233376876894531E-2</v>
      </c>
      <c r="AA63" s="219"/>
    </row>
    <row r="64" spans="2:27" x14ac:dyDescent="0.35">
      <c r="B64" s="40">
        <v>33217</v>
      </c>
      <c r="C64" s="39">
        <v>1504.8</v>
      </c>
      <c r="D64" s="219">
        <f t="shared" si="5"/>
        <v>-5.3022393574270925E-3</v>
      </c>
      <c r="F64" s="40">
        <v>33217</v>
      </c>
      <c r="G64" s="39">
        <v>1504.8</v>
      </c>
      <c r="H64" s="39">
        <f t="shared" si="0"/>
        <v>1</v>
      </c>
      <c r="I64" s="39">
        <f t="shared" si="1"/>
        <v>0</v>
      </c>
      <c r="K64" s="40">
        <v>33277</v>
      </c>
      <c r="L64" s="39">
        <v>1467.8</v>
      </c>
      <c r="M64" s="39">
        <v>5</v>
      </c>
      <c r="N64" s="39">
        <v>1467.8</v>
      </c>
      <c r="O64" s="219">
        <f t="shared" si="6"/>
        <v>2.8540789457407793E-2</v>
      </c>
      <c r="Q64" s="40">
        <v>33217</v>
      </c>
      <c r="R64" s="39">
        <v>1504.8</v>
      </c>
      <c r="S64" s="39">
        <f t="shared" si="2"/>
        <v>12</v>
      </c>
      <c r="T64" s="39">
        <f t="shared" si="3"/>
        <v>0</v>
      </c>
      <c r="U64" s="39">
        <f t="shared" si="4"/>
        <v>0</v>
      </c>
      <c r="V64" s="40">
        <v>33511</v>
      </c>
      <c r="W64" s="39">
        <v>1607</v>
      </c>
      <c r="X64" s="39">
        <v>9</v>
      </c>
      <c r="Y64" s="39">
        <v>1607</v>
      </c>
      <c r="Z64" s="249">
        <f t="shared" si="7"/>
        <v>-2.6709185555735166E-2</v>
      </c>
      <c r="AA64" s="219"/>
    </row>
    <row r="65" spans="2:27" x14ac:dyDescent="0.35">
      <c r="B65" s="40">
        <v>33218</v>
      </c>
      <c r="C65" s="39">
        <v>1492.7</v>
      </c>
      <c r="D65" s="219">
        <f t="shared" si="5"/>
        <v>-8.0734383476265235E-3</v>
      </c>
      <c r="F65" s="40">
        <v>33218</v>
      </c>
      <c r="G65" s="39">
        <v>1492.7</v>
      </c>
      <c r="H65" s="39">
        <f t="shared" si="0"/>
        <v>2</v>
      </c>
      <c r="I65" s="39">
        <f t="shared" si="1"/>
        <v>0</v>
      </c>
      <c r="K65" s="40">
        <v>33284</v>
      </c>
      <c r="L65" s="39">
        <v>1531.2</v>
      </c>
      <c r="M65" s="39">
        <v>5</v>
      </c>
      <c r="N65" s="39">
        <v>1531.2</v>
      </c>
      <c r="O65" s="219">
        <f t="shared" si="6"/>
        <v>4.2287060587727382E-2</v>
      </c>
      <c r="Q65" s="40">
        <v>33218</v>
      </c>
      <c r="R65" s="39">
        <v>1492.7</v>
      </c>
      <c r="S65" s="39">
        <f t="shared" si="2"/>
        <v>12</v>
      </c>
      <c r="T65" s="39">
        <f t="shared" si="3"/>
        <v>0</v>
      </c>
      <c r="U65" s="39">
        <f t="shared" si="4"/>
        <v>0</v>
      </c>
      <c r="V65" s="40">
        <v>33542</v>
      </c>
      <c r="W65" s="39">
        <v>1582.1</v>
      </c>
      <c r="X65" s="39">
        <v>10</v>
      </c>
      <c r="Y65" s="39">
        <v>1582.1</v>
      </c>
      <c r="Z65" s="249">
        <f t="shared" si="7"/>
        <v>-1.5616008282494374E-2</v>
      </c>
      <c r="AA65" s="219"/>
    </row>
    <row r="66" spans="2:27" x14ac:dyDescent="0.35">
      <c r="B66" s="40">
        <v>33219</v>
      </c>
      <c r="C66" s="39">
        <v>1517.2</v>
      </c>
      <c r="D66" s="219">
        <f t="shared" si="5"/>
        <v>1.6279970175549767E-2</v>
      </c>
      <c r="F66" s="40">
        <v>33219</v>
      </c>
      <c r="G66" s="39">
        <v>1517.2</v>
      </c>
      <c r="H66" s="39">
        <f t="shared" si="0"/>
        <v>3</v>
      </c>
      <c r="I66" s="39">
        <f t="shared" si="1"/>
        <v>0</v>
      </c>
      <c r="K66" s="40">
        <v>33291</v>
      </c>
      <c r="L66" s="39">
        <v>1582.5</v>
      </c>
      <c r="M66" s="39">
        <v>5</v>
      </c>
      <c r="N66" s="39">
        <v>1582.5</v>
      </c>
      <c r="O66" s="219">
        <f t="shared" si="6"/>
        <v>3.2954133319641421E-2</v>
      </c>
      <c r="Q66" s="40">
        <v>33219</v>
      </c>
      <c r="R66" s="39">
        <v>1517.2</v>
      </c>
      <c r="S66" s="39">
        <f t="shared" si="2"/>
        <v>12</v>
      </c>
      <c r="T66" s="39">
        <f t="shared" si="3"/>
        <v>0</v>
      </c>
      <c r="U66" s="39">
        <f t="shared" si="4"/>
        <v>0</v>
      </c>
      <c r="V66" s="40">
        <v>33571</v>
      </c>
      <c r="W66" s="39">
        <v>1566.6</v>
      </c>
      <c r="X66" s="39">
        <v>11</v>
      </c>
      <c r="Y66" s="39">
        <v>1566.6</v>
      </c>
      <c r="Z66" s="249">
        <f t="shared" si="7"/>
        <v>-9.8454125218800353E-3</v>
      </c>
      <c r="AA66" s="219"/>
    </row>
    <row r="67" spans="2:27" x14ac:dyDescent="0.35">
      <c r="B67" s="40">
        <v>33220</v>
      </c>
      <c r="C67" s="39">
        <v>1517.8</v>
      </c>
      <c r="D67" s="219">
        <f t="shared" si="5"/>
        <v>3.9538715506855297E-4</v>
      </c>
      <c r="F67" s="40">
        <v>33220</v>
      </c>
      <c r="G67" s="39">
        <v>1517.8</v>
      </c>
      <c r="H67" s="39">
        <f t="shared" si="0"/>
        <v>4</v>
      </c>
      <c r="I67" s="39">
        <f t="shared" si="1"/>
        <v>0</v>
      </c>
      <c r="K67" s="40">
        <v>33298</v>
      </c>
      <c r="L67" s="39">
        <v>1516.7</v>
      </c>
      <c r="M67" s="39">
        <v>5</v>
      </c>
      <c r="N67" s="39">
        <v>1516.7</v>
      </c>
      <c r="O67" s="219">
        <f t="shared" si="6"/>
        <v>-4.2468952960979987E-2</v>
      </c>
      <c r="Q67" s="40">
        <v>33220</v>
      </c>
      <c r="R67" s="39">
        <v>1517.8</v>
      </c>
      <c r="S67" s="39">
        <f t="shared" si="2"/>
        <v>12</v>
      </c>
      <c r="T67" s="39">
        <f t="shared" si="3"/>
        <v>0</v>
      </c>
      <c r="U67" s="39">
        <f t="shared" si="4"/>
        <v>0</v>
      </c>
      <c r="V67" s="40">
        <v>33602</v>
      </c>
      <c r="W67" s="39">
        <v>1578</v>
      </c>
      <c r="X67" s="39">
        <v>12</v>
      </c>
      <c r="Y67" s="39">
        <v>1578</v>
      </c>
      <c r="Z67" s="249">
        <f t="shared" si="7"/>
        <v>7.250556472681551E-3</v>
      </c>
      <c r="AA67" s="219"/>
    </row>
    <row r="68" spans="2:27" x14ac:dyDescent="0.35">
      <c r="B68" s="40">
        <v>33221</v>
      </c>
      <c r="C68" s="39">
        <v>1522.4</v>
      </c>
      <c r="D68" s="219">
        <f t="shared" si="5"/>
        <v>3.0261190121274729E-3</v>
      </c>
      <c r="F68" s="40">
        <v>33221</v>
      </c>
      <c r="G68" s="39">
        <v>1522.4</v>
      </c>
      <c r="H68" s="39">
        <f t="shared" si="0"/>
        <v>5</v>
      </c>
      <c r="I68" s="39">
        <f t="shared" si="1"/>
        <v>1522.4</v>
      </c>
      <c r="K68" s="40">
        <v>33305</v>
      </c>
      <c r="L68" s="39">
        <v>1580.5</v>
      </c>
      <c r="M68" s="39">
        <v>5</v>
      </c>
      <c r="N68" s="39">
        <v>1580.5</v>
      </c>
      <c r="O68" s="219">
        <f t="shared" si="6"/>
        <v>4.1204330598321244E-2</v>
      </c>
      <c r="Q68" s="40">
        <v>33221</v>
      </c>
      <c r="R68" s="39">
        <v>1522.4</v>
      </c>
      <c r="S68" s="39">
        <f t="shared" si="2"/>
        <v>12</v>
      </c>
      <c r="T68" s="39">
        <f t="shared" si="3"/>
        <v>0</v>
      </c>
      <c r="U68" s="39">
        <f t="shared" si="4"/>
        <v>0</v>
      </c>
      <c r="V68" s="40">
        <v>33634</v>
      </c>
      <c r="W68" s="39">
        <v>1687.5</v>
      </c>
      <c r="X68" s="39">
        <v>1</v>
      </c>
      <c r="Y68" s="39">
        <v>1687.5</v>
      </c>
      <c r="Z68" s="249">
        <f t="shared" si="7"/>
        <v>6.7089921340865402E-2</v>
      </c>
      <c r="AA68" s="219"/>
    </row>
    <row r="69" spans="2:27" x14ac:dyDescent="0.35">
      <c r="B69" s="40">
        <v>33224</v>
      </c>
      <c r="C69" s="39">
        <v>1475.9</v>
      </c>
      <c r="D69" s="219">
        <f t="shared" si="5"/>
        <v>-3.1020063794209525E-2</v>
      </c>
      <c r="F69" s="40">
        <v>33224</v>
      </c>
      <c r="G69" s="39">
        <v>1475.9</v>
      </c>
      <c r="H69" s="39">
        <f t="shared" si="0"/>
        <v>1</v>
      </c>
      <c r="I69" s="39">
        <f t="shared" si="1"/>
        <v>0</v>
      </c>
      <c r="K69" s="40">
        <v>33312</v>
      </c>
      <c r="L69" s="39">
        <v>1570.6</v>
      </c>
      <c r="M69" s="39">
        <v>5</v>
      </c>
      <c r="N69" s="39">
        <v>1570.6</v>
      </c>
      <c r="O69" s="219">
        <f t="shared" si="6"/>
        <v>-6.2835407148981925E-3</v>
      </c>
      <c r="Q69" s="40">
        <v>33224</v>
      </c>
      <c r="R69" s="39">
        <v>1475.9</v>
      </c>
      <c r="S69" s="39">
        <f t="shared" si="2"/>
        <v>12</v>
      </c>
      <c r="T69" s="39">
        <f t="shared" si="3"/>
        <v>0</v>
      </c>
      <c r="U69" s="39">
        <f t="shared" si="4"/>
        <v>0</v>
      </c>
      <c r="V69" s="40">
        <v>33662</v>
      </c>
      <c r="W69" s="39">
        <v>1745.1</v>
      </c>
      <c r="X69" s="39">
        <v>2</v>
      </c>
      <c r="Y69" s="39">
        <v>1745.1</v>
      </c>
      <c r="Z69" s="249">
        <f t="shared" si="7"/>
        <v>3.3563716838140627E-2</v>
      </c>
      <c r="AA69" s="219"/>
    </row>
    <row r="70" spans="2:27" x14ac:dyDescent="0.35">
      <c r="B70" s="40">
        <v>33225</v>
      </c>
      <c r="C70" s="39">
        <v>1477.4</v>
      </c>
      <c r="D70" s="219">
        <f t="shared" si="5"/>
        <v>1.0158129069071664E-3</v>
      </c>
      <c r="F70" s="40">
        <v>33225</v>
      </c>
      <c r="G70" s="39">
        <v>1477.4</v>
      </c>
      <c r="H70" s="39">
        <f t="shared" si="0"/>
        <v>2</v>
      </c>
      <c r="I70" s="39">
        <f t="shared" si="1"/>
        <v>0</v>
      </c>
      <c r="K70" s="40">
        <v>33319</v>
      </c>
      <c r="L70" s="39">
        <v>1520.3</v>
      </c>
      <c r="M70" s="39">
        <v>5</v>
      </c>
      <c r="N70" s="39">
        <v>1520.3</v>
      </c>
      <c r="O70" s="219">
        <f t="shared" si="6"/>
        <v>-3.2550028153983945E-2</v>
      </c>
      <c r="Q70" s="40">
        <v>33225</v>
      </c>
      <c r="R70" s="39">
        <v>1477.4</v>
      </c>
      <c r="S70" s="39">
        <f t="shared" si="2"/>
        <v>12</v>
      </c>
      <c r="T70" s="39">
        <f t="shared" si="3"/>
        <v>0</v>
      </c>
      <c r="U70" s="39">
        <f t="shared" si="4"/>
        <v>0</v>
      </c>
      <c r="V70" s="40">
        <v>33694</v>
      </c>
      <c r="W70" s="39">
        <v>1717.9</v>
      </c>
      <c r="X70" s="39">
        <v>3</v>
      </c>
      <c r="Y70" s="39">
        <v>1717.9</v>
      </c>
      <c r="Z70" s="249">
        <f t="shared" si="7"/>
        <v>-1.5709245952425534E-2</v>
      </c>
      <c r="AA70" s="219"/>
    </row>
    <row r="71" spans="2:27" x14ac:dyDescent="0.35">
      <c r="B71" s="40">
        <v>33226</v>
      </c>
      <c r="C71" s="39">
        <v>1457.2</v>
      </c>
      <c r="D71" s="219">
        <f t="shared" si="5"/>
        <v>-1.3766999960228718E-2</v>
      </c>
      <c r="F71" s="40">
        <v>33226</v>
      </c>
      <c r="G71" s="39">
        <v>1457.2</v>
      </c>
      <c r="H71" s="39">
        <f t="shared" si="0"/>
        <v>3</v>
      </c>
      <c r="I71" s="39">
        <f t="shared" si="1"/>
        <v>0</v>
      </c>
      <c r="K71" s="40">
        <v>33325</v>
      </c>
      <c r="L71" s="39">
        <v>1522.8</v>
      </c>
      <c r="M71" s="39">
        <v>4</v>
      </c>
      <c r="N71" s="39">
        <v>1522.8</v>
      </c>
      <c r="O71" s="219">
        <f t="shared" si="6"/>
        <v>1.6430617215520877E-3</v>
      </c>
      <c r="Q71" s="40">
        <v>33226</v>
      </c>
      <c r="R71" s="39">
        <v>1457.2</v>
      </c>
      <c r="S71" s="39">
        <f t="shared" si="2"/>
        <v>12</v>
      </c>
      <c r="T71" s="39">
        <f t="shared" si="3"/>
        <v>0</v>
      </c>
      <c r="U71" s="39">
        <f t="shared" si="4"/>
        <v>0</v>
      </c>
      <c r="V71" s="40">
        <v>33724</v>
      </c>
      <c r="W71" s="39">
        <v>1734</v>
      </c>
      <c r="X71" s="39">
        <v>4</v>
      </c>
      <c r="Y71" s="39">
        <v>1734</v>
      </c>
      <c r="Z71" s="249">
        <f t="shared" si="7"/>
        <v>9.328263708087297E-3</v>
      </c>
      <c r="AA71" s="219"/>
    </row>
    <row r="72" spans="2:27" x14ac:dyDescent="0.35">
      <c r="B72" s="40">
        <v>33227</v>
      </c>
      <c r="C72" s="39">
        <v>1409.3</v>
      </c>
      <c r="D72" s="219">
        <f t="shared" si="5"/>
        <v>-3.3423658936943448E-2</v>
      </c>
      <c r="F72" s="40">
        <v>33227</v>
      </c>
      <c r="G72" s="39">
        <v>1409.3</v>
      </c>
      <c r="H72" s="39">
        <f t="shared" si="0"/>
        <v>4</v>
      </c>
      <c r="I72" s="39">
        <f t="shared" si="1"/>
        <v>0</v>
      </c>
      <c r="K72" s="40">
        <v>33333</v>
      </c>
      <c r="L72" s="39">
        <v>1586.9</v>
      </c>
      <c r="M72" s="39">
        <v>5</v>
      </c>
      <c r="N72" s="39">
        <v>1586.9</v>
      </c>
      <c r="O72" s="219">
        <f t="shared" si="6"/>
        <v>4.1231682060454446E-2</v>
      </c>
      <c r="Q72" s="40">
        <v>33227</v>
      </c>
      <c r="R72" s="39">
        <v>1409.3</v>
      </c>
      <c r="S72" s="39">
        <f t="shared" si="2"/>
        <v>12</v>
      </c>
      <c r="T72" s="39">
        <f t="shared" si="3"/>
        <v>0</v>
      </c>
      <c r="U72" s="39">
        <f t="shared" si="4"/>
        <v>0</v>
      </c>
      <c r="V72" s="40">
        <v>33753</v>
      </c>
      <c r="W72" s="39">
        <v>1803.2</v>
      </c>
      <c r="X72" s="39">
        <v>5</v>
      </c>
      <c r="Y72" s="39">
        <v>1803.2</v>
      </c>
      <c r="Z72" s="249">
        <f t="shared" si="7"/>
        <v>3.9131985945024782E-2</v>
      </c>
      <c r="AA72" s="219"/>
    </row>
    <row r="73" spans="2:27" x14ac:dyDescent="0.35">
      <c r="B73" s="40">
        <v>33228</v>
      </c>
      <c r="C73" s="39">
        <v>1414.9</v>
      </c>
      <c r="D73" s="219">
        <f t="shared" si="5"/>
        <v>3.9657300044414262E-3</v>
      </c>
      <c r="F73" s="40">
        <v>33228</v>
      </c>
      <c r="G73" s="39">
        <v>1414.9</v>
      </c>
      <c r="H73" s="39">
        <f t="shared" si="0"/>
        <v>5</v>
      </c>
      <c r="I73" s="39">
        <f t="shared" si="1"/>
        <v>1414.9</v>
      </c>
      <c r="K73" s="40">
        <v>33340</v>
      </c>
      <c r="L73" s="39">
        <v>1583.1</v>
      </c>
      <c r="M73" s="39">
        <v>5</v>
      </c>
      <c r="N73" s="39">
        <v>1583.1</v>
      </c>
      <c r="O73" s="219">
        <f t="shared" si="6"/>
        <v>-2.3974774890648197E-3</v>
      </c>
      <c r="Q73" s="40">
        <v>33228</v>
      </c>
      <c r="R73" s="39">
        <v>1414.9</v>
      </c>
      <c r="S73" s="39">
        <f t="shared" si="2"/>
        <v>12</v>
      </c>
      <c r="T73" s="39">
        <f t="shared" si="3"/>
        <v>0</v>
      </c>
      <c r="U73" s="39">
        <f t="shared" si="4"/>
        <v>0</v>
      </c>
      <c r="V73" s="40">
        <v>33785</v>
      </c>
      <c r="W73" s="39">
        <v>1752.6</v>
      </c>
      <c r="X73" s="39">
        <v>6</v>
      </c>
      <c r="Y73" s="39">
        <v>1752.6</v>
      </c>
      <c r="Z73" s="249">
        <f t="shared" si="7"/>
        <v>-2.8462464663761636E-2</v>
      </c>
      <c r="AA73" s="219"/>
    </row>
    <row r="74" spans="2:27" x14ac:dyDescent="0.35">
      <c r="B74" s="40">
        <v>33234</v>
      </c>
      <c r="C74" s="39">
        <v>1410.9</v>
      </c>
      <c r="D74" s="219">
        <f t="shared" si="5"/>
        <v>-2.831058582794596E-3</v>
      </c>
      <c r="F74" s="40">
        <v>33234</v>
      </c>
      <c r="G74" s="39">
        <v>1410.9</v>
      </c>
      <c r="H74" s="39">
        <f t="shared" si="0"/>
        <v>4</v>
      </c>
      <c r="I74" s="39">
        <f t="shared" si="1"/>
        <v>0</v>
      </c>
      <c r="K74" s="40">
        <v>33347</v>
      </c>
      <c r="L74" s="39">
        <v>1599.4</v>
      </c>
      <c r="M74" s="39">
        <v>5</v>
      </c>
      <c r="N74" s="39">
        <v>1599.4</v>
      </c>
      <c r="O74" s="219">
        <f t="shared" si="6"/>
        <v>1.0243608818057698E-2</v>
      </c>
      <c r="Q74" s="40">
        <v>33234</v>
      </c>
      <c r="R74" s="39">
        <v>1410.9</v>
      </c>
      <c r="S74" s="39">
        <f t="shared" si="2"/>
        <v>12</v>
      </c>
      <c r="T74" s="39">
        <f t="shared" si="3"/>
        <v>0</v>
      </c>
      <c r="U74" s="39">
        <f t="shared" si="4"/>
        <v>0</v>
      </c>
      <c r="V74" s="40">
        <v>33816</v>
      </c>
      <c r="W74" s="39">
        <v>1615.4</v>
      </c>
      <c r="X74" s="39">
        <v>7</v>
      </c>
      <c r="Y74" s="39">
        <v>1615.4</v>
      </c>
      <c r="Z74" s="249">
        <f t="shared" si="7"/>
        <v>-8.1517795613554295E-2</v>
      </c>
      <c r="AA74" s="219"/>
    </row>
    <row r="75" spans="2:27" x14ac:dyDescent="0.35">
      <c r="B75" s="40">
        <v>33235</v>
      </c>
      <c r="C75" s="39">
        <v>1398.2</v>
      </c>
      <c r="D75" s="219">
        <f t="shared" si="5"/>
        <v>-9.0421035412271804E-3</v>
      </c>
      <c r="F75" s="40">
        <v>33235</v>
      </c>
      <c r="G75" s="39">
        <v>1398.2</v>
      </c>
      <c r="H75" s="39">
        <f t="shared" si="0"/>
        <v>5</v>
      </c>
      <c r="I75" s="39">
        <f t="shared" si="1"/>
        <v>1398.2</v>
      </c>
      <c r="K75" s="40">
        <v>33354</v>
      </c>
      <c r="L75" s="39">
        <v>1623.8</v>
      </c>
      <c r="M75" s="39">
        <v>5</v>
      </c>
      <c r="N75" s="39">
        <v>1623.8</v>
      </c>
      <c r="O75" s="219">
        <f t="shared" si="6"/>
        <v>1.5140522530556465E-2</v>
      </c>
      <c r="Q75" s="40">
        <v>33235</v>
      </c>
      <c r="R75" s="39">
        <v>1398.2</v>
      </c>
      <c r="S75" s="39">
        <f t="shared" si="2"/>
        <v>12</v>
      </c>
      <c r="T75" s="39">
        <f t="shared" si="3"/>
        <v>1398.2</v>
      </c>
      <c r="U75" s="39">
        <f t="shared" si="4"/>
        <v>1398.2</v>
      </c>
      <c r="V75" s="40">
        <v>33847</v>
      </c>
      <c r="W75" s="39">
        <v>1541.3</v>
      </c>
      <c r="X75" s="39">
        <v>8</v>
      </c>
      <c r="Y75" s="39">
        <v>1541.3</v>
      </c>
      <c r="Z75" s="249">
        <f t="shared" si="7"/>
        <v>-4.6956387855521919E-2</v>
      </c>
      <c r="AA75" s="219"/>
    </row>
    <row r="76" spans="2:27" x14ac:dyDescent="0.35">
      <c r="B76" s="40">
        <v>33240</v>
      </c>
      <c r="C76" s="39">
        <v>1366.1</v>
      </c>
      <c r="D76" s="219">
        <f t="shared" si="5"/>
        <v>-2.3225730184443443E-2</v>
      </c>
      <c r="F76" s="40">
        <v>33240</v>
      </c>
      <c r="G76" s="39">
        <v>1366.1</v>
      </c>
      <c r="H76" s="39">
        <f t="shared" si="0"/>
        <v>3</v>
      </c>
      <c r="I76" s="39">
        <f t="shared" si="1"/>
        <v>0</v>
      </c>
      <c r="K76" s="40">
        <v>33361</v>
      </c>
      <c r="L76" s="39">
        <v>1631.8</v>
      </c>
      <c r="M76" s="39">
        <v>5</v>
      </c>
      <c r="N76" s="39">
        <v>1631.8</v>
      </c>
      <c r="O76" s="219">
        <f t="shared" si="6"/>
        <v>4.9146185663537312E-3</v>
      </c>
      <c r="Q76" s="40">
        <v>33240</v>
      </c>
      <c r="R76" s="39">
        <v>1366.1</v>
      </c>
      <c r="S76" s="39">
        <f t="shared" si="2"/>
        <v>1</v>
      </c>
      <c r="T76" s="39">
        <f t="shared" si="3"/>
        <v>0</v>
      </c>
      <c r="U76" s="39">
        <f t="shared" si="4"/>
        <v>0</v>
      </c>
      <c r="V76" s="40">
        <v>33877</v>
      </c>
      <c r="W76" s="39">
        <v>1466.4</v>
      </c>
      <c r="X76" s="39">
        <v>9</v>
      </c>
      <c r="Y76" s="39">
        <v>1466.4</v>
      </c>
      <c r="Z76" s="249">
        <f t="shared" si="7"/>
        <v>-4.9815798627178706E-2</v>
      </c>
      <c r="AA76" s="219"/>
    </row>
    <row r="77" spans="2:27" x14ac:dyDescent="0.35">
      <c r="B77" s="40">
        <v>33241</v>
      </c>
      <c r="C77" s="39">
        <v>1366.7</v>
      </c>
      <c r="D77" s="219">
        <f t="shared" si="5"/>
        <v>4.3911007731339488E-4</v>
      </c>
      <c r="F77" s="40">
        <v>33241</v>
      </c>
      <c r="G77" s="39">
        <v>1366.7</v>
      </c>
      <c r="H77" s="39">
        <f t="shared" si="0"/>
        <v>4</v>
      </c>
      <c r="I77" s="39">
        <f t="shared" si="1"/>
        <v>0</v>
      </c>
      <c r="K77" s="40">
        <v>33368</v>
      </c>
      <c r="L77" s="39">
        <v>1620.6</v>
      </c>
      <c r="M77" s="39">
        <v>5</v>
      </c>
      <c r="N77" s="39">
        <v>1620.6</v>
      </c>
      <c r="O77" s="219">
        <f t="shared" si="6"/>
        <v>-6.8872489680750076E-3</v>
      </c>
      <c r="Q77" s="40">
        <v>33241</v>
      </c>
      <c r="R77" s="39">
        <v>1366.7</v>
      </c>
      <c r="S77" s="39">
        <f t="shared" si="2"/>
        <v>1</v>
      </c>
      <c r="T77" s="39">
        <f t="shared" si="3"/>
        <v>0</v>
      </c>
      <c r="U77" s="39">
        <f t="shared" si="4"/>
        <v>0</v>
      </c>
      <c r="V77" s="40">
        <v>33907</v>
      </c>
      <c r="W77" s="39">
        <v>1492.3</v>
      </c>
      <c r="X77" s="39">
        <v>10</v>
      </c>
      <c r="Y77" s="39">
        <v>1492.3</v>
      </c>
      <c r="Z77" s="249">
        <f t="shared" si="7"/>
        <v>1.7508136411926854E-2</v>
      </c>
      <c r="AA77" s="219"/>
    </row>
    <row r="78" spans="2:27" x14ac:dyDescent="0.35">
      <c r="B78" s="40">
        <v>33242</v>
      </c>
      <c r="C78" s="39">
        <v>1396.1</v>
      </c>
      <c r="D78" s="219">
        <f t="shared" si="5"/>
        <v>2.1283560023847396E-2</v>
      </c>
      <c r="F78" s="40">
        <v>33242</v>
      </c>
      <c r="G78" s="39">
        <v>1396.1</v>
      </c>
      <c r="H78" s="39">
        <f t="shared" si="0"/>
        <v>5</v>
      </c>
      <c r="I78" s="39">
        <f t="shared" si="1"/>
        <v>1396.1</v>
      </c>
      <c r="K78" s="40">
        <v>33375</v>
      </c>
      <c r="L78" s="39">
        <v>1598.9</v>
      </c>
      <c r="M78" s="39">
        <v>5</v>
      </c>
      <c r="N78" s="39">
        <v>1598.9</v>
      </c>
      <c r="O78" s="219">
        <f t="shared" si="6"/>
        <v>-1.3480558235250104E-2</v>
      </c>
      <c r="Q78" s="40">
        <v>33242</v>
      </c>
      <c r="R78" s="39">
        <v>1396.1</v>
      </c>
      <c r="S78" s="39">
        <f t="shared" si="2"/>
        <v>1</v>
      </c>
      <c r="T78" s="39">
        <f t="shared" si="3"/>
        <v>0</v>
      </c>
      <c r="U78" s="39">
        <f t="shared" si="4"/>
        <v>0</v>
      </c>
      <c r="V78" s="40">
        <v>33938</v>
      </c>
      <c r="W78" s="39">
        <v>1544.3</v>
      </c>
      <c r="X78" s="39">
        <v>11</v>
      </c>
      <c r="Y78" s="39">
        <v>1544.3</v>
      </c>
      <c r="Z78" s="249">
        <f t="shared" si="7"/>
        <v>3.4252179291532896E-2</v>
      </c>
      <c r="AA78" s="219"/>
    </row>
    <row r="79" spans="2:27" x14ac:dyDescent="0.35">
      <c r="B79" s="40">
        <v>33245</v>
      </c>
      <c r="C79" s="39">
        <v>1358.2</v>
      </c>
      <c r="D79" s="219">
        <f t="shared" si="5"/>
        <v>-2.7522341314911117E-2</v>
      </c>
      <c r="F79" s="40">
        <v>33245</v>
      </c>
      <c r="G79" s="39">
        <v>1358.2</v>
      </c>
      <c r="H79" s="39">
        <f t="shared" si="0"/>
        <v>1</v>
      </c>
      <c r="I79" s="39">
        <f t="shared" si="1"/>
        <v>0</v>
      </c>
      <c r="K79" s="40">
        <v>33382</v>
      </c>
      <c r="L79" s="39">
        <v>1671.9</v>
      </c>
      <c r="M79" s="39">
        <v>5</v>
      </c>
      <c r="N79" s="39">
        <v>1671.9</v>
      </c>
      <c r="O79" s="219">
        <f t="shared" si="6"/>
        <v>4.4644811452225597E-2</v>
      </c>
      <c r="Q79" s="40">
        <v>33245</v>
      </c>
      <c r="R79" s="39">
        <v>1358.2</v>
      </c>
      <c r="S79" s="39">
        <f t="shared" si="2"/>
        <v>1</v>
      </c>
      <c r="T79" s="39">
        <f t="shared" si="3"/>
        <v>0</v>
      </c>
      <c r="U79" s="39">
        <f t="shared" si="4"/>
        <v>0</v>
      </c>
      <c r="V79" s="40">
        <v>33968</v>
      </c>
      <c r="W79" s="39">
        <v>1545.1</v>
      </c>
      <c r="X79" s="39">
        <v>12</v>
      </c>
      <c r="Y79" s="39">
        <v>1545.1</v>
      </c>
      <c r="Z79" s="249">
        <f t="shared" si="7"/>
        <v>5.178999274170693E-4</v>
      </c>
      <c r="AA79" s="219"/>
    </row>
    <row r="80" spans="2:27" x14ac:dyDescent="0.35">
      <c r="B80" s="40">
        <v>33246</v>
      </c>
      <c r="C80" s="39">
        <v>1354</v>
      </c>
      <c r="D80" s="219">
        <f t="shared" si="5"/>
        <v>-3.0971192074707951E-3</v>
      </c>
      <c r="F80" s="40">
        <v>33246</v>
      </c>
      <c r="G80" s="39">
        <v>1354</v>
      </c>
      <c r="H80" s="39">
        <f t="shared" si="0"/>
        <v>2</v>
      </c>
      <c r="I80" s="39">
        <f t="shared" si="1"/>
        <v>0</v>
      </c>
      <c r="K80" s="40">
        <v>33389</v>
      </c>
      <c r="L80" s="39">
        <v>1704.1</v>
      </c>
      <c r="M80" s="39">
        <v>5</v>
      </c>
      <c r="N80" s="39">
        <v>1704.1</v>
      </c>
      <c r="O80" s="219">
        <f t="shared" si="6"/>
        <v>1.9076407869746594E-2</v>
      </c>
      <c r="Q80" s="40">
        <v>33246</v>
      </c>
      <c r="R80" s="39">
        <v>1354</v>
      </c>
      <c r="S80" s="39">
        <f t="shared" si="2"/>
        <v>1</v>
      </c>
      <c r="T80" s="39">
        <f t="shared" si="3"/>
        <v>0</v>
      </c>
      <c r="U80" s="39">
        <f t="shared" si="4"/>
        <v>0</v>
      </c>
      <c r="V80" s="40">
        <v>33998</v>
      </c>
      <c r="W80" s="39">
        <v>1571.9</v>
      </c>
      <c r="X80" s="39">
        <v>1</v>
      </c>
      <c r="Y80" s="39">
        <v>1571.9</v>
      </c>
      <c r="Z80" s="249">
        <f t="shared" si="7"/>
        <v>1.7196445577819928E-2</v>
      </c>
      <c r="AA80" s="219"/>
    </row>
    <row r="81" spans="2:27" x14ac:dyDescent="0.35">
      <c r="B81" s="40">
        <v>33247</v>
      </c>
      <c r="C81" s="39">
        <v>1375.2</v>
      </c>
      <c r="D81" s="219">
        <f t="shared" si="5"/>
        <v>1.5536000596419226E-2</v>
      </c>
      <c r="F81" s="40">
        <v>33247</v>
      </c>
      <c r="G81" s="39">
        <v>1375.2</v>
      </c>
      <c r="H81" s="39">
        <f t="shared" si="0"/>
        <v>3</v>
      </c>
      <c r="I81" s="39">
        <f t="shared" si="1"/>
        <v>0</v>
      </c>
      <c r="K81" s="40">
        <v>33396</v>
      </c>
      <c r="L81" s="39">
        <v>1709.6</v>
      </c>
      <c r="M81" s="39">
        <v>5</v>
      </c>
      <c r="N81" s="39">
        <v>1709.6</v>
      </c>
      <c r="O81" s="219">
        <f t="shared" si="6"/>
        <v>3.2223128915907953E-3</v>
      </c>
      <c r="Q81" s="40">
        <v>33247</v>
      </c>
      <c r="R81" s="39">
        <v>1375.2</v>
      </c>
      <c r="S81" s="39">
        <f t="shared" si="2"/>
        <v>1</v>
      </c>
      <c r="T81" s="39">
        <f t="shared" si="3"/>
        <v>0</v>
      </c>
      <c r="U81" s="39">
        <f t="shared" si="4"/>
        <v>0</v>
      </c>
      <c r="V81" s="40">
        <v>34026</v>
      </c>
      <c r="W81" s="39">
        <v>1684.4</v>
      </c>
      <c r="X81" s="39">
        <v>2</v>
      </c>
      <c r="Y81" s="39">
        <v>1684.4</v>
      </c>
      <c r="Z81" s="249">
        <f t="shared" si="7"/>
        <v>6.9124338553580369E-2</v>
      </c>
      <c r="AA81" s="219"/>
    </row>
    <row r="82" spans="2:27" x14ac:dyDescent="0.35">
      <c r="B82" s="40">
        <v>33248</v>
      </c>
      <c r="C82" s="39">
        <v>1383.4</v>
      </c>
      <c r="D82" s="219">
        <f t="shared" si="5"/>
        <v>5.9450620978448426E-3</v>
      </c>
      <c r="F82" s="40">
        <v>33248</v>
      </c>
      <c r="G82" s="39">
        <v>1383.4</v>
      </c>
      <c r="H82" s="39">
        <f t="shared" si="0"/>
        <v>4</v>
      </c>
      <c r="I82" s="39">
        <f t="shared" si="1"/>
        <v>0</v>
      </c>
      <c r="K82" s="40">
        <v>33403</v>
      </c>
      <c r="L82" s="39">
        <v>1699.8</v>
      </c>
      <c r="M82" s="39">
        <v>5</v>
      </c>
      <c r="N82" s="39">
        <v>1699.8</v>
      </c>
      <c r="O82" s="219">
        <f t="shared" si="6"/>
        <v>-5.7488279404119798E-3</v>
      </c>
      <c r="Q82" s="40">
        <v>33248</v>
      </c>
      <c r="R82" s="39">
        <v>1383.4</v>
      </c>
      <c r="S82" s="39">
        <f t="shared" si="2"/>
        <v>1</v>
      </c>
      <c r="T82" s="39">
        <f t="shared" si="3"/>
        <v>0</v>
      </c>
      <c r="U82" s="39">
        <f t="shared" si="4"/>
        <v>0</v>
      </c>
      <c r="V82" s="40">
        <v>34059</v>
      </c>
      <c r="W82" s="39">
        <v>1684.2</v>
      </c>
      <c r="X82" s="39">
        <v>3</v>
      </c>
      <c r="Y82" s="39">
        <v>1684.2</v>
      </c>
      <c r="Z82" s="249">
        <f t="shared" si="7"/>
        <v>-1.1874369188094364E-4</v>
      </c>
      <c r="AA82" s="219"/>
    </row>
    <row r="83" spans="2:27" x14ac:dyDescent="0.35">
      <c r="B83" s="40">
        <v>33249</v>
      </c>
      <c r="C83" s="39">
        <v>1382.3</v>
      </c>
      <c r="D83" s="219">
        <f t="shared" si="5"/>
        <v>-7.9545869617288309E-4</v>
      </c>
      <c r="F83" s="40">
        <v>33249</v>
      </c>
      <c r="G83" s="39">
        <v>1382.3</v>
      </c>
      <c r="H83" s="39">
        <f t="shared" si="0"/>
        <v>5</v>
      </c>
      <c r="I83" s="39">
        <f t="shared" si="1"/>
        <v>1382.3</v>
      </c>
      <c r="K83" s="40">
        <v>33410</v>
      </c>
      <c r="L83" s="39">
        <v>1711.9</v>
      </c>
      <c r="M83" s="39">
        <v>5</v>
      </c>
      <c r="N83" s="39">
        <v>1711.9</v>
      </c>
      <c r="O83" s="219">
        <f t="shared" si="6"/>
        <v>7.0932677162069023E-3</v>
      </c>
      <c r="Q83" s="40">
        <v>33249</v>
      </c>
      <c r="R83" s="39">
        <v>1382.3</v>
      </c>
      <c r="S83" s="39">
        <f t="shared" si="2"/>
        <v>1</v>
      </c>
      <c r="T83" s="39">
        <f t="shared" si="3"/>
        <v>0</v>
      </c>
      <c r="U83" s="39">
        <f t="shared" si="4"/>
        <v>0</v>
      </c>
      <c r="V83" s="40">
        <v>34089</v>
      </c>
      <c r="W83" s="39">
        <v>1627.2</v>
      </c>
      <c r="X83" s="39">
        <v>4</v>
      </c>
      <c r="Y83" s="39">
        <v>1627.2</v>
      </c>
      <c r="Z83" s="249">
        <f t="shared" si="7"/>
        <v>-3.4429927301596323E-2</v>
      </c>
      <c r="AA83" s="219"/>
    </row>
    <row r="84" spans="2:27" x14ac:dyDescent="0.35">
      <c r="B84" s="40">
        <v>33252</v>
      </c>
      <c r="C84" s="39">
        <v>1327.8</v>
      </c>
      <c r="D84" s="219">
        <f t="shared" si="5"/>
        <v>-4.0225341185252589E-2</v>
      </c>
      <c r="F84" s="40">
        <v>33252</v>
      </c>
      <c r="G84" s="39">
        <v>1327.8</v>
      </c>
      <c r="H84" s="39">
        <f t="shared" si="0"/>
        <v>1</v>
      </c>
      <c r="I84" s="39">
        <f t="shared" si="1"/>
        <v>0</v>
      </c>
      <c r="K84" s="40">
        <v>33417</v>
      </c>
      <c r="L84" s="39">
        <v>1622.2</v>
      </c>
      <c r="M84" s="39">
        <v>5</v>
      </c>
      <c r="N84" s="39">
        <v>1622.2</v>
      </c>
      <c r="O84" s="219">
        <f t="shared" si="6"/>
        <v>-5.3820612144488397E-2</v>
      </c>
      <c r="Q84" s="40">
        <v>33252</v>
      </c>
      <c r="R84" s="39">
        <v>1327.8</v>
      </c>
      <c r="S84" s="39">
        <f t="shared" si="2"/>
        <v>1</v>
      </c>
      <c r="T84" s="39">
        <f t="shared" si="3"/>
        <v>0</v>
      </c>
      <c r="U84" s="39">
        <f t="shared" si="4"/>
        <v>0</v>
      </c>
      <c r="V84" s="40">
        <v>34117</v>
      </c>
      <c r="W84" s="39">
        <v>1631.9</v>
      </c>
      <c r="X84" s="39">
        <v>5</v>
      </c>
      <c r="Y84" s="39">
        <v>1631.9</v>
      </c>
      <c r="Z84" s="249">
        <f t="shared" si="7"/>
        <v>2.8842338425934416E-3</v>
      </c>
      <c r="AA84" s="219"/>
    </row>
    <row r="85" spans="2:27" x14ac:dyDescent="0.35">
      <c r="B85" s="40">
        <v>33253</v>
      </c>
      <c r="C85" s="39">
        <v>1325.6</v>
      </c>
      <c r="D85" s="219">
        <f t="shared" si="5"/>
        <v>-1.6582501727058355E-3</v>
      </c>
      <c r="F85" s="40">
        <v>33253</v>
      </c>
      <c r="G85" s="39">
        <v>1325.6</v>
      </c>
      <c r="H85" s="39">
        <f t="shared" si="0"/>
        <v>2</v>
      </c>
      <c r="I85" s="39">
        <f t="shared" si="1"/>
        <v>0</v>
      </c>
      <c r="K85" s="40">
        <v>33424</v>
      </c>
      <c r="L85" s="39">
        <v>1618.9</v>
      </c>
      <c r="M85" s="39">
        <v>5</v>
      </c>
      <c r="N85" s="39">
        <v>1618.9</v>
      </c>
      <c r="O85" s="219">
        <f t="shared" si="6"/>
        <v>-2.0363463887841265E-3</v>
      </c>
      <c r="Q85" s="40">
        <v>33253</v>
      </c>
      <c r="R85" s="39">
        <v>1325.6</v>
      </c>
      <c r="S85" s="39">
        <f t="shared" si="2"/>
        <v>1</v>
      </c>
      <c r="T85" s="39">
        <f t="shared" si="3"/>
        <v>0</v>
      </c>
      <c r="U85" s="39">
        <f t="shared" si="4"/>
        <v>0</v>
      </c>
      <c r="V85" s="40">
        <v>34150</v>
      </c>
      <c r="W85" s="39">
        <v>1697.6</v>
      </c>
      <c r="X85" s="39">
        <v>6</v>
      </c>
      <c r="Y85" s="39">
        <v>1697.6</v>
      </c>
      <c r="Z85" s="249">
        <f t="shared" si="7"/>
        <v>3.9470508722829652E-2</v>
      </c>
      <c r="AA85" s="219"/>
    </row>
    <row r="86" spans="2:27" x14ac:dyDescent="0.35">
      <c r="B86" s="40">
        <v>33254</v>
      </c>
      <c r="C86" s="39">
        <v>1322.7</v>
      </c>
      <c r="D86" s="219">
        <f t="shared" si="5"/>
        <v>-2.1900850803514408E-3</v>
      </c>
      <c r="F86" s="40">
        <v>33254</v>
      </c>
      <c r="G86" s="39">
        <v>1322.7</v>
      </c>
      <c r="H86" s="39">
        <f t="shared" si="0"/>
        <v>3</v>
      </c>
      <c r="I86" s="39">
        <f t="shared" si="1"/>
        <v>0</v>
      </c>
      <c r="K86" s="40">
        <v>33431</v>
      </c>
      <c r="L86" s="39">
        <v>1644.8</v>
      </c>
      <c r="M86" s="39">
        <v>5</v>
      </c>
      <c r="N86" s="39">
        <v>1644.8</v>
      </c>
      <c r="O86" s="219">
        <f t="shared" si="6"/>
        <v>1.5871890013385671E-2</v>
      </c>
      <c r="Q86" s="40">
        <v>33254</v>
      </c>
      <c r="R86" s="39">
        <v>1322.7</v>
      </c>
      <c r="S86" s="39">
        <f t="shared" si="2"/>
        <v>1</v>
      </c>
      <c r="T86" s="39">
        <f t="shared" si="3"/>
        <v>0</v>
      </c>
      <c r="U86" s="39">
        <f t="shared" si="4"/>
        <v>0</v>
      </c>
      <c r="V86" s="40">
        <v>34180</v>
      </c>
      <c r="W86" s="39">
        <v>1803.2</v>
      </c>
      <c r="X86" s="39">
        <v>7</v>
      </c>
      <c r="Y86" s="39">
        <v>1803.2</v>
      </c>
      <c r="Z86" s="249">
        <f t="shared" si="7"/>
        <v>6.0347375425793333E-2</v>
      </c>
      <c r="AA86" s="219"/>
    </row>
    <row r="87" spans="2:27" x14ac:dyDescent="0.35">
      <c r="B87" s="40">
        <v>33255</v>
      </c>
      <c r="C87" s="39">
        <v>1422.7</v>
      </c>
      <c r="D87" s="219">
        <f t="shared" si="5"/>
        <v>7.2881372625119734E-2</v>
      </c>
      <c r="F87" s="40">
        <v>33255</v>
      </c>
      <c r="G87" s="39">
        <v>1422.7</v>
      </c>
      <c r="H87" s="39">
        <f t="shared" si="0"/>
        <v>4</v>
      </c>
      <c r="I87" s="39">
        <f t="shared" si="1"/>
        <v>0</v>
      </c>
      <c r="K87" s="40">
        <v>33438</v>
      </c>
      <c r="L87" s="39">
        <v>1624</v>
      </c>
      <c r="M87" s="39">
        <v>5</v>
      </c>
      <c r="N87" s="39">
        <v>1624</v>
      </c>
      <c r="O87" s="219">
        <f t="shared" si="6"/>
        <v>-1.2726554539222664E-2</v>
      </c>
      <c r="Q87" s="40">
        <v>33255</v>
      </c>
      <c r="R87" s="39">
        <v>1422.7</v>
      </c>
      <c r="S87" s="39">
        <f t="shared" si="2"/>
        <v>1</v>
      </c>
      <c r="T87" s="39">
        <f t="shared" si="3"/>
        <v>0</v>
      </c>
      <c r="U87" s="39">
        <f t="shared" si="4"/>
        <v>0</v>
      </c>
      <c r="V87" s="40">
        <v>34212</v>
      </c>
      <c r="W87" s="39">
        <v>1944.9</v>
      </c>
      <c r="X87" s="39">
        <v>8</v>
      </c>
      <c r="Y87" s="39">
        <v>1944.9</v>
      </c>
      <c r="Z87" s="249">
        <f t="shared" si="7"/>
        <v>7.5647697563547875E-2</v>
      </c>
      <c r="AA87" s="219"/>
    </row>
    <row r="88" spans="2:27" x14ac:dyDescent="0.35">
      <c r="B88" s="40">
        <v>33256</v>
      </c>
      <c r="C88" s="39">
        <v>1405.1</v>
      </c>
      <c r="D88" s="219">
        <f t="shared" si="5"/>
        <v>-1.2448000044826919E-2</v>
      </c>
      <c r="F88" s="40">
        <v>33256</v>
      </c>
      <c r="G88" s="39">
        <v>1405.1</v>
      </c>
      <c r="H88" s="39">
        <f t="shared" si="0"/>
        <v>5</v>
      </c>
      <c r="I88" s="39">
        <f t="shared" si="1"/>
        <v>1405.1</v>
      </c>
      <c r="K88" s="40">
        <v>33445</v>
      </c>
      <c r="L88" s="39">
        <v>1605.6</v>
      </c>
      <c r="M88" s="39">
        <v>5</v>
      </c>
      <c r="N88" s="39">
        <v>1605.6</v>
      </c>
      <c r="O88" s="219">
        <f t="shared" si="6"/>
        <v>-1.1394723239494963E-2</v>
      </c>
      <c r="Q88" s="40">
        <v>33256</v>
      </c>
      <c r="R88" s="39">
        <v>1405.1</v>
      </c>
      <c r="S88" s="39">
        <f t="shared" si="2"/>
        <v>1</v>
      </c>
      <c r="T88" s="39">
        <f t="shared" si="3"/>
        <v>0</v>
      </c>
      <c r="U88" s="39">
        <f t="shared" si="4"/>
        <v>0</v>
      </c>
      <c r="V88" s="40">
        <v>34242</v>
      </c>
      <c r="W88" s="39">
        <v>1915.7</v>
      </c>
      <c r="X88" s="39">
        <v>9</v>
      </c>
      <c r="Y88" s="39">
        <v>1915.7</v>
      </c>
      <c r="Z88" s="249">
        <f t="shared" si="7"/>
        <v>-1.5127470778004375E-2</v>
      </c>
      <c r="AA88" s="219"/>
    </row>
    <row r="89" spans="2:27" x14ac:dyDescent="0.35">
      <c r="B89" s="40">
        <v>33259</v>
      </c>
      <c r="C89" s="39">
        <v>1390.2</v>
      </c>
      <c r="D89" s="219">
        <f t="shared" si="5"/>
        <v>-1.0660852945908936E-2</v>
      </c>
      <c r="F89" s="40">
        <v>33259</v>
      </c>
      <c r="G89" s="39">
        <v>1390.2</v>
      </c>
      <c r="H89" s="39">
        <f t="shared" si="0"/>
        <v>1</v>
      </c>
      <c r="I89" s="39">
        <f t="shared" si="1"/>
        <v>0</v>
      </c>
      <c r="K89" s="40">
        <v>33452</v>
      </c>
      <c r="L89" s="39">
        <v>1615.4</v>
      </c>
      <c r="M89" s="39">
        <v>5</v>
      </c>
      <c r="N89" s="39">
        <v>1615.4</v>
      </c>
      <c r="O89" s="219">
        <f t="shared" si="6"/>
        <v>6.0850855260676474E-3</v>
      </c>
      <c r="Q89" s="40">
        <v>33259</v>
      </c>
      <c r="R89" s="39">
        <v>1390.2</v>
      </c>
      <c r="S89" s="39">
        <f t="shared" si="2"/>
        <v>1</v>
      </c>
      <c r="T89" s="39">
        <f t="shared" si="3"/>
        <v>0</v>
      </c>
      <c r="U89" s="39">
        <f t="shared" ref="U89:U118" si="8">IF(S90=S89,0,R89)</f>
        <v>0</v>
      </c>
      <c r="V89" s="40">
        <v>34271</v>
      </c>
      <c r="W89" s="39">
        <v>2069</v>
      </c>
      <c r="X89" s="39">
        <v>10</v>
      </c>
      <c r="Y89" s="39">
        <v>2069</v>
      </c>
      <c r="Z89" s="249">
        <f t="shared" si="7"/>
        <v>7.6982307674487632E-2</v>
      </c>
      <c r="AA89" s="219"/>
    </row>
    <row r="90" spans="2:27" x14ac:dyDescent="0.35">
      <c r="B90" s="40">
        <v>33260</v>
      </c>
      <c r="C90" s="39">
        <v>1375.1</v>
      </c>
      <c r="D90" s="219">
        <f t="shared" si="5"/>
        <v>-1.0921165937486583E-2</v>
      </c>
      <c r="F90" s="40">
        <v>33260</v>
      </c>
      <c r="G90" s="39">
        <v>1375.1</v>
      </c>
      <c r="H90" s="39">
        <f t="shared" si="0"/>
        <v>2</v>
      </c>
      <c r="I90" s="39">
        <f t="shared" si="1"/>
        <v>0</v>
      </c>
      <c r="K90" s="40">
        <v>33459</v>
      </c>
      <c r="L90" s="39">
        <v>1632.2</v>
      </c>
      <c r="M90" s="39">
        <v>5</v>
      </c>
      <c r="N90" s="39">
        <v>1632.2</v>
      </c>
      <c r="O90" s="219">
        <f t="shared" si="6"/>
        <v>1.0346194026946517E-2</v>
      </c>
      <c r="Q90" s="40">
        <v>33260</v>
      </c>
      <c r="R90" s="39">
        <v>1375.1</v>
      </c>
      <c r="S90" s="39">
        <f t="shared" si="2"/>
        <v>1</v>
      </c>
      <c r="T90" s="39">
        <f t="shared" si="3"/>
        <v>0</v>
      </c>
      <c r="U90" s="39">
        <f t="shared" si="8"/>
        <v>0</v>
      </c>
      <c r="V90" s="40">
        <v>34303</v>
      </c>
      <c r="W90" s="39">
        <v>2057.8000000000002</v>
      </c>
      <c r="X90" s="39">
        <v>11</v>
      </c>
      <c r="Y90" s="39">
        <v>2057.8000000000002</v>
      </c>
      <c r="Z90" s="249">
        <f t="shared" si="7"/>
        <v>-5.4279478038330893E-3</v>
      </c>
      <c r="AA90" s="219"/>
    </row>
    <row r="91" spans="2:27" x14ac:dyDescent="0.35">
      <c r="B91" s="40">
        <v>33261</v>
      </c>
      <c r="C91" s="39">
        <v>1358.8</v>
      </c>
      <c r="D91" s="219">
        <f t="shared" si="5"/>
        <v>-1.1924498442470162E-2</v>
      </c>
      <c r="F91" s="40">
        <v>33261</v>
      </c>
      <c r="G91" s="39">
        <v>1358.8</v>
      </c>
      <c r="H91" s="39">
        <f t="shared" si="0"/>
        <v>3</v>
      </c>
      <c r="I91" s="39">
        <f t="shared" si="1"/>
        <v>0</v>
      </c>
      <c r="K91" s="40">
        <v>33466</v>
      </c>
      <c r="L91" s="39">
        <v>1653.3</v>
      </c>
      <c r="M91" s="39">
        <v>5</v>
      </c>
      <c r="N91" s="39">
        <v>1653.3</v>
      </c>
      <c r="O91" s="219">
        <f t="shared" si="6"/>
        <v>1.284449252215682E-2</v>
      </c>
      <c r="Q91" s="40">
        <v>33261</v>
      </c>
      <c r="R91" s="39">
        <v>1358.8</v>
      </c>
      <c r="S91" s="39">
        <f t="shared" si="2"/>
        <v>1</v>
      </c>
      <c r="T91" s="39">
        <f t="shared" si="3"/>
        <v>0</v>
      </c>
      <c r="U91" s="39">
        <f t="shared" si="8"/>
        <v>0</v>
      </c>
      <c r="V91" s="40">
        <v>34333</v>
      </c>
      <c r="W91" s="39">
        <v>2266.6999999999998</v>
      </c>
      <c r="X91" s="39">
        <v>12</v>
      </c>
      <c r="Y91" s="39">
        <v>2266.6999999999998</v>
      </c>
      <c r="Z91" s="249">
        <f t="shared" si="7"/>
        <v>9.6687578328600962E-2</v>
      </c>
      <c r="AA91" s="219"/>
    </row>
    <row r="92" spans="2:27" x14ac:dyDescent="0.35">
      <c r="B92" s="40">
        <v>33262</v>
      </c>
      <c r="C92" s="39">
        <v>1375.2</v>
      </c>
      <c r="D92" s="219">
        <f t="shared" si="5"/>
        <v>1.1997217782210813E-2</v>
      </c>
      <c r="F92" s="40">
        <v>33262</v>
      </c>
      <c r="G92" s="39">
        <v>1375.2</v>
      </c>
      <c r="H92" s="39">
        <f t="shared" si="0"/>
        <v>4</v>
      </c>
      <c r="I92" s="39">
        <f t="shared" si="1"/>
        <v>0</v>
      </c>
      <c r="K92" s="40">
        <v>33473</v>
      </c>
      <c r="L92" s="39">
        <v>1627.2</v>
      </c>
      <c r="M92" s="39">
        <v>5</v>
      </c>
      <c r="N92" s="39">
        <v>1627.2</v>
      </c>
      <c r="O92" s="219">
        <f t="shared" si="6"/>
        <v>-1.5912544263003786E-2</v>
      </c>
      <c r="Q92" s="40">
        <v>33262</v>
      </c>
      <c r="R92" s="39">
        <v>1375.2</v>
      </c>
      <c r="S92" s="39">
        <f t="shared" si="2"/>
        <v>1</v>
      </c>
      <c r="T92" s="39">
        <f t="shared" si="3"/>
        <v>0</v>
      </c>
      <c r="U92" s="39">
        <f t="shared" si="8"/>
        <v>0</v>
      </c>
      <c r="V92" s="40">
        <v>34365</v>
      </c>
      <c r="W92" s="39">
        <v>2177.5</v>
      </c>
      <c r="X92" s="39">
        <v>1</v>
      </c>
      <c r="Y92" s="39">
        <v>2177.5</v>
      </c>
      <c r="Z92" s="249">
        <f t="shared" si="7"/>
        <v>-4.0147599543652913E-2</v>
      </c>
      <c r="AA92" s="219"/>
    </row>
    <row r="93" spans="2:27" x14ac:dyDescent="0.35">
      <c r="B93" s="40">
        <v>33263</v>
      </c>
      <c r="C93" s="39">
        <v>1382.1</v>
      </c>
      <c r="D93" s="219">
        <f t="shared" si="5"/>
        <v>5.0049065413414681E-3</v>
      </c>
      <c r="F93" s="40">
        <v>33263</v>
      </c>
      <c r="G93" s="39">
        <v>1382.1</v>
      </c>
      <c r="H93" s="39">
        <f t="shared" si="0"/>
        <v>5</v>
      </c>
      <c r="I93" s="39">
        <f t="shared" si="1"/>
        <v>1382.1</v>
      </c>
      <c r="K93" s="40">
        <v>33480</v>
      </c>
      <c r="L93" s="39">
        <v>1650.5</v>
      </c>
      <c r="M93" s="39">
        <v>5</v>
      </c>
      <c r="N93" s="39">
        <v>1650.5</v>
      </c>
      <c r="O93" s="219">
        <f t="shared" si="6"/>
        <v>1.4217525998952221E-2</v>
      </c>
      <c r="Q93" s="40">
        <v>33263</v>
      </c>
      <c r="R93" s="39">
        <v>1382.1</v>
      </c>
      <c r="S93" s="39">
        <f t="shared" si="2"/>
        <v>1</v>
      </c>
      <c r="T93" s="39">
        <f t="shared" si="3"/>
        <v>0</v>
      </c>
      <c r="U93" s="39">
        <f t="shared" si="8"/>
        <v>0</v>
      </c>
      <c r="V93" s="40">
        <v>34393</v>
      </c>
      <c r="W93" s="39">
        <v>2091.6</v>
      </c>
      <c r="X93" s="39">
        <v>2</v>
      </c>
      <c r="Y93" s="39">
        <v>2091.6</v>
      </c>
      <c r="Z93" s="249">
        <f t="shared" si="7"/>
        <v>-4.0248106412682359E-2</v>
      </c>
      <c r="AA93" s="219"/>
    </row>
    <row r="94" spans="2:27" x14ac:dyDescent="0.35">
      <c r="B94" s="40">
        <v>33266</v>
      </c>
      <c r="C94" s="39">
        <v>1382.7</v>
      </c>
      <c r="D94" s="219">
        <f t="shared" si="5"/>
        <v>4.3402778459144555E-4</v>
      </c>
      <c r="F94" s="40">
        <v>33266</v>
      </c>
      <c r="G94" s="39">
        <v>1382.7</v>
      </c>
      <c r="H94" s="39">
        <f t="shared" si="0"/>
        <v>1</v>
      </c>
      <c r="I94" s="39">
        <f t="shared" si="1"/>
        <v>0</v>
      </c>
      <c r="K94" s="40">
        <v>33487</v>
      </c>
      <c r="L94" s="39">
        <v>1646.2</v>
      </c>
      <c r="M94" s="39">
        <v>5</v>
      </c>
      <c r="N94" s="39">
        <v>1646.2</v>
      </c>
      <c r="O94" s="219">
        <f t="shared" si="6"/>
        <v>-2.6086707547040445E-3</v>
      </c>
      <c r="Q94" s="40">
        <v>33266</v>
      </c>
      <c r="R94" s="39">
        <v>1382.7</v>
      </c>
      <c r="S94" s="39">
        <f t="shared" si="2"/>
        <v>1</v>
      </c>
      <c r="T94" s="39">
        <f t="shared" si="3"/>
        <v>0</v>
      </c>
      <c r="U94" s="39">
        <f t="shared" si="8"/>
        <v>0</v>
      </c>
      <c r="V94" s="40">
        <v>34424</v>
      </c>
      <c r="W94" s="39">
        <v>2133.1</v>
      </c>
      <c r="X94" s="39">
        <v>3</v>
      </c>
      <c r="Y94" s="39">
        <v>2133.1</v>
      </c>
      <c r="Z94" s="249">
        <f t="shared" si="7"/>
        <v>1.9646997383796421E-2</v>
      </c>
      <c r="AA94" s="219"/>
    </row>
    <row r="95" spans="2:27" x14ac:dyDescent="0.35">
      <c r="B95" s="40">
        <v>33267</v>
      </c>
      <c r="C95" s="39">
        <v>1380.3</v>
      </c>
      <c r="D95" s="219">
        <f t="shared" si="5"/>
        <v>-1.7372425650397346E-3</v>
      </c>
      <c r="F95" s="40">
        <v>33267</v>
      </c>
      <c r="G95" s="39">
        <v>1380.3</v>
      </c>
      <c r="H95" s="39">
        <f t="shared" si="0"/>
        <v>2</v>
      </c>
      <c r="I95" s="39">
        <f t="shared" si="1"/>
        <v>0</v>
      </c>
      <c r="K95" s="40">
        <v>33494</v>
      </c>
      <c r="L95" s="39">
        <v>1637.6</v>
      </c>
      <c r="M95" s="39">
        <v>5</v>
      </c>
      <c r="N95" s="39">
        <v>1637.6</v>
      </c>
      <c r="O95" s="219">
        <f t="shared" si="6"/>
        <v>-5.2378461914638821E-3</v>
      </c>
      <c r="Q95" s="40">
        <v>33267</v>
      </c>
      <c r="R95" s="39">
        <v>1380.3</v>
      </c>
      <c r="S95" s="39">
        <f t="shared" si="2"/>
        <v>1</v>
      </c>
      <c r="T95" s="39">
        <f t="shared" si="3"/>
        <v>0</v>
      </c>
      <c r="U95" s="39">
        <f t="shared" si="8"/>
        <v>0</v>
      </c>
      <c r="V95" s="40">
        <v>34453</v>
      </c>
      <c r="W95" s="39">
        <v>2246</v>
      </c>
      <c r="X95" s="39">
        <v>4</v>
      </c>
      <c r="Y95" s="39">
        <v>2246</v>
      </c>
      <c r="Z95" s="249">
        <f t="shared" si="7"/>
        <v>5.1574535600616575E-2</v>
      </c>
      <c r="AA95" s="219"/>
    </row>
    <row r="96" spans="2:27" x14ac:dyDescent="0.35">
      <c r="B96" s="40">
        <v>33268</v>
      </c>
      <c r="C96" s="39">
        <v>1400.7</v>
      </c>
      <c r="D96" s="219">
        <f t="shared" si="5"/>
        <v>1.467124481546849E-2</v>
      </c>
      <c r="F96" s="40">
        <v>33268</v>
      </c>
      <c r="G96" s="39">
        <v>1400.7</v>
      </c>
      <c r="H96" s="39">
        <f t="shared" si="0"/>
        <v>3</v>
      </c>
      <c r="I96" s="39">
        <f t="shared" si="1"/>
        <v>0</v>
      </c>
      <c r="K96" s="40">
        <v>33501</v>
      </c>
      <c r="L96" s="39">
        <v>1616.1</v>
      </c>
      <c r="M96" s="39">
        <v>5</v>
      </c>
      <c r="N96" s="39">
        <v>1616.1</v>
      </c>
      <c r="O96" s="219">
        <f t="shared" si="6"/>
        <v>-1.3215915992482043E-2</v>
      </c>
      <c r="Q96" s="40">
        <v>33268</v>
      </c>
      <c r="R96" s="39">
        <v>1400.7</v>
      </c>
      <c r="S96" s="39">
        <f t="shared" si="2"/>
        <v>1</v>
      </c>
      <c r="T96" s="39">
        <f t="shared" si="3"/>
        <v>0</v>
      </c>
      <c r="U96" s="39">
        <f t="shared" si="8"/>
        <v>0</v>
      </c>
      <c r="V96" s="40">
        <v>34485</v>
      </c>
      <c r="W96" s="39">
        <v>2127.6999999999998</v>
      </c>
      <c r="X96" s="39">
        <v>5</v>
      </c>
      <c r="Y96" s="39">
        <v>2127.6999999999998</v>
      </c>
      <c r="Z96" s="249">
        <f t="shared" si="7"/>
        <v>-5.4109272218716468E-2</v>
      </c>
      <c r="AA96" s="219"/>
    </row>
    <row r="97" spans="2:27" x14ac:dyDescent="0.35">
      <c r="B97" s="40">
        <v>33269</v>
      </c>
      <c r="C97" s="39">
        <v>1420.1</v>
      </c>
      <c r="D97" s="219">
        <f t="shared" si="5"/>
        <v>1.3755180005966275E-2</v>
      </c>
      <c r="F97" s="40">
        <v>33269</v>
      </c>
      <c r="G97" s="39">
        <v>1420.1</v>
      </c>
      <c r="H97" s="39">
        <f t="shared" si="0"/>
        <v>4</v>
      </c>
      <c r="I97" s="39">
        <f t="shared" si="1"/>
        <v>0</v>
      </c>
      <c r="K97" s="40">
        <v>33508</v>
      </c>
      <c r="L97" s="39">
        <v>1608.1</v>
      </c>
      <c r="M97" s="39">
        <v>5</v>
      </c>
      <c r="N97" s="39">
        <v>1608.1</v>
      </c>
      <c r="O97" s="219">
        <f t="shared" si="6"/>
        <v>-4.9624814946188488E-3</v>
      </c>
      <c r="Q97" s="40">
        <v>33269</v>
      </c>
      <c r="R97" s="39">
        <v>1420.1</v>
      </c>
      <c r="S97" s="39">
        <f t="shared" si="2"/>
        <v>1</v>
      </c>
      <c r="T97" s="39">
        <f t="shared" si="3"/>
        <v>1420.1</v>
      </c>
      <c r="U97" s="39">
        <f t="shared" si="8"/>
        <v>1420.1</v>
      </c>
      <c r="V97" s="40">
        <v>34515</v>
      </c>
      <c r="W97" s="39">
        <v>2025.3</v>
      </c>
      <c r="X97" s="39">
        <v>6</v>
      </c>
      <c r="Y97" s="39">
        <v>2025.3</v>
      </c>
      <c r="Z97" s="249">
        <f t="shared" si="7"/>
        <v>-4.9323746363737569E-2</v>
      </c>
      <c r="AA97" s="219"/>
    </row>
    <row r="98" spans="2:27" x14ac:dyDescent="0.35">
      <c r="B98" s="40">
        <v>33270</v>
      </c>
      <c r="C98" s="39">
        <v>1426.5</v>
      </c>
      <c r="D98" s="219">
        <f t="shared" si="5"/>
        <v>4.4966000025874128E-3</v>
      </c>
      <c r="F98" s="40">
        <v>33270</v>
      </c>
      <c r="G98" s="39">
        <v>1426.5</v>
      </c>
      <c r="H98" s="39">
        <f t="shared" si="0"/>
        <v>5</v>
      </c>
      <c r="I98" s="39">
        <f t="shared" si="1"/>
        <v>1426.5</v>
      </c>
      <c r="K98" s="40">
        <v>33515</v>
      </c>
      <c r="L98" s="39">
        <v>1601.7</v>
      </c>
      <c r="M98" s="39">
        <v>5</v>
      </c>
      <c r="N98" s="39">
        <v>1601.7</v>
      </c>
      <c r="O98" s="219">
        <f t="shared" si="6"/>
        <v>-3.9877926857285993E-3</v>
      </c>
      <c r="Q98" s="40">
        <v>33270</v>
      </c>
      <c r="R98" s="39">
        <v>1426.5</v>
      </c>
      <c r="S98" s="39">
        <f t="shared" si="2"/>
        <v>2</v>
      </c>
      <c r="T98" s="39">
        <f t="shared" si="3"/>
        <v>0</v>
      </c>
      <c r="U98" s="39">
        <f t="shared" si="8"/>
        <v>0</v>
      </c>
      <c r="V98" s="40">
        <v>34544</v>
      </c>
      <c r="W98" s="39">
        <v>2146.6</v>
      </c>
      <c r="X98" s="39">
        <v>7</v>
      </c>
      <c r="Y98" s="39">
        <v>2146.6</v>
      </c>
      <c r="Z98" s="249">
        <f t="shared" si="7"/>
        <v>5.8167357331489429E-2</v>
      </c>
      <c r="AA98" s="219"/>
    </row>
    <row r="99" spans="2:27" x14ac:dyDescent="0.35">
      <c r="B99" s="40">
        <v>33273</v>
      </c>
      <c r="C99" s="39">
        <v>1435</v>
      </c>
      <c r="D99" s="219">
        <f t="shared" si="5"/>
        <v>5.9409575401668325E-3</v>
      </c>
      <c r="F99" s="40">
        <v>33273</v>
      </c>
      <c r="G99" s="39">
        <v>1435</v>
      </c>
      <c r="H99" s="39">
        <f t="shared" si="0"/>
        <v>1</v>
      </c>
      <c r="I99" s="39">
        <f t="shared" si="1"/>
        <v>0</v>
      </c>
      <c r="K99" s="40">
        <v>33522</v>
      </c>
      <c r="L99" s="39">
        <v>1568.4</v>
      </c>
      <c r="M99" s="39">
        <v>5</v>
      </c>
      <c r="N99" s="39">
        <v>1568.4</v>
      </c>
      <c r="O99" s="219">
        <f t="shared" si="6"/>
        <v>-2.1009573756073589E-2</v>
      </c>
      <c r="Q99" s="40">
        <v>33273</v>
      </c>
      <c r="R99" s="39">
        <v>1435</v>
      </c>
      <c r="S99" s="39">
        <f t="shared" si="2"/>
        <v>2</v>
      </c>
      <c r="T99" s="39">
        <f t="shared" si="3"/>
        <v>0</v>
      </c>
      <c r="U99" s="39">
        <f t="shared" si="8"/>
        <v>0</v>
      </c>
      <c r="V99" s="40">
        <v>34577</v>
      </c>
      <c r="W99" s="39">
        <v>2212.9</v>
      </c>
      <c r="X99" s="39">
        <v>8</v>
      </c>
      <c r="Y99" s="39">
        <v>2212.9</v>
      </c>
      <c r="Z99" s="249">
        <f t="shared" si="7"/>
        <v>3.041867745439631E-2</v>
      </c>
      <c r="AA99" s="219"/>
    </row>
    <row r="100" spans="2:27" x14ac:dyDescent="0.35">
      <c r="B100" s="40">
        <v>33274</v>
      </c>
      <c r="C100" s="39">
        <v>1438.9</v>
      </c>
      <c r="D100" s="219">
        <f t="shared" si="5"/>
        <v>2.7140835756504986E-3</v>
      </c>
      <c r="F100" s="40">
        <v>33274</v>
      </c>
      <c r="G100" s="39">
        <v>1438.9</v>
      </c>
      <c r="H100" s="39">
        <f t="shared" si="0"/>
        <v>2</v>
      </c>
      <c r="I100" s="39">
        <f t="shared" si="1"/>
        <v>0</v>
      </c>
      <c r="K100" s="40">
        <v>33529</v>
      </c>
      <c r="L100" s="39">
        <v>1563.3</v>
      </c>
      <c r="M100" s="39">
        <v>5</v>
      </c>
      <c r="N100" s="39">
        <v>1563.3</v>
      </c>
      <c r="O100" s="219">
        <f t="shared" si="6"/>
        <v>-3.2570198348979952E-3</v>
      </c>
      <c r="Q100" s="40">
        <v>33274</v>
      </c>
      <c r="R100" s="39">
        <v>1438.9</v>
      </c>
      <c r="S100" s="39">
        <f t="shared" si="2"/>
        <v>2</v>
      </c>
      <c r="T100" s="39">
        <f t="shared" si="3"/>
        <v>0</v>
      </c>
      <c r="U100" s="39">
        <f t="shared" si="8"/>
        <v>0</v>
      </c>
      <c r="V100" s="40">
        <v>34607</v>
      </c>
      <c r="W100" s="39">
        <v>2011.8</v>
      </c>
      <c r="X100" s="39">
        <v>9</v>
      </c>
      <c r="Y100" s="39">
        <v>2011.8</v>
      </c>
      <c r="Z100" s="249">
        <f t="shared" si="7"/>
        <v>-9.5274028801582505E-2</v>
      </c>
      <c r="AA100" s="219"/>
    </row>
    <row r="101" spans="2:27" x14ac:dyDescent="0.35">
      <c r="B101" s="40">
        <v>33275</v>
      </c>
      <c r="C101" s="39">
        <v>1428.7</v>
      </c>
      <c r="D101" s="219">
        <f t="shared" si="5"/>
        <v>-7.1139928982595019E-3</v>
      </c>
      <c r="F101" s="40">
        <v>33275</v>
      </c>
      <c r="G101" s="39">
        <v>1428.7</v>
      </c>
      <c r="H101" s="39">
        <f t="shared" si="0"/>
        <v>3</v>
      </c>
      <c r="I101" s="39">
        <f t="shared" si="1"/>
        <v>0</v>
      </c>
      <c r="K101" s="40">
        <v>33536</v>
      </c>
      <c r="L101" s="39">
        <v>1572</v>
      </c>
      <c r="M101" s="39">
        <v>5</v>
      </c>
      <c r="N101" s="39">
        <v>1572</v>
      </c>
      <c r="O101" s="219">
        <f t="shared" si="6"/>
        <v>5.5497224058732569E-3</v>
      </c>
      <c r="Q101" s="40">
        <v>33275</v>
      </c>
      <c r="R101" s="39">
        <v>1428.7</v>
      </c>
      <c r="S101" s="39">
        <f t="shared" si="2"/>
        <v>2</v>
      </c>
      <c r="T101" s="39">
        <f t="shared" si="3"/>
        <v>0</v>
      </c>
      <c r="U101" s="39">
        <f t="shared" si="8"/>
        <v>0</v>
      </c>
      <c r="V101" s="40">
        <v>34638</v>
      </c>
      <c r="W101" s="39">
        <v>2071.6</v>
      </c>
      <c r="X101" s="39">
        <v>10</v>
      </c>
      <c r="Y101" s="39">
        <v>2071.6</v>
      </c>
      <c r="Z101" s="249">
        <f t="shared" si="7"/>
        <v>2.9291411849498482E-2</v>
      </c>
      <c r="AA101" s="219"/>
    </row>
    <row r="102" spans="2:27" x14ac:dyDescent="0.35">
      <c r="B102" s="40">
        <v>33276</v>
      </c>
      <c r="C102" s="39">
        <v>1436.3</v>
      </c>
      <c r="D102" s="219">
        <f t="shared" si="5"/>
        <v>5.3054225666646125E-3</v>
      </c>
      <c r="F102" s="40">
        <v>33276</v>
      </c>
      <c r="G102" s="39">
        <v>1436.3</v>
      </c>
      <c r="H102" s="39">
        <f t="shared" si="0"/>
        <v>4</v>
      </c>
      <c r="I102" s="39">
        <f t="shared" si="1"/>
        <v>0</v>
      </c>
      <c r="K102" s="40">
        <v>33543</v>
      </c>
      <c r="L102" s="39">
        <v>1573.6</v>
      </c>
      <c r="M102" s="39">
        <v>5</v>
      </c>
      <c r="N102" s="39">
        <v>1573.6</v>
      </c>
      <c r="O102" s="219">
        <f t="shared" si="6"/>
        <v>1.0172940856973582E-3</v>
      </c>
      <c r="Q102" s="40">
        <v>33276</v>
      </c>
      <c r="R102" s="39">
        <v>1436.3</v>
      </c>
      <c r="S102" s="39">
        <f t="shared" si="2"/>
        <v>2</v>
      </c>
      <c r="T102" s="39">
        <f t="shared" si="3"/>
        <v>0</v>
      </c>
      <c r="U102" s="39">
        <f t="shared" si="8"/>
        <v>0</v>
      </c>
      <c r="V102" s="40">
        <v>34668</v>
      </c>
      <c r="W102" s="39">
        <v>2048.3000000000002</v>
      </c>
      <c r="X102" s="39">
        <v>11</v>
      </c>
      <c r="Y102" s="39">
        <v>2048.3000000000002</v>
      </c>
      <c r="Z102" s="249">
        <f t="shared" si="7"/>
        <v>-1.1311074743126289E-2</v>
      </c>
      <c r="AA102" s="219"/>
    </row>
    <row r="103" spans="2:27" x14ac:dyDescent="0.35">
      <c r="B103" s="40">
        <v>33277</v>
      </c>
      <c r="C103" s="39">
        <v>1467.8</v>
      </c>
      <c r="D103" s="219">
        <f t="shared" si="5"/>
        <v>2.1694318673185397E-2</v>
      </c>
      <c r="F103" s="40">
        <v>33277</v>
      </c>
      <c r="G103" s="39">
        <v>1467.8</v>
      </c>
      <c r="H103" s="39">
        <f t="shared" si="0"/>
        <v>5</v>
      </c>
      <c r="I103" s="39">
        <f t="shared" si="1"/>
        <v>1467.8</v>
      </c>
      <c r="K103" s="40">
        <v>33550</v>
      </c>
      <c r="L103" s="39">
        <v>1606.2</v>
      </c>
      <c r="M103" s="39">
        <v>5</v>
      </c>
      <c r="N103" s="39">
        <v>1606.2</v>
      </c>
      <c r="O103" s="219">
        <f t="shared" si="6"/>
        <v>2.0505152679512504E-2</v>
      </c>
      <c r="Q103" s="40">
        <v>33277</v>
      </c>
      <c r="R103" s="39">
        <v>1467.8</v>
      </c>
      <c r="S103" s="39">
        <f t="shared" si="2"/>
        <v>2</v>
      </c>
      <c r="T103" s="39">
        <f t="shared" si="3"/>
        <v>0</v>
      </c>
      <c r="U103" s="39">
        <f t="shared" si="8"/>
        <v>0</v>
      </c>
      <c r="V103" s="40">
        <v>34698</v>
      </c>
      <c r="W103" s="39">
        <v>2106.6</v>
      </c>
      <c r="X103" s="39">
        <v>12</v>
      </c>
      <c r="Y103" s="39">
        <v>2106.6</v>
      </c>
      <c r="Z103" s="249">
        <f t="shared" si="7"/>
        <v>2.8065092595831363E-2</v>
      </c>
      <c r="AA103" s="219"/>
    </row>
    <row r="104" spans="2:27" x14ac:dyDescent="0.35">
      <c r="B104" s="40">
        <v>33280</v>
      </c>
      <c r="C104" s="39">
        <v>1488.7</v>
      </c>
      <c r="D104" s="219">
        <f t="shared" si="5"/>
        <v>1.4138574772049177E-2</v>
      </c>
      <c r="F104" s="40">
        <v>33280</v>
      </c>
      <c r="G104" s="39">
        <v>1488.7</v>
      </c>
      <c r="H104" s="39">
        <f t="shared" si="0"/>
        <v>1</v>
      </c>
      <c r="I104" s="39">
        <f t="shared" si="1"/>
        <v>0</v>
      </c>
      <c r="K104" s="40">
        <v>33557</v>
      </c>
      <c r="L104" s="39">
        <v>1629.4</v>
      </c>
      <c r="M104" s="39">
        <v>5</v>
      </c>
      <c r="N104" s="39">
        <v>1629.4</v>
      </c>
      <c r="O104" s="219">
        <f t="shared" si="6"/>
        <v>1.4340708122179588E-2</v>
      </c>
      <c r="Q104" s="40">
        <v>33280</v>
      </c>
      <c r="R104" s="39">
        <v>1488.7</v>
      </c>
      <c r="S104" s="39">
        <f t="shared" si="2"/>
        <v>2</v>
      </c>
      <c r="T104" s="39">
        <f t="shared" si="3"/>
        <v>0</v>
      </c>
      <c r="U104" s="39">
        <f t="shared" si="8"/>
        <v>0</v>
      </c>
      <c r="V104" s="40">
        <v>34730</v>
      </c>
      <c r="W104" s="39">
        <v>2021.3</v>
      </c>
      <c r="X104" s="39">
        <v>1</v>
      </c>
      <c r="Y104" s="39">
        <v>2021.3</v>
      </c>
      <c r="Z104" s="249">
        <f t="shared" si="7"/>
        <v>-4.1334404649489342E-2</v>
      </c>
      <c r="AA104" s="219"/>
    </row>
    <row r="105" spans="2:27" x14ac:dyDescent="0.35">
      <c r="B105" s="40">
        <v>33281</v>
      </c>
      <c r="C105" s="39">
        <v>1468.9</v>
      </c>
      <c r="D105" s="219">
        <f t="shared" si="5"/>
        <v>-1.338943454564232E-2</v>
      </c>
      <c r="F105" s="40">
        <v>33281</v>
      </c>
      <c r="G105" s="39">
        <v>1468.9</v>
      </c>
      <c r="H105" s="39">
        <f t="shared" si="0"/>
        <v>2</v>
      </c>
      <c r="I105" s="39">
        <f t="shared" si="1"/>
        <v>0</v>
      </c>
      <c r="K105" s="40">
        <v>33564</v>
      </c>
      <c r="L105" s="39">
        <v>1600.3</v>
      </c>
      <c r="M105" s="39">
        <v>5</v>
      </c>
      <c r="N105" s="39">
        <v>1600.3</v>
      </c>
      <c r="O105" s="219">
        <f t="shared" si="6"/>
        <v>-1.8020737224596965E-2</v>
      </c>
      <c r="Q105" s="40">
        <v>33281</v>
      </c>
      <c r="R105" s="39">
        <v>1468.9</v>
      </c>
      <c r="S105" s="39">
        <f t="shared" si="2"/>
        <v>2</v>
      </c>
      <c r="T105" s="39">
        <f t="shared" si="3"/>
        <v>0</v>
      </c>
      <c r="U105" s="39">
        <f t="shared" si="8"/>
        <v>0</v>
      </c>
      <c r="V105" s="40">
        <v>34758</v>
      </c>
      <c r="W105" s="39">
        <v>2102.1999999999998</v>
      </c>
      <c r="X105" s="39">
        <v>2</v>
      </c>
      <c r="Y105" s="39">
        <v>2102.1999999999998</v>
      </c>
      <c r="Z105" s="249">
        <f t="shared" si="7"/>
        <v>3.9243546636301661E-2</v>
      </c>
      <c r="AA105" s="219"/>
    </row>
    <row r="106" spans="2:27" x14ac:dyDescent="0.35">
      <c r="B106" s="40">
        <v>33282</v>
      </c>
      <c r="C106" s="39">
        <v>1489.4</v>
      </c>
      <c r="D106" s="219">
        <f t="shared" si="5"/>
        <v>1.3859532939176005E-2</v>
      </c>
      <c r="F106" s="40">
        <v>33282</v>
      </c>
      <c r="G106" s="39">
        <v>1489.4</v>
      </c>
      <c r="H106" s="39">
        <f t="shared" si="0"/>
        <v>3</v>
      </c>
      <c r="I106" s="39">
        <f t="shared" si="1"/>
        <v>0</v>
      </c>
      <c r="K106" s="40">
        <v>33571</v>
      </c>
      <c r="L106" s="39">
        <v>1566.6</v>
      </c>
      <c r="M106" s="39">
        <v>5</v>
      </c>
      <c r="N106" s="39">
        <v>1566.6</v>
      </c>
      <c r="O106" s="219">
        <f t="shared" si="6"/>
        <v>-2.128344571880645E-2</v>
      </c>
      <c r="Q106" s="40">
        <v>33282</v>
      </c>
      <c r="R106" s="39">
        <v>1489.4</v>
      </c>
      <c r="S106" s="39">
        <f t="shared" si="2"/>
        <v>2</v>
      </c>
      <c r="T106" s="39">
        <f t="shared" si="3"/>
        <v>0</v>
      </c>
      <c r="U106" s="39">
        <f t="shared" si="8"/>
        <v>0</v>
      </c>
      <c r="V106" s="40">
        <v>34789</v>
      </c>
      <c r="W106" s="39">
        <v>1922.6</v>
      </c>
      <c r="X106" s="39">
        <v>3</v>
      </c>
      <c r="Y106" s="39">
        <v>1922.6</v>
      </c>
      <c r="Z106" s="249">
        <f t="shared" si="7"/>
        <v>-8.9305978757538249E-2</v>
      </c>
      <c r="AA106" s="219"/>
    </row>
    <row r="107" spans="2:27" x14ac:dyDescent="0.35">
      <c r="B107" s="40">
        <v>33283</v>
      </c>
      <c r="C107" s="39">
        <v>1486.5</v>
      </c>
      <c r="D107" s="219">
        <f t="shared" si="5"/>
        <v>-1.9489908383928162E-3</v>
      </c>
      <c r="F107" s="40">
        <v>33283</v>
      </c>
      <c r="G107" s="39">
        <v>1486.5</v>
      </c>
      <c r="H107" s="39">
        <f t="shared" si="0"/>
        <v>4</v>
      </c>
      <c r="I107" s="39">
        <f t="shared" si="1"/>
        <v>0</v>
      </c>
      <c r="K107" s="40">
        <v>33578</v>
      </c>
      <c r="L107" s="39">
        <v>1558.2</v>
      </c>
      <c r="M107" s="39">
        <v>5</v>
      </c>
      <c r="N107" s="39">
        <v>1558.2</v>
      </c>
      <c r="O107" s="219">
        <f t="shared" si="6"/>
        <v>-5.3763570363802938E-3</v>
      </c>
      <c r="Q107" s="40">
        <v>33283</v>
      </c>
      <c r="R107" s="39">
        <v>1486.5</v>
      </c>
      <c r="S107" s="39">
        <f t="shared" si="2"/>
        <v>2</v>
      </c>
      <c r="T107" s="39">
        <f t="shared" si="3"/>
        <v>0</v>
      </c>
      <c r="U107" s="39">
        <f t="shared" si="8"/>
        <v>0</v>
      </c>
      <c r="V107" s="40">
        <v>34817</v>
      </c>
      <c r="W107" s="39">
        <v>2015.9</v>
      </c>
      <c r="X107" s="39">
        <v>4</v>
      </c>
      <c r="Y107" s="39">
        <v>2015.9</v>
      </c>
      <c r="Z107" s="249">
        <f t="shared" si="7"/>
        <v>4.7387309154662292E-2</v>
      </c>
      <c r="AA107" s="219"/>
    </row>
    <row r="108" spans="2:27" x14ac:dyDescent="0.35">
      <c r="B108" s="40">
        <v>33284</v>
      </c>
      <c r="C108" s="39">
        <v>1531.2</v>
      </c>
      <c r="D108" s="219">
        <f t="shared" si="5"/>
        <v>2.962737826053749E-2</v>
      </c>
      <c r="F108" s="40">
        <v>33284</v>
      </c>
      <c r="G108" s="39">
        <v>1531.2</v>
      </c>
      <c r="H108" s="39">
        <f t="shared" si="0"/>
        <v>5</v>
      </c>
      <c r="I108" s="39">
        <f t="shared" si="1"/>
        <v>1531.2</v>
      </c>
      <c r="K108" s="40">
        <v>33585</v>
      </c>
      <c r="L108" s="39">
        <v>1558.3</v>
      </c>
      <c r="M108" s="39">
        <v>5</v>
      </c>
      <c r="N108" s="39">
        <v>1558.3</v>
      </c>
      <c r="O108" s="219">
        <f t="shared" si="6"/>
        <v>6.4174554810885316E-5</v>
      </c>
      <c r="Q108" s="40">
        <v>33284</v>
      </c>
      <c r="R108" s="39">
        <v>1531.2</v>
      </c>
      <c r="S108" s="39">
        <f t="shared" si="2"/>
        <v>2</v>
      </c>
      <c r="T108" s="39">
        <f t="shared" si="3"/>
        <v>0</v>
      </c>
      <c r="U108" s="39">
        <f t="shared" si="8"/>
        <v>0</v>
      </c>
      <c r="V108" s="40">
        <v>34850</v>
      </c>
      <c r="W108" s="39">
        <v>2092.1999999999998</v>
      </c>
      <c r="X108" s="39">
        <v>5</v>
      </c>
      <c r="Y108" s="39">
        <v>2092.1999999999998</v>
      </c>
      <c r="Z108" s="249">
        <f t="shared" si="7"/>
        <v>3.7150398123282441E-2</v>
      </c>
      <c r="AA108" s="219"/>
    </row>
    <row r="109" spans="2:27" x14ac:dyDescent="0.35">
      <c r="B109" s="40">
        <v>33287</v>
      </c>
      <c r="C109" s="39">
        <v>1572.6</v>
      </c>
      <c r="D109" s="219">
        <f t="shared" si="5"/>
        <v>2.6678558858725696E-2</v>
      </c>
      <c r="F109" s="40">
        <v>33287</v>
      </c>
      <c r="G109" s="39">
        <v>1572.6</v>
      </c>
      <c r="H109" s="39">
        <f t="shared" si="0"/>
        <v>1</v>
      </c>
      <c r="I109" s="39">
        <f t="shared" si="1"/>
        <v>0</v>
      </c>
      <c r="K109" s="40">
        <v>33592</v>
      </c>
      <c r="L109" s="39">
        <v>1543.2</v>
      </c>
      <c r="M109" s="39">
        <v>5</v>
      </c>
      <c r="N109" s="39">
        <v>1543.2</v>
      </c>
      <c r="O109" s="219">
        <f t="shared" si="6"/>
        <v>-9.7373008600494353E-3</v>
      </c>
      <c r="Q109" s="40">
        <v>33287</v>
      </c>
      <c r="R109" s="39">
        <v>1572.6</v>
      </c>
      <c r="S109" s="39">
        <f t="shared" si="2"/>
        <v>2</v>
      </c>
      <c r="T109" s="39">
        <f t="shared" si="3"/>
        <v>0</v>
      </c>
      <c r="U109" s="39">
        <f t="shared" si="8"/>
        <v>0</v>
      </c>
      <c r="V109" s="40">
        <v>34880</v>
      </c>
      <c r="W109" s="39">
        <v>2083.9</v>
      </c>
      <c r="X109" s="39">
        <v>6</v>
      </c>
      <c r="Y109" s="39">
        <v>2083.9</v>
      </c>
      <c r="Z109" s="249">
        <f t="shared" si="7"/>
        <v>-3.9750058326163129E-3</v>
      </c>
      <c r="AA109" s="219"/>
    </row>
    <row r="110" spans="2:27" x14ac:dyDescent="0.35">
      <c r="B110" s="40">
        <v>33288</v>
      </c>
      <c r="C110" s="39">
        <v>1587.1</v>
      </c>
      <c r="D110" s="219">
        <f t="shared" si="5"/>
        <v>9.1781509560972096E-3</v>
      </c>
      <c r="F110" s="40">
        <v>33288</v>
      </c>
      <c r="G110" s="39">
        <v>1587.1</v>
      </c>
      <c r="H110" s="39">
        <f t="shared" si="0"/>
        <v>2</v>
      </c>
      <c r="I110" s="39">
        <f t="shared" si="1"/>
        <v>0</v>
      </c>
      <c r="K110" s="40">
        <v>33599</v>
      </c>
      <c r="L110" s="39">
        <v>1563.6</v>
      </c>
      <c r="M110" s="39">
        <v>5</v>
      </c>
      <c r="N110" s="39">
        <v>1563.6</v>
      </c>
      <c r="O110" s="219">
        <f t="shared" si="6"/>
        <v>1.3132672327280326E-2</v>
      </c>
      <c r="Q110" s="40">
        <v>33288</v>
      </c>
      <c r="R110" s="39">
        <v>1587.1</v>
      </c>
      <c r="S110" s="39">
        <f t="shared" si="2"/>
        <v>2</v>
      </c>
      <c r="T110" s="39">
        <f t="shared" si="3"/>
        <v>0</v>
      </c>
      <c r="U110" s="39">
        <f t="shared" si="8"/>
        <v>0</v>
      </c>
      <c r="V110" s="40">
        <v>34911</v>
      </c>
      <c r="W110" s="39">
        <v>2218.6999999999998</v>
      </c>
      <c r="X110" s="39">
        <v>7</v>
      </c>
      <c r="Y110" s="39">
        <v>2218.6999999999998</v>
      </c>
      <c r="Z110" s="249">
        <f t="shared" si="7"/>
        <v>6.2680300681492551E-2</v>
      </c>
      <c r="AA110" s="219"/>
    </row>
    <row r="111" spans="2:27" x14ac:dyDescent="0.35">
      <c r="B111" s="40">
        <v>33289</v>
      </c>
      <c r="C111" s="39">
        <v>1567.3</v>
      </c>
      <c r="D111" s="219">
        <f t="shared" si="5"/>
        <v>-1.2554057853490421E-2</v>
      </c>
      <c r="F111" s="40">
        <v>33289</v>
      </c>
      <c r="G111" s="39">
        <v>1567.3</v>
      </c>
      <c r="H111" s="39">
        <f t="shared" si="0"/>
        <v>3</v>
      </c>
      <c r="I111" s="39">
        <f t="shared" si="1"/>
        <v>0</v>
      </c>
      <c r="K111" s="40">
        <v>33606</v>
      </c>
      <c r="L111" s="39">
        <v>1603.6</v>
      </c>
      <c r="M111" s="39">
        <v>5</v>
      </c>
      <c r="N111" s="39">
        <v>1603.6</v>
      </c>
      <c r="O111" s="219">
        <f t="shared" si="6"/>
        <v>2.5260246849552123E-2</v>
      </c>
      <c r="Q111" s="40">
        <v>33289</v>
      </c>
      <c r="R111" s="39">
        <v>1567.3</v>
      </c>
      <c r="S111" s="39">
        <f t="shared" si="2"/>
        <v>2</v>
      </c>
      <c r="T111" s="39">
        <f t="shared" si="3"/>
        <v>0</v>
      </c>
      <c r="U111" s="39">
        <f t="shared" si="8"/>
        <v>0</v>
      </c>
      <c r="V111" s="40">
        <v>34942</v>
      </c>
      <c r="W111" s="39">
        <v>2238.3000000000002</v>
      </c>
      <c r="X111" s="39">
        <v>8</v>
      </c>
      <c r="Y111" s="39">
        <v>2238.3000000000002</v>
      </c>
      <c r="Z111" s="249">
        <f t="shared" si="7"/>
        <v>8.7952103870419778E-3</v>
      </c>
      <c r="AA111" s="219"/>
    </row>
    <row r="112" spans="2:27" x14ac:dyDescent="0.35">
      <c r="B112" s="40">
        <v>33290</v>
      </c>
      <c r="C112" s="39">
        <v>1566.3</v>
      </c>
      <c r="D112" s="219">
        <f t="shared" si="5"/>
        <v>-6.3824357540604414E-4</v>
      </c>
      <c r="F112" s="40">
        <v>33290</v>
      </c>
      <c r="G112" s="39">
        <v>1566.3</v>
      </c>
      <c r="H112" s="39">
        <f t="shared" si="0"/>
        <v>4</v>
      </c>
      <c r="I112" s="39">
        <f t="shared" si="1"/>
        <v>0</v>
      </c>
      <c r="K112" s="40">
        <v>33613</v>
      </c>
      <c r="L112" s="39">
        <v>1615.7</v>
      </c>
      <c r="M112" s="39">
        <v>5</v>
      </c>
      <c r="N112" s="39">
        <v>1615.7</v>
      </c>
      <c r="O112" s="219">
        <f t="shared" si="6"/>
        <v>7.517197514432937E-3</v>
      </c>
      <c r="Q112" s="40">
        <v>33290</v>
      </c>
      <c r="R112" s="39">
        <v>1566.3</v>
      </c>
      <c r="S112" s="39">
        <f t="shared" si="2"/>
        <v>2</v>
      </c>
      <c r="T112" s="39">
        <f t="shared" si="3"/>
        <v>0</v>
      </c>
      <c r="U112" s="39">
        <f t="shared" si="8"/>
        <v>0</v>
      </c>
      <c r="V112" s="40">
        <v>34971</v>
      </c>
      <c r="W112" s="39">
        <v>2187</v>
      </c>
      <c r="X112" s="39">
        <v>9</v>
      </c>
      <c r="Y112" s="39">
        <v>2187</v>
      </c>
      <c r="Z112" s="249">
        <f t="shared" si="7"/>
        <v>-2.31859074688106E-2</v>
      </c>
      <c r="AA112" s="219"/>
    </row>
    <row r="113" spans="2:27" x14ac:dyDescent="0.35">
      <c r="B113" s="40">
        <v>33291</v>
      </c>
      <c r="C113" s="39">
        <v>1582.5</v>
      </c>
      <c r="D113" s="219">
        <f t="shared" si="5"/>
        <v>1.0289724933714901E-2</v>
      </c>
      <c r="F113" s="40">
        <v>33291</v>
      </c>
      <c r="G113" s="39">
        <v>1582.5</v>
      </c>
      <c r="H113" s="39">
        <f t="shared" si="0"/>
        <v>5</v>
      </c>
      <c r="I113" s="39">
        <f t="shared" si="1"/>
        <v>1582.5</v>
      </c>
      <c r="K113" s="40">
        <v>33620</v>
      </c>
      <c r="L113" s="39">
        <v>1671</v>
      </c>
      <c r="M113" s="39">
        <v>5</v>
      </c>
      <c r="N113" s="39">
        <v>1671</v>
      </c>
      <c r="O113" s="219">
        <f t="shared" si="6"/>
        <v>3.3653950312608927E-2</v>
      </c>
      <c r="Q113" s="40">
        <v>33291</v>
      </c>
      <c r="R113" s="39">
        <v>1582.5</v>
      </c>
      <c r="S113" s="39">
        <f t="shared" si="2"/>
        <v>2</v>
      </c>
      <c r="T113" s="39">
        <f t="shared" si="3"/>
        <v>0</v>
      </c>
      <c r="U113" s="39">
        <f t="shared" si="8"/>
        <v>0</v>
      </c>
      <c r="V113" s="40">
        <v>35003</v>
      </c>
      <c r="W113" s="39">
        <v>2167.9</v>
      </c>
      <c r="X113" s="39">
        <v>10</v>
      </c>
      <c r="Y113" s="39">
        <v>2167.9</v>
      </c>
      <c r="Z113" s="249">
        <f t="shared" si="7"/>
        <v>-8.7717846422974005E-3</v>
      </c>
      <c r="AA113" s="219"/>
    </row>
    <row r="114" spans="2:27" x14ac:dyDescent="0.35">
      <c r="B114" s="40">
        <v>33294</v>
      </c>
      <c r="C114" s="39">
        <v>1601.2</v>
      </c>
      <c r="D114" s="219">
        <f t="shared" si="5"/>
        <v>1.174747310008728E-2</v>
      </c>
      <c r="F114" s="40">
        <v>33294</v>
      </c>
      <c r="G114" s="39">
        <v>1601.2</v>
      </c>
      <c r="H114" s="39">
        <f t="shared" si="0"/>
        <v>1</v>
      </c>
      <c r="I114" s="39">
        <f t="shared" si="1"/>
        <v>0</v>
      </c>
      <c r="K114" s="40">
        <v>33627</v>
      </c>
      <c r="L114" s="39">
        <v>1664.8</v>
      </c>
      <c r="M114" s="39">
        <v>5</v>
      </c>
      <c r="N114" s="39">
        <v>1664.8</v>
      </c>
      <c r="O114" s="219">
        <f t="shared" si="6"/>
        <v>-3.7172535159690711E-3</v>
      </c>
      <c r="Q114" s="40">
        <v>33294</v>
      </c>
      <c r="R114" s="39">
        <v>1601.2</v>
      </c>
      <c r="S114" s="39">
        <f t="shared" si="2"/>
        <v>2</v>
      </c>
      <c r="T114" s="39">
        <f t="shared" si="3"/>
        <v>0</v>
      </c>
      <c r="U114" s="39">
        <f t="shared" si="8"/>
        <v>0</v>
      </c>
      <c r="V114" s="40">
        <v>35033</v>
      </c>
      <c r="W114" s="39">
        <v>2242.8000000000002</v>
      </c>
      <c r="X114" s="39">
        <v>11</v>
      </c>
      <c r="Y114" s="39">
        <v>2242.8000000000002</v>
      </c>
      <c r="Z114" s="249">
        <f t="shared" si="7"/>
        <v>3.3966128215047034E-2</v>
      </c>
      <c r="AA114" s="219"/>
    </row>
    <row r="115" spans="2:27" x14ac:dyDescent="0.35">
      <c r="B115" s="40">
        <v>33295</v>
      </c>
      <c r="C115" s="39">
        <v>1558.2</v>
      </c>
      <c r="D115" s="219">
        <f t="shared" si="5"/>
        <v>-2.7222039221660829E-2</v>
      </c>
      <c r="F115" s="40">
        <v>33295</v>
      </c>
      <c r="G115" s="39">
        <v>1558.2</v>
      </c>
      <c r="H115" s="39">
        <f t="shared" si="0"/>
        <v>2</v>
      </c>
      <c r="I115" s="39">
        <f t="shared" si="1"/>
        <v>0</v>
      </c>
      <c r="K115" s="40">
        <v>33634</v>
      </c>
      <c r="L115" s="39">
        <v>1687.5</v>
      </c>
      <c r="M115" s="39">
        <v>5</v>
      </c>
      <c r="N115" s="39">
        <v>1687.5</v>
      </c>
      <c r="O115" s="219">
        <f t="shared" si="6"/>
        <v>1.3543147667260256E-2</v>
      </c>
      <c r="Q115" s="40">
        <v>33295</v>
      </c>
      <c r="R115" s="39">
        <v>1558.2</v>
      </c>
      <c r="S115" s="39">
        <f t="shared" si="2"/>
        <v>2</v>
      </c>
      <c r="T115" s="39">
        <f t="shared" si="3"/>
        <v>0</v>
      </c>
      <c r="U115" s="39">
        <f t="shared" si="8"/>
        <v>0</v>
      </c>
      <c r="V115" s="40">
        <v>35062</v>
      </c>
      <c r="W115" s="39">
        <v>2253.9</v>
      </c>
      <c r="X115" s="39">
        <v>12</v>
      </c>
      <c r="Y115" s="39">
        <v>2253.9</v>
      </c>
      <c r="Z115" s="249">
        <f t="shared" si="7"/>
        <v>4.936963793707126E-3</v>
      </c>
      <c r="AA115" s="219"/>
    </row>
    <row r="116" spans="2:27" x14ac:dyDescent="0.35">
      <c r="B116" s="40">
        <v>33296</v>
      </c>
      <c r="C116" s="39">
        <v>1565.5</v>
      </c>
      <c r="D116" s="219">
        <f t="shared" si="5"/>
        <v>4.6739528697025421E-3</v>
      </c>
      <c r="F116" s="40">
        <v>33296</v>
      </c>
      <c r="G116" s="39">
        <v>1565.5</v>
      </c>
      <c r="H116" s="39">
        <f t="shared" si="0"/>
        <v>3</v>
      </c>
      <c r="I116" s="39">
        <f t="shared" si="1"/>
        <v>0</v>
      </c>
      <c r="K116" s="40">
        <v>33641</v>
      </c>
      <c r="L116" s="39">
        <v>1685.5</v>
      </c>
      <c r="M116" s="39">
        <v>5</v>
      </c>
      <c r="N116" s="39">
        <v>1685.5</v>
      </c>
      <c r="O116" s="219">
        <f t="shared" si="6"/>
        <v>-1.1858880725694649E-3</v>
      </c>
      <c r="Q116" s="40">
        <v>33296</v>
      </c>
      <c r="R116" s="39">
        <v>1565.5</v>
      </c>
      <c r="S116" s="39">
        <f t="shared" si="2"/>
        <v>2</v>
      </c>
      <c r="T116" s="39">
        <f t="shared" si="3"/>
        <v>0</v>
      </c>
      <c r="U116" s="39">
        <f t="shared" si="8"/>
        <v>0</v>
      </c>
      <c r="V116" s="40">
        <v>35095</v>
      </c>
      <c r="W116" s="39">
        <v>2470.1</v>
      </c>
      <c r="X116" s="39">
        <v>1</v>
      </c>
      <c r="Y116" s="39">
        <v>2470.1</v>
      </c>
      <c r="Z116" s="249">
        <f t="shared" si="7"/>
        <v>9.1596586589228535E-2</v>
      </c>
      <c r="AA116" s="219"/>
    </row>
    <row r="117" spans="2:27" x14ac:dyDescent="0.35">
      <c r="B117" s="40">
        <v>33297</v>
      </c>
      <c r="C117" s="39">
        <v>1542.1</v>
      </c>
      <c r="D117" s="219">
        <f t="shared" si="5"/>
        <v>-1.5060137902849722E-2</v>
      </c>
      <c r="F117" s="40">
        <v>33297</v>
      </c>
      <c r="G117" s="39">
        <v>1542.1</v>
      </c>
      <c r="H117" s="39">
        <f t="shared" si="0"/>
        <v>4</v>
      </c>
      <c r="I117" s="39">
        <f t="shared" si="1"/>
        <v>0</v>
      </c>
      <c r="K117" s="40">
        <v>33648</v>
      </c>
      <c r="L117" s="39">
        <v>1676.5</v>
      </c>
      <c r="M117" s="39">
        <v>5</v>
      </c>
      <c r="N117" s="39">
        <v>1676.5</v>
      </c>
      <c r="O117" s="219">
        <f t="shared" si="6"/>
        <v>-5.3539687678321934E-3</v>
      </c>
      <c r="Q117" s="40">
        <v>33297</v>
      </c>
      <c r="R117" s="39">
        <v>1542.1</v>
      </c>
      <c r="S117" s="39">
        <f t="shared" si="2"/>
        <v>2</v>
      </c>
      <c r="T117" s="39">
        <f t="shared" si="3"/>
        <v>1542.1</v>
      </c>
      <c r="U117" s="39">
        <f t="shared" si="8"/>
        <v>1542.1</v>
      </c>
      <c r="V117" s="40">
        <v>35124</v>
      </c>
      <c r="W117" s="39">
        <v>2473.6</v>
      </c>
      <c r="X117" s="39">
        <v>2</v>
      </c>
      <c r="Y117" s="39">
        <v>2473.6</v>
      </c>
      <c r="Z117" s="249">
        <f t="shared" si="7"/>
        <v>1.4159437606495898E-3</v>
      </c>
      <c r="AA117" s="219"/>
    </row>
    <row r="118" spans="2:27" x14ac:dyDescent="0.35">
      <c r="B118" s="40">
        <v>33298</v>
      </c>
      <c r="C118" s="39">
        <v>1516.7</v>
      </c>
      <c r="D118" s="219">
        <f t="shared" si="5"/>
        <v>-1.6608201806259399E-2</v>
      </c>
      <c r="F118" s="40">
        <v>33298</v>
      </c>
      <c r="G118" s="39">
        <v>1516.7</v>
      </c>
      <c r="H118" s="39">
        <f t="shared" si="0"/>
        <v>5</v>
      </c>
      <c r="I118" s="39">
        <f t="shared" si="1"/>
        <v>1516.7</v>
      </c>
      <c r="K118" s="40">
        <v>33655</v>
      </c>
      <c r="L118" s="39">
        <v>1717.6</v>
      </c>
      <c r="M118" s="39">
        <v>5</v>
      </c>
      <c r="N118" s="39">
        <v>1717.6</v>
      </c>
      <c r="O118" s="219">
        <f t="shared" si="6"/>
        <v>2.4219680658287914E-2</v>
      </c>
      <c r="Q118" s="40">
        <v>33298</v>
      </c>
      <c r="R118" s="39">
        <v>1516.7</v>
      </c>
      <c r="S118" s="39">
        <f t="shared" si="2"/>
        <v>3</v>
      </c>
      <c r="T118" s="39">
        <f t="shared" si="3"/>
        <v>0</v>
      </c>
      <c r="U118" s="39">
        <f t="shared" si="8"/>
        <v>0</v>
      </c>
      <c r="V118" s="40">
        <v>35153</v>
      </c>
      <c r="W118" s="39">
        <v>2485.9</v>
      </c>
      <c r="X118" s="39">
        <v>3</v>
      </c>
      <c r="Y118" s="39">
        <v>2485.9</v>
      </c>
      <c r="Z118" s="249">
        <f t="shared" si="7"/>
        <v>4.9601876070319096E-3</v>
      </c>
      <c r="AA118" s="219"/>
    </row>
    <row r="119" spans="2:27" x14ac:dyDescent="0.35">
      <c r="B119" s="40">
        <v>33301</v>
      </c>
      <c r="C119" s="39">
        <v>1530.9</v>
      </c>
      <c r="D119" s="219">
        <f t="shared" si="5"/>
        <v>9.3188756806843395E-3</v>
      </c>
      <c r="F119" s="40">
        <v>33301</v>
      </c>
      <c r="G119" s="39">
        <v>1530.9</v>
      </c>
      <c r="H119" s="39">
        <f t="shared" ref="H119:H182" si="9">WEEKDAY(F119,2)</f>
        <v>1</v>
      </c>
      <c r="I119" s="39">
        <f t="shared" ref="I119:I182" si="10">IF(H119&gt;H120,G119,0)</f>
        <v>0</v>
      </c>
      <c r="K119" s="40">
        <v>33662</v>
      </c>
      <c r="L119" s="39">
        <v>1745.1</v>
      </c>
      <c r="M119" s="39">
        <v>5</v>
      </c>
      <c r="N119" s="39">
        <v>1745.1</v>
      </c>
      <c r="O119" s="219">
        <f t="shared" si="6"/>
        <v>1.5883893020254329E-2</v>
      </c>
      <c r="Q119" s="40">
        <v>33301</v>
      </c>
      <c r="R119" s="39">
        <v>1530.9</v>
      </c>
      <c r="S119" s="39">
        <f t="shared" ref="S119:S182" si="11">MONTH(Q119)</f>
        <v>3</v>
      </c>
      <c r="T119" s="39">
        <f t="shared" ref="T119:T182" si="12">IF(S120&lt;&gt;S119,R119,0)</f>
        <v>0</v>
      </c>
      <c r="U119" s="39">
        <f t="shared" ref="U119:U182" si="13">IF(S120=S119,0,R119)</f>
        <v>0</v>
      </c>
      <c r="V119" s="40">
        <v>35185</v>
      </c>
      <c r="W119" s="39">
        <v>2505.3000000000002</v>
      </c>
      <c r="X119" s="39">
        <v>4</v>
      </c>
      <c r="Y119" s="39">
        <v>2505.3000000000002</v>
      </c>
      <c r="Z119" s="249">
        <f t="shared" si="7"/>
        <v>7.7737208271587326E-3</v>
      </c>
      <c r="AA119" s="219"/>
    </row>
    <row r="120" spans="2:27" x14ac:dyDescent="0.35">
      <c r="B120" s="40">
        <v>33302</v>
      </c>
      <c r="C120" s="39">
        <v>1540.3</v>
      </c>
      <c r="D120" s="219">
        <f t="shared" ref="D120:D183" si="14">LN(C120/C119)</f>
        <v>6.1214048923764345E-3</v>
      </c>
      <c r="F120" s="40">
        <v>33302</v>
      </c>
      <c r="G120" s="39">
        <v>1540.3</v>
      </c>
      <c r="H120" s="39">
        <f t="shared" si="9"/>
        <v>2</v>
      </c>
      <c r="I120" s="39">
        <f t="shared" si="10"/>
        <v>0</v>
      </c>
      <c r="K120" s="40">
        <v>33669</v>
      </c>
      <c r="L120" s="39">
        <v>1746</v>
      </c>
      <c r="M120" s="39">
        <v>5</v>
      </c>
      <c r="N120" s="39">
        <v>1746</v>
      </c>
      <c r="O120" s="219">
        <f t="shared" ref="O120:O183" si="15">LN(N120/N119)</f>
        <v>5.1559681472204959E-4</v>
      </c>
      <c r="Q120" s="40">
        <v>33302</v>
      </c>
      <c r="R120" s="39">
        <v>1540.3</v>
      </c>
      <c r="S120" s="39">
        <f t="shared" si="11"/>
        <v>3</v>
      </c>
      <c r="T120" s="39">
        <f t="shared" si="12"/>
        <v>0</v>
      </c>
      <c r="U120" s="39">
        <f t="shared" si="13"/>
        <v>0</v>
      </c>
      <c r="V120" s="40">
        <v>35216</v>
      </c>
      <c r="W120" s="39">
        <v>2542.8000000000002</v>
      </c>
      <c r="X120" s="39">
        <v>5</v>
      </c>
      <c r="Y120" s="39">
        <v>2542.8000000000002</v>
      </c>
      <c r="Z120" s="249">
        <f t="shared" ref="Z120:Z183" si="16">LN(Y120/Y119)</f>
        <v>1.4857348234960247E-2</v>
      </c>
      <c r="AA120" s="219"/>
    </row>
    <row r="121" spans="2:27" x14ac:dyDescent="0.35">
      <c r="B121" s="40">
        <v>33303</v>
      </c>
      <c r="C121" s="39">
        <v>1594.3</v>
      </c>
      <c r="D121" s="219">
        <f t="shared" si="14"/>
        <v>3.4457565782907741E-2</v>
      </c>
      <c r="F121" s="40">
        <v>33303</v>
      </c>
      <c r="G121" s="39">
        <v>1594.3</v>
      </c>
      <c r="H121" s="39">
        <f t="shared" si="9"/>
        <v>3</v>
      </c>
      <c r="I121" s="39">
        <f t="shared" si="10"/>
        <v>0</v>
      </c>
      <c r="K121" s="40">
        <v>33676</v>
      </c>
      <c r="L121" s="39">
        <v>1732.6</v>
      </c>
      <c r="M121" s="39">
        <v>5</v>
      </c>
      <c r="N121" s="39">
        <v>1732.6</v>
      </c>
      <c r="O121" s="219">
        <f t="shared" si="15"/>
        <v>-7.7042869435076785E-3</v>
      </c>
      <c r="Q121" s="40">
        <v>33303</v>
      </c>
      <c r="R121" s="39">
        <v>1594.3</v>
      </c>
      <c r="S121" s="39">
        <f t="shared" si="11"/>
        <v>3</v>
      </c>
      <c r="T121" s="39">
        <f t="shared" si="12"/>
        <v>0</v>
      </c>
      <c r="U121" s="39">
        <f t="shared" si="13"/>
        <v>0</v>
      </c>
      <c r="V121" s="40">
        <v>35244</v>
      </c>
      <c r="W121" s="39">
        <v>2561.4</v>
      </c>
      <c r="X121" s="39">
        <v>6</v>
      </c>
      <c r="Y121" s="39">
        <v>2561.4</v>
      </c>
      <c r="Z121" s="249">
        <f t="shared" si="16"/>
        <v>7.288147929717605E-3</v>
      </c>
      <c r="AA121" s="219"/>
    </row>
    <row r="122" spans="2:27" x14ac:dyDescent="0.35">
      <c r="B122" s="40">
        <v>33304</v>
      </c>
      <c r="C122" s="39">
        <v>1580.5</v>
      </c>
      <c r="D122" s="219">
        <f t="shared" si="14"/>
        <v>-8.6935157576471349E-3</v>
      </c>
      <c r="F122" s="40">
        <v>33304</v>
      </c>
      <c r="G122" s="39">
        <v>1580.5</v>
      </c>
      <c r="H122" s="39">
        <f t="shared" si="9"/>
        <v>4</v>
      </c>
      <c r="I122" s="39">
        <f t="shared" si="10"/>
        <v>0</v>
      </c>
      <c r="K122" s="40">
        <v>33683</v>
      </c>
      <c r="L122" s="39">
        <v>1736.3</v>
      </c>
      <c r="M122" s="39">
        <v>5</v>
      </c>
      <c r="N122" s="39">
        <v>1736.3</v>
      </c>
      <c r="O122" s="219">
        <f t="shared" si="15"/>
        <v>2.1332418940523128E-3</v>
      </c>
      <c r="Q122" s="40">
        <v>33304</v>
      </c>
      <c r="R122" s="39">
        <v>1580.5</v>
      </c>
      <c r="S122" s="39">
        <f t="shared" si="11"/>
        <v>3</v>
      </c>
      <c r="T122" s="39">
        <f t="shared" si="12"/>
        <v>0</v>
      </c>
      <c r="U122" s="39">
        <f t="shared" si="13"/>
        <v>0</v>
      </c>
      <c r="V122" s="40">
        <v>35277</v>
      </c>
      <c r="W122" s="39">
        <v>2473.4</v>
      </c>
      <c r="X122" s="39">
        <v>7</v>
      </c>
      <c r="Y122" s="39">
        <v>2473.4</v>
      </c>
      <c r="Z122" s="249">
        <f t="shared" si="16"/>
        <v>-3.496026168401465E-2</v>
      </c>
      <c r="AA122" s="219"/>
    </row>
    <row r="123" spans="2:27" x14ac:dyDescent="0.35">
      <c r="B123" s="40">
        <v>33305</v>
      </c>
      <c r="C123" s="39">
        <v>1580.5</v>
      </c>
      <c r="D123" s="219">
        <f t="shared" si="14"/>
        <v>0</v>
      </c>
      <c r="F123" s="40">
        <v>33305</v>
      </c>
      <c r="G123" s="39">
        <v>1580.5</v>
      </c>
      <c r="H123" s="39">
        <f t="shared" si="9"/>
        <v>5</v>
      </c>
      <c r="I123" s="39">
        <f t="shared" si="10"/>
        <v>1580.5</v>
      </c>
      <c r="K123" s="40">
        <v>33690</v>
      </c>
      <c r="L123" s="39">
        <v>1711.5</v>
      </c>
      <c r="M123" s="39">
        <v>5</v>
      </c>
      <c r="N123" s="39">
        <v>1711.5</v>
      </c>
      <c r="O123" s="219">
        <f t="shared" si="15"/>
        <v>-1.4386233379852079E-2</v>
      </c>
      <c r="Q123" s="40">
        <v>33305</v>
      </c>
      <c r="R123" s="39">
        <v>1580.5</v>
      </c>
      <c r="S123" s="39">
        <f t="shared" si="11"/>
        <v>3</v>
      </c>
      <c r="T123" s="39">
        <f t="shared" si="12"/>
        <v>0</v>
      </c>
      <c r="U123" s="39">
        <f t="shared" si="13"/>
        <v>0</v>
      </c>
      <c r="V123" s="40">
        <v>35307</v>
      </c>
      <c r="W123" s="39">
        <v>2543.8000000000002</v>
      </c>
      <c r="X123" s="39">
        <v>8</v>
      </c>
      <c r="Y123" s="39">
        <v>2543.8000000000002</v>
      </c>
      <c r="Z123" s="249">
        <f t="shared" si="16"/>
        <v>2.8065303709427461E-2</v>
      </c>
      <c r="AA123" s="219"/>
    </row>
    <row r="124" spans="2:27" x14ac:dyDescent="0.35">
      <c r="B124" s="40">
        <v>33308</v>
      </c>
      <c r="C124" s="39">
        <v>1565.8</v>
      </c>
      <c r="D124" s="219">
        <f t="shared" si="14"/>
        <v>-9.3443771818586558E-3</v>
      </c>
      <c r="F124" s="40">
        <v>33308</v>
      </c>
      <c r="G124" s="39">
        <v>1565.8</v>
      </c>
      <c r="H124" s="39">
        <f t="shared" si="9"/>
        <v>1</v>
      </c>
      <c r="I124" s="39">
        <f t="shared" si="10"/>
        <v>0</v>
      </c>
      <c r="K124" s="40">
        <v>33697</v>
      </c>
      <c r="L124" s="39">
        <v>1719.6</v>
      </c>
      <c r="M124" s="39">
        <v>5</v>
      </c>
      <c r="N124" s="39">
        <v>1719.6</v>
      </c>
      <c r="O124" s="219">
        <f t="shared" si="15"/>
        <v>4.7215266518863966E-3</v>
      </c>
      <c r="Q124" s="40">
        <v>33308</v>
      </c>
      <c r="R124" s="39">
        <v>1565.8</v>
      </c>
      <c r="S124" s="39">
        <f t="shared" si="11"/>
        <v>3</v>
      </c>
      <c r="T124" s="39">
        <f t="shared" si="12"/>
        <v>0</v>
      </c>
      <c r="U124" s="39">
        <f t="shared" si="13"/>
        <v>0</v>
      </c>
      <c r="V124" s="40">
        <v>35338</v>
      </c>
      <c r="W124" s="39">
        <v>2651.9</v>
      </c>
      <c r="X124" s="39">
        <v>9</v>
      </c>
      <c r="Y124" s="39">
        <v>2651.9</v>
      </c>
      <c r="Z124" s="249">
        <f t="shared" si="16"/>
        <v>4.1617338186778888E-2</v>
      </c>
      <c r="AA124" s="219"/>
    </row>
    <row r="125" spans="2:27" x14ac:dyDescent="0.35">
      <c r="B125" s="40">
        <v>33309</v>
      </c>
      <c r="C125" s="39">
        <v>1571.6</v>
      </c>
      <c r="D125" s="219">
        <f t="shared" si="14"/>
        <v>3.6973332104908094E-3</v>
      </c>
      <c r="F125" s="40">
        <v>33309</v>
      </c>
      <c r="G125" s="39">
        <v>1571.6</v>
      </c>
      <c r="H125" s="39">
        <f t="shared" si="9"/>
        <v>2</v>
      </c>
      <c r="I125" s="39">
        <f t="shared" si="10"/>
        <v>0</v>
      </c>
      <c r="K125" s="40">
        <v>33704</v>
      </c>
      <c r="L125" s="39">
        <v>1736.1</v>
      </c>
      <c r="M125" s="39">
        <v>5</v>
      </c>
      <c r="N125" s="39">
        <v>1736.1</v>
      </c>
      <c r="O125" s="219">
        <f t="shared" si="15"/>
        <v>9.5495126257762169E-3</v>
      </c>
      <c r="Q125" s="40">
        <v>33309</v>
      </c>
      <c r="R125" s="39">
        <v>1571.6</v>
      </c>
      <c r="S125" s="39">
        <f t="shared" si="11"/>
        <v>3</v>
      </c>
      <c r="T125" s="39">
        <f t="shared" si="12"/>
        <v>0</v>
      </c>
      <c r="U125" s="39">
        <f t="shared" si="13"/>
        <v>0</v>
      </c>
      <c r="V125" s="40">
        <v>35369</v>
      </c>
      <c r="W125" s="39">
        <v>2659.3</v>
      </c>
      <c r="X125" s="39">
        <v>10</v>
      </c>
      <c r="Y125" s="39">
        <v>2659.3</v>
      </c>
      <c r="Z125" s="249">
        <f t="shared" si="16"/>
        <v>2.7865660447302701E-3</v>
      </c>
      <c r="AA125" s="219"/>
    </row>
    <row r="126" spans="2:27" x14ac:dyDescent="0.35">
      <c r="B126" s="40">
        <v>33310</v>
      </c>
      <c r="C126" s="39">
        <v>1542.2</v>
      </c>
      <c r="D126" s="219">
        <f t="shared" si="14"/>
        <v>-1.8884240285444345E-2</v>
      </c>
      <c r="F126" s="40">
        <v>33310</v>
      </c>
      <c r="G126" s="39">
        <v>1542.2</v>
      </c>
      <c r="H126" s="39">
        <f t="shared" si="9"/>
        <v>3</v>
      </c>
      <c r="I126" s="39">
        <f t="shared" si="10"/>
        <v>0</v>
      </c>
      <c r="K126" s="40">
        <v>33710</v>
      </c>
      <c r="L126" s="39">
        <v>1749.2</v>
      </c>
      <c r="M126" s="39">
        <v>4</v>
      </c>
      <c r="N126" s="39">
        <v>1749.2</v>
      </c>
      <c r="O126" s="219">
        <f t="shared" si="15"/>
        <v>7.5173222908628927E-3</v>
      </c>
      <c r="Q126" s="40">
        <v>33310</v>
      </c>
      <c r="R126" s="39">
        <v>1542.2</v>
      </c>
      <c r="S126" s="39">
        <f t="shared" si="11"/>
        <v>3</v>
      </c>
      <c r="T126" s="39">
        <f t="shared" si="12"/>
        <v>0</v>
      </c>
      <c r="U126" s="39">
        <f t="shared" si="13"/>
        <v>0</v>
      </c>
      <c r="V126" s="40">
        <v>35398</v>
      </c>
      <c r="W126" s="39">
        <v>2845.5</v>
      </c>
      <c r="X126" s="39">
        <v>11</v>
      </c>
      <c r="Y126" s="39">
        <v>2845.5</v>
      </c>
      <c r="Z126" s="249">
        <f t="shared" si="16"/>
        <v>6.7675868794285401E-2</v>
      </c>
      <c r="AA126" s="219"/>
    </row>
    <row r="127" spans="2:27" x14ac:dyDescent="0.35">
      <c r="B127" s="40">
        <v>33311</v>
      </c>
      <c r="C127" s="39">
        <v>1576.6</v>
      </c>
      <c r="D127" s="219">
        <f t="shared" si="14"/>
        <v>2.2060661226947505E-2</v>
      </c>
      <c r="F127" s="40">
        <v>33311</v>
      </c>
      <c r="G127" s="39">
        <v>1576.6</v>
      </c>
      <c r="H127" s="39">
        <f t="shared" si="9"/>
        <v>4</v>
      </c>
      <c r="I127" s="39">
        <f t="shared" si="10"/>
        <v>0</v>
      </c>
      <c r="K127" s="40">
        <v>33718</v>
      </c>
      <c r="L127" s="39">
        <v>1745.7</v>
      </c>
      <c r="M127" s="39">
        <v>5</v>
      </c>
      <c r="N127" s="39">
        <v>1745.7</v>
      </c>
      <c r="O127" s="219">
        <f t="shared" si="15"/>
        <v>-2.0029192080316281E-3</v>
      </c>
      <c r="Q127" s="40">
        <v>33311</v>
      </c>
      <c r="R127" s="39">
        <v>1576.6</v>
      </c>
      <c r="S127" s="39">
        <f t="shared" si="11"/>
        <v>3</v>
      </c>
      <c r="T127" s="39">
        <f t="shared" si="12"/>
        <v>0</v>
      </c>
      <c r="U127" s="39">
        <f t="shared" si="13"/>
        <v>0</v>
      </c>
      <c r="V127" s="40">
        <v>35429</v>
      </c>
      <c r="W127" s="39">
        <v>2888.7</v>
      </c>
      <c r="X127" s="39">
        <v>12</v>
      </c>
      <c r="Y127" s="39">
        <v>2888.7</v>
      </c>
      <c r="Z127" s="249">
        <f t="shared" si="16"/>
        <v>1.5067774871169257E-2</v>
      </c>
      <c r="AA127" s="219"/>
    </row>
    <row r="128" spans="2:27" x14ac:dyDescent="0.35">
      <c r="B128" s="40">
        <v>33312</v>
      </c>
      <c r="C128" s="39">
        <v>1570.6</v>
      </c>
      <c r="D128" s="219">
        <f t="shared" si="14"/>
        <v>-3.8129176850335597E-3</v>
      </c>
      <c r="F128" s="40">
        <v>33312</v>
      </c>
      <c r="G128" s="39">
        <v>1570.6</v>
      </c>
      <c r="H128" s="39">
        <f t="shared" si="9"/>
        <v>5</v>
      </c>
      <c r="I128" s="39">
        <f t="shared" si="10"/>
        <v>1570.6</v>
      </c>
      <c r="K128" s="40">
        <v>33724</v>
      </c>
      <c r="L128" s="39">
        <v>1734</v>
      </c>
      <c r="M128" s="39">
        <v>4</v>
      </c>
      <c r="N128" s="39">
        <v>1734</v>
      </c>
      <c r="O128" s="219">
        <f t="shared" si="15"/>
        <v>-6.7247429902468053E-3</v>
      </c>
      <c r="Q128" s="40">
        <v>33312</v>
      </c>
      <c r="R128" s="39">
        <v>1570.6</v>
      </c>
      <c r="S128" s="39">
        <f t="shared" si="11"/>
        <v>3</v>
      </c>
      <c r="T128" s="39">
        <f t="shared" si="12"/>
        <v>0</v>
      </c>
      <c r="U128" s="39">
        <f t="shared" si="13"/>
        <v>0</v>
      </c>
      <c r="V128" s="40">
        <v>35461</v>
      </c>
      <c r="W128" s="39">
        <v>3035.2</v>
      </c>
      <c r="X128" s="39">
        <v>1</v>
      </c>
      <c r="Y128" s="39">
        <v>3035.2</v>
      </c>
      <c r="Z128" s="249">
        <f t="shared" si="16"/>
        <v>4.9470746266401751E-2</v>
      </c>
      <c r="AA128" s="219"/>
    </row>
    <row r="129" spans="2:27" x14ac:dyDescent="0.35">
      <c r="B129" s="40">
        <v>33315</v>
      </c>
      <c r="C129" s="39">
        <v>1552.9</v>
      </c>
      <c r="D129" s="219">
        <f t="shared" si="14"/>
        <v>-1.1333561365630729E-2</v>
      </c>
      <c r="F129" s="40">
        <v>33315</v>
      </c>
      <c r="G129" s="39">
        <v>1552.9</v>
      </c>
      <c r="H129" s="39">
        <f t="shared" si="9"/>
        <v>1</v>
      </c>
      <c r="I129" s="39">
        <f t="shared" si="10"/>
        <v>0</v>
      </c>
      <c r="K129" s="40">
        <v>33732</v>
      </c>
      <c r="L129" s="39">
        <v>1748.2</v>
      </c>
      <c r="M129" s="39">
        <v>5</v>
      </c>
      <c r="N129" s="39">
        <v>1748.2</v>
      </c>
      <c r="O129" s="219">
        <f t="shared" si="15"/>
        <v>8.1558088059004875E-3</v>
      </c>
      <c r="Q129" s="40">
        <v>33315</v>
      </c>
      <c r="R129" s="39">
        <v>1552.9</v>
      </c>
      <c r="S129" s="39">
        <f t="shared" si="11"/>
        <v>3</v>
      </c>
      <c r="T129" s="39">
        <f t="shared" si="12"/>
        <v>0</v>
      </c>
      <c r="U129" s="39">
        <f t="shared" si="13"/>
        <v>0</v>
      </c>
      <c r="V129" s="40">
        <v>35489</v>
      </c>
      <c r="W129" s="39">
        <v>3259.6</v>
      </c>
      <c r="X129" s="39">
        <v>2</v>
      </c>
      <c r="Y129" s="39">
        <v>3259.6</v>
      </c>
      <c r="Z129" s="249">
        <f t="shared" si="16"/>
        <v>7.132716826531503E-2</v>
      </c>
      <c r="AA129" s="219"/>
    </row>
    <row r="130" spans="2:27" x14ac:dyDescent="0.35">
      <c r="B130" s="40">
        <v>33316</v>
      </c>
      <c r="C130" s="39">
        <v>1546.5</v>
      </c>
      <c r="D130" s="219">
        <f t="shared" si="14"/>
        <v>-4.1298374500191937E-3</v>
      </c>
      <c r="F130" s="40">
        <v>33316</v>
      </c>
      <c r="G130" s="39">
        <v>1546.5</v>
      </c>
      <c r="H130" s="39">
        <f t="shared" si="9"/>
        <v>2</v>
      </c>
      <c r="I130" s="39">
        <f t="shared" si="10"/>
        <v>0</v>
      </c>
      <c r="K130" s="40">
        <v>33739</v>
      </c>
      <c r="L130" s="39">
        <v>1724.1</v>
      </c>
      <c r="M130" s="39">
        <v>5</v>
      </c>
      <c r="N130" s="39">
        <v>1724.1</v>
      </c>
      <c r="O130" s="219">
        <f t="shared" si="15"/>
        <v>-1.3881511964582049E-2</v>
      </c>
      <c r="Q130" s="40">
        <v>33316</v>
      </c>
      <c r="R130" s="39">
        <v>1546.5</v>
      </c>
      <c r="S130" s="39">
        <f t="shared" si="11"/>
        <v>3</v>
      </c>
      <c r="T130" s="39">
        <f t="shared" si="12"/>
        <v>0</v>
      </c>
      <c r="U130" s="39">
        <f t="shared" si="13"/>
        <v>0</v>
      </c>
      <c r="V130" s="40">
        <v>35516</v>
      </c>
      <c r="W130" s="39">
        <v>3429.1</v>
      </c>
      <c r="X130" s="39">
        <v>3</v>
      </c>
      <c r="Y130" s="39">
        <v>3429.1</v>
      </c>
      <c r="Z130" s="249">
        <f t="shared" si="16"/>
        <v>5.069334761291204E-2</v>
      </c>
      <c r="AA130" s="219"/>
    </row>
    <row r="131" spans="2:27" x14ac:dyDescent="0.35">
      <c r="B131" s="40">
        <v>33317</v>
      </c>
      <c r="C131" s="39">
        <v>1517.9</v>
      </c>
      <c r="D131" s="219">
        <f t="shared" si="14"/>
        <v>-1.8666512492310688E-2</v>
      </c>
      <c r="F131" s="40">
        <v>33317</v>
      </c>
      <c r="G131" s="39">
        <v>1517.9</v>
      </c>
      <c r="H131" s="39">
        <f t="shared" si="9"/>
        <v>3</v>
      </c>
      <c r="I131" s="39">
        <f t="shared" si="10"/>
        <v>0</v>
      </c>
      <c r="K131" s="40">
        <v>33746</v>
      </c>
      <c r="L131" s="39">
        <v>1803</v>
      </c>
      <c r="M131" s="39">
        <v>5</v>
      </c>
      <c r="N131" s="39">
        <v>1803</v>
      </c>
      <c r="O131" s="219">
        <f t="shared" si="15"/>
        <v>4.4746769021511854E-2</v>
      </c>
      <c r="Q131" s="40">
        <v>33317</v>
      </c>
      <c r="R131" s="39">
        <v>1517.9</v>
      </c>
      <c r="S131" s="39">
        <f t="shared" si="11"/>
        <v>3</v>
      </c>
      <c r="T131" s="39">
        <f t="shared" si="12"/>
        <v>0</v>
      </c>
      <c r="U131" s="39">
        <f t="shared" si="13"/>
        <v>0</v>
      </c>
      <c r="V131" s="40">
        <v>35550</v>
      </c>
      <c r="W131" s="39">
        <v>3438.1</v>
      </c>
      <c r="X131" s="39">
        <v>4</v>
      </c>
      <c r="Y131" s="39">
        <v>3438.1</v>
      </c>
      <c r="Z131" s="249">
        <f t="shared" si="16"/>
        <v>2.6211571391100584E-3</v>
      </c>
      <c r="AA131" s="219"/>
    </row>
    <row r="132" spans="2:27" x14ac:dyDescent="0.35">
      <c r="B132" s="40">
        <v>33318</v>
      </c>
      <c r="C132" s="39">
        <v>1519.6</v>
      </c>
      <c r="D132" s="219">
        <f t="shared" si="14"/>
        <v>1.1193416806568152E-3</v>
      </c>
      <c r="F132" s="40">
        <v>33318</v>
      </c>
      <c r="G132" s="39">
        <v>1519.6</v>
      </c>
      <c r="H132" s="39">
        <f t="shared" si="9"/>
        <v>4</v>
      </c>
      <c r="I132" s="39">
        <f t="shared" si="10"/>
        <v>0</v>
      </c>
      <c r="K132" s="40">
        <v>33753</v>
      </c>
      <c r="L132" s="39">
        <v>1803.2</v>
      </c>
      <c r="M132" s="39">
        <v>5</v>
      </c>
      <c r="N132" s="39">
        <v>1803.2</v>
      </c>
      <c r="O132" s="219">
        <f t="shared" si="15"/>
        <v>1.109200821946283E-4</v>
      </c>
      <c r="Q132" s="40">
        <v>33318</v>
      </c>
      <c r="R132" s="39">
        <v>1519.6</v>
      </c>
      <c r="S132" s="39">
        <f t="shared" si="11"/>
        <v>3</v>
      </c>
      <c r="T132" s="39">
        <f t="shared" si="12"/>
        <v>0</v>
      </c>
      <c r="U132" s="39">
        <f t="shared" si="13"/>
        <v>0</v>
      </c>
      <c r="V132" s="40">
        <v>35580</v>
      </c>
      <c r="W132" s="39">
        <v>3562.7</v>
      </c>
      <c r="X132" s="39">
        <v>5</v>
      </c>
      <c r="Y132" s="39">
        <v>3562.7</v>
      </c>
      <c r="Z132" s="249">
        <f t="shared" si="16"/>
        <v>3.5599691153885941E-2</v>
      </c>
      <c r="AA132" s="219"/>
    </row>
    <row r="133" spans="2:27" x14ac:dyDescent="0.35">
      <c r="B133" s="40">
        <v>33319</v>
      </c>
      <c r="C133" s="39">
        <v>1520.3</v>
      </c>
      <c r="D133" s="219">
        <f t="shared" si="14"/>
        <v>4.6054147331979966E-4</v>
      </c>
      <c r="F133" s="40">
        <v>33319</v>
      </c>
      <c r="G133" s="39">
        <v>1520.3</v>
      </c>
      <c r="H133" s="39">
        <f t="shared" si="9"/>
        <v>5</v>
      </c>
      <c r="I133" s="39">
        <f t="shared" si="10"/>
        <v>1520.3</v>
      </c>
      <c r="K133" s="40">
        <v>33760</v>
      </c>
      <c r="L133" s="39">
        <v>1789.1</v>
      </c>
      <c r="M133" s="39">
        <v>5</v>
      </c>
      <c r="N133" s="39">
        <v>1789.1</v>
      </c>
      <c r="O133" s="219">
        <f t="shared" si="15"/>
        <v>-7.8501641897348682E-3</v>
      </c>
      <c r="Q133" s="40">
        <v>33319</v>
      </c>
      <c r="R133" s="39">
        <v>1520.3</v>
      </c>
      <c r="S133" s="39">
        <f t="shared" si="11"/>
        <v>3</v>
      </c>
      <c r="T133" s="39">
        <f t="shared" si="12"/>
        <v>0</v>
      </c>
      <c r="U133" s="39">
        <f t="shared" si="13"/>
        <v>0</v>
      </c>
      <c r="V133" s="40">
        <v>35611</v>
      </c>
      <c r="W133" s="39">
        <v>3766.9</v>
      </c>
      <c r="X133" s="39">
        <v>6</v>
      </c>
      <c r="Y133" s="39">
        <v>3766.9</v>
      </c>
      <c r="Z133" s="249">
        <f t="shared" si="16"/>
        <v>5.5733697664374499E-2</v>
      </c>
      <c r="AA133" s="219"/>
    </row>
    <row r="134" spans="2:27" x14ac:dyDescent="0.35">
      <c r="B134" s="40">
        <v>33322</v>
      </c>
      <c r="C134" s="39">
        <v>1515.5</v>
      </c>
      <c r="D134" s="219">
        <f t="shared" si="14"/>
        <v>-3.1622662889324474E-3</v>
      </c>
      <c r="F134" s="40">
        <v>33322</v>
      </c>
      <c r="G134" s="39">
        <v>1515.5</v>
      </c>
      <c r="H134" s="39">
        <f t="shared" si="9"/>
        <v>1</v>
      </c>
      <c r="I134" s="39">
        <f t="shared" si="10"/>
        <v>0</v>
      </c>
      <c r="K134" s="40">
        <v>33767</v>
      </c>
      <c r="L134" s="39">
        <v>1782.3</v>
      </c>
      <c r="M134" s="39">
        <v>5</v>
      </c>
      <c r="N134" s="39">
        <v>1782.3</v>
      </c>
      <c r="O134" s="219">
        <f t="shared" si="15"/>
        <v>-3.8080350659716439E-3</v>
      </c>
      <c r="Q134" s="40">
        <v>33322</v>
      </c>
      <c r="R134" s="39">
        <v>1515.5</v>
      </c>
      <c r="S134" s="39">
        <f t="shared" si="11"/>
        <v>3</v>
      </c>
      <c r="T134" s="39">
        <f t="shared" si="12"/>
        <v>0</v>
      </c>
      <c r="U134" s="39">
        <f t="shared" si="13"/>
        <v>0</v>
      </c>
      <c r="V134" s="40">
        <v>35642</v>
      </c>
      <c r="W134" s="39">
        <v>4405.5</v>
      </c>
      <c r="X134" s="39">
        <v>7</v>
      </c>
      <c r="Y134" s="39">
        <v>4405.5</v>
      </c>
      <c r="Z134" s="249">
        <f t="shared" si="16"/>
        <v>0.15660137829043741</v>
      </c>
      <c r="AA134" s="219"/>
    </row>
    <row r="135" spans="2:27" x14ac:dyDescent="0.35">
      <c r="B135" s="40">
        <v>33323</v>
      </c>
      <c r="C135" s="39">
        <v>1498.4</v>
      </c>
      <c r="D135" s="219">
        <f t="shared" si="14"/>
        <v>-1.1347545367979019E-2</v>
      </c>
      <c r="F135" s="40">
        <v>33323</v>
      </c>
      <c r="G135" s="39">
        <v>1498.4</v>
      </c>
      <c r="H135" s="39">
        <f t="shared" si="9"/>
        <v>2</v>
      </c>
      <c r="I135" s="39">
        <f t="shared" si="10"/>
        <v>0</v>
      </c>
      <c r="K135" s="40">
        <v>33774</v>
      </c>
      <c r="L135" s="39">
        <v>1772.9</v>
      </c>
      <c r="M135" s="39">
        <v>5</v>
      </c>
      <c r="N135" s="39">
        <v>1772.9</v>
      </c>
      <c r="O135" s="219">
        <f t="shared" si="15"/>
        <v>-5.2880411254705353E-3</v>
      </c>
      <c r="Q135" s="40">
        <v>33323</v>
      </c>
      <c r="R135" s="39">
        <v>1498.4</v>
      </c>
      <c r="S135" s="39">
        <f t="shared" si="11"/>
        <v>3</v>
      </c>
      <c r="T135" s="39">
        <f t="shared" si="12"/>
        <v>0</v>
      </c>
      <c r="U135" s="39">
        <f t="shared" si="13"/>
        <v>0</v>
      </c>
      <c r="V135" s="40">
        <v>35671</v>
      </c>
      <c r="W135" s="39">
        <v>3919.8</v>
      </c>
      <c r="X135" s="39">
        <v>8</v>
      </c>
      <c r="Y135" s="39">
        <v>3919.8</v>
      </c>
      <c r="Z135" s="249">
        <f t="shared" si="16"/>
        <v>-0.11681312823202472</v>
      </c>
      <c r="AA135" s="219"/>
    </row>
    <row r="136" spans="2:27" x14ac:dyDescent="0.35">
      <c r="B136" s="40">
        <v>33324</v>
      </c>
      <c r="C136" s="39">
        <v>1508.8</v>
      </c>
      <c r="D136" s="219">
        <f t="shared" si="14"/>
        <v>6.9167607493142253E-3</v>
      </c>
      <c r="F136" s="40">
        <v>33324</v>
      </c>
      <c r="G136" s="39">
        <v>1508.8</v>
      </c>
      <c r="H136" s="39">
        <f t="shared" si="9"/>
        <v>3</v>
      </c>
      <c r="I136" s="39">
        <f t="shared" si="10"/>
        <v>0</v>
      </c>
      <c r="K136" s="40">
        <v>33781</v>
      </c>
      <c r="L136" s="39">
        <v>1754.1</v>
      </c>
      <c r="M136" s="39">
        <v>5</v>
      </c>
      <c r="N136" s="39">
        <v>1754.1</v>
      </c>
      <c r="O136" s="219">
        <f t="shared" si="15"/>
        <v>-1.066071905460037E-2</v>
      </c>
      <c r="Q136" s="40">
        <v>33324</v>
      </c>
      <c r="R136" s="39">
        <v>1508.8</v>
      </c>
      <c r="S136" s="39">
        <f t="shared" si="11"/>
        <v>3</v>
      </c>
      <c r="T136" s="39">
        <f t="shared" si="12"/>
        <v>0</v>
      </c>
      <c r="U136" s="39">
        <f t="shared" si="13"/>
        <v>0</v>
      </c>
      <c r="V136" s="40">
        <v>35703</v>
      </c>
      <c r="W136" s="39">
        <v>4154.8999999999996</v>
      </c>
      <c r="X136" s="39">
        <v>9</v>
      </c>
      <c r="Y136" s="39">
        <v>4154.8999999999996</v>
      </c>
      <c r="Z136" s="249">
        <f t="shared" si="16"/>
        <v>5.8247728536476202E-2</v>
      </c>
      <c r="AA136" s="219"/>
    </row>
    <row r="137" spans="2:27" x14ac:dyDescent="0.35">
      <c r="B137" s="40">
        <v>33325</v>
      </c>
      <c r="C137" s="39">
        <v>1522.8</v>
      </c>
      <c r="D137" s="219">
        <f t="shared" si="14"/>
        <v>9.2361126291491992E-3</v>
      </c>
      <c r="F137" s="40">
        <v>33325</v>
      </c>
      <c r="G137" s="39">
        <v>1522.8</v>
      </c>
      <c r="H137" s="39">
        <f t="shared" si="9"/>
        <v>4</v>
      </c>
      <c r="I137" s="39">
        <f t="shared" si="10"/>
        <v>1522.8</v>
      </c>
      <c r="K137" s="40">
        <v>33788</v>
      </c>
      <c r="L137" s="39">
        <v>1777</v>
      </c>
      <c r="M137" s="39">
        <v>5</v>
      </c>
      <c r="N137" s="39">
        <v>1777</v>
      </c>
      <c r="O137" s="219">
        <f t="shared" si="15"/>
        <v>1.2970644304916852E-2</v>
      </c>
      <c r="Q137" s="40">
        <v>33325</v>
      </c>
      <c r="R137" s="39">
        <v>1522.8</v>
      </c>
      <c r="S137" s="39">
        <f t="shared" si="11"/>
        <v>3</v>
      </c>
      <c r="T137" s="39">
        <f t="shared" si="12"/>
        <v>1522.8</v>
      </c>
      <c r="U137" s="39">
        <f t="shared" si="13"/>
        <v>1522.8</v>
      </c>
      <c r="V137" s="40">
        <v>35734</v>
      </c>
      <c r="W137" s="39">
        <v>3753.7</v>
      </c>
      <c r="X137" s="39">
        <v>10</v>
      </c>
      <c r="Y137" s="39">
        <v>3753.7</v>
      </c>
      <c r="Z137" s="249">
        <f t="shared" si="16"/>
        <v>-0.10154634041572815</v>
      </c>
      <c r="AA137" s="219"/>
    </row>
    <row r="138" spans="2:27" x14ac:dyDescent="0.35">
      <c r="B138" s="40">
        <v>33330</v>
      </c>
      <c r="C138" s="39">
        <v>1538.6</v>
      </c>
      <c r="D138" s="219">
        <f t="shared" si="14"/>
        <v>1.0322166516491892E-2</v>
      </c>
      <c r="F138" s="40">
        <v>33330</v>
      </c>
      <c r="G138" s="39">
        <v>1538.6</v>
      </c>
      <c r="H138" s="39">
        <f t="shared" si="9"/>
        <v>2</v>
      </c>
      <c r="I138" s="39">
        <f t="shared" si="10"/>
        <v>0</v>
      </c>
      <c r="K138" s="40">
        <v>33795</v>
      </c>
      <c r="L138" s="39">
        <v>1754.5</v>
      </c>
      <c r="M138" s="39">
        <v>5</v>
      </c>
      <c r="N138" s="39">
        <v>1754.5</v>
      </c>
      <c r="O138" s="219">
        <f t="shared" si="15"/>
        <v>-1.2742633131381504E-2</v>
      </c>
      <c r="Q138" s="40">
        <v>33330</v>
      </c>
      <c r="R138" s="39">
        <v>1538.6</v>
      </c>
      <c r="S138" s="39">
        <f t="shared" si="11"/>
        <v>4</v>
      </c>
      <c r="T138" s="39">
        <f t="shared" si="12"/>
        <v>0</v>
      </c>
      <c r="U138" s="39">
        <f t="shared" si="13"/>
        <v>0</v>
      </c>
      <c r="V138" s="40">
        <v>35762</v>
      </c>
      <c r="W138" s="39">
        <v>3972.1</v>
      </c>
      <c r="X138" s="39">
        <v>11</v>
      </c>
      <c r="Y138" s="39">
        <v>3972.1</v>
      </c>
      <c r="Z138" s="249">
        <f t="shared" si="16"/>
        <v>5.6552901886274883E-2</v>
      </c>
      <c r="AA138" s="219"/>
    </row>
    <row r="139" spans="2:27" x14ac:dyDescent="0.35">
      <c r="B139" s="40">
        <v>33331</v>
      </c>
      <c r="C139" s="39">
        <v>1577.5</v>
      </c>
      <c r="D139" s="219">
        <f t="shared" si="14"/>
        <v>2.496840339053405E-2</v>
      </c>
      <c r="F139" s="40">
        <v>33331</v>
      </c>
      <c r="G139" s="39">
        <v>1577.5</v>
      </c>
      <c r="H139" s="39">
        <f t="shared" si="9"/>
        <v>3</v>
      </c>
      <c r="I139" s="39">
        <f t="shared" si="10"/>
        <v>0</v>
      </c>
      <c r="K139" s="40">
        <v>33802</v>
      </c>
      <c r="L139" s="39">
        <v>1702.7</v>
      </c>
      <c r="M139" s="39">
        <v>5</v>
      </c>
      <c r="N139" s="39">
        <v>1702.7</v>
      </c>
      <c r="O139" s="219">
        <f t="shared" si="15"/>
        <v>-2.9968689596671573E-2</v>
      </c>
      <c r="Q139" s="40">
        <v>33331</v>
      </c>
      <c r="R139" s="39">
        <v>1577.5</v>
      </c>
      <c r="S139" s="39">
        <f t="shared" si="11"/>
        <v>4</v>
      </c>
      <c r="T139" s="39">
        <f t="shared" si="12"/>
        <v>0</v>
      </c>
      <c r="U139" s="39">
        <f t="shared" si="13"/>
        <v>0</v>
      </c>
      <c r="V139" s="40">
        <v>35794</v>
      </c>
      <c r="W139" s="39">
        <v>4224.3</v>
      </c>
      <c r="X139" s="39">
        <v>12</v>
      </c>
      <c r="Y139" s="39">
        <v>4224.3</v>
      </c>
      <c r="Z139" s="249">
        <f t="shared" si="16"/>
        <v>6.1558644509593037E-2</v>
      </c>
      <c r="AA139" s="219"/>
    </row>
    <row r="140" spans="2:27" x14ac:dyDescent="0.35">
      <c r="B140" s="40">
        <v>33332</v>
      </c>
      <c r="C140" s="39">
        <v>1572</v>
      </c>
      <c r="D140" s="219">
        <f t="shared" si="14"/>
        <v>-3.4926214262163578E-3</v>
      </c>
      <c r="F140" s="40">
        <v>33332</v>
      </c>
      <c r="G140" s="39">
        <v>1572</v>
      </c>
      <c r="H140" s="39">
        <f t="shared" si="9"/>
        <v>4</v>
      </c>
      <c r="I140" s="39">
        <f t="shared" si="10"/>
        <v>0</v>
      </c>
      <c r="K140" s="40">
        <v>33809</v>
      </c>
      <c r="L140" s="39">
        <v>1610.4</v>
      </c>
      <c r="M140" s="39">
        <v>5</v>
      </c>
      <c r="N140" s="39">
        <v>1610.4</v>
      </c>
      <c r="O140" s="219">
        <f t="shared" si="15"/>
        <v>-5.5732631101016498E-2</v>
      </c>
      <c r="Q140" s="40">
        <v>33332</v>
      </c>
      <c r="R140" s="39">
        <v>1572</v>
      </c>
      <c r="S140" s="39">
        <f t="shared" si="11"/>
        <v>4</v>
      </c>
      <c r="T140" s="39">
        <f t="shared" si="12"/>
        <v>0</v>
      </c>
      <c r="U140" s="39">
        <f t="shared" si="13"/>
        <v>0</v>
      </c>
      <c r="V140" s="40">
        <v>35825</v>
      </c>
      <c r="W140" s="39">
        <v>4442.5</v>
      </c>
      <c r="X140" s="39">
        <v>1</v>
      </c>
      <c r="Y140" s="39">
        <v>4442.5</v>
      </c>
      <c r="Z140" s="249">
        <f t="shared" si="16"/>
        <v>5.0363714437430741E-2</v>
      </c>
      <c r="AA140" s="219"/>
    </row>
    <row r="141" spans="2:27" x14ac:dyDescent="0.35">
      <c r="B141" s="40">
        <v>33333</v>
      </c>
      <c r="C141" s="39">
        <v>1586.9</v>
      </c>
      <c r="D141" s="219">
        <f t="shared" si="14"/>
        <v>9.4337335796447833E-3</v>
      </c>
      <c r="F141" s="40">
        <v>33333</v>
      </c>
      <c r="G141" s="39">
        <v>1586.9</v>
      </c>
      <c r="H141" s="39">
        <f t="shared" si="9"/>
        <v>5</v>
      </c>
      <c r="I141" s="39">
        <f t="shared" si="10"/>
        <v>1586.9</v>
      </c>
      <c r="K141" s="40">
        <v>33816</v>
      </c>
      <c r="L141" s="39">
        <v>1615.4</v>
      </c>
      <c r="M141" s="39">
        <v>5</v>
      </c>
      <c r="N141" s="39">
        <v>1615.4</v>
      </c>
      <c r="O141" s="219">
        <f t="shared" si="15"/>
        <v>3.1000086826141757E-3</v>
      </c>
      <c r="Q141" s="40">
        <v>33333</v>
      </c>
      <c r="R141" s="39">
        <v>1586.9</v>
      </c>
      <c r="S141" s="39">
        <f t="shared" si="11"/>
        <v>4</v>
      </c>
      <c r="T141" s="39">
        <f t="shared" si="12"/>
        <v>0</v>
      </c>
      <c r="U141" s="39">
        <f t="shared" si="13"/>
        <v>0</v>
      </c>
      <c r="V141" s="40">
        <v>35853</v>
      </c>
      <c r="W141" s="39">
        <v>4693.8999999999996</v>
      </c>
      <c r="X141" s="39">
        <v>2</v>
      </c>
      <c r="Y141" s="39">
        <v>4693.8999999999996</v>
      </c>
      <c r="Z141" s="249">
        <f t="shared" si="16"/>
        <v>5.5046512363158308E-2</v>
      </c>
      <c r="AA141" s="219"/>
    </row>
    <row r="142" spans="2:27" x14ac:dyDescent="0.35">
      <c r="B142" s="40">
        <v>33336</v>
      </c>
      <c r="C142" s="39">
        <v>1580</v>
      </c>
      <c r="D142" s="219">
        <f t="shared" si="14"/>
        <v>-4.3575805477842197E-3</v>
      </c>
      <c r="F142" s="40">
        <v>33336</v>
      </c>
      <c r="G142" s="39">
        <v>1580</v>
      </c>
      <c r="H142" s="39">
        <f t="shared" si="9"/>
        <v>1</v>
      </c>
      <c r="I142" s="39">
        <f t="shared" si="10"/>
        <v>0</v>
      </c>
      <c r="K142" s="40">
        <v>33823</v>
      </c>
      <c r="L142" s="39">
        <v>1609.5</v>
      </c>
      <c r="M142" s="39">
        <v>5</v>
      </c>
      <c r="N142" s="39">
        <v>1609.5</v>
      </c>
      <c r="O142" s="219">
        <f t="shared" si="15"/>
        <v>-3.6590322693331656E-3</v>
      </c>
      <c r="Q142" s="40">
        <v>33336</v>
      </c>
      <c r="R142" s="39">
        <v>1580</v>
      </c>
      <c r="S142" s="39">
        <f t="shared" si="11"/>
        <v>4</v>
      </c>
      <c r="T142" s="39">
        <f t="shared" si="12"/>
        <v>0</v>
      </c>
      <c r="U142" s="39">
        <f t="shared" si="13"/>
        <v>0</v>
      </c>
      <c r="V142" s="40">
        <v>35885</v>
      </c>
      <c r="W142" s="39">
        <v>5097.3</v>
      </c>
      <c r="X142" s="39">
        <v>3</v>
      </c>
      <c r="Y142" s="39">
        <v>5097.3</v>
      </c>
      <c r="Z142" s="249">
        <f t="shared" si="16"/>
        <v>8.2447194367858037E-2</v>
      </c>
      <c r="AA142" s="219"/>
    </row>
    <row r="143" spans="2:27" x14ac:dyDescent="0.35">
      <c r="B143" s="40">
        <v>33337</v>
      </c>
      <c r="C143" s="39">
        <v>1582.1</v>
      </c>
      <c r="D143" s="219">
        <f t="shared" si="14"/>
        <v>1.3282314340056557E-3</v>
      </c>
      <c r="F143" s="40">
        <v>33337</v>
      </c>
      <c r="G143" s="39">
        <v>1582.1</v>
      </c>
      <c r="H143" s="39">
        <f t="shared" si="9"/>
        <v>2</v>
      </c>
      <c r="I143" s="39">
        <f t="shared" si="10"/>
        <v>0</v>
      </c>
      <c r="K143" s="40">
        <v>33830</v>
      </c>
      <c r="L143" s="39">
        <v>1547.8</v>
      </c>
      <c r="M143" s="39">
        <v>5</v>
      </c>
      <c r="N143" s="39">
        <v>1547.8</v>
      </c>
      <c r="O143" s="219">
        <f t="shared" si="15"/>
        <v>-3.908900390250411E-2</v>
      </c>
      <c r="Q143" s="40">
        <v>33337</v>
      </c>
      <c r="R143" s="39">
        <v>1582.1</v>
      </c>
      <c r="S143" s="39">
        <f t="shared" si="11"/>
        <v>4</v>
      </c>
      <c r="T143" s="39">
        <f t="shared" si="12"/>
        <v>0</v>
      </c>
      <c r="U143" s="39">
        <f t="shared" si="13"/>
        <v>0</v>
      </c>
      <c r="V143" s="40">
        <v>35915</v>
      </c>
      <c r="W143" s="39">
        <v>5107.4399999999996</v>
      </c>
      <c r="X143" s="39">
        <v>4</v>
      </c>
      <c r="Y143" s="39">
        <v>5107.4399999999996</v>
      </c>
      <c r="Z143" s="249">
        <f t="shared" si="16"/>
        <v>1.9873124327030767E-3</v>
      </c>
      <c r="AA143" s="219"/>
    </row>
    <row r="144" spans="2:27" x14ac:dyDescent="0.35">
      <c r="B144" s="40">
        <v>33338</v>
      </c>
      <c r="C144" s="39">
        <v>1561.9</v>
      </c>
      <c r="D144" s="219">
        <f t="shared" si="14"/>
        <v>-1.2850049591341379E-2</v>
      </c>
      <c r="F144" s="40">
        <v>33338</v>
      </c>
      <c r="G144" s="39">
        <v>1561.9</v>
      </c>
      <c r="H144" s="39">
        <f t="shared" si="9"/>
        <v>3</v>
      </c>
      <c r="I144" s="39">
        <f t="shared" si="10"/>
        <v>0</v>
      </c>
      <c r="K144" s="40">
        <v>33837</v>
      </c>
      <c r="L144" s="39">
        <v>1520</v>
      </c>
      <c r="M144" s="39">
        <v>5</v>
      </c>
      <c r="N144" s="39">
        <v>1520</v>
      </c>
      <c r="O144" s="219">
        <f t="shared" si="15"/>
        <v>-1.8124232996036643E-2</v>
      </c>
      <c r="Q144" s="40">
        <v>33338</v>
      </c>
      <c r="R144" s="39">
        <v>1561.9</v>
      </c>
      <c r="S144" s="39">
        <f t="shared" si="11"/>
        <v>4</v>
      </c>
      <c r="T144" s="39">
        <f t="shared" si="12"/>
        <v>0</v>
      </c>
      <c r="U144" s="39">
        <f t="shared" si="13"/>
        <v>0</v>
      </c>
      <c r="V144" s="40">
        <v>35944</v>
      </c>
      <c r="W144" s="39">
        <v>5569.08</v>
      </c>
      <c r="X144" s="39">
        <v>5</v>
      </c>
      <c r="Y144" s="39">
        <v>5569.08</v>
      </c>
      <c r="Z144" s="249">
        <f t="shared" si="16"/>
        <v>8.6531569530092417E-2</v>
      </c>
      <c r="AA144" s="219"/>
    </row>
    <row r="145" spans="2:27" x14ac:dyDescent="0.35">
      <c r="B145" s="40">
        <v>33339</v>
      </c>
      <c r="C145" s="39">
        <v>1565.4</v>
      </c>
      <c r="D145" s="219">
        <f t="shared" si="14"/>
        <v>2.2383535070609308E-3</v>
      </c>
      <c r="F145" s="40">
        <v>33339</v>
      </c>
      <c r="G145" s="39">
        <v>1565.4</v>
      </c>
      <c r="H145" s="39">
        <f t="shared" si="9"/>
        <v>4</v>
      </c>
      <c r="I145" s="39">
        <f t="shared" si="10"/>
        <v>0</v>
      </c>
      <c r="K145" s="40">
        <v>33844</v>
      </c>
      <c r="L145" s="39">
        <v>1516.5</v>
      </c>
      <c r="M145" s="39">
        <v>5</v>
      </c>
      <c r="N145" s="39">
        <v>1516.5</v>
      </c>
      <c r="O145" s="219">
        <f t="shared" si="15"/>
        <v>-2.3052867116862955E-3</v>
      </c>
      <c r="Q145" s="40">
        <v>33339</v>
      </c>
      <c r="R145" s="39">
        <v>1565.4</v>
      </c>
      <c r="S145" s="39">
        <f t="shared" si="11"/>
        <v>4</v>
      </c>
      <c r="T145" s="39">
        <f t="shared" si="12"/>
        <v>0</v>
      </c>
      <c r="U145" s="39">
        <f t="shared" si="13"/>
        <v>0</v>
      </c>
      <c r="V145" s="40">
        <v>35976</v>
      </c>
      <c r="W145" s="39">
        <v>5897.44</v>
      </c>
      <c r="X145" s="39">
        <v>6</v>
      </c>
      <c r="Y145" s="39">
        <v>5897.44</v>
      </c>
      <c r="Z145" s="249">
        <f t="shared" si="16"/>
        <v>5.7288488704999779E-2</v>
      </c>
      <c r="AA145" s="219"/>
    </row>
    <row r="146" spans="2:27" x14ac:dyDescent="0.35">
      <c r="B146" s="40">
        <v>33340</v>
      </c>
      <c r="C146" s="39">
        <v>1583.1</v>
      </c>
      <c r="D146" s="219">
        <f t="shared" si="14"/>
        <v>1.1243567708993993E-2</v>
      </c>
      <c r="F146" s="40">
        <v>33340</v>
      </c>
      <c r="G146" s="39">
        <v>1583.1</v>
      </c>
      <c r="H146" s="39">
        <f t="shared" si="9"/>
        <v>5</v>
      </c>
      <c r="I146" s="39">
        <f t="shared" si="10"/>
        <v>1583.1</v>
      </c>
      <c r="K146" s="40">
        <v>33851</v>
      </c>
      <c r="L146" s="39">
        <v>1536.5</v>
      </c>
      <c r="M146" s="39">
        <v>5</v>
      </c>
      <c r="N146" s="39">
        <v>1536.5</v>
      </c>
      <c r="O146" s="219">
        <f t="shared" si="15"/>
        <v>1.3102054441903656E-2</v>
      </c>
      <c r="Q146" s="40">
        <v>33340</v>
      </c>
      <c r="R146" s="39">
        <v>1583.1</v>
      </c>
      <c r="S146" s="39">
        <f t="shared" si="11"/>
        <v>4</v>
      </c>
      <c r="T146" s="39">
        <f t="shared" si="12"/>
        <v>0</v>
      </c>
      <c r="U146" s="39">
        <f t="shared" si="13"/>
        <v>0</v>
      </c>
      <c r="V146" s="40">
        <v>36007</v>
      </c>
      <c r="W146" s="39">
        <v>5873.92</v>
      </c>
      <c r="X146" s="39">
        <v>7</v>
      </c>
      <c r="Y146" s="39">
        <v>5873.92</v>
      </c>
      <c r="Z146" s="249">
        <f t="shared" si="16"/>
        <v>-3.9961451012585436E-3</v>
      </c>
      <c r="AA146" s="219"/>
    </row>
    <row r="147" spans="2:27" x14ac:dyDescent="0.35">
      <c r="B147" s="40">
        <v>33343</v>
      </c>
      <c r="C147" s="39">
        <v>1601.4</v>
      </c>
      <c r="D147" s="219">
        <f t="shared" si="14"/>
        <v>1.1493296558801661E-2</v>
      </c>
      <c r="F147" s="40">
        <v>33343</v>
      </c>
      <c r="G147" s="39">
        <v>1601.4</v>
      </c>
      <c r="H147" s="39">
        <f t="shared" si="9"/>
        <v>1</v>
      </c>
      <c r="I147" s="39">
        <f t="shared" si="10"/>
        <v>0</v>
      </c>
      <c r="K147" s="40">
        <v>33858</v>
      </c>
      <c r="L147" s="39">
        <v>1527.8</v>
      </c>
      <c r="M147" s="39">
        <v>5</v>
      </c>
      <c r="N147" s="39">
        <v>1527.8</v>
      </c>
      <c r="O147" s="219">
        <f t="shared" si="15"/>
        <v>-5.6783104632800018E-3</v>
      </c>
      <c r="Q147" s="40">
        <v>33343</v>
      </c>
      <c r="R147" s="39">
        <v>1601.4</v>
      </c>
      <c r="S147" s="39">
        <f t="shared" si="11"/>
        <v>4</v>
      </c>
      <c r="T147" s="39">
        <f t="shared" si="12"/>
        <v>0</v>
      </c>
      <c r="U147" s="39">
        <f t="shared" si="13"/>
        <v>0</v>
      </c>
      <c r="V147" s="40">
        <v>36038</v>
      </c>
      <c r="W147" s="39">
        <v>4833.8900000000003</v>
      </c>
      <c r="X147" s="39">
        <v>8</v>
      </c>
      <c r="Y147" s="39">
        <v>4833.8900000000003</v>
      </c>
      <c r="Z147" s="249">
        <f t="shared" si="16"/>
        <v>-0.19487068680384337</v>
      </c>
      <c r="AA147" s="219"/>
    </row>
    <row r="148" spans="2:27" x14ac:dyDescent="0.35">
      <c r="B148" s="40">
        <v>33344</v>
      </c>
      <c r="C148" s="39">
        <v>1603.4</v>
      </c>
      <c r="D148" s="219">
        <f t="shared" si="14"/>
        <v>1.2481279703177406E-3</v>
      </c>
      <c r="F148" s="40">
        <v>33344</v>
      </c>
      <c r="G148" s="39">
        <v>1603.4</v>
      </c>
      <c r="H148" s="39">
        <f t="shared" si="9"/>
        <v>2</v>
      </c>
      <c r="I148" s="39">
        <f t="shared" si="10"/>
        <v>0</v>
      </c>
      <c r="K148" s="40">
        <v>33865</v>
      </c>
      <c r="L148" s="39">
        <v>1589.3</v>
      </c>
      <c r="M148" s="39">
        <v>5</v>
      </c>
      <c r="N148" s="39">
        <v>1589.3</v>
      </c>
      <c r="O148" s="219">
        <f t="shared" si="15"/>
        <v>3.9464875595514516E-2</v>
      </c>
      <c r="Q148" s="40">
        <v>33344</v>
      </c>
      <c r="R148" s="39">
        <v>1603.4</v>
      </c>
      <c r="S148" s="39">
        <f t="shared" si="11"/>
        <v>4</v>
      </c>
      <c r="T148" s="39">
        <f t="shared" si="12"/>
        <v>0</v>
      </c>
      <c r="U148" s="39">
        <f t="shared" si="13"/>
        <v>0</v>
      </c>
      <c r="V148" s="40">
        <v>36068</v>
      </c>
      <c r="W148" s="39">
        <v>4474.51</v>
      </c>
      <c r="X148" s="39">
        <v>9</v>
      </c>
      <c r="Y148" s="39">
        <v>4474.51</v>
      </c>
      <c r="Z148" s="249">
        <f t="shared" si="16"/>
        <v>-7.7254678015520856E-2</v>
      </c>
      <c r="AA148" s="219"/>
    </row>
    <row r="149" spans="2:27" x14ac:dyDescent="0.35">
      <c r="B149" s="40">
        <v>33345</v>
      </c>
      <c r="C149" s="39">
        <v>1623.8</v>
      </c>
      <c r="D149" s="219">
        <f t="shared" si="14"/>
        <v>1.2642706819494753E-2</v>
      </c>
      <c r="F149" s="40">
        <v>33345</v>
      </c>
      <c r="G149" s="39">
        <v>1623.8</v>
      </c>
      <c r="H149" s="39">
        <f t="shared" si="9"/>
        <v>3</v>
      </c>
      <c r="I149" s="39">
        <f t="shared" si="10"/>
        <v>0</v>
      </c>
      <c r="K149" s="40">
        <v>33872</v>
      </c>
      <c r="L149" s="39">
        <v>1513.4</v>
      </c>
      <c r="M149" s="39">
        <v>5</v>
      </c>
      <c r="N149" s="39">
        <v>1513.4</v>
      </c>
      <c r="O149" s="219">
        <f t="shared" si="15"/>
        <v>-4.89348924423526E-2</v>
      </c>
      <c r="Q149" s="40">
        <v>33345</v>
      </c>
      <c r="R149" s="39">
        <v>1623.8</v>
      </c>
      <c r="S149" s="39">
        <f t="shared" si="11"/>
        <v>4</v>
      </c>
      <c r="T149" s="39">
        <f t="shared" si="12"/>
        <v>0</v>
      </c>
      <c r="U149" s="39">
        <f t="shared" si="13"/>
        <v>0</v>
      </c>
      <c r="V149" s="40">
        <v>36098</v>
      </c>
      <c r="W149" s="39">
        <v>4671.12</v>
      </c>
      <c r="X149" s="39">
        <v>10</v>
      </c>
      <c r="Y149" s="39">
        <v>4671.12</v>
      </c>
      <c r="Z149" s="249">
        <f t="shared" si="16"/>
        <v>4.3002023095434244E-2</v>
      </c>
      <c r="AA149" s="219"/>
    </row>
    <row r="150" spans="2:27" x14ac:dyDescent="0.35">
      <c r="B150" s="40">
        <v>33346</v>
      </c>
      <c r="C150" s="39">
        <v>1613.8</v>
      </c>
      <c r="D150" s="219">
        <f t="shared" si="14"/>
        <v>-6.1774350139398825E-3</v>
      </c>
      <c r="F150" s="40">
        <v>33346</v>
      </c>
      <c r="G150" s="39">
        <v>1613.8</v>
      </c>
      <c r="H150" s="39">
        <f t="shared" si="9"/>
        <v>4</v>
      </c>
      <c r="I150" s="39">
        <f t="shared" si="10"/>
        <v>0</v>
      </c>
      <c r="K150" s="40">
        <v>33879</v>
      </c>
      <c r="L150" s="39">
        <v>1478</v>
      </c>
      <c r="M150" s="39">
        <v>5</v>
      </c>
      <c r="N150" s="39">
        <v>1478</v>
      </c>
      <c r="O150" s="219">
        <f t="shared" si="15"/>
        <v>-2.3668952752274222E-2</v>
      </c>
      <c r="Q150" s="40">
        <v>33346</v>
      </c>
      <c r="R150" s="39">
        <v>1613.8</v>
      </c>
      <c r="S150" s="39">
        <f t="shared" si="11"/>
        <v>4</v>
      </c>
      <c r="T150" s="39">
        <f t="shared" si="12"/>
        <v>0</v>
      </c>
      <c r="U150" s="39">
        <f t="shared" si="13"/>
        <v>0</v>
      </c>
      <c r="V150" s="40">
        <v>36129</v>
      </c>
      <c r="W150" s="39">
        <v>5022.7</v>
      </c>
      <c r="X150" s="39">
        <v>11</v>
      </c>
      <c r="Y150" s="39">
        <v>5022.7</v>
      </c>
      <c r="Z150" s="249">
        <f t="shared" si="16"/>
        <v>7.2568766100204338E-2</v>
      </c>
      <c r="AA150" s="219"/>
    </row>
    <row r="151" spans="2:27" x14ac:dyDescent="0.35">
      <c r="B151" s="40">
        <v>33347</v>
      </c>
      <c r="C151" s="39">
        <v>1599.4</v>
      </c>
      <c r="D151" s="219">
        <f t="shared" si="14"/>
        <v>-8.9630875166165705E-3</v>
      </c>
      <c r="F151" s="40">
        <v>33347</v>
      </c>
      <c r="G151" s="39">
        <v>1599.4</v>
      </c>
      <c r="H151" s="39">
        <f t="shared" si="9"/>
        <v>5</v>
      </c>
      <c r="I151" s="39">
        <f t="shared" si="10"/>
        <v>1599.4</v>
      </c>
      <c r="K151" s="40">
        <v>33886</v>
      </c>
      <c r="L151" s="39">
        <v>1439.7</v>
      </c>
      <c r="M151" s="39">
        <v>5</v>
      </c>
      <c r="N151" s="39">
        <v>1439.7</v>
      </c>
      <c r="O151" s="219">
        <f t="shared" si="15"/>
        <v>-2.6255063975837559E-2</v>
      </c>
      <c r="Q151" s="40">
        <v>33347</v>
      </c>
      <c r="R151" s="39">
        <v>1599.4</v>
      </c>
      <c r="S151" s="39">
        <f t="shared" si="11"/>
        <v>4</v>
      </c>
      <c r="T151" s="39">
        <f t="shared" si="12"/>
        <v>0</v>
      </c>
      <c r="U151" s="39">
        <f t="shared" si="13"/>
        <v>0</v>
      </c>
      <c r="V151" s="40">
        <v>36159</v>
      </c>
      <c r="W151" s="39">
        <v>5002.3900000000003</v>
      </c>
      <c r="X151" s="39">
        <v>12</v>
      </c>
      <c r="Y151" s="39">
        <v>5002.3900000000003</v>
      </c>
      <c r="Z151" s="249">
        <f t="shared" si="16"/>
        <v>-4.0518394920039009E-3</v>
      </c>
      <c r="AA151" s="219"/>
    </row>
    <row r="152" spans="2:27" x14ac:dyDescent="0.35">
      <c r="B152" s="40">
        <v>33350</v>
      </c>
      <c r="C152" s="39">
        <v>1571.9</v>
      </c>
      <c r="D152" s="219">
        <f t="shared" si="14"/>
        <v>-1.7343480163597321E-2</v>
      </c>
      <c r="F152" s="40">
        <v>33350</v>
      </c>
      <c r="G152" s="39">
        <v>1571.9</v>
      </c>
      <c r="H152" s="39">
        <f t="shared" si="9"/>
        <v>1</v>
      </c>
      <c r="I152" s="39">
        <f t="shared" si="10"/>
        <v>0</v>
      </c>
      <c r="K152" s="40">
        <v>33893</v>
      </c>
      <c r="L152" s="39">
        <v>1461.6</v>
      </c>
      <c r="M152" s="39">
        <v>5</v>
      </c>
      <c r="N152" s="39">
        <v>1461.6</v>
      </c>
      <c r="O152" s="219">
        <f t="shared" si="15"/>
        <v>1.5096967531487262E-2</v>
      </c>
      <c r="Q152" s="40">
        <v>33350</v>
      </c>
      <c r="R152" s="39">
        <v>1571.9</v>
      </c>
      <c r="S152" s="39">
        <f t="shared" si="11"/>
        <v>4</v>
      </c>
      <c r="T152" s="39">
        <f t="shared" si="12"/>
        <v>0</v>
      </c>
      <c r="U152" s="39">
        <f t="shared" si="13"/>
        <v>0</v>
      </c>
      <c r="V152" s="40">
        <v>36189</v>
      </c>
      <c r="W152" s="39">
        <v>5159.96</v>
      </c>
      <c r="X152" s="39">
        <v>1</v>
      </c>
      <c r="Y152" s="39">
        <v>5159.96</v>
      </c>
      <c r="Z152" s="249">
        <f t="shared" si="16"/>
        <v>3.1013029296947985E-2</v>
      </c>
      <c r="AA152" s="219"/>
    </row>
    <row r="153" spans="2:27" x14ac:dyDescent="0.35">
      <c r="B153" s="40">
        <v>33351</v>
      </c>
      <c r="C153" s="39">
        <v>1597.1</v>
      </c>
      <c r="D153" s="219">
        <f t="shared" si="14"/>
        <v>1.5904405928071449E-2</v>
      </c>
      <c r="F153" s="40">
        <v>33351</v>
      </c>
      <c r="G153" s="39">
        <v>1597.1</v>
      </c>
      <c r="H153" s="39">
        <f t="shared" si="9"/>
        <v>2</v>
      </c>
      <c r="I153" s="39">
        <f t="shared" si="10"/>
        <v>0</v>
      </c>
      <c r="K153" s="40">
        <v>33900</v>
      </c>
      <c r="L153" s="39">
        <v>1526.8</v>
      </c>
      <c r="M153" s="39">
        <v>5</v>
      </c>
      <c r="N153" s="39">
        <v>1526.8</v>
      </c>
      <c r="O153" s="219">
        <f t="shared" si="15"/>
        <v>4.3642315807277676E-2</v>
      </c>
      <c r="Q153" s="40">
        <v>33351</v>
      </c>
      <c r="R153" s="39">
        <v>1597.1</v>
      </c>
      <c r="S153" s="39">
        <f t="shared" si="11"/>
        <v>4</v>
      </c>
      <c r="T153" s="39">
        <f t="shared" si="12"/>
        <v>0</v>
      </c>
      <c r="U153" s="39">
        <f t="shared" si="13"/>
        <v>0</v>
      </c>
      <c r="V153" s="40">
        <v>36217</v>
      </c>
      <c r="W153" s="39">
        <v>4911.8100000000004</v>
      </c>
      <c r="X153" s="39">
        <v>2</v>
      </c>
      <c r="Y153" s="39">
        <v>4911.8100000000004</v>
      </c>
      <c r="Z153" s="249">
        <f t="shared" si="16"/>
        <v>-4.9286318210478658E-2</v>
      </c>
      <c r="AA153" s="219"/>
    </row>
    <row r="154" spans="2:27" x14ac:dyDescent="0.35">
      <c r="B154" s="40">
        <v>33352</v>
      </c>
      <c r="C154" s="39">
        <v>1603.7</v>
      </c>
      <c r="D154" s="219">
        <f t="shared" si="14"/>
        <v>4.1239748524995231E-3</v>
      </c>
      <c r="F154" s="40">
        <v>33352</v>
      </c>
      <c r="G154" s="39">
        <v>1603.7</v>
      </c>
      <c r="H154" s="39">
        <f t="shared" si="9"/>
        <v>3</v>
      </c>
      <c r="I154" s="39">
        <f t="shared" si="10"/>
        <v>0</v>
      </c>
      <c r="K154" s="40">
        <v>33907</v>
      </c>
      <c r="L154" s="39">
        <v>1492.3</v>
      </c>
      <c r="M154" s="39">
        <v>5</v>
      </c>
      <c r="N154" s="39">
        <v>1492.3</v>
      </c>
      <c r="O154" s="219">
        <f t="shared" si="15"/>
        <v>-2.2855487933652351E-2</v>
      </c>
      <c r="Q154" s="40">
        <v>33352</v>
      </c>
      <c r="R154" s="39">
        <v>1603.7</v>
      </c>
      <c r="S154" s="39">
        <f t="shared" si="11"/>
        <v>4</v>
      </c>
      <c r="T154" s="39">
        <f t="shared" si="12"/>
        <v>0</v>
      </c>
      <c r="U154" s="39">
        <f t="shared" si="13"/>
        <v>0</v>
      </c>
      <c r="V154" s="40">
        <v>36250</v>
      </c>
      <c r="W154" s="39">
        <v>4884.2</v>
      </c>
      <c r="X154" s="39">
        <v>3</v>
      </c>
      <c r="Y154" s="39">
        <v>4884.2</v>
      </c>
      <c r="Z154" s="249">
        <f t="shared" si="16"/>
        <v>-5.6370038639834774E-3</v>
      </c>
      <c r="AA154" s="219"/>
    </row>
    <row r="155" spans="2:27" x14ac:dyDescent="0.35">
      <c r="B155" s="40">
        <v>33353</v>
      </c>
      <c r="C155" s="39">
        <v>1620.5</v>
      </c>
      <c r="D155" s="219">
        <f t="shared" si="14"/>
        <v>1.0421284066838885E-2</v>
      </c>
      <c r="F155" s="40">
        <v>33353</v>
      </c>
      <c r="G155" s="39">
        <v>1620.5</v>
      </c>
      <c r="H155" s="39">
        <f t="shared" si="9"/>
        <v>4</v>
      </c>
      <c r="I155" s="39">
        <f t="shared" si="10"/>
        <v>0</v>
      </c>
      <c r="K155" s="40">
        <v>33914</v>
      </c>
      <c r="L155" s="39">
        <v>1487.2</v>
      </c>
      <c r="M155" s="39">
        <v>5</v>
      </c>
      <c r="N155" s="39">
        <v>1487.2</v>
      </c>
      <c r="O155" s="219">
        <f t="shared" si="15"/>
        <v>-3.4233965301879465E-3</v>
      </c>
      <c r="Q155" s="40">
        <v>33353</v>
      </c>
      <c r="R155" s="39">
        <v>1620.5</v>
      </c>
      <c r="S155" s="39">
        <f t="shared" si="11"/>
        <v>4</v>
      </c>
      <c r="T155" s="39">
        <f t="shared" si="12"/>
        <v>0</v>
      </c>
      <c r="U155" s="39">
        <f t="shared" si="13"/>
        <v>0</v>
      </c>
      <c r="V155" s="40">
        <v>36280</v>
      </c>
      <c r="W155" s="39">
        <v>5393.11</v>
      </c>
      <c r="X155" s="39">
        <v>4</v>
      </c>
      <c r="Y155" s="39">
        <v>5393.11</v>
      </c>
      <c r="Z155" s="249">
        <f t="shared" si="16"/>
        <v>9.9116707506780172E-2</v>
      </c>
      <c r="AA155" s="219"/>
    </row>
    <row r="156" spans="2:27" x14ac:dyDescent="0.35">
      <c r="B156" s="40">
        <v>33354</v>
      </c>
      <c r="C156" s="39">
        <v>1623.8</v>
      </c>
      <c r="D156" s="219">
        <f t="shared" si="14"/>
        <v>2.0343378467440098E-3</v>
      </c>
      <c r="F156" s="40">
        <v>33354</v>
      </c>
      <c r="G156" s="39">
        <v>1623.8</v>
      </c>
      <c r="H156" s="39">
        <f t="shared" si="9"/>
        <v>5</v>
      </c>
      <c r="I156" s="39">
        <f t="shared" si="10"/>
        <v>1623.8</v>
      </c>
      <c r="K156" s="40">
        <v>33921</v>
      </c>
      <c r="L156" s="39">
        <v>1548.5</v>
      </c>
      <c r="M156" s="39">
        <v>5</v>
      </c>
      <c r="N156" s="39">
        <v>1548.5</v>
      </c>
      <c r="O156" s="219">
        <f t="shared" si="15"/>
        <v>4.0391563006023111E-2</v>
      </c>
      <c r="Q156" s="40">
        <v>33354</v>
      </c>
      <c r="R156" s="39">
        <v>1623.8</v>
      </c>
      <c r="S156" s="39">
        <f t="shared" si="11"/>
        <v>4</v>
      </c>
      <c r="T156" s="39">
        <f t="shared" si="12"/>
        <v>0</v>
      </c>
      <c r="U156" s="39">
        <f t="shared" si="13"/>
        <v>0</v>
      </c>
      <c r="V156" s="40">
        <v>36311</v>
      </c>
      <c r="W156" s="39">
        <v>5069.83</v>
      </c>
      <c r="X156" s="39">
        <v>5</v>
      </c>
      <c r="Y156" s="39">
        <v>5069.83</v>
      </c>
      <c r="Z156" s="249">
        <f t="shared" si="16"/>
        <v>-6.1814926488820802E-2</v>
      </c>
      <c r="AA156" s="219"/>
    </row>
    <row r="157" spans="2:27" x14ac:dyDescent="0.35">
      <c r="B157" s="40">
        <v>33357</v>
      </c>
      <c r="C157" s="39">
        <v>1620.3</v>
      </c>
      <c r="D157" s="219">
        <f t="shared" si="14"/>
        <v>-2.1577641613909214E-3</v>
      </c>
      <c r="F157" s="40">
        <v>33357</v>
      </c>
      <c r="G157" s="39">
        <v>1620.3</v>
      </c>
      <c r="H157" s="39">
        <f t="shared" si="9"/>
        <v>1</v>
      </c>
      <c r="I157" s="39">
        <f t="shared" si="10"/>
        <v>0</v>
      </c>
      <c r="K157" s="40">
        <v>33928</v>
      </c>
      <c r="L157" s="39">
        <v>1544.8</v>
      </c>
      <c r="M157" s="39">
        <v>5</v>
      </c>
      <c r="N157" s="39">
        <v>1544.8</v>
      </c>
      <c r="O157" s="219">
        <f t="shared" si="15"/>
        <v>-2.3922682989527965E-3</v>
      </c>
      <c r="Q157" s="40">
        <v>33357</v>
      </c>
      <c r="R157" s="39">
        <v>1620.3</v>
      </c>
      <c r="S157" s="39">
        <f t="shared" si="11"/>
        <v>4</v>
      </c>
      <c r="T157" s="39">
        <f t="shared" si="12"/>
        <v>0</v>
      </c>
      <c r="U157" s="39">
        <f t="shared" si="13"/>
        <v>0</v>
      </c>
      <c r="V157" s="40">
        <v>36341</v>
      </c>
      <c r="W157" s="39">
        <v>5378.52</v>
      </c>
      <c r="X157" s="39">
        <v>6</v>
      </c>
      <c r="Y157" s="39">
        <v>5378.52</v>
      </c>
      <c r="Z157" s="249">
        <f t="shared" si="16"/>
        <v>5.9105956922950086E-2</v>
      </c>
      <c r="AA157" s="219"/>
    </row>
    <row r="158" spans="2:27" x14ac:dyDescent="0.35">
      <c r="B158" s="40">
        <v>33358</v>
      </c>
      <c r="C158" s="39">
        <v>1605.8</v>
      </c>
      <c r="D158" s="219">
        <f t="shared" si="14"/>
        <v>-8.9892425163715546E-3</v>
      </c>
      <c r="F158" s="40">
        <v>33358</v>
      </c>
      <c r="G158" s="39">
        <v>1605.8</v>
      </c>
      <c r="H158" s="39">
        <f t="shared" si="9"/>
        <v>2</v>
      </c>
      <c r="I158" s="39">
        <f t="shared" si="10"/>
        <v>0</v>
      </c>
      <c r="K158" s="40">
        <v>33935</v>
      </c>
      <c r="L158" s="39">
        <v>1523</v>
      </c>
      <c r="M158" s="39">
        <v>5</v>
      </c>
      <c r="N158" s="39">
        <v>1523</v>
      </c>
      <c r="O158" s="219">
        <f t="shared" si="15"/>
        <v>-1.4212378219142825E-2</v>
      </c>
      <c r="Q158" s="40">
        <v>33358</v>
      </c>
      <c r="R158" s="39">
        <v>1605.8</v>
      </c>
      <c r="S158" s="39">
        <f t="shared" si="11"/>
        <v>4</v>
      </c>
      <c r="T158" s="39">
        <f t="shared" si="12"/>
        <v>1605.8</v>
      </c>
      <c r="U158" s="39">
        <f t="shared" si="13"/>
        <v>1605.8</v>
      </c>
      <c r="V158" s="40">
        <v>36371</v>
      </c>
      <c r="W158" s="39">
        <v>5101.87</v>
      </c>
      <c r="X158" s="39">
        <v>7</v>
      </c>
      <c r="Y158" s="39">
        <v>5101.87</v>
      </c>
      <c r="Z158" s="249">
        <f t="shared" si="16"/>
        <v>-5.2806104200735386E-2</v>
      </c>
      <c r="AA158" s="219"/>
    </row>
    <row r="159" spans="2:27" x14ac:dyDescent="0.35">
      <c r="B159" s="40">
        <v>33360</v>
      </c>
      <c r="C159" s="39">
        <v>1630</v>
      </c>
      <c r="D159" s="219">
        <f t="shared" si="14"/>
        <v>1.4957940050224319E-2</v>
      </c>
      <c r="F159" s="40">
        <v>33360</v>
      </c>
      <c r="G159" s="39">
        <v>1630</v>
      </c>
      <c r="H159" s="39">
        <f t="shared" si="9"/>
        <v>4</v>
      </c>
      <c r="I159" s="39">
        <f t="shared" si="10"/>
        <v>0</v>
      </c>
      <c r="K159" s="40">
        <v>33942</v>
      </c>
      <c r="L159" s="39">
        <v>1522.2</v>
      </c>
      <c r="M159" s="39">
        <v>5</v>
      </c>
      <c r="N159" s="39">
        <v>1522.2</v>
      </c>
      <c r="O159" s="219">
        <f t="shared" si="15"/>
        <v>-5.2541706187053617E-4</v>
      </c>
      <c r="Q159" s="40">
        <v>33360</v>
      </c>
      <c r="R159" s="39">
        <v>1630</v>
      </c>
      <c r="S159" s="39">
        <f t="shared" si="11"/>
        <v>5</v>
      </c>
      <c r="T159" s="39">
        <f t="shared" si="12"/>
        <v>0</v>
      </c>
      <c r="U159" s="39">
        <f t="shared" si="13"/>
        <v>0</v>
      </c>
      <c r="V159" s="40">
        <v>36403</v>
      </c>
      <c r="W159" s="39">
        <v>5270.77</v>
      </c>
      <c r="X159" s="39">
        <v>8</v>
      </c>
      <c r="Y159" s="39">
        <v>5270.77</v>
      </c>
      <c r="Z159" s="249">
        <f t="shared" si="16"/>
        <v>3.2569322746010099E-2</v>
      </c>
      <c r="AA159" s="219"/>
    </row>
    <row r="160" spans="2:27" x14ac:dyDescent="0.35">
      <c r="B160" s="40">
        <v>33361</v>
      </c>
      <c r="C160" s="39">
        <v>1631.8</v>
      </c>
      <c r="D160" s="219">
        <f t="shared" si="14"/>
        <v>1.1036851938917558E-3</v>
      </c>
      <c r="F160" s="40">
        <v>33361</v>
      </c>
      <c r="G160" s="39">
        <v>1631.8</v>
      </c>
      <c r="H160" s="39">
        <f t="shared" si="9"/>
        <v>5</v>
      </c>
      <c r="I160" s="39">
        <f t="shared" si="10"/>
        <v>1631.8</v>
      </c>
      <c r="K160" s="40">
        <v>33949</v>
      </c>
      <c r="L160" s="39">
        <v>1476</v>
      </c>
      <c r="M160" s="39">
        <v>5</v>
      </c>
      <c r="N160" s="39">
        <v>1476</v>
      </c>
      <c r="O160" s="219">
        <f t="shared" si="15"/>
        <v>-3.0820930672873413E-2</v>
      </c>
      <c r="Q160" s="40">
        <v>33361</v>
      </c>
      <c r="R160" s="39">
        <v>1631.8</v>
      </c>
      <c r="S160" s="39">
        <f t="shared" si="11"/>
        <v>5</v>
      </c>
      <c r="T160" s="39">
        <f t="shared" si="12"/>
        <v>0</v>
      </c>
      <c r="U160" s="39">
        <f t="shared" si="13"/>
        <v>0</v>
      </c>
      <c r="V160" s="40">
        <v>36433</v>
      </c>
      <c r="W160" s="39">
        <v>5149.83</v>
      </c>
      <c r="X160" s="39">
        <v>9</v>
      </c>
      <c r="Y160" s="39">
        <v>5149.83</v>
      </c>
      <c r="Z160" s="249">
        <f t="shared" si="16"/>
        <v>-2.3212757515087775E-2</v>
      </c>
      <c r="AA160" s="219"/>
    </row>
    <row r="161" spans="2:27" x14ac:dyDescent="0.35">
      <c r="B161" s="40">
        <v>33364</v>
      </c>
      <c r="C161" s="39">
        <v>1624</v>
      </c>
      <c r="D161" s="219">
        <f t="shared" si="14"/>
        <v>-4.7914582730765199E-3</v>
      </c>
      <c r="F161" s="40">
        <v>33364</v>
      </c>
      <c r="G161" s="39">
        <v>1624</v>
      </c>
      <c r="H161" s="39">
        <f t="shared" si="9"/>
        <v>1</v>
      </c>
      <c r="I161" s="39">
        <f t="shared" si="10"/>
        <v>0</v>
      </c>
      <c r="K161" s="40">
        <v>33956</v>
      </c>
      <c r="L161" s="39">
        <v>1492</v>
      </c>
      <c r="M161" s="39">
        <v>5</v>
      </c>
      <c r="N161" s="39">
        <v>1492</v>
      </c>
      <c r="O161" s="219">
        <f t="shared" si="15"/>
        <v>1.0781775603288413E-2</v>
      </c>
      <c r="Q161" s="40">
        <v>33364</v>
      </c>
      <c r="R161" s="39">
        <v>1624</v>
      </c>
      <c r="S161" s="39">
        <f t="shared" si="11"/>
        <v>5</v>
      </c>
      <c r="T161" s="39">
        <f t="shared" si="12"/>
        <v>0</v>
      </c>
      <c r="U161" s="39">
        <f t="shared" si="13"/>
        <v>0</v>
      </c>
      <c r="V161" s="40">
        <v>36462</v>
      </c>
      <c r="W161" s="39">
        <v>5525.4</v>
      </c>
      <c r="X161" s="39">
        <v>10</v>
      </c>
      <c r="Y161" s="39">
        <v>5525.4</v>
      </c>
      <c r="Z161" s="249">
        <f t="shared" si="16"/>
        <v>7.0391938551164795E-2</v>
      </c>
      <c r="AA161" s="219"/>
    </row>
    <row r="162" spans="2:27" x14ac:dyDescent="0.35">
      <c r="B162" s="40">
        <v>33365</v>
      </c>
      <c r="C162" s="39">
        <v>1627.5</v>
      </c>
      <c r="D162" s="219">
        <f t="shared" si="14"/>
        <v>2.1528533611010927E-3</v>
      </c>
      <c r="F162" s="40">
        <v>33365</v>
      </c>
      <c r="G162" s="39">
        <v>1627.5</v>
      </c>
      <c r="H162" s="39">
        <f t="shared" si="9"/>
        <v>2</v>
      </c>
      <c r="I162" s="39">
        <f t="shared" si="10"/>
        <v>0</v>
      </c>
      <c r="K162" s="40">
        <v>33961</v>
      </c>
      <c r="L162" s="39">
        <v>1527</v>
      </c>
      <c r="M162" s="39">
        <v>3</v>
      </c>
      <c r="N162" s="39">
        <v>1527</v>
      </c>
      <c r="O162" s="219">
        <f t="shared" si="15"/>
        <v>2.3187524454926237E-2</v>
      </c>
      <c r="Q162" s="40">
        <v>33365</v>
      </c>
      <c r="R162" s="39">
        <v>1627.5</v>
      </c>
      <c r="S162" s="39">
        <f t="shared" si="11"/>
        <v>5</v>
      </c>
      <c r="T162" s="39">
        <f t="shared" si="12"/>
        <v>0</v>
      </c>
      <c r="U162" s="39">
        <f t="shared" si="13"/>
        <v>0</v>
      </c>
      <c r="V162" s="40">
        <v>36494</v>
      </c>
      <c r="W162" s="39">
        <v>5896.04</v>
      </c>
      <c r="X162" s="39">
        <v>11</v>
      </c>
      <c r="Y162" s="39">
        <v>5896.04</v>
      </c>
      <c r="Z162" s="249">
        <f t="shared" si="16"/>
        <v>6.49252961512988E-2</v>
      </c>
      <c r="AA162" s="219"/>
    </row>
    <row r="163" spans="2:27" x14ac:dyDescent="0.35">
      <c r="B163" s="40">
        <v>33366</v>
      </c>
      <c r="C163" s="39">
        <v>1607.3</v>
      </c>
      <c r="D163" s="219">
        <f t="shared" si="14"/>
        <v>-1.2489342507629049E-2</v>
      </c>
      <c r="F163" s="40">
        <v>33366</v>
      </c>
      <c r="G163" s="39">
        <v>1607.3</v>
      </c>
      <c r="H163" s="39">
        <f t="shared" si="9"/>
        <v>3</v>
      </c>
      <c r="I163" s="39">
        <f t="shared" si="10"/>
        <v>0</v>
      </c>
      <c r="K163" s="40">
        <v>33968</v>
      </c>
      <c r="L163" s="39">
        <v>1545.1</v>
      </c>
      <c r="M163" s="39">
        <v>3</v>
      </c>
      <c r="N163" s="39">
        <v>1545.1</v>
      </c>
      <c r="O163" s="219">
        <f t="shared" si="15"/>
        <v>1.1783606937740068E-2</v>
      </c>
      <c r="Q163" s="40">
        <v>33366</v>
      </c>
      <c r="R163" s="39">
        <v>1607.3</v>
      </c>
      <c r="S163" s="39">
        <f t="shared" si="11"/>
        <v>5</v>
      </c>
      <c r="T163" s="39">
        <f t="shared" si="12"/>
        <v>0</v>
      </c>
      <c r="U163" s="39">
        <f t="shared" si="13"/>
        <v>0</v>
      </c>
      <c r="V163" s="40">
        <v>36524</v>
      </c>
      <c r="W163" s="39">
        <v>6958.14</v>
      </c>
      <c r="X163" s="39">
        <v>12</v>
      </c>
      <c r="Y163" s="39">
        <v>6958.14</v>
      </c>
      <c r="Z163" s="249">
        <f t="shared" si="16"/>
        <v>0.16563125812713919</v>
      </c>
      <c r="AA163" s="219"/>
    </row>
    <row r="164" spans="2:27" x14ac:dyDescent="0.35">
      <c r="B164" s="40">
        <v>33368</v>
      </c>
      <c r="C164" s="39">
        <v>1620.6</v>
      </c>
      <c r="D164" s="219">
        <f t="shared" si="14"/>
        <v>8.2406984515295389E-3</v>
      </c>
      <c r="F164" s="40">
        <v>33368</v>
      </c>
      <c r="G164" s="39">
        <v>1620.6</v>
      </c>
      <c r="H164" s="39">
        <f t="shared" si="9"/>
        <v>5</v>
      </c>
      <c r="I164" s="39">
        <f t="shared" si="10"/>
        <v>1620.6</v>
      </c>
      <c r="K164" s="40">
        <v>33977</v>
      </c>
      <c r="L164" s="39">
        <v>1531.5</v>
      </c>
      <c r="M164" s="39">
        <v>5</v>
      </c>
      <c r="N164" s="39">
        <v>1531.5</v>
      </c>
      <c r="O164" s="219">
        <f t="shared" si="15"/>
        <v>-8.8409858835424831E-3</v>
      </c>
      <c r="Q164" s="40">
        <v>33368</v>
      </c>
      <c r="R164" s="39">
        <v>1620.6</v>
      </c>
      <c r="S164" s="39">
        <f t="shared" si="11"/>
        <v>5</v>
      </c>
      <c r="T164" s="39">
        <f t="shared" si="12"/>
        <v>0</v>
      </c>
      <c r="U164" s="39">
        <f t="shared" si="13"/>
        <v>0</v>
      </c>
      <c r="V164" s="40">
        <v>36556</v>
      </c>
      <c r="W164" s="39">
        <v>6835.6</v>
      </c>
      <c r="X164" s="39">
        <v>1</v>
      </c>
      <c r="Y164" s="39">
        <v>6835.6</v>
      </c>
      <c r="Z164" s="249">
        <f t="shared" si="16"/>
        <v>-1.7767947461060592E-2</v>
      </c>
      <c r="AA164" s="219"/>
    </row>
    <row r="165" spans="2:27" x14ac:dyDescent="0.35">
      <c r="B165" s="40">
        <v>33371</v>
      </c>
      <c r="C165" s="39">
        <v>1610.9</v>
      </c>
      <c r="D165" s="219">
        <f t="shared" si="14"/>
        <v>-6.0034220227049304E-3</v>
      </c>
      <c r="F165" s="40">
        <v>33371</v>
      </c>
      <c r="G165" s="39">
        <v>1610.9</v>
      </c>
      <c r="H165" s="39">
        <f t="shared" si="9"/>
        <v>1</v>
      </c>
      <c r="I165" s="39">
        <f t="shared" si="10"/>
        <v>0</v>
      </c>
      <c r="K165" s="40">
        <v>33984</v>
      </c>
      <c r="L165" s="39">
        <v>1544.6</v>
      </c>
      <c r="M165" s="39">
        <v>5</v>
      </c>
      <c r="N165" s="39">
        <v>1544.6</v>
      </c>
      <c r="O165" s="219">
        <f t="shared" si="15"/>
        <v>8.5173298623335038E-3</v>
      </c>
      <c r="Q165" s="40">
        <v>33371</v>
      </c>
      <c r="R165" s="39">
        <v>1610.9</v>
      </c>
      <c r="S165" s="39">
        <f t="shared" si="11"/>
        <v>5</v>
      </c>
      <c r="T165" s="39">
        <f t="shared" si="12"/>
        <v>0</v>
      </c>
      <c r="U165" s="39">
        <f t="shared" si="13"/>
        <v>0</v>
      </c>
      <c r="V165" s="40">
        <v>36585</v>
      </c>
      <c r="W165" s="39">
        <v>7644.55</v>
      </c>
      <c r="X165" s="39">
        <v>2</v>
      </c>
      <c r="Y165" s="39">
        <v>7644.55</v>
      </c>
      <c r="Z165" s="249">
        <f t="shared" si="16"/>
        <v>0.11184872585666521</v>
      </c>
      <c r="AA165" s="219"/>
    </row>
    <row r="166" spans="2:27" x14ac:dyDescent="0.35">
      <c r="B166" s="40">
        <v>33372</v>
      </c>
      <c r="C166" s="39">
        <v>1598.5</v>
      </c>
      <c r="D166" s="219">
        <f t="shared" si="14"/>
        <v>-7.7273395040238432E-3</v>
      </c>
      <c r="F166" s="40">
        <v>33372</v>
      </c>
      <c r="G166" s="39">
        <v>1598.5</v>
      </c>
      <c r="H166" s="39">
        <f t="shared" si="9"/>
        <v>2</v>
      </c>
      <c r="I166" s="39">
        <f t="shared" si="10"/>
        <v>0</v>
      </c>
      <c r="K166" s="40">
        <v>33991</v>
      </c>
      <c r="L166" s="39">
        <v>1587.6</v>
      </c>
      <c r="M166" s="39">
        <v>5</v>
      </c>
      <c r="N166" s="39">
        <v>1587.6</v>
      </c>
      <c r="O166" s="219">
        <f t="shared" si="15"/>
        <v>2.7458464773746808E-2</v>
      </c>
      <c r="Q166" s="40">
        <v>33372</v>
      </c>
      <c r="R166" s="39">
        <v>1598.5</v>
      </c>
      <c r="S166" s="39">
        <f t="shared" si="11"/>
        <v>5</v>
      </c>
      <c r="T166" s="39">
        <f t="shared" si="12"/>
        <v>0</v>
      </c>
      <c r="U166" s="39">
        <f t="shared" si="13"/>
        <v>0</v>
      </c>
      <c r="V166" s="40">
        <v>36616</v>
      </c>
      <c r="W166" s="39">
        <v>7599.39</v>
      </c>
      <c r="X166" s="39">
        <v>3</v>
      </c>
      <c r="Y166" s="39">
        <v>7599.39</v>
      </c>
      <c r="Z166" s="249">
        <f t="shared" si="16"/>
        <v>-5.9249947341508949E-3</v>
      </c>
      <c r="AA166" s="219"/>
    </row>
    <row r="167" spans="2:27" x14ac:dyDescent="0.35">
      <c r="B167" s="40">
        <v>33373</v>
      </c>
      <c r="C167" s="39">
        <v>1590.4</v>
      </c>
      <c r="D167" s="219">
        <f t="shared" si="14"/>
        <v>-5.0801325975864745E-3</v>
      </c>
      <c r="F167" s="40">
        <v>33373</v>
      </c>
      <c r="G167" s="39">
        <v>1590.4</v>
      </c>
      <c r="H167" s="39">
        <f t="shared" si="9"/>
        <v>3</v>
      </c>
      <c r="I167" s="39">
        <f t="shared" si="10"/>
        <v>0</v>
      </c>
      <c r="K167" s="40">
        <v>33998</v>
      </c>
      <c r="L167" s="39">
        <v>1571.9</v>
      </c>
      <c r="M167" s="39">
        <v>5</v>
      </c>
      <c r="N167" s="39">
        <v>1571.9</v>
      </c>
      <c r="O167" s="219">
        <f t="shared" si="15"/>
        <v>-9.9383631747179541E-3</v>
      </c>
      <c r="Q167" s="40">
        <v>33373</v>
      </c>
      <c r="R167" s="39">
        <v>1590.4</v>
      </c>
      <c r="S167" s="39">
        <f t="shared" si="11"/>
        <v>5</v>
      </c>
      <c r="T167" s="39">
        <f t="shared" si="12"/>
        <v>0</v>
      </c>
      <c r="U167" s="39">
        <f t="shared" si="13"/>
        <v>0</v>
      </c>
      <c r="V167" s="40">
        <v>36644</v>
      </c>
      <c r="W167" s="39">
        <v>7414.68</v>
      </c>
      <c r="X167" s="39">
        <v>4</v>
      </c>
      <c r="Y167" s="39">
        <v>7414.68</v>
      </c>
      <c r="Z167" s="249">
        <f t="shared" si="16"/>
        <v>-2.4606162019813024E-2</v>
      </c>
      <c r="AA167" s="219"/>
    </row>
    <row r="168" spans="2:27" x14ac:dyDescent="0.35">
      <c r="B168" s="40">
        <v>33374</v>
      </c>
      <c r="C168" s="39">
        <v>1598.1</v>
      </c>
      <c r="D168" s="219">
        <f t="shared" si="14"/>
        <v>4.8298666887534288E-3</v>
      </c>
      <c r="F168" s="40">
        <v>33374</v>
      </c>
      <c r="G168" s="39">
        <v>1598.1</v>
      </c>
      <c r="H168" s="39">
        <f t="shared" si="9"/>
        <v>4</v>
      </c>
      <c r="I168" s="39">
        <f t="shared" si="10"/>
        <v>0</v>
      </c>
      <c r="K168" s="40">
        <v>34005</v>
      </c>
      <c r="L168" s="39">
        <v>1641.4</v>
      </c>
      <c r="M168" s="39">
        <v>5</v>
      </c>
      <c r="N168" s="39">
        <v>1641.4</v>
      </c>
      <c r="O168" s="219">
        <f t="shared" si="15"/>
        <v>4.3264457461419048E-2</v>
      </c>
      <c r="Q168" s="40">
        <v>33374</v>
      </c>
      <c r="R168" s="39">
        <v>1598.1</v>
      </c>
      <c r="S168" s="39">
        <f t="shared" si="11"/>
        <v>5</v>
      </c>
      <c r="T168" s="39">
        <f t="shared" si="12"/>
        <v>0</v>
      </c>
      <c r="U168" s="39">
        <f t="shared" si="13"/>
        <v>0</v>
      </c>
      <c r="V168" s="40">
        <v>36677</v>
      </c>
      <c r="W168" s="39">
        <v>7109.67</v>
      </c>
      <c r="X168" s="39">
        <v>5</v>
      </c>
      <c r="Y168" s="39">
        <v>7109.67</v>
      </c>
      <c r="Z168" s="249">
        <f t="shared" si="16"/>
        <v>-4.2005989657418155E-2</v>
      </c>
      <c r="AA168" s="219"/>
    </row>
    <row r="169" spans="2:27" x14ac:dyDescent="0.35">
      <c r="B169" s="40">
        <v>33375</v>
      </c>
      <c r="C169" s="39">
        <v>1598.9</v>
      </c>
      <c r="D169" s="219">
        <f t="shared" si="14"/>
        <v>5.0046920031155372E-4</v>
      </c>
      <c r="F169" s="40">
        <v>33375</v>
      </c>
      <c r="G169" s="39">
        <v>1598.9</v>
      </c>
      <c r="H169" s="39">
        <f t="shared" si="9"/>
        <v>5</v>
      </c>
      <c r="I169" s="39">
        <f t="shared" si="10"/>
        <v>1598.9</v>
      </c>
      <c r="K169" s="40">
        <v>34012</v>
      </c>
      <c r="L169" s="39">
        <v>1661.4</v>
      </c>
      <c r="M169" s="39">
        <v>5</v>
      </c>
      <c r="N169" s="39">
        <v>1661.4</v>
      </c>
      <c r="O169" s="219">
        <f t="shared" si="15"/>
        <v>1.2111084209359921E-2</v>
      </c>
      <c r="Q169" s="40">
        <v>33375</v>
      </c>
      <c r="R169" s="39">
        <v>1598.9</v>
      </c>
      <c r="S169" s="39">
        <f t="shared" si="11"/>
        <v>5</v>
      </c>
      <c r="T169" s="39">
        <f t="shared" si="12"/>
        <v>0</v>
      </c>
      <c r="U169" s="39">
        <f t="shared" si="13"/>
        <v>0</v>
      </c>
      <c r="V169" s="40">
        <v>36707</v>
      </c>
      <c r="W169" s="39">
        <v>6882.44</v>
      </c>
      <c r="X169" s="39">
        <v>6</v>
      </c>
      <c r="Y169" s="39">
        <v>6882.44</v>
      </c>
      <c r="Z169" s="249">
        <f t="shared" si="16"/>
        <v>-3.2482589001715564E-2</v>
      </c>
      <c r="AA169" s="219"/>
    </row>
    <row r="170" spans="2:27" x14ac:dyDescent="0.35">
      <c r="B170" s="40">
        <v>33379</v>
      </c>
      <c r="C170" s="39">
        <v>1617.4</v>
      </c>
      <c r="D170" s="219">
        <f t="shared" si="14"/>
        <v>1.1504028870347034E-2</v>
      </c>
      <c r="F170" s="40">
        <v>33379</v>
      </c>
      <c r="G170" s="39">
        <v>1617.4</v>
      </c>
      <c r="H170" s="39">
        <f t="shared" si="9"/>
        <v>2</v>
      </c>
      <c r="I170" s="39">
        <f t="shared" si="10"/>
        <v>0</v>
      </c>
      <c r="K170" s="40">
        <v>34019</v>
      </c>
      <c r="L170" s="39">
        <v>1677.4</v>
      </c>
      <c r="M170" s="39">
        <v>5</v>
      </c>
      <c r="N170" s="39">
        <v>1677.4</v>
      </c>
      <c r="O170" s="219">
        <f t="shared" si="15"/>
        <v>9.5843551453400622E-3</v>
      </c>
      <c r="Q170" s="40">
        <v>33379</v>
      </c>
      <c r="R170" s="39">
        <v>1617.4</v>
      </c>
      <c r="S170" s="39">
        <f t="shared" si="11"/>
        <v>5</v>
      </c>
      <c r="T170" s="39">
        <f t="shared" si="12"/>
        <v>0</v>
      </c>
      <c r="U170" s="39">
        <f t="shared" si="13"/>
        <v>0</v>
      </c>
      <c r="V170" s="40">
        <v>36738</v>
      </c>
      <c r="W170" s="39">
        <v>7190.37</v>
      </c>
      <c r="X170" s="39">
        <v>7</v>
      </c>
      <c r="Y170" s="39">
        <v>7190.37</v>
      </c>
      <c r="Z170" s="249">
        <f t="shared" si="16"/>
        <v>4.3769390536345321E-2</v>
      </c>
      <c r="AA170" s="219"/>
    </row>
    <row r="171" spans="2:27" x14ac:dyDescent="0.35">
      <c r="B171" s="40">
        <v>33380</v>
      </c>
      <c r="C171" s="39">
        <v>1647.7</v>
      </c>
      <c r="D171" s="219">
        <f t="shared" si="14"/>
        <v>1.8560454401663987E-2</v>
      </c>
      <c r="F171" s="40">
        <v>33380</v>
      </c>
      <c r="G171" s="39">
        <v>1647.7</v>
      </c>
      <c r="H171" s="39">
        <f t="shared" si="9"/>
        <v>3</v>
      </c>
      <c r="I171" s="39">
        <f t="shared" si="10"/>
        <v>0</v>
      </c>
      <c r="K171" s="40">
        <v>34026</v>
      </c>
      <c r="L171" s="39">
        <v>1684.4</v>
      </c>
      <c r="M171" s="39">
        <v>5</v>
      </c>
      <c r="N171" s="39">
        <v>1684.4</v>
      </c>
      <c r="O171" s="219">
        <f t="shared" si="15"/>
        <v>4.1644417374615342E-3</v>
      </c>
      <c r="Q171" s="40">
        <v>33380</v>
      </c>
      <c r="R171" s="39">
        <v>1647.7</v>
      </c>
      <c r="S171" s="39">
        <f t="shared" si="11"/>
        <v>5</v>
      </c>
      <c r="T171" s="39">
        <f t="shared" si="12"/>
        <v>0</v>
      </c>
      <c r="U171" s="39">
        <f t="shared" si="13"/>
        <v>0</v>
      </c>
      <c r="V171" s="40">
        <v>36769</v>
      </c>
      <c r="W171" s="39">
        <v>7244.79</v>
      </c>
      <c r="X171" s="39">
        <v>8</v>
      </c>
      <c r="Y171" s="39">
        <v>7244.79</v>
      </c>
      <c r="Z171" s="249">
        <f t="shared" si="16"/>
        <v>7.5399590747818124E-3</v>
      </c>
      <c r="AA171" s="219"/>
    </row>
    <row r="172" spans="2:27" x14ac:dyDescent="0.35">
      <c r="B172" s="40">
        <v>33381</v>
      </c>
      <c r="C172" s="39">
        <v>1652.7</v>
      </c>
      <c r="D172" s="219">
        <f t="shared" si="14"/>
        <v>3.0299380833948304E-3</v>
      </c>
      <c r="F172" s="40">
        <v>33381</v>
      </c>
      <c r="G172" s="39">
        <v>1652.7</v>
      </c>
      <c r="H172" s="39">
        <f t="shared" si="9"/>
        <v>4</v>
      </c>
      <c r="I172" s="39">
        <f t="shared" si="10"/>
        <v>0</v>
      </c>
      <c r="K172" s="40">
        <v>34033</v>
      </c>
      <c r="L172" s="39">
        <v>1682.8</v>
      </c>
      <c r="M172" s="39">
        <v>5</v>
      </c>
      <c r="N172" s="39">
        <v>1682.8</v>
      </c>
      <c r="O172" s="219">
        <f t="shared" si="15"/>
        <v>-9.5034457140701068E-4</v>
      </c>
      <c r="Q172" s="40">
        <v>33381</v>
      </c>
      <c r="R172" s="39">
        <v>1652.7</v>
      </c>
      <c r="S172" s="39">
        <f t="shared" si="11"/>
        <v>5</v>
      </c>
      <c r="T172" s="39">
        <f t="shared" si="12"/>
        <v>0</v>
      </c>
      <c r="U172" s="39">
        <f t="shared" si="13"/>
        <v>0</v>
      </c>
      <c r="V172" s="40">
        <v>36798</v>
      </c>
      <c r="W172" s="39">
        <v>6798.12</v>
      </c>
      <c r="X172" s="39">
        <v>9</v>
      </c>
      <c r="Y172" s="39">
        <v>6798.12</v>
      </c>
      <c r="Z172" s="249">
        <f t="shared" si="16"/>
        <v>-6.3636486476524326E-2</v>
      </c>
      <c r="AA172" s="219"/>
    </row>
    <row r="173" spans="2:27" x14ac:dyDescent="0.35">
      <c r="B173" s="40">
        <v>33382</v>
      </c>
      <c r="C173" s="39">
        <v>1671.9</v>
      </c>
      <c r="D173" s="219">
        <f t="shared" si="14"/>
        <v>1.1550390096819891E-2</v>
      </c>
      <c r="F173" s="40">
        <v>33382</v>
      </c>
      <c r="G173" s="39">
        <v>1671.9</v>
      </c>
      <c r="H173" s="39">
        <f t="shared" si="9"/>
        <v>5</v>
      </c>
      <c r="I173" s="39">
        <f t="shared" si="10"/>
        <v>1671.9</v>
      </c>
      <c r="K173" s="40">
        <v>34040</v>
      </c>
      <c r="L173" s="39">
        <v>1707.1</v>
      </c>
      <c r="M173" s="39">
        <v>5</v>
      </c>
      <c r="N173" s="39">
        <v>1707.1</v>
      </c>
      <c r="O173" s="219">
        <f t="shared" si="15"/>
        <v>1.4336951670341352E-2</v>
      </c>
      <c r="Q173" s="40">
        <v>33382</v>
      </c>
      <c r="R173" s="39">
        <v>1671.9</v>
      </c>
      <c r="S173" s="39">
        <f t="shared" si="11"/>
        <v>5</v>
      </c>
      <c r="T173" s="39">
        <f t="shared" si="12"/>
        <v>0</v>
      </c>
      <c r="U173" s="39">
        <f t="shared" si="13"/>
        <v>0</v>
      </c>
      <c r="V173" s="40">
        <v>36830</v>
      </c>
      <c r="W173" s="39">
        <v>7077.44</v>
      </c>
      <c r="X173" s="39">
        <v>10</v>
      </c>
      <c r="Y173" s="39">
        <v>7077.44</v>
      </c>
      <c r="Z173" s="249">
        <f t="shared" si="16"/>
        <v>4.0266157029432453E-2</v>
      </c>
      <c r="AA173" s="219"/>
    </row>
    <row r="174" spans="2:27" x14ac:dyDescent="0.35">
      <c r="B174" s="40">
        <v>33385</v>
      </c>
      <c r="C174" s="39">
        <v>1681.5</v>
      </c>
      <c r="D174" s="219">
        <f t="shared" si="14"/>
        <v>5.7255479367239242E-3</v>
      </c>
      <c r="F174" s="40">
        <v>33385</v>
      </c>
      <c r="G174" s="39">
        <v>1681.5</v>
      </c>
      <c r="H174" s="39">
        <f t="shared" si="9"/>
        <v>1</v>
      </c>
      <c r="I174" s="39">
        <f t="shared" si="10"/>
        <v>0</v>
      </c>
      <c r="K174" s="40">
        <v>34047</v>
      </c>
      <c r="L174" s="39">
        <v>1698.8</v>
      </c>
      <c r="M174" s="39">
        <v>5</v>
      </c>
      <c r="N174" s="39">
        <v>1698.8</v>
      </c>
      <c r="O174" s="219">
        <f t="shared" si="15"/>
        <v>-4.8739049475910153E-3</v>
      </c>
      <c r="Q174" s="40">
        <v>33385</v>
      </c>
      <c r="R174" s="39">
        <v>1681.5</v>
      </c>
      <c r="S174" s="39">
        <f t="shared" si="11"/>
        <v>5</v>
      </c>
      <c r="T174" s="39">
        <f t="shared" si="12"/>
        <v>0</v>
      </c>
      <c r="U174" s="39">
        <f t="shared" si="13"/>
        <v>0</v>
      </c>
      <c r="V174" s="40">
        <v>36860</v>
      </c>
      <c r="W174" s="39">
        <v>6372.33</v>
      </c>
      <c r="X174" s="39">
        <v>11</v>
      </c>
      <c r="Y174" s="39">
        <v>6372.33</v>
      </c>
      <c r="Z174" s="249">
        <f t="shared" si="16"/>
        <v>-0.10494708061421255</v>
      </c>
      <c r="AA174" s="219"/>
    </row>
    <row r="175" spans="2:27" x14ac:dyDescent="0.35">
      <c r="B175" s="40">
        <v>33386</v>
      </c>
      <c r="C175" s="39">
        <v>1682.1</v>
      </c>
      <c r="D175" s="219">
        <f t="shared" si="14"/>
        <v>3.5676061741221198E-4</v>
      </c>
      <c r="F175" s="40">
        <v>33386</v>
      </c>
      <c r="G175" s="39">
        <v>1682.1</v>
      </c>
      <c r="H175" s="39">
        <f t="shared" si="9"/>
        <v>2</v>
      </c>
      <c r="I175" s="39">
        <f t="shared" si="10"/>
        <v>0</v>
      </c>
      <c r="K175" s="40">
        <v>34054</v>
      </c>
      <c r="L175" s="39">
        <v>1661.3</v>
      </c>
      <c r="M175" s="39">
        <v>5</v>
      </c>
      <c r="N175" s="39">
        <v>1661.3</v>
      </c>
      <c r="O175" s="219">
        <f t="shared" si="15"/>
        <v>-2.2321691046683086E-2</v>
      </c>
      <c r="Q175" s="40">
        <v>33386</v>
      </c>
      <c r="R175" s="39">
        <v>1682.1</v>
      </c>
      <c r="S175" s="39">
        <f t="shared" si="11"/>
        <v>5</v>
      </c>
      <c r="T175" s="39">
        <f t="shared" si="12"/>
        <v>0</v>
      </c>
      <c r="U175" s="39">
        <f t="shared" si="13"/>
        <v>0</v>
      </c>
      <c r="V175" s="40">
        <v>36889</v>
      </c>
      <c r="W175" s="39">
        <v>6433.61</v>
      </c>
      <c r="X175" s="39">
        <v>12</v>
      </c>
      <c r="Y175" s="39">
        <v>6433.61</v>
      </c>
      <c r="Z175" s="249">
        <f t="shared" si="16"/>
        <v>9.5706317153740408E-3</v>
      </c>
      <c r="AA175" s="219"/>
    </row>
    <row r="176" spans="2:27" x14ac:dyDescent="0.35">
      <c r="B176" s="40">
        <v>33387</v>
      </c>
      <c r="C176" s="39">
        <v>1681.5</v>
      </c>
      <c r="D176" s="219">
        <f t="shared" si="14"/>
        <v>-3.5676061741222602E-4</v>
      </c>
      <c r="F176" s="40">
        <v>33387</v>
      </c>
      <c r="G176" s="39">
        <v>1681.5</v>
      </c>
      <c r="H176" s="39">
        <f t="shared" si="9"/>
        <v>3</v>
      </c>
      <c r="I176" s="39">
        <f t="shared" si="10"/>
        <v>0</v>
      </c>
      <c r="K176" s="40">
        <v>34061</v>
      </c>
      <c r="L176" s="39">
        <v>1661.8</v>
      </c>
      <c r="M176" s="39">
        <v>5</v>
      </c>
      <c r="N176" s="39">
        <v>1661.8</v>
      </c>
      <c r="O176" s="219">
        <f t="shared" si="15"/>
        <v>3.0092383844789068E-4</v>
      </c>
      <c r="Q176" s="40">
        <v>33387</v>
      </c>
      <c r="R176" s="39">
        <v>1681.5</v>
      </c>
      <c r="S176" s="39">
        <f t="shared" si="11"/>
        <v>5</v>
      </c>
      <c r="T176" s="39">
        <f t="shared" si="12"/>
        <v>0</v>
      </c>
      <c r="U176" s="39">
        <f t="shared" si="13"/>
        <v>0</v>
      </c>
      <c r="V176" s="40">
        <v>36922</v>
      </c>
      <c r="W176" s="39">
        <v>6795.14</v>
      </c>
      <c r="X176" s="39">
        <v>1</v>
      </c>
      <c r="Y176" s="39">
        <v>6795.14</v>
      </c>
      <c r="Z176" s="249">
        <f t="shared" si="16"/>
        <v>5.4671839276320994E-2</v>
      </c>
      <c r="AA176" s="219"/>
    </row>
    <row r="177" spans="2:27" x14ac:dyDescent="0.35">
      <c r="B177" s="40">
        <v>33389</v>
      </c>
      <c r="C177" s="39">
        <v>1704.1</v>
      </c>
      <c r="D177" s="219">
        <f t="shared" si="14"/>
        <v>1.3350859933022664E-2</v>
      </c>
      <c r="F177" s="40">
        <v>33389</v>
      </c>
      <c r="G177" s="39">
        <v>1704.1</v>
      </c>
      <c r="H177" s="39">
        <f t="shared" si="9"/>
        <v>5</v>
      </c>
      <c r="I177" s="39">
        <f t="shared" si="10"/>
        <v>1704.1</v>
      </c>
      <c r="K177" s="40">
        <v>34067</v>
      </c>
      <c r="L177" s="39">
        <v>1655.7</v>
      </c>
      <c r="M177" s="39">
        <v>4</v>
      </c>
      <c r="N177" s="39">
        <v>1655.7</v>
      </c>
      <c r="O177" s="219">
        <f t="shared" si="15"/>
        <v>-3.6774721173156231E-3</v>
      </c>
      <c r="Q177" s="40">
        <v>33389</v>
      </c>
      <c r="R177" s="39">
        <v>1704.1</v>
      </c>
      <c r="S177" s="39">
        <f t="shared" si="11"/>
        <v>5</v>
      </c>
      <c r="T177" s="39">
        <f t="shared" si="12"/>
        <v>1704.1</v>
      </c>
      <c r="U177" s="39">
        <f t="shared" si="13"/>
        <v>1704.1</v>
      </c>
      <c r="V177" s="40">
        <v>36950</v>
      </c>
      <c r="W177" s="39">
        <v>6208.24</v>
      </c>
      <c r="X177" s="39">
        <v>2</v>
      </c>
      <c r="Y177" s="39">
        <v>6208.24</v>
      </c>
      <c r="Z177" s="249">
        <f t="shared" si="16"/>
        <v>-9.0330208848240653E-2</v>
      </c>
      <c r="AA177" s="219"/>
    </row>
    <row r="178" spans="2:27" x14ac:dyDescent="0.35">
      <c r="B178" s="40">
        <v>33392</v>
      </c>
      <c r="C178" s="39">
        <v>1694.1</v>
      </c>
      <c r="D178" s="219">
        <f t="shared" si="14"/>
        <v>-5.8854857664463163E-3</v>
      </c>
      <c r="F178" s="40">
        <v>33392</v>
      </c>
      <c r="G178" s="39">
        <v>1694.1</v>
      </c>
      <c r="H178" s="39">
        <f t="shared" si="9"/>
        <v>1</v>
      </c>
      <c r="I178" s="39">
        <f t="shared" si="10"/>
        <v>0</v>
      </c>
      <c r="K178" s="40">
        <v>34075</v>
      </c>
      <c r="L178" s="39">
        <v>1678.9</v>
      </c>
      <c r="M178" s="39">
        <v>5</v>
      </c>
      <c r="N178" s="39">
        <v>1678.9</v>
      </c>
      <c r="O178" s="219">
        <f t="shared" si="15"/>
        <v>1.3914936928787255E-2</v>
      </c>
      <c r="Q178" s="40">
        <v>33392</v>
      </c>
      <c r="R178" s="39">
        <v>1694.1</v>
      </c>
      <c r="S178" s="39">
        <f t="shared" si="11"/>
        <v>6</v>
      </c>
      <c r="T178" s="39">
        <f t="shared" si="12"/>
        <v>0</v>
      </c>
      <c r="U178" s="39">
        <f t="shared" si="13"/>
        <v>0</v>
      </c>
      <c r="V178" s="40">
        <v>36980</v>
      </c>
      <c r="W178" s="39">
        <v>5829.95</v>
      </c>
      <c r="X178" s="39">
        <v>3</v>
      </c>
      <c r="Y178" s="39">
        <v>5829.95</v>
      </c>
      <c r="Z178" s="249">
        <f t="shared" si="16"/>
        <v>-6.2869017931168489E-2</v>
      </c>
      <c r="AA178" s="219"/>
    </row>
    <row r="179" spans="2:27" x14ac:dyDescent="0.35">
      <c r="B179" s="40">
        <v>33393</v>
      </c>
      <c r="C179" s="39">
        <v>1685.4</v>
      </c>
      <c r="D179" s="219">
        <f t="shared" si="14"/>
        <v>-5.148702008647664E-3</v>
      </c>
      <c r="F179" s="40">
        <v>33393</v>
      </c>
      <c r="G179" s="39">
        <v>1685.4</v>
      </c>
      <c r="H179" s="39">
        <f t="shared" si="9"/>
        <v>2</v>
      </c>
      <c r="I179" s="39">
        <f t="shared" si="10"/>
        <v>0</v>
      </c>
      <c r="K179" s="40">
        <v>34082</v>
      </c>
      <c r="L179" s="39">
        <v>1657.1</v>
      </c>
      <c r="M179" s="39">
        <v>5</v>
      </c>
      <c r="N179" s="39">
        <v>1657.1</v>
      </c>
      <c r="O179" s="219">
        <f t="shared" si="15"/>
        <v>-1.3069730406604438E-2</v>
      </c>
      <c r="Q179" s="40">
        <v>33393</v>
      </c>
      <c r="R179" s="39">
        <v>1685.4</v>
      </c>
      <c r="S179" s="39">
        <f t="shared" si="11"/>
        <v>6</v>
      </c>
      <c r="T179" s="39">
        <f t="shared" si="12"/>
        <v>0</v>
      </c>
      <c r="U179" s="39">
        <f t="shared" si="13"/>
        <v>0</v>
      </c>
      <c r="V179" s="40">
        <v>37011</v>
      </c>
      <c r="W179" s="39">
        <v>6264.51</v>
      </c>
      <c r="X179" s="39">
        <v>4</v>
      </c>
      <c r="Y179" s="39">
        <v>6264.51</v>
      </c>
      <c r="Z179" s="249">
        <f t="shared" si="16"/>
        <v>7.1891949002495278E-2</v>
      </c>
      <c r="AA179" s="219"/>
    </row>
    <row r="180" spans="2:27" x14ac:dyDescent="0.35">
      <c r="B180" s="40">
        <v>33394</v>
      </c>
      <c r="C180" s="39">
        <v>1712.8</v>
      </c>
      <c r="D180" s="219">
        <f t="shared" si="14"/>
        <v>1.6126533937220047E-2</v>
      </c>
      <c r="F180" s="40">
        <v>33394</v>
      </c>
      <c r="G180" s="39">
        <v>1712.8</v>
      </c>
      <c r="H180" s="39">
        <f t="shared" si="9"/>
        <v>3</v>
      </c>
      <c r="I180" s="39">
        <f t="shared" si="10"/>
        <v>0</v>
      </c>
      <c r="K180" s="40">
        <v>34089</v>
      </c>
      <c r="L180" s="39">
        <v>1627.2</v>
      </c>
      <c r="M180" s="39">
        <v>5</v>
      </c>
      <c r="N180" s="39">
        <v>1627.2</v>
      </c>
      <c r="O180" s="219">
        <f t="shared" si="15"/>
        <v>-1.8208340341452571E-2</v>
      </c>
      <c r="Q180" s="40">
        <v>33394</v>
      </c>
      <c r="R180" s="39">
        <v>1712.8</v>
      </c>
      <c r="S180" s="39">
        <f t="shared" si="11"/>
        <v>6</v>
      </c>
      <c r="T180" s="39">
        <f t="shared" si="12"/>
        <v>0</v>
      </c>
      <c r="U180" s="39">
        <f t="shared" si="13"/>
        <v>0</v>
      </c>
      <c r="V180" s="40">
        <v>37042</v>
      </c>
      <c r="W180" s="39">
        <v>6123.26</v>
      </c>
      <c r="X180" s="39">
        <v>5</v>
      </c>
      <c r="Y180" s="39">
        <v>6123.26</v>
      </c>
      <c r="Z180" s="249">
        <f t="shared" si="16"/>
        <v>-2.2805738559481151E-2</v>
      </c>
      <c r="AA180" s="219"/>
    </row>
    <row r="181" spans="2:27" x14ac:dyDescent="0.35">
      <c r="B181" s="40">
        <v>33395</v>
      </c>
      <c r="C181" s="39">
        <v>1704.2</v>
      </c>
      <c r="D181" s="219">
        <f t="shared" si="14"/>
        <v>-5.0336658816173665E-3</v>
      </c>
      <c r="F181" s="40">
        <v>33395</v>
      </c>
      <c r="G181" s="39">
        <v>1704.2</v>
      </c>
      <c r="H181" s="39">
        <f t="shared" si="9"/>
        <v>4</v>
      </c>
      <c r="I181" s="39">
        <f t="shared" si="10"/>
        <v>0</v>
      </c>
      <c r="K181" s="40">
        <v>34096</v>
      </c>
      <c r="L181" s="39">
        <v>1611.9</v>
      </c>
      <c r="M181" s="39">
        <v>5</v>
      </c>
      <c r="N181" s="39">
        <v>1611.9</v>
      </c>
      <c r="O181" s="219">
        <f t="shared" si="15"/>
        <v>-9.4471388914099449E-3</v>
      </c>
      <c r="Q181" s="40">
        <v>33395</v>
      </c>
      <c r="R181" s="39">
        <v>1704.2</v>
      </c>
      <c r="S181" s="39">
        <f t="shared" si="11"/>
        <v>6</v>
      </c>
      <c r="T181" s="39">
        <f t="shared" si="12"/>
        <v>0</v>
      </c>
      <c r="U181" s="39">
        <f t="shared" si="13"/>
        <v>0</v>
      </c>
      <c r="V181" s="40">
        <v>37071</v>
      </c>
      <c r="W181" s="39">
        <v>6058.38</v>
      </c>
      <c r="X181" s="39">
        <v>6</v>
      </c>
      <c r="Y181" s="39">
        <v>6058.38</v>
      </c>
      <c r="Z181" s="249">
        <f t="shared" si="16"/>
        <v>-1.0652196828917498E-2</v>
      </c>
      <c r="AA181" s="219"/>
    </row>
    <row r="182" spans="2:27" x14ac:dyDescent="0.35">
      <c r="B182" s="40">
        <v>33396</v>
      </c>
      <c r="C182" s="39">
        <v>1709.6</v>
      </c>
      <c r="D182" s="219">
        <f t="shared" si="14"/>
        <v>3.1636326110822204E-3</v>
      </c>
      <c r="F182" s="40">
        <v>33396</v>
      </c>
      <c r="G182" s="39">
        <v>1709.6</v>
      </c>
      <c r="H182" s="39">
        <f t="shared" si="9"/>
        <v>5</v>
      </c>
      <c r="I182" s="39">
        <f t="shared" si="10"/>
        <v>1709.6</v>
      </c>
      <c r="K182" s="40">
        <v>34103</v>
      </c>
      <c r="L182" s="39">
        <v>1634.5</v>
      </c>
      <c r="M182" s="39">
        <v>5</v>
      </c>
      <c r="N182" s="39">
        <v>1634.5</v>
      </c>
      <c r="O182" s="219">
        <f t="shared" si="15"/>
        <v>1.3923339761379709E-2</v>
      </c>
      <c r="Q182" s="40">
        <v>33396</v>
      </c>
      <c r="R182" s="39">
        <v>1709.6</v>
      </c>
      <c r="S182" s="39">
        <f t="shared" si="11"/>
        <v>6</v>
      </c>
      <c r="T182" s="39">
        <f t="shared" si="12"/>
        <v>0</v>
      </c>
      <c r="U182" s="39">
        <f t="shared" si="13"/>
        <v>0</v>
      </c>
      <c r="V182" s="40">
        <v>37103</v>
      </c>
      <c r="W182" s="39">
        <v>5861.19</v>
      </c>
      <c r="X182" s="39">
        <v>7</v>
      </c>
      <c r="Y182" s="39">
        <v>5861.19</v>
      </c>
      <c r="Z182" s="249">
        <f t="shared" si="16"/>
        <v>-3.3089782965374417E-2</v>
      </c>
      <c r="AA182" s="219"/>
    </row>
    <row r="183" spans="2:27" x14ac:dyDescent="0.35">
      <c r="B183" s="40">
        <v>33399</v>
      </c>
      <c r="C183" s="39">
        <v>1704.9</v>
      </c>
      <c r="D183" s="219">
        <f t="shared" si="14"/>
        <v>-2.7529670337522755E-3</v>
      </c>
      <c r="F183" s="40">
        <v>33399</v>
      </c>
      <c r="G183" s="39">
        <v>1704.9</v>
      </c>
      <c r="H183" s="39">
        <f t="shared" ref="H183:H246" si="17">WEEKDAY(F183,2)</f>
        <v>1</v>
      </c>
      <c r="I183" s="39">
        <f t="shared" ref="I183:I246" si="18">IF(H183&gt;H184,G183,0)</f>
        <v>0</v>
      </c>
      <c r="K183" s="40">
        <v>34110</v>
      </c>
      <c r="L183" s="39">
        <v>1610.6</v>
      </c>
      <c r="M183" s="39">
        <v>5</v>
      </c>
      <c r="N183" s="39">
        <v>1610.6</v>
      </c>
      <c r="O183" s="219">
        <f t="shared" si="15"/>
        <v>-1.4730166802820832E-2</v>
      </c>
      <c r="Q183" s="40">
        <v>33399</v>
      </c>
      <c r="R183" s="39">
        <v>1704.9</v>
      </c>
      <c r="S183" s="39">
        <f t="shared" ref="S183:S246" si="19">MONTH(Q183)</f>
        <v>6</v>
      </c>
      <c r="T183" s="39">
        <f t="shared" ref="T183:T246" si="20">IF(S184&lt;&gt;S183,R183,0)</f>
        <v>0</v>
      </c>
      <c r="U183" s="39">
        <f t="shared" ref="U183:U246" si="21">IF(S184=S183,0,R183)</f>
        <v>0</v>
      </c>
      <c r="V183" s="40">
        <v>37134</v>
      </c>
      <c r="W183" s="39">
        <v>5188.17</v>
      </c>
      <c r="X183" s="39">
        <v>8</v>
      </c>
      <c r="Y183" s="39">
        <v>5188.17</v>
      </c>
      <c r="Z183" s="249">
        <f t="shared" si="16"/>
        <v>-0.12197162080169138</v>
      </c>
      <c r="AA183" s="219"/>
    </row>
    <row r="184" spans="2:27" x14ac:dyDescent="0.35">
      <c r="B184" s="40">
        <v>33400</v>
      </c>
      <c r="C184" s="39">
        <v>1715.2</v>
      </c>
      <c r="D184" s="219">
        <f t="shared" ref="D184:D247" si="22">LN(C184/C183)</f>
        <v>6.023233905297228E-3</v>
      </c>
      <c r="F184" s="40">
        <v>33400</v>
      </c>
      <c r="G184" s="39">
        <v>1715.2</v>
      </c>
      <c r="H184" s="39">
        <f t="shared" si="17"/>
        <v>2</v>
      </c>
      <c r="I184" s="39">
        <f t="shared" si="18"/>
        <v>0</v>
      </c>
      <c r="K184" s="40">
        <v>34117</v>
      </c>
      <c r="L184" s="39">
        <v>1631.9</v>
      </c>
      <c r="M184" s="39">
        <v>5</v>
      </c>
      <c r="N184" s="39">
        <v>1631.9</v>
      </c>
      <c r="O184" s="219">
        <f t="shared" ref="O184:O247" si="23">LN(N184/N183)</f>
        <v>1.3138199775444432E-2</v>
      </c>
      <c r="Q184" s="40">
        <v>33400</v>
      </c>
      <c r="R184" s="39">
        <v>1715.2</v>
      </c>
      <c r="S184" s="39">
        <f t="shared" si="19"/>
        <v>6</v>
      </c>
      <c r="T184" s="39">
        <f t="shared" si="20"/>
        <v>0</v>
      </c>
      <c r="U184" s="39">
        <f t="shared" si="21"/>
        <v>0</v>
      </c>
      <c r="V184" s="40">
        <v>37162</v>
      </c>
      <c r="W184" s="39">
        <v>4308.1499999999996</v>
      </c>
      <c r="X184" s="39">
        <v>9</v>
      </c>
      <c r="Y184" s="39">
        <v>4308.1499999999996</v>
      </c>
      <c r="Z184" s="249">
        <f t="shared" ref="Z184:Z247" si="24">LN(Y184/Y183)</f>
        <v>-0.18587245621384282</v>
      </c>
      <c r="AA184" s="219"/>
    </row>
    <row r="185" spans="2:27" x14ac:dyDescent="0.35">
      <c r="B185" s="40">
        <v>33401</v>
      </c>
      <c r="C185" s="39">
        <v>1700.8</v>
      </c>
      <c r="D185" s="219">
        <f t="shared" si="22"/>
        <v>-8.4309632887994077E-3</v>
      </c>
      <c r="F185" s="40">
        <v>33401</v>
      </c>
      <c r="G185" s="39">
        <v>1700.8</v>
      </c>
      <c r="H185" s="39">
        <f t="shared" si="17"/>
        <v>3</v>
      </c>
      <c r="I185" s="39">
        <f t="shared" si="18"/>
        <v>0</v>
      </c>
      <c r="K185" s="40">
        <v>34124</v>
      </c>
      <c r="L185" s="39">
        <v>1637.9</v>
      </c>
      <c r="M185" s="39">
        <v>5</v>
      </c>
      <c r="N185" s="39">
        <v>1637.9</v>
      </c>
      <c r="O185" s="219">
        <f t="shared" si="23"/>
        <v>3.6699533514449783E-3</v>
      </c>
      <c r="Q185" s="40">
        <v>33401</v>
      </c>
      <c r="R185" s="39">
        <v>1700.8</v>
      </c>
      <c r="S185" s="39">
        <f t="shared" si="19"/>
        <v>6</v>
      </c>
      <c r="T185" s="39">
        <f t="shared" si="20"/>
        <v>0</v>
      </c>
      <c r="U185" s="39">
        <f t="shared" si="21"/>
        <v>0</v>
      </c>
      <c r="V185" s="40">
        <v>37195</v>
      </c>
      <c r="W185" s="39">
        <v>4559.13</v>
      </c>
      <c r="X185" s="39">
        <v>10</v>
      </c>
      <c r="Y185" s="39">
        <v>4559.13</v>
      </c>
      <c r="Z185" s="249">
        <f t="shared" si="24"/>
        <v>5.6623238220502574E-2</v>
      </c>
      <c r="AA185" s="219"/>
    </row>
    <row r="186" spans="2:27" x14ac:dyDescent="0.35">
      <c r="B186" s="40">
        <v>33402</v>
      </c>
      <c r="C186" s="39">
        <v>1692.6</v>
      </c>
      <c r="D186" s="219">
        <f t="shared" si="22"/>
        <v>-4.8329203516778779E-3</v>
      </c>
      <c r="F186" s="40">
        <v>33402</v>
      </c>
      <c r="G186" s="39">
        <v>1692.6</v>
      </c>
      <c r="H186" s="39">
        <f t="shared" si="17"/>
        <v>4</v>
      </c>
      <c r="I186" s="39">
        <f t="shared" si="18"/>
        <v>0</v>
      </c>
      <c r="K186" s="40">
        <v>34131</v>
      </c>
      <c r="L186" s="39">
        <v>1681</v>
      </c>
      <c r="M186" s="39">
        <v>5</v>
      </c>
      <c r="N186" s="39">
        <v>1681</v>
      </c>
      <c r="O186" s="219">
        <f t="shared" si="23"/>
        <v>2.5973920920281716E-2</v>
      </c>
      <c r="Q186" s="40">
        <v>33402</v>
      </c>
      <c r="R186" s="39">
        <v>1692.6</v>
      </c>
      <c r="S186" s="39">
        <f t="shared" si="19"/>
        <v>6</v>
      </c>
      <c r="T186" s="39">
        <f t="shared" si="20"/>
        <v>0</v>
      </c>
      <c r="U186" s="39">
        <f t="shared" si="21"/>
        <v>0</v>
      </c>
      <c r="V186" s="40">
        <v>37225</v>
      </c>
      <c r="W186" s="39">
        <v>4989.91</v>
      </c>
      <c r="X186" s="39">
        <v>11</v>
      </c>
      <c r="Y186" s="39">
        <v>4989.91</v>
      </c>
      <c r="Z186" s="249">
        <f t="shared" si="24"/>
        <v>9.0286057678647558E-2</v>
      </c>
      <c r="AA186" s="219"/>
    </row>
    <row r="187" spans="2:27" x14ac:dyDescent="0.35">
      <c r="B187" s="40">
        <v>33403</v>
      </c>
      <c r="C187" s="39">
        <v>1699.8</v>
      </c>
      <c r="D187" s="219">
        <f t="shared" si="22"/>
        <v>4.2447888285203992E-3</v>
      </c>
      <c r="F187" s="40">
        <v>33403</v>
      </c>
      <c r="G187" s="39">
        <v>1699.8</v>
      </c>
      <c r="H187" s="39">
        <f t="shared" si="17"/>
        <v>5</v>
      </c>
      <c r="I187" s="39">
        <f t="shared" si="18"/>
        <v>1699.8</v>
      </c>
      <c r="K187" s="40">
        <v>34138</v>
      </c>
      <c r="L187" s="39">
        <v>1686.9</v>
      </c>
      <c r="M187" s="39">
        <v>5</v>
      </c>
      <c r="N187" s="39">
        <v>1686.9</v>
      </c>
      <c r="O187" s="219">
        <f t="shared" si="23"/>
        <v>3.5036705576501175E-3</v>
      </c>
      <c r="Q187" s="40">
        <v>33403</v>
      </c>
      <c r="R187" s="39">
        <v>1699.8</v>
      </c>
      <c r="S187" s="39">
        <f t="shared" si="19"/>
        <v>6</v>
      </c>
      <c r="T187" s="39">
        <f t="shared" si="20"/>
        <v>0</v>
      </c>
      <c r="U187" s="39">
        <f t="shared" si="21"/>
        <v>0</v>
      </c>
      <c r="V187" s="40">
        <v>37253</v>
      </c>
      <c r="W187" s="39">
        <v>5160.1000000000004</v>
      </c>
      <c r="X187" s="39">
        <v>12</v>
      </c>
      <c r="Y187" s="39">
        <v>5160.1000000000004</v>
      </c>
      <c r="Z187" s="249">
        <f t="shared" si="24"/>
        <v>3.3538085622014942E-2</v>
      </c>
      <c r="AA187" s="219"/>
    </row>
    <row r="188" spans="2:27" x14ac:dyDescent="0.35">
      <c r="B188" s="40">
        <v>33406</v>
      </c>
      <c r="C188" s="39">
        <v>1701.1</v>
      </c>
      <c r="D188" s="219">
        <f t="shared" si="22"/>
        <v>7.6450355101132666E-4</v>
      </c>
      <c r="F188" s="40">
        <v>33406</v>
      </c>
      <c r="G188" s="39">
        <v>1701.1</v>
      </c>
      <c r="H188" s="39">
        <f t="shared" si="17"/>
        <v>1</v>
      </c>
      <c r="I188" s="39">
        <f t="shared" si="18"/>
        <v>0</v>
      </c>
      <c r="K188" s="40">
        <v>34145</v>
      </c>
      <c r="L188" s="39">
        <v>1695.2</v>
      </c>
      <c r="M188" s="39">
        <v>5</v>
      </c>
      <c r="N188" s="39">
        <v>1695.2</v>
      </c>
      <c r="O188" s="219">
        <f t="shared" si="23"/>
        <v>4.908202987823523E-3</v>
      </c>
      <c r="Q188" s="40">
        <v>33406</v>
      </c>
      <c r="R188" s="39">
        <v>1701.1</v>
      </c>
      <c r="S188" s="39">
        <f t="shared" si="19"/>
        <v>6</v>
      </c>
      <c r="T188" s="39">
        <f t="shared" si="20"/>
        <v>0</v>
      </c>
      <c r="U188" s="39">
        <f t="shared" si="21"/>
        <v>0</v>
      </c>
      <c r="V188" s="40">
        <v>37287</v>
      </c>
      <c r="W188" s="39">
        <v>5107.6099999999997</v>
      </c>
      <c r="X188" s="39">
        <v>1</v>
      </c>
      <c r="Y188" s="39">
        <v>5107.6099999999997</v>
      </c>
      <c r="Z188" s="249">
        <f t="shared" si="24"/>
        <v>-1.0224374717465116E-2</v>
      </c>
      <c r="AA188" s="219"/>
    </row>
    <row r="189" spans="2:27" x14ac:dyDescent="0.35">
      <c r="B189" s="40">
        <v>33407</v>
      </c>
      <c r="C189" s="39">
        <v>1695.4</v>
      </c>
      <c r="D189" s="219">
        <f t="shared" si="22"/>
        <v>-3.3563994412318362E-3</v>
      </c>
      <c r="F189" s="40">
        <v>33407</v>
      </c>
      <c r="G189" s="39">
        <v>1695.4</v>
      </c>
      <c r="H189" s="39">
        <f t="shared" si="17"/>
        <v>2</v>
      </c>
      <c r="I189" s="39">
        <f t="shared" si="18"/>
        <v>0</v>
      </c>
      <c r="K189" s="40">
        <v>34152</v>
      </c>
      <c r="L189" s="39">
        <v>1697.8</v>
      </c>
      <c r="M189" s="39">
        <v>5</v>
      </c>
      <c r="N189" s="39">
        <v>1697.8</v>
      </c>
      <c r="O189" s="219">
        <f t="shared" si="23"/>
        <v>1.5325673497779888E-3</v>
      </c>
      <c r="Q189" s="40">
        <v>33407</v>
      </c>
      <c r="R189" s="39">
        <v>1695.4</v>
      </c>
      <c r="S189" s="39">
        <f t="shared" si="19"/>
        <v>6</v>
      </c>
      <c r="T189" s="39">
        <f t="shared" si="20"/>
        <v>0</v>
      </c>
      <c r="U189" s="39">
        <f t="shared" si="21"/>
        <v>0</v>
      </c>
      <c r="V189" s="40">
        <v>37315</v>
      </c>
      <c r="W189" s="39">
        <v>5039.08</v>
      </c>
      <c r="X189" s="39">
        <v>2</v>
      </c>
      <c r="Y189" s="39">
        <v>5039.08</v>
      </c>
      <c r="Z189" s="249">
        <f t="shared" si="24"/>
        <v>-1.350805869483881E-2</v>
      </c>
      <c r="AA189" s="219"/>
    </row>
    <row r="190" spans="2:27" x14ac:dyDescent="0.35">
      <c r="B190" s="40">
        <v>33408</v>
      </c>
      <c r="C190" s="39">
        <v>1683</v>
      </c>
      <c r="D190" s="219">
        <f t="shared" si="22"/>
        <v>-7.3407859834992723E-3</v>
      </c>
      <c r="F190" s="40">
        <v>33408</v>
      </c>
      <c r="G190" s="39">
        <v>1683</v>
      </c>
      <c r="H190" s="39">
        <f t="shared" si="17"/>
        <v>3</v>
      </c>
      <c r="I190" s="39">
        <f t="shared" si="18"/>
        <v>0</v>
      </c>
      <c r="K190" s="40">
        <v>34159</v>
      </c>
      <c r="L190" s="39">
        <v>1797.4</v>
      </c>
      <c r="M190" s="39">
        <v>5</v>
      </c>
      <c r="N190" s="39">
        <v>1797.4</v>
      </c>
      <c r="O190" s="219">
        <f t="shared" si="23"/>
        <v>5.7007880920405776E-2</v>
      </c>
      <c r="Q190" s="40">
        <v>33408</v>
      </c>
      <c r="R190" s="39">
        <v>1683</v>
      </c>
      <c r="S190" s="39">
        <f t="shared" si="19"/>
        <v>6</v>
      </c>
      <c r="T190" s="39">
        <f t="shared" si="20"/>
        <v>0</v>
      </c>
      <c r="U190" s="39">
        <f t="shared" si="21"/>
        <v>0</v>
      </c>
      <c r="V190" s="40">
        <v>37343</v>
      </c>
      <c r="W190" s="39">
        <v>5397.29</v>
      </c>
      <c r="X190" s="39">
        <v>3</v>
      </c>
      <c r="Y190" s="39">
        <v>5397.29</v>
      </c>
      <c r="Z190" s="249">
        <f t="shared" si="24"/>
        <v>6.8673450010247022E-2</v>
      </c>
      <c r="AA190" s="219"/>
    </row>
    <row r="191" spans="2:27" x14ac:dyDescent="0.35">
      <c r="B191" s="40">
        <v>33409</v>
      </c>
      <c r="C191" s="39">
        <v>1687</v>
      </c>
      <c r="D191" s="219">
        <f t="shared" si="22"/>
        <v>2.3738883551622045E-3</v>
      </c>
      <c r="F191" s="40">
        <v>33409</v>
      </c>
      <c r="G191" s="39">
        <v>1687</v>
      </c>
      <c r="H191" s="39">
        <f t="shared" si="17"/>
        <v>4</v>
      </c>
      <c r="I191" s="39">
        <f t="shared" si="18"/>
        <v>0</v>
      </c>
      <c r="K191" s="40">
        <v>34166</v>
      </c>
      <c r="L191" s="39">
        <v>1813.5</v>
      </c>
      <c r="M191" s="39">
        <v>5</v>
      </c>
      <c r="N191" s="39">
        <v>1813.5</v>
      </c>
      <c r="O191" s="219">
        <f t="shared" si="23"/>
        <v>8.9175034986839121E-3</v>
      </c>
      <c r="Q191" s="40">
        <v>33409</v>
      </c>
      <c r="R191" s="39">
        <v>1687</v>
      </c>
      <c r="S191" s="39">
        <f t="shared" si="19"/>
        <v>6</v>
      </c>
      <c r="T191" s="39">
        <f t="shared" si="20"/>
        <v>0</v>
      </c>
      <c r="U191" s="39">
        <f t="shared" si="21"/>
        <v>0</v>
      </c>
      <c r="V191" s="40">
        <v>37376</v>
      </c>
      <c r="W191" s="39">
        <v>5041.2</v>
      </c>
      <c r="X191" s="39">
        <v>4</v>
      </c>
      <c r="Y191" s="39">
        <v>5041.2</v>
      </c>
      <c r="Z191" s="249">
        <f t="shared" si="24"/>
        <v>-6.8252826767389446E-2</v>
      </c>
      <c r="AA191" s="219"/>
    </row>
    <row r="192" spans="2:27" x14ac:dyDescent="0.35">
      <c r="B192" s="40">
        <v>33410</v>
      </c>
      <c r="C192" s="39">
        <v>1711.9</v>
      </c>
      <c r="D192" s="219">
        <f t="shared" si="22"/>
        <v>1.4652061234764337E-2</v>
      </c>
      <c r="F192" s="40">
        <v>33410</v>
      </c>
      <c r="G192" s="39">
        <v>1711.9</v>
      </c>
      <c r="H192" s="39">
        <f t="shared" si="17"/>
        <v>5</v>
      </c>
      <c r="I192" s="39">
        <f t="shared" si="18"/>
        <v>1711.9</v>
      </c>
      <c r="K192" s="40">
        <v>34173</v>
      </c>
      <c r="L192" s="39">
        <v>1830.8</v>
      </c>
      <c r="M192" s="39">
        <v>5</v>
      </c>
      <c r="N192" s="39">
        <v>1830.8</v>
      </c>
      <c r="O192" s="219">
        <f t="shared" si="23"/>
        <v>9.4943500565299894E-3</v>
      </c>
      <c r="Q192" s="40">
        <v>33410</v>
      </c>
      <c r="R192" s="39">
        <v>1711.9</v>
      </c>
      <c r="S192" s="39">
        <f t="shared" si="19"/>
        <v>6</v>
      </c>
      <c r="T192" s="39">
        <f t="shared" si="20"/>
        <v>0</v>
      </c>
      <c r="U192" s="39">
        <f t="shared" si="21"/>
        <v>0</v>
      </c>
      <c r="V192" s="40">
        <v>37407</v>
      </c>
      <c r="W192" s="39">
        <v>4818.3</v>
      </c>
      <c r="X192" s="39">
        <v>5</v>
      </c>
      <c r="Y192" s="39">
        <v>4818.3</v>
      </c>
      <c r="Z192" s="249">
        <f t="shared" si="24"/>
        <v>-4.5222980226375331E-2</v>
      </c>
      <c r="AA192" s="219"/>
    </row>
    <row r="193" spans="2:27" x14ac:dyDescent="0.35">
      <c r="B193" s="40">
        <v>33413</v>
      </c>
      <c r="C193" s="39">
        <v>1691.6</v>
      </c>
      <c r="D193" s="219">
        <f t="shared" si="22"/>
        <v>-1.1929038182399314E-2</v>
      </c>
      <c r="F193" s="40">
        <v>33413</v>
      </c>
      <c r="G193" s="39">
        <v>1691.6</v>
      </c>
      <c r="H193" s="39">
        <f t="shared" si="17"/>
        <v>1</v>
      </c>
      <c r="I193" s="39">
        <f t="shared" si="18"/>
        <v>0</v>
      </c>
      <c r="K193" s="40">
        <v>34180</v>
      </c>
      <c r="L193" s="39">
        <v>1803.2</v>
      </c>
      <c r="M193" s="39">
        <v>5</v>
      </c>
      <c r="N193" s="39">
        <v>1803.2</v>
      </c>
      <c r="O193" s="219">
        <f t="shared" si="23"/>
        <v>-1.519016549397512E-2</v>
      </c>
      <c r="Q193" s="40">
        <v>33413</v>
      </c>
      <c r="R193" s="39">
        <v>1691.6</v>
      </c>
      <c r="S193" s="39">
        <f t="shared" si="19"/>
        <v>6</v>
      </c>
      <c r="T193" s="39">
        <f t="shared" si="20"/>
        <v>0</v>
      </c>
      <c r="U193" s="39">
        <f t="shared" si="21"/>
        <v>0</v>
      </c>
      <c r="V193" s="40">
        <v>37435</v>
      </c>
      <c r="W193" s="39">
        <v>4382.5600000000004</v>
      </c>
      <c r="X193" s="39">
        <v>6</v>
      </c>
      <c r="Y193" s="39">
        <v>4382.5600000000004</v>
      </c>
      <c r="Z193" s="249">
        <f t="shared" si="24"/>
        <v>-9.4788140219545555E-2</v>
      </c>
      <c r="AA193" s="219"/>
    </row>
    <row r="194" spans="2:27" x14ac:dyDescent="0.35">
      <c r="B194" s="40">
        <v>33414</v>
      </c>
      <c r="C194" s="39">
        <v>1691.5</v>
      </c>
      <c r="D194" s="219">
        <f t="shared" si="22"/>
        <v>-5.9117377570310625E-5</v>
      </c>
      <c r="F194" s="40">
        <v>33414</v>
      </c>
      <c r="G194" s="39">
        <v>1691.5</v>
      </c>
      <c r="H194" s="39">
        <f t="shared" si="17"/>
        <v>2</v>
      </c>
      <c r="I194" s="39">
        <f t="shared" si="18"/>
        <v>0</v>
      </c>
      <c r="K194" s="40">
        <v>34187</v>
      </c>
      <c r="L194" s="39">
        <v>1869.4</v>
      </c>
      <c r="M194" s="39">
        <v>5</v>
      </c>
      <c r="N194" s="39">
        <v>1869.4</v>
      </c>
      <c r="O194" s="219">
        <f t="shared" si="23"/>
        <v>3.6054659462971178E-2</v>
      </c>
      <c r="Q194" s="40">
        <v>33414</v>
      </c>
      <c r="R194" s="39">
        <v>1691.5</v>
      </c>
      <c r="S194" s="39">
        <f t="shared" si="19"/>
        <v>6</v>
      </c>
      <c r="T194" s="39">
        <f t="shared" si="20"/>
        <v>0</v>
      </c>
      <c r="U194" s="39">
        <f t="shared" si="21"/>
        <v>0</v>
      </c>
      <c r="V194" s="40">
        <v>37468</v>
      </c>
      <c r="W194" s="39">
        <v>3700.14</v>
      </c>
      <c r="X194" s="39">
        <v>7</v>
      </c>
      <c r="Y194" s="39">
        <v>3700.14</v>
      </c>
      <c r="Z194" s="249">
        <f t="shared" si="24"/>
        <v>-0.169262371763095</v>
      </c>
      <c r="AA194" s="219"/>
    </row>
    <row r="195" spans="2:27" x14ac:dyDescent="0.35">
      <c r="B195" s="40">
        <v>33415</v>
      </c>
      <c r="C195" s="39">
        <v>1672.1</v>
      </c>
      <c r="D195" s="219">
        <f t="shared" si="22"/>
        <v>-1.1535387752139836E-2</v>
      </c>
      <c r="F195" s="40">
        <v>33415</v>
      </c>
      <c r="G195" s="39">
        <v>1672.1</v>
      </c>
      <c r="H195" s="39">
        <f t="shared" si="17"/>
        <v>3</v>
      </c>
      <c r="I195" s="39">
        <f t="shared" si="18"/>
        <v>0</v>
      </c>
      <c r="K195" s="40">
        <v>34194</v>
      </c>
      <c r="L195" s="39">
        <v>1906.6</v>
      </c>
      <c r="M195" s="39">
        <v>5</v>
      </c>
      <c r="N195" s="39">
        <v>1906.6</v>
      </c>
      <c r="O195" s="219">
        <f t="shared" si="23"/>
        <v>1.9704027310994597E-2</v>
      </c>
      <c r="Q195" s="40">
        <v>33415</v>
      </c>
      <c r="R195" s="39">
        <v>1672.1</v>
      </c>
      <c r="S195" s="39">
        <f t="shared" si="19"/>
        <v>6</v>
      </c>
      <c r="T195" s="39">
        <f t="shared" si="20"/>
        <v>0</v>
      </c>
      <c r="U195" s="39">
        <f t="shared" si="21"/>
        <v>0</v>
      </c>
      <c r="V195" s="40">
        <v>37498</v>
      </c>
      <c r="W195" s="39">
        <v>3712.94</v>
      </c>
      <c r="X195" s="39">
        <v>8</v>
      </c>
      <c r="Y195" s="39">
        <v>3712.94</v>
      </c>
      <c r="Z195" s="249">
        <f t="shared" si="24"/>
        <v>3.453358852388073E-3</v>
      </c>
      <c r="AA195" s="219"/>
    </row>
    <row r="196" spans="2:27" x14ac:dyDescent="0.35">
      <c r="B196" s="40">
        <v>33416</v>
      </c>
      <c r="C196" s="39">
        <v>1666.1</v>
      </c>
      <c r="D196" s="219">
        <f t="shared" si="22"/>
        <v>-3.5947555336003426E-3</v>
      </c>
      <c r="F196" s="40">
        <v>33416</v>
      </c>
      <c r="G196" s="39">
        <v>1666.1</v>
      </c>
      <c r="H196" s="39">
        <f t="shared" si="17"/>
        <v>4</v>
      </c>
      <c r="I196" s="39">
        <f t="shared" si="18"/>
        <v>0</v>
      </c>
      <c r="K196" s="40">
        <v>34201</v>
      </c>
      <c r="L196" s="39">
        <v>1922.7</v>
      </c>
      <c r="M196" s="39">
        <v>5</v>
      </c>
      <c r="N196" s="39">
        <v>1922.7</v>
      </c>
      <c r="O196" s="219">
        <f t="shared" si="23"/>
        <v>8.4088971188131245E-3</v>
      </c>
      <c r="Q196" s="40">
        <v>33416</v>
      </c>
      <c r="R196" s="39">
        <v>1666.1</v>
      </c>
      <c r="S196" s="39">
        <f t="shared" si="19"/>
        <v>6</v>
      </c>
      <c r="T196" s="39">
        <f t="shared" si="20"/>
        <v>0</v>
      </c>
      <c r="U196" s="39">
        <f t="shared" si="21"/>
        <v>0</v>
      </c>
      <c r="V196" s="40">
        <v>37529</v>
      </c>
      <c r="W196" s="39">
        <v>2769.03</v>
      </c>
      <c r="X196" s="39">
        <v>9</v>
      </c>
      <c r="Y196" s="39">
        <v>2769.03</v>
      </c>
      <c r="Z196" s="249">
        <f t="shared" si="24"/>
        <v>-0.29332693725825054</v>
      </c>
      <c r="AA196" s="219"/>
    </row>
    <row r="197" spans="2:27" x14ac:dyDescent="0.35">
      <c r="B197" s="40">
        <v>33417</v>
      </c>
      <c r="C197" s="39">
        <v>1622.2</v>
      </c>
      <c r="D197" s="219">
        <f t="shared" si="22"/>
        <v>-2.6702313298778649E-2</v>
      </c>
      <c r="F197" s="40">
        <v>33417</v>
      </c>
      <c r="G197" s="39">
        <v>1622.2</v>
      </c>
      <c r="H197" s="39">
        <f t="shared" si="17"/>
        <v>5</v>
      </c>
      <c r="I197" s="39">
        <f t="shared" si="18"/>
        <v>1622.2</v>
      </c>
      <c r="K197" s="40">
        <v>34208</v>
      </c>
      <c r="L197" s="39">
        <v>1904.6</v>
      </c>
      <c r="M197" s="39">
        <v>5</v>
      </c>
      <c r="N197" s="39">
        <v>1904.6</v>
      </c>
      <c r="O197" s="219">
        <f t="shared" si="23"/>
        <v>-9.4584354183452346E-3</v>
      </c>
      <c r="Q197" s="40">
        <v>33417</v>
      </c>
      <c r="R197" s="39">
        <v>1622.2</v>
      </c>
      <c r="S197" s="39">
        <f t="shared" si="19"/>
        <v>6</v>
      </c>
      <c r="T197" s="39">
        <f t="shared" si="20"/>
        <v>1622.2</v>
      </c>
      <c r="U197" s="39">
        <f t="shared" si="21"/>
        <v>1622.2</v>
      </c>
      <c r="V197" s="40">
        <v>37560</v>
      </c>
      <c r="W197" s="39">
        <v>3152.85</v>
      </c>
      <c r="X197" s="39">
        <v>10</v>
      </c>
      <c r="Y197" s="39">
        <v>3152.85</v>
      </c>
      <c r="Z197" s="249">
        <f t="shared" si="24"/>
        <v>0.12980972732564036</v>
      </c>
      <c r="AA197" s="219"/>
    </row>
    <row r="198" spans="2:27" x14ac:dyDescent="0.35">
      <c r="B198" s="40">
        <v>33420</v>
      </c>
      <c r="C198" s="39">
        <v>1625.2</v>
      </c>
      <c r="D198" s="219">
        <f t="shared" si="22"/>
        <v>1.8476324773273264E-3</v>
      </c>
      <c r="F198" s="40">
        <v>33420</v>
      </c>
      <c r="G198" s="39">
        <v>1625.2</v>
      </c>
      <c r="H198" s="39">
        <f t="shared" si="17"/>
        <v>1</v>
      </c>
      <c r="I198" s="39">
        <f t="shared" si="18"/>
        <v>0</v>
      </c>
      <c r="K198" s="40">
        <v>34215</v>
      </c>
      <c r="L198" s="39">
        <v>1925.2</v>
      </c>
      <c r="M198" s="39">
        <v>5</v>
      </c>
      <c r="N198" s="39">
        <v>1925.2</v>
      </c>
      <c r="O198" s="219">
        <f t="shared" si="23"/>
        <v>1.0757845669008833E-2</v>
      </c>
      <c r="Q198" s="40">
        <v>33420</v>
      </c>
      <c r="R198" s="39">
        <v>1625.2</v>
      </c>
      <c r="S198" s="39">
        <f t="shared" si="19"/>
        <v>7</v>
      </c>
      <c r="T198" s="39">
        <f t="shared" si="20"/>
        <v>0</v>
      </c>
      <c r="U198" s="39">
        <f t="shared" si="21"/>
        <v>0</v>
      </c>
      <c r="V198" s="40">
        <v>37589</v>
      </c>
      <c r="W198" s="39">
        <v>3320.32</v>
      </c>
      <c r="X198" s="39">
        <v>11</v>
      </c>
      <c r="Y198" s="39">
        <v>3320.32</v>
      </c>
      <c r="Z198" s="249">
        <f t="shared" si="24"/>
        <v>5.1754358133816417E-2</v>
      </c>
      <c r="AA198" s="219"/>
    </row>
    <row r="199" spans="2:27" x14ac:dyDescent="0.35">
      <c r="B199" s="40">
        <v>33421</v>
      </c>
      <c r="C199" s="39">
        <v>1610.5</v>
      </c>
      <c r="D199" s="219">
        <f t="shared" si="22"/>
        <v>-9.0861953423182207E-3</v>
      </c>
      <c r="F199" s="40">
        <v>33421</v>
      </c>
      <c r="G199" s="39">
        <v>1610.5</v>
      </c>
      <c r="H199" s="39">
        <f t="shared" si="17"/>
        <v>2</v>
      </c>
      <c r="I199" s="39">
        <f t="shared" si="18"/>
        <v>0</v>
      </c>
      <c r="K199" s="40">
        <v>34222</v>
      </c>
      <c r="L199" s="39">
        <v>1861.4</v>
      </c>
      <c r="M199" s="39">
        <v>5</v>
      </c>
      <c r="N199" s="39">
        <v>1861.4</v>
      </c>
      <c r="O199" s="219">
        <f t="shared" si="23"/>
        <v>-3.3700965677344139E-2</v>
      </c>
      <c r="Q199" s="40">
        <v>33421</v>
      </c>
      <c r="R199" s="39">
        <v>1610.5</v>
      </c>
      <c r="S199" s="39">
        <f t="shared" si="19"/>
        <v>7</v>
      </c>
      <c r="T199" s="39">
        <f t="shared" si="20"/>
        <v>0</v>
      </c>
      <c r="U199" s="39">
        <f t="shared" si="21"/>
        <v>0</v>
      </c>
      <c r="V199" s="40">
        <v>37620</v>
      </c>
      <c r="W199" s="39">
        <v>2892.63</v>
      </c>
      <c r="X199" s="39">
        <v>12</v>
      </c>
      <c r="Y199" s="39">
        <v>2892.63</v>
      </c>
      <c r="Z199" s="249">
        <f t="shared" si="24"/>
        <v>-0.13789504092980187</v>
      </c>
      <c r="AA199" s="219"/>
    </row>
    <row r="200" spans="2:27" x14ac:dyDescent="0.35">
      <c r="B200" s="40">
        <v>33422</v>
      </c>
      <c r="C200" s="39">
        <v>1614.4</v>
      </c>
      <c r="D200" s="219">
        <f t="shared" si="22"/>
        <v>2.4186808280911472E-3</v>
      </c>
      <c r="F200" s="40">
        <v>33422</v>
      </c>
      <c r="G200" s="39">
        <v>1614.4</v>
      </c>
      <c r="H200" s="39">
        <f t="shared" si="17"/>
        <v>3</v>
      </c>
      <c r="I200" s="39">
        <f t="shared" si="18"/>
        <v>0</v>
      </c>
      <c r="K200" s="40">
        <v>34229</v>
      </c>
      <c r="L200" s="39">
        <v>1882</v>
      </c>
      <c r="M200" s="39">
        <v>5</v>
      </c>
      <c r="N200" s="39">
        <v>1882</v>
      </c>
      <c r="O200" s="219">
        <f t="shared" si="23"/>
        <v>1.1006148393714797E-2</v>
      </c>
      <c r="Q200" s="40">
        <v>33422</v>
      </c>
      <c r="R200" s="39">
        <v>1614.4</v>
      </c>
      <c r="S200" s="39">
        <f t="shared" si="19"/>
        <v>7</v>
      </c>
      <c r="T200" s="39">
        <f t="shared" si="20"/>
        <v>0</v>
      </c>
      <c r="U200" s="39">
        <f t="shared" si="21"/>
        <v>0</v>
      </c>
      <c r="V200" s="40">
        <v>37652</v>
      </c>
      <c r="W200" s="39">
        <v>2747.83</v>
      </c>
      <c r="X200" s="39">
        <v>1</v>
      </c>
      <c r="Y200" s="39">
        <v>2747.83</v>
      </c>
      <c r="Z200" s="249">
        <f t="shared" si="24"/>
        <v>-5.1354613622695187E-2</v>
      </c>
      <c r="AA200" s="219"/>
    </row>
    <row r="201" spans="2:27" x14ac:dyDescent="0.35">
      <c r="B201" s="40">
        <v>33423</v>
      </c>
      <c r="C201" s="39">
        <v>1616.1</v>
      </c>
      <c r="D201" s="219">
        <f t="shared" si="22"/>
        <v>1.052468755253073E-3</v>
      </c>
      <c r="F201" s="40">
        <v>33423</v>
      </c>
      <c r="G201" s="39">
        <v>1616.1</v>
      </c>
      <c r="H201" s="39">
        <f t="shared" si="17"/>
        <v>4</v>
      </c>
      <c r="I201" s="39">
        <f t="shared" si="18"/>
        <v>0</v>
      </c>
      <c r="K201" s="40">
        <v>34236</v>
      </c>
      <c r="L201" s="39">
        <v>1885.9</v>
      </c>
      <c r="M201" s="39">
        <v>5</v>
      </c>
      <c r="N201" s="39">
        <v>1885.9</v>
      </c>
      <c r="O201" s="219">
        <f t="shared" si="23"/>
        <v>2.0701193729944787E-3</v>
      </c>
      <c r="Q201" s="40">
        <v>33423</v>
      </c>
      <c r="R201" s="39">
        <v>1616.1</v>
      </c>
      <c r="S201" s="39">
        <f t="shared" si="19"/>
        <v>7</v>
      </c>
      <c r="T201" s="39">
        <f t="shared" si="20"/>
        <v>0</v>
      </c>
      <c r="U201" s="39">
        <f t="shared" si="21"/>
        <v>0</v>
      </c>
      <c r="V201" s="40">
        <v>37680</v>
      </c>
      <c r="W201" s="39">
        <v>2547.0500000000002</v>
      </c>
      <c r="X201" s="39">
        <v>2</v>
      </c>
      <c r="Y201" s="39">
        <v>2547.0500000000002</v>
      </c>
      <c r="Z201" s="249">
        <f t="shared" si="24"/>
        <v>-7.5875682530286412E-2</v>
      </c>
      <c r="AA201" s="219"/>
    </row>
    <row r="202" spans="2:27" x14ac:dyDescent="0.35">
      <c r="B202" s="40">
        <v>33424</v>
      </c>
      <c r="C202" s="39">
        <v>1618.9</v>
      </c>
      <c r="D202" s="219">
        <f t="shared" si="22"/>
        <v>1.7310668928625778E-3</v>
      </c>
      <c r="F202" s="40">
        <v>33424</v>
      </c>
      <c r="G202" s="39">
        <v>1618.9</v>
      </c>
      <c r="H202" s="39">
        <f t="shared" si="17"/>
        <v>5</v>
      </c>
      <c r="I202" s="39">
        <f t="shared" si="18"/>
        <v>1618.9</v>
      </c>
      <c r="K202" s="40">
        <v>34243</v>
      </c>
      <c r="L202" s="39">
        <v>1912.1</v>
      </c>
      <c r="M202" s="39">
        <v>5</v>
      </c>
      <c r="N202" s="39">
        <v>1912.1</v>
      </c>
      <c r="O202" s="219">
        <f t="shared" si="23"/>
        <v>1.379695398059428E-2</v>
      </c>
      <c r="Q202" s="40">
        <v>33424</v>
      </c>
      <c r="R202" s="39">
        <v>1618.9</v>
      </c>
      <c r="S202" s="39">
        <f t="shared" si="19"/>
        <v>7</v>
      </c>
      <c r="T202" s="39">
        <f t="shared" si="20"/>
        <v>0</v>
      </c>
      <c r="U202" s="39">
        <f t="shared" si="21"/>
        <v>0</v>
      </c>
      <c r="V202" s="40">
        <v>37711</v>
      </c>
      <c r="W202" s="39">
        <v>2423.87</v>
      </c>
      <c r="X202" s="39">
        <v>3</v>
      </c>
      <c r="Y202" s="39">
        <v>2423.87</v>
      </c>
      <c r="Z202" s="249">
        <f t="shared" si="24"/>
        <v>-4.9570390337122142E-2</v>
      </c>
      <c r="AA202" s="219"/>
    </row>
    <row r="203" spans="2:27" x14ac:dyDescent="0.35">
      <c r="B203" s="40">
        <v>33427</v>
      </c>
      <c r="C203" s="39">
        <v>1605</v>
      </c>
      <c r="D203" s="219">
        <f t="shared" si="22"/>
        <v>-8.623149683343918E-3</v>
      </c>
      <c r="F203" s="40">
        <v>33427</v>
      </c>
      <c r="G203" s="39">
        <v>1605</v>
      </c>
      <c r="H203" s="39">
        <f t="shared" si="17"/>
        <v>1</v>
      </c>
      <c r="I203" s="39">
        <f t="shared" si="18"/>
        <v>0</v>
      </c>
      <c r="K203" s="40">
        <v>34250</v>
      </c>
      <c r="L203" s="39">
        <v>2005</v>
      </c>
      <c r="M203" s="39">
        <v>5</v>
      </c>
      <c r="N203" s="39">
        <v>2005</v>
      </c>
      <c r="O203" s="219">
        <f t="shared" si="23"/>
        <v>4.7441946241755746E-2</v>
      </c>
      <c r="Q203" s="40">
        <v>33427</v>
      </c>
      <c r="R203" s="39">
        <v>1605</v>
      </c>
      <c r="S203" s="39">
        <f t="shared" si="19"/>
        <v>7</v>
      </c>
      <c r="T203" s="39">
        <f t="shared" si="20"/>
        <v>0</v>
      </c>
      <c r="U203" s="39">
        <f t="shared" si="21"/>
        <v>0</v>
      </c>
      <c r="V203" s="40">
        <v>37741</v>
      </c>
      <c r="W203" s="39">
        <v>2942.04</v>
      </c>
      <c r="X203" s="39">
        <v>4</v>
      </c>
      <c r="Y203" s="39">
        <v>2942.04</v>
      </c>
      <c r="Z203" s="249">
        <f t="shared" si="24"/>
        <v>0.193737781874012</v>
      </c>
      <c r="AA203" s="219"/>
    </row>
    <row r="204" spans="2:27" x14ac:dyDescent="0.35">
      <c r="B204" s="40">
        <v>33428</v>
      </c>
      <c r="C204" s="39">
        <v>1627.6</v>
      </c>
      <c r="D204" s="219">
        <f t="shared" si="22"/>
        <v>1.3982780563418522E-2</v>
      </c>
      <c r="F204" s="40">
        <v>33428</v>
      </c>
      <c r="G204" s="39">
        <v>1627.6</v>
      </c>
      <c r="H204" s="39">
        <f t="shared" si="17"/>
        <v>2</v>
      </c>
      <c r="I204" s="39">
        <f t="shared" si="18"/>
        <v>0</v>
      </c>
      <c r="K204" s="40">
        <v>34257</v>
      </c>
      <c r="L204" s="39">
        <v>2015</v>
      </c>
      <c r="M204" s="39">
        <v>5</v>
      </c>
      <c r="N204" s="39">
        <v>2015</v>
      </c>
      <c r="O204" s="219">
        <f t="shared" si="23"/>
        <v>4.9751346401137077E-3</v>
      </c>
      <c r="Q204" s="40">
        <v>33428</v>
      </c>
      <c r="R204" s="39">
        <v>1627.6</v>
      </c>
      <c r="S204" s="39">
        <f t="shared" si="19"/>
        <v>7</v>
      </c>
      <c r="T204" s="39">
        <f t="shared" si="20"/>
        <v>0</v>
      </c>
      <c r="U204" s="39">
        <f t="shared" si="21"/>
        <v>0</v>
      </c>
      <c r="V204" s="40">
        <v>37771</v>
      </c>
      <c r="W204" s="39">
        <v>2982.68</v>
      </c>
      <c r="X204" s="39">
        <v>5</v>
      </c>
      <c r="Y204" s="39">
        <v>2982.68</v>
      </c>
      <c r="Z204" s="249">
        <f t="shared" si="24"/>
        <v>1.3719006942584043E-2</v>
      </c>
      <c r="AA204" s="219"/>
    </row>
    <row r="205" spans="2:27" x14ac:dyDescent="0.35">
      <c r="B205" s="40">
        <v>33429</v>
      </c>
      <c r="C205" s="39">
        <v>1634.7</v>
      </c>
      <c r="D205" s="219">
        <f t="shared" si="22"/>
        <v>4.3527641296275824E-3</v>
      </c>
      <c r="F205" s="40">
        <v>33429</v>
      </c>
      <c r="G205" s="39">
        <v>1634.7</v>
      </c>
      <c r="H205" s="39">
        <f t="shared" si="17"/>
        <v>3</v>
      </c>
      <c r="I205" s="39">
        <f t="shared" si="18"/>
        <v>0</v>
      </c>
      <c r="K205" s="40">
        <v>34264</v>
      </c>
      <c r="L205" s="39">
        <v>2066.1999999999998</v>
      </c>
      <c r="M205" s="39">
        <v>5</v>
      </c>
      <c r="N205" s="39">
        <v>2066.1999999999998</v>
      </c>
      <c r="O205" s="219">
        <f t="shared" si="23"/>
        <v>2.5091976034561678E-2</v>
      </c>
      <c r="Q205" s="40">
        <v>33429</v>
      </c>
      <c r="R205" s="39">
        <v>1634.7</v>
      </c>
      <c r="S205" s="39">
        <f t="shared" si="19"/>
        <v>7</v>
      </c>
      <c r="T205" s="39">
        <f t="shared" si="20"/>
        <v>0</v>
      </c>
      <c r="U205" s="39">
        <f t="shared" si="21"/>
        <v>0</v>
      </c>
      <c r="V205" s="40">
        <v>37802</v>
      </c>
      <c r="W205" s="39">
        <v>3220.58</v>
      </c>
      <c r="X205" s="39">
        <v>6</v>
      </c>
      <c r="Y205" s="39">
        <v>3220.58</v>
      </c>
      <c r="Z205" s="249">
        <f t="shared" si="24"/>
        <v>7.6739242337030791E-2</v>
      </c>
      <c r="AA205" s="219"/>
    </row>
    <row r="206" spans="2:27" x14ac:dyDescent="0.35">
      <c r="B206" s="40">
        <v>33430</v>
      </c>
      <c r="C206" s="39">
        <v>1637.9</v>
      </c>
      <c r="D206" s="219">
        <f t="shared" si="22"/>
        <v>1.9556322311714276E-3</v>
      </c>
      <c r="F206" s="40">
        <v>33430</v>
      </c>
      <c r="G206" s="39">
        <v>1637.9</v>
      </c>
      <c r="H206" s="39">
        <f t="shared" si="17"/>
        <v>4</v>
      </c>
      <c r="I206" s="39">
        <f t="shared" si="18"/>
        <v>0</v>
      </c>
      <c r="K206" s="40">
        <v>34271</v>
      </c>
      <c r="L206" s="39">
        <v>2069</v>
      </c>
      <c r="M206" s="39">
        <v>5</v>
      </c>
      <c r="N206" s="39">
        <v>2069</v>
      </c>
      <c r="O206" s="219">
        <f t="shared" si="23"/>
        <v>1.3542273301980683E-3</v>
      </c>
      <c r="Q206" s="40">
        <v>33430</v>
      </c>
      <c r="R206" s="39">
        <v>1637.9</v>
      </c>
      <c r="S206" s="39">
        <f t="shared" si="19"/>
        <v>7</v>
      </c>
      <c r="T206" s="39">
        <f t="shared" si="20"/>
        <v>0</v>
      </c>
      <c r="U206" s="39">
        <f t="shared" si="21"/>
        <v>0</v>
      </c>
      <c r="V206" s="40">
        <v>37833</v>
      </c>
      <c r="W206" s="39">
        <v>3487.86</v>
      </c>
      <c r="X206" s="39">
        <v>7</v>
      </c>
      <c r="Y206" s="39">
        <v>3487.86</v>
      </c>
      <c r="Z206" s="249">
        <f t="shared" si="24"/>
        <v>7.9726900067019463E-2</v>
      </c>
      <c r="AA206" s="219"/>
    </row>
    <row r="207" spans="2:27" x14ac:dyDescent="0.35">
      <c r="B207" s="40">
        <v>33431</v>
      </c>
      <c r="C207" s="39">
        <v>1644.8</v>
      </c>
      <c r="D207" s="219">
        <f t="shared" si="22"/>
        <v>4.2038627725120761E-3</v>
      </c>
      <c r="F207" s="40">
        <v>33431</v>
      </c>
      <c r="G207" s="39">
        <v>1644.8</v>
      </c>
      <c r="H207" s="39">
        <f t="shared" si="17"/>
        <v>5</v>
      </c>
      <c r="I207" s="39">
        <f t="shared" si="18"/>
        <v>1644.8</v>
      </c>
      <c r="K207" s="40">
        <v>34278</v>
      </c>
      <c r="L207" s="39">
        <v>2012.6</v>
      </c>
      <c r="M207" s="39">
        <v>5</v>
      </c>
      <c r="N207" s="39">
        <v>2012.6</v>
      </c>
      <c r="O207" s="219">
        <f t="shared" si="23"/>
        <v>-2.7637980246310253E-2</v>
      </c>
      <c r="Q207" s="40">
        <v>33431</v>
      </c>
      <c r="R207" s="39">
        <v>1644.8</v>
      </c>
      <c r="S207" s="39">
        <f t="shared" si="19"/>
        <v>7</v>
      </c>
      <c r="T207" s="39">
        <f t="shared" si="20"/>
        <v>0</v>
      </c>
      <c r="U207" s="39">
        <f t="shared" si="21"/>
        <v>0</v>
      </c>
      <c r="V207" s="40">
        <v>37862</v>
      </c>
      <c r="W207" s="39">
        <v>3484.58</v>
      </c>
      <c r="X207" s="39">
        <v>8</v>
      </c>
      <c r="Y207" s="39">
        <v>3484.58</v>
      </c>
      <c r="Z207" s="249">
        <f t="shared" si="24"/>
        <v>-9.4084717601098397E-4</v>
      </c>
      <c r="AA207" s="219"/>
    </row>
    <row r="208" spans="2:27" x14ac:dyDescent="0.35">
      <c r="B208" s="40">
        <v>33434</v>
      </c>
      <c r="C208" s="39">
        <v>1646.6</v>
      </c>
      <c r="D208" s="219">
        <f t="shared" si="22"/>
        <v>1.0937596034795638E-3</v>
      </c>
      <c r="F208" s="40">
        <v>33434</v>
      </c>
      <c r="G208" s="39">
        <v>1646.6</v>
      </c>
      <c r="H208" s="39">
        <f t="shared" si="17"/>
        <v>1</v>
      </c>
      <c r="I208" s="39">
        <f t="shared" si="18"/>
        <v>0</v>
      </c>
      <c r="K208" s="40">
        <v>34285</v>
      </c>
      <c r="L208" s="39">
        <v>2015</v>
      </c>
      <c r="M208" s="39">
        <v>5</v>
      </c>
      <c r="N208" s="39">
        <v>2015</v>
      </c>
      <c r="O208" s="219">
        <f t="shared" si="23"/>
        <v>1.1917768815505249E-3</v>
      </c>
      <c r="Q208" s="40">
        <v>33434</v>
      </c>
      <c r="R208" s="39">
        <v>1646.6</v>
      </c>
      <c r="S208" s="39">
        <f t="shared" si="19"/>
        <v>7</v>
      </c>
      <c r="T208" s="39">
        <f t="shared" si="20"/>
        <v>0</v>
      </c>
      <c r="U208" s="39">
        <f t="shared" si="21"/>
        <v>0</v>
      </c>
      <c r="V208" s="40">
        <v>37894</v>
      </c>
      <c r="W208" s="39">
        <v>3256.78</v>
      </c>
      <c r="X208" s="39">
        <v>9</v>
      </c>
      <c r="Y208" s="39">
        <v>3256.78</v>
      </c>
      <c r="Z208" s="249">
        <f t="shared" si="24"/>
        <v>-6.7608543260029547E-2</v>
      </c>
      <c r="AA208" s="219"/>
    </row>
    <row r="209" spans="2:27" x14ac:dyDescent="0.35">
      <c r="B209" s="40">
        <v>33435</v>
      </c>
      <c r="C209" s="39">
        <v>1643.9</v>
      </c>
      <c r="D209" s="219">
        <f t="shared" si="22"/>
        <v>-1.6410883488608117E-3</v>
      </c>
      <c r="F209" s="40">
        <v>33435</v>
      </c>
      <c r="G209" s="39">
        <v>1643.9</v>
      </c>
      <c r="H209" s="39">
        <f t="shared" si="17"/>
        <v>2</v>
      </c>
      <c r="I209" s="39">
        <f t="shared" si="18"/>
        <v>0</v>
      </c>
      <c r="K209" s="40">
        <v>34292</v>
      </c>
      <c r="L209" s="39">
        <v>2077.4</v>
      </c>
      <c r="M209" s="39">
        <v>5</v>
      </c>
      <c r="N209" s="39">
        <v>2077.4</v>
      </c>
      <c r="O209" s="219">
        <f t="shared" si="23"/>
        <v>3.0497916412927706E-2</v>
      </c>
      <c r="Q209" s="40">
        <v>33435</v>
      </c>
      <c r="R209" s="39">
        <v>1643.9</v>
      </c>
      <c r="S209" s="39">
        <f t="shared" si="19"/>
        <v>7</v>
      </c>
      <c r="T209" s="39">
        <f t="shared" si="20"/>
        <v>0</v>
      </c>
      <c r="U209" s="39">
        <f t="shared" si="21"/>
        <v>0</v>
      </c>
      <c r="V209" s="40">
        <v>37925</v>
      </c>
      <c r="W209" s="39">
        <v>3655.99</v>
      </c>
      <c r="X209" s="39">
        <v>10</v>
      </c>
      <c r="Y209" s="39">
        <v>3655.99</v>
      </c>
      <c r="Z209" s="249">
        <f t="shared" si="24"/>
        <v>0.11562794116792535</v>
      </c>
      <c r="AA209" s="219"/>
    </row>
    <row r="210" spans="2:27" x14ac:dyDescent="0.35">
      <c r="B210" s="40">
        <v>33436</v>
      </c>
      <c r="C210" s="39">
        <v>1625.5</v>
      </c>
      <c r="D210" s="219">
        <f t="shared" si="22"/>
        <v>-1.1256006771504718E-2</v>
      </c>
      <c r="F210" s="40">
        <v>33436</v>
      </c>
      <c r="G210" s="39">
        <v>1625.5</v>
      </c>
      <c r="H210" s="39">
        <f t="shared" si="17"/>
        <v>3</v>
      </c>
      <c r="I210" s="39">
        <f t="shared" si="18"/>
        <v>0</v>
      </c>
      <c r="K210" s="40">
        <v>34299</v>
      </c>
      <c r="L210" s="39">
        <v>2047.2</v>
      </c>
      <c r="M210" s="39">
        <v>5</v>
      </c>
      <c r="N210" s="39">
        <v>2047.2</v>
      </c>
      <c r="O210" s="219">
        <f t="shared" si="23"/>
        <v>-1.4644105948132006E-2</v>
      </c>
      <c r="Q210" s="40">
        <v>33436</v>
      </c>
      <c r="R210" s="39">
        <v>1625.5</v>
      </c>
      <c r="S210" s="39">
        <f t="shared" si="19"/>
        <v>7</v>
      </c>
      <c r="T210" s="39">
        <f t="shared" si="20"/>
        <v>0</v>
      </c>
      <c r="U210" s="39">
        <f t="shared" si="21"/>
        <v>0</v>
      </c>
      <c r="V210" s="40">
        <v>37953</v>
      </c>
      <c r="W210" s="39">
        <v>3745.95</v>
      </c>
      <c r="X210" s="39">
        <v>11</v>
      </c>
      <c r="Y210" s="39">
        <v>3745.95</v>
      </c>
      <c r="Z210" s="249">
        <f t="shared" si="24"/>
        <v>2.4308338003671586E-2</v>
      </c>
      <c r="AA210" s="219"/>
    </row>
    <row r="211" spans="2:27" x14ac:dyDescent="0.35">
      <c r="B211" s="40">
        <v>33437</v>
      </c>
      <c r="C211" s="39">
        <v>1618.3</v>
      </c>
      <c r="D211" s="219">
        <f t="shared" si="22"/>
        <v>-4.4392452211203448E-3</v>
      </c>
      <c r="F211" s="40">
        <v>33437</v>
      </c>
      <c r="G211" s="39">
        <v>1618.3</v>
      </c>
      <c r="H211" s="39">
        <f t="shared" si="17"/>
        <v>4</v>
      </c>
      <c r="I211" s="39">
        <f t="shared" si="18"/>
        <v>0</v>
      </c>
      <c r="K211" s="40">
        <v>34306</v>
      </c>
      <c r="L211" s="39">
        <v>2120.6</v>
      </c>
      <c r="M211" s="39">
        <v>5</v>
      </c>
      <c r="N211" s="39">
        <v>2120.6</v>
      </c>
      <c r="O211" s="219">
        <f t="shared" si="23"/>
        <v>3.5226061646118648E-2</v>
      </c>
      <c r="Q211" s="40">
        <v>33437</v>
      </c>
      <c r="R211" s="39">
        <v>1618.3</v>
      </c>
      <c r="S211" s="39">
        <f t="shared" si="19"/>
        <v>7</v>
      </c>
      <c r="T211" s="39">
        <f t="shared" si="20"/>
        <v>0</v>
      </c>
      <c r="U211" s="39">
        <f t="shared" si="21"/>
        <v>0</v>
      </c>
      <c r="V211" s="40">
        <v>37985</v>
      </c>
      <c r="W211" s="39">
        <v>3965.16</v>
      </c>
      <c r="X211" s="39">
        <v>12</v>
      </c>
      <c r="Y211" s="39">
        <v>3965.16</v>
      </c>
      <c r="Z211" s="249">
        <f t="shared" si="24"/>
        <v>5.6870951000105772E-2</v>
      </c>
      <c r="AA211" s="219"/>
    </row>
    <row r="212" spans="2:27" x14ac:dyDescent="0.35">
      <c r="B212" s="40">
        <v>33438</v>
      </c>
      <c r="C212" s="39">
        <v>1624</v>
      </c>
      <c r="D212" s="219">
        <f t="shared" si="22"/>
        <v>3.5160261987835246E-3</v>
      </c>
      <c r="F212" s="40">
        <v>33438</v>
      </c>
      <c r="G212" s="39">
        <v>1624</v>
      </c>
      <c r="H212" s="39">
        <f t="shared" si="17"/>
        <v>5</v>
      </c>
      <c r="I212" s="39">
        <f t="shared" si="18"/>
        <v>1624</v>
      </c>
      <c r="K212" s="40">
        <v>34313</v>
      </c>
      <c r="L212" s="39">
        <v>2161.1</v>
      </c>
      <c r="M212" s="39">
        <v>5</v>
      </c>
      <c r="N212" s="39">
        <v>2161.1</v>
      </c>
      <c r="O212" s="219">
        <f t="shared" si="23"/>
        <v>1.8918283817283325E-2</v>
      </c>
      <c r="Q212" s="40">
        <v>33438</v>
      </c>
      <c r="R212" s="39">
        <v>1624</v>
      </c>
      <c r="S212" s="39">
        <f t="shared" si="19"/>
        <v>7</v>
      </c>
      <c r="T212" s="39">
        <f t="shared" si="20"/>
        <v>0</v>
      </c>
      <c r="U212" s="39">
        <f t="shared" si="21"/>
        <v>0</v>
      </c>
      <c r="V212" s="40">
        <v>38016</v>
      </c>
      <c r="W212" s="39">
        <v>4058.6</v>
      </c>
      <c r="X212" s="39">
        <v>1</v>
      </c>
      <c r="Y212" s="39">
        <v>4058.6</v>
      </c>
      <c r="Z212" s="249">
        <f t="shared" si="24"/>
        <v>2.3291879198550684E-2</v>
      </c>
      <c r="AA212" s="219"/>
    </row>
    <row r="213" spans="2:27" x14ac:dyDescent="0.35">
      <c r="B213" s="40">
        <v>33441</v>
      </c>
      <c r="C213" s="39">
        <v>1623</v>
      </c>
      <c r="D213" s="219">
        <f t="shared" si="22"/>
        <v>-6.1595320703206069E-4</v>
      </c>
      <c r="F213" s="40">
        <v>33441</v>
      </c>
      <c r="G213" s="39">
        <v>1623</v>
      </c>
      <c r="H213" s="39">
        <f t="shared" si="17"/>
        <v>1</v>
      </c>
      <c r="I213" s="39">
        <f t="shared" si="18"/>
        <v>0</v>
      </c>
      <c r="K213" s="40">
        <v>34320</v>
      </c>
      <c r="L213" s="39">
        <v>2151</v>
      </c>
      <c r="M213" s="39">
        <v>5</v>
      </c>
      <c r="N213" s="39">
        <v>2151</v>
      </c>
      <c r="O213" s="219">
        <f t="shared" si="23"/>
        <v>-4.6845010412511342E-3</v>
      </c>
      <c r="Q213" s="40">
        <v>33441</v>
      </c>
      <c r="R213" s="39">
        <v>1623</v>
      </c>
      <c r="S213" s="39">
        <f t="shared" si="19"/>
        <v>7</v>
      </c>
      <c r="T213" s="39">
        <f t="shared" si="20"/>
        <v>0</v>
      </c>
      <c r="U213" s="39">
        <f t="shared" si="21"/>
        <v>0</v>
      </c>
      <c r="V213" s="40">
        <v>38044</v>
      </c>
      <c r="W213" s="39">
        <v>4018.16</v>
      </c>
      <c r="X213" s="39">
        <v>2</v>
      </c>
      <c r="Y213" s="39">
        <v>4018.16</v>
      </c>
      <c r="Z213" s="249">
        <f t="shared" si="24"/>
        <v>-1.0014000154444699E-2</v>
      </c>
      <c r="AA213" s="219"/>
    </row>
    <row r="214" spans="2:27" x14ac:dyDescent="0.35">
      <c r="B214" s="40">
        <v>33442</v>
      </c>
      <c r="C214" s="39">
        <v>1632.9</v>
      </c>
      <c r="D214" s="219">
        <f t="shared" si="22"/>
        <v>6.081286593672919E-3</v>
      </c>
      <c r="F214" s="40">
        <v>33442</v>
      </c>
      <c r="G214" s="39">
        <v>1632.9</v>
      </c>
      <c r="H214" s="39">
        <f t="shared" si="17"/>
        <v>2</v>
      </c>
      <c r="I214" s="39">
        <f t="shared" si="18"/>
        <v>0</v>
      </c>
      <c r="K214" s="40">
        <v>34326</v>
      </c>
      <c r="L214" s="39">
        <v>2222.8000000000002</v>
      </c>
      <c r="M214" s="39">
        <v>4</v>
      </c>
      <c r="N214" s="39">
        <v>2222.8000000000002</v>
      </c>
      <c r="O214" s="219">
        <f t="shared" si="23"/>
        <v>3.2834812138036303E-2</v>
      </c>
      <c r="Q214" s="40">
        <v>33442</v>
      </c>
      <c r="R214" s="39">
        <v>1632.9</v>
      </c>
      <c r="S214" s="39">
        <f t="shared" si="19"/>
        <v>7</v>
      </c>
      <c r="T214" s="39">
        <f t="shared" si="20"/>
        <v>0</v>
      </c>
      <c r="U214" s="39">
        <f t="shared" si="21"/>
        <v>0</v>
      </c>
      <c r="V214" s="40">
        <v>38077</v>
      </c>
      <c r="W214" s="39">
        <v>3856.7</v>
      </c>
      <c r="X214" s="39">
        <v>3</v>
      </c>
      <c r="Y214" s="39">
        <v>3856.7</v>
      </c>
      <c r="Z214" s="249">
        <f t="shared" si="24"/>
        <v>-4.1012190863811158E-2</v>
      </c>
      <c r="AA214" s="219"/>
    </row>
    <row r="215" spans="2:27" x14ac:dyDescent="0.35">
      <c r="B215" s="40">
        <v>33443</v>
      </c>
      <c r="C215" s="39">
        <v>1621.7</v>
      </c>
      <c r="D215" s="219">
        <f t="shared" si="22"/>
        <v>-6.8825933829353859E-3</v>
      </c>
      <c r="F215" s="40">
        <v>33443</v>
      </c>
      <c r="G215" s="39">
        <v>1621.7</v>
      </c>
      <c r="H215" s="39">
        <f t="shared" si="17"/>
        <v>3</v>
      </c>
      <c r="I215" s="39">
        <f t="shared" si="18"/>
        <v>0</v>
      </c>
      <c r="K215" s="40">
        <v>34333</v>
      </c>
      <c r="L215" s="39">
        <v>2266.6999999999998</v>
      </c>
      <c r="M215" s="39">
        <v>4</v>
      </c>
      <c r="N215" s="39">
        <v>2266.6999999999998</v>
      </c>
      <c r="O215" s="219">
        <f t="shared" si="23"/>
        <v>1.9557366864544515E-2</v>
      </c>
      <c r="Q215" s="40">
        <v>33443</v>
      </c>
      <c r="R215" s="39">
        <v>1621.7</v>
      </c>
      <c r="S215" s="39">
        <f t="shared" si="19"/>
        <v>7</v>
      </c>
      <c r="T215" s="39">
        <f t="shared" si="20"/>
        <v>0</v>
      </c>
      <c r="U215" s="39">
        <f t="shared" si="21"/>
        <v>0</v>
      </c>
      <c r="V215" s="40">
        <v>38107</v>
      </c>
      <c r="W215" s="39">
        <v>3985.21</v>
      </c>
      <c r="X215" s="39">
        <v>4</v>
      </c>
      <c r="Y215" s="39">
        <v>3985.21</v>
      </c>
      <c r="Z215" s="249">
        <f t="shared" si="24"/>
        <v>3.2778112927292574E-2</v>
      </c>
      <c r="AA215" s="219"/>
    </row>
    <row r="216" spans="2:27" x14ac:dyDescent="0.35">
      <c r="B216" s="40">
        <v>33444</v>
      </c>
      <c r="C216" s="39">
        <v>1615.4</v>
      </c>
      <c r="D216" s="219">
        <f t="shared" si="22"/>
        <v>-3.8923777171327471E-3</v>
      </c>
      <c r="F216" s="40">
        <v>33444</v>
      </c>
      <c r="G216" s="39">
        <v>1615.4</v>
      </c>
      <c r="H216" s="39">
        <f t="shared" si="17"/>
        <v>4</v>
      </c>
      <c r="I216" s="39">
        <f t="shared" si="18"/>
        <v>0</v>
      </c>
      <c r="K216" s="40">
        <v>34341</v>
      </c>
      <c r="L216" s="39">
        <v>2211.6</v>
      </c>
      <c r="M216" s="39">
        <v>5</v>
      </c>
      <c r="N216" s="39">
        <v>2211.6</v>
      </c>
      <c r="O216" s="219">
        <f t="shared" si="23"/>
        <v>-2.4608793806532945E-2</v>
      </c>
      <c r="Q216" s="40">
        <v>33444</v>
      </c>
      <c r="R216" s="39">
        <v>1615.4</v>
      </c>
      <c r="S216" s="39">
        <f t="shared" si="19"/>
        <v>7</v>
      </c>
      <c r="T216" s="39">
        <f t="shared" si="20"/>
        <v>0</v>
      </c>
      <c r="U216" s="39">
        <f t="shared" si="21"/>
        <v>0</v>
      </c>
      <c r="V216" s="40">
        <v>38138</v>
      </c>
      <c r="W216" s="39">
        <v>3921.41</v>
      </c>
      <c r="X216" s="39">
        <v>5</v>
      </c>
      <c r="Y216" s="39">
        <v>3921.41</v>
      </c>
      <c r="Z216" s="249">
        <f t="shared" si="24"/>
        <v>-1.6138725464180482E-2</v>
      </c>
      <c r="AA216" s="219"/>
    </row>
    <row r="217" spans="2:27" x14ac:dyDescent="0.35">
      <c r="B217" s="40">
        <v>33445</v>
      </c>
      <c r="C217" s="39">
        <v>1605.6</v>
      </c>
      <c r="D217" s="219">
        <f t="shared" si="22"/>
        <v>-6.0850855260676205E-3</v>
      </c>
      <c r="F217" s="40">
        <v>33445</v>
      </c>
      <c r="G217" s="39">
        <v>1605.6</v>
      </c>
      <c r="H217" s="39">
        <f t="shared" si="17"/>
        <v>5</v>
      </c>
      <c r="I217" s="39">
        <f t="shared" si="18"/>
        <v>1605.6</v>
      </c>
      <c r="K217" s="40">
        <v>34348</v>
      </c>
      <c r="L217" s="39">
        <v>2141.8000000000002</v>
      </c>
      <c r="M217" s="39">
        <v>5</v>
      </c>
      <c r="N217" s="39">
        <v>2141.8000000000002</v>
      </c>
      <c r="O217" s="219">
        <f t="shared" si="23"/>
        <v>-3.2069638497003124E-2</v>
      </c>
      <c r="Q217" s="40">
        <v>33445</v>
      </c>
      <c r="R217" s="39">
        <v>1605.6</v>
      </c>
      <c r="S217" s="39">
        <f t="shared" si="19"/>
        <v>7</v>
      </c>
      <c r="T217" s="39">
        <f t="shared" si="20"/>
        <v>0</v>
      </c>
      <c r="U217" s="39">
        <f t="shared" si="21"/>
        <v>0</v>
      </c>
      <c r="V217" s="40">
        <v>38168</v>
      </c>
      <c r="W217" s="39">
        <v>4052.73</v>
      </c>
      <c r="X217" s="39">
        <v>6</v>
      </c>
      <c r="Y217" s="39">
        <v>4052.73</v>
      </c>
      <c r="Z217" s="249">
        <f t="shared" si="24"/>
        <v>3.2939445101048355E-2</v>
      </c>
      <c r="AA217" s="219"/>
    </row>
    <row r="218" spans="2:27" x14ac:dyDescent="0.35">
      <c r="B218" s="40">
        <v>33448</v>
      </c>
      <c r="C218" s="39">
        <v>1605.6</v>
      </c>
      <c r="D218" s="219">
        <f t="shared" si="22"/>
        <v>0</v>
      </c>
      <c r="F218" s="40">
        <v>33448</v>
      </c>
      <c r="G218" s="39">
        <v>1605.6</v>
      </c>
      <c r="H218" s="39">
        <f t="shared" si="17"/>
        <v>1</v>
      </c>
      <c r="I218" s="39">
        <f t="shared" si="18"/>
        <v>0</v>
      </c>
      <c r="K218" s="40">
        <v>34355</v>
      </c>
      <c r="L218" s="39">
        <v>2075.6</v>
      </c>
      <c r="M218" s="39">
        <v>5</v>
      </c>
      <c r="N218" s="39">
        <v>2075.6</v>
      </c>
      <c r="O218" s="219">
        <f t="shared" si="23"/>
        <v>-3.1396328473190203E-2</v>
      </c>
      <c r="Q218" s="40">
        <v>33448</v>
      </c>
      <c r="R218" s="39">
        <v>1605.6</v>
      </c>
      <c r="S218" s="39">
        <f t="shared" si="19"/>
        <v>7</v>
      </c>
      <c r="T218" s="39">
        <f t="shared" si="20"/>
        <v>0</v>
      </c>
      <c r="U218" s="39">
        <f t="shared" si="21"/>
        <v>0</v>
      </c>
      <c r="V218" s="40">
        <v>38198</v>
      </c>
      <c r="W218" s="39">
        <v>3895.61</v>
      </c>
      <c r="X218" s="39">
        <v>7</v>
      </c>
      <c r="Y218" s="39">
        <v>3895.61</v>
      </c>
      <c r="Z218" s="249">
        <f t="shared" si="24"/>
        <v>-3.9540450006358384E-2</v>
      </c>
      <c r="AA218" s="219"/>
    </row>
    <row r="219" spans="2:27" x14ac:dyDescent="0.35">
      <c r="B219" s="40">
        <v>33449</v>
      </c>
      <c r="C219" s="39">
        <v>1614.9</v>
      </c>
      <c r="D219" s="219">
        <f t="shared" si="22"/>
        <v>5.775516752893093E-3</v>
      </c>
      <c r="F219" s="40">
        <v>33449</v>
      </c>
      <c r="G219" s="39">
        <v>1614.9</v>
      </c>
      <c r="H219" s="39">
        <f t="shared" si="17"/>
        <v>2</v>
      </c>
      <c r="I219" s="39">
        <f t="shared" si="18"/>
        <v>0</v>
      </c>
      <c r="K219" s="40">
        <v>34362</v>
      </c>
      <c r="L219" s="39">
        <v>2133.5</v>
      </c>
      <c r="M219" s="39">
        <v>5</v>
      </c>
      <c r="N219" s="39">
        <v>2133.5</v>
      </c>
      <c r="O219" s="219">
        <f t="shared" si="23"/>
        <v>2.7513555134470024E-2</v>
      </c>
      <c r="Q219" s="40">
        <v>33449</v>
      </c>
      <c r="R219" s="39">
        <v>1614.9</v>
      </c>
      <c r="S219" s="39">
        <f t="shared" si="19"/>
        <v>7</v>
      </c>
      <c r="T219" s="39">
        <f t="shared" si="20"/>
        <v>0</v>
      </c>
      <c r="U219" s="39">
        <f t="shared" si="21"/>
        <v>0</v>
      </c>
      <c r="V219" s="40">
        <v>38230</v>
      </c>
      <c r="W219" s="39">
        <v>3785.21</v>
      </c>
      <c r="X219" s="39">
        <v>8</v>
      </c>
      <c r="Y219" s="39">
        <v>3785.21</v>
      </c>
      <c r="Z219" s="249">
        <f t="shared" si="24"/>
        <v>-2.8748910583497492E-2</v>
      </c>
      <c r="AA219" s="219"/>
    </row>
    <row r="220" spans="2:27" x14ac:dyDescent="0.35">
      <c r="B220" s="40">
        <v>33450</v>
      </c>
      <c r="C220" s="39">
        <v>1622.3</v>
      </c>
      <c r="D220" s="219">
        <f t="shared" si="22"/>
        <v>4.5718601813317678E-3</v>
      </c>
      <c r="F220" s="40">
        <v>33450</v>
      </c>
      <c r="G220" s="39">
        <v>1622.3</v>
      </c>
      <c r="H220" s="39">
        <f t="shared" si="17"/>
        <v>3</v>
      </c>
      <c r="I220" s="39">
        <f t="shared" si="18"/>
        <v>0</v>
      </c>
      <c r="K220" s="40">
        <v>34369</v>
      </c>
      <c r="L220" s="39">
        <v>2138.3000000000002</v>
      </c>
      <c r="M220" s="39">
        <v>5</v>
      </c>
      <c r="N220" s="39">
        <v>2138.3000000000002</v>
      </c>
      <c r="O220" s="219">
        <f t="shared" si="23"/>
        <v>2.2472971675349864E-3</v>
      </c>
      <c r="Q220" s="40">
        <v>33450</v>
      </c>
      <c r="R220" s="39">
        <v>1622.3</v>
      </c>
      <c r="S220" s="39">
        <f t="shared" si="19"/>
        <v>7</v>
      </c>
      <c r="T220" s="39">
        <f t="shared" si="20"/>
        <v>1622.3</v>
      </c>
      <c r="U220" s="39">
        <f t="shared" si="21"/>
        <v>1622.3</v>
      </c>
      <c r="V220" s="40">
        <v>38260</v>
      </c>
      <c r="W220" s="39">
        <v>3892.9</v>
      </c>
      <c r="X220" s="39">
        <v>9</v>
      </c>
      <c r="Y220" s="39">
        <v>3892.9</v>
      </c>
      <c r="Z220" s="249">
        <f t="shared" si="24"/>
        <v>2.8053013650871129E-2</v>
      </c>
      <c r="AA220" s="219"/>
    </row>
    <row r="221" spans="2:27" x14ac:dyDescent="0.35">
      <c r="B221" s="40">
        <v>33451</v>
      </c>
      <c r="C221" s="39">
        <v>1622.6</v>
      </c>
      <c r="D221" s="219">
        <f t="shared" si="22"/>
        <v>1.8490554461144388E-4</v>
      </c>
      <c r="F221" s="40">
        <v>33451</v>
      </c>
      <c r="G221" s="39">
        <v>1622.6</v>
      </c>
      <c r="H221" s="39">
        <f t="shared" si="17"/>
        <v>4</v>
      </c>
      <c r="I221" s="39">
        <f t="shared" si="18"/>
        <v>0</v>
      </c>
      <c r="K221" s="40">
        <v>34376</v>
      </c>
      <c r="L221" s="39">
        <v>2090.6</v>
      </c>
      <c r="M221" s="39">
        <v>5</v>
      </c>
      <c r="N221" s="39">
        <v>2090.6</v>
      </c>
      <c r="O221" s="219">
        <f t="shared" si="23"/>
        <v>-2.2560014696982888E-2</v>
      </c>
      <c r="Q221" s="40">
        <v>33451</v>
      </c>
      <c r="R221" s="39">
        <v>1622.6</v>
      </c>
      <c r="S221" s="39">
        <f t="shared" si="19"/>
        <v>8</v>
      </c>
      <c r="T221" s="39">
        <f t="shared" si="20"/>
        <v>0</v>
      </c>
      <c r="U221" s="39">
        <f t="shared" si="21"/>
        <v>0</v>
      </c>
      <c r="V221" s="40">
        <v>38289</v>
      </c>
      <c r="W221" s="39">
        <v>3960.25</v>
      </c>
      <c r="X221" s="39">
        <v>10</v>
      </c>
      <c r="Y221" s="39">
        <v>3960.25</v>
      </c>
      <c r="Z221" s="249">
        <f t="shared" si="24"/>
        <v>1.7152773419171857E-2</v>
      </c>
      <c r="AA221" s="219"/>
    </row>
    <row r="222" spans="2:27" x14ac:dyDescent="0.35">
      <c r="B222" s="40">
        <v>33452</v>
      </c>
      <c r="C222" s="39">
        <v>1615.4</v>
      </c>
      <c r="D222" s="219">
        <f t="shared" si="22"/>
        <v>-4.4471969527685729E-3</v>
      </c>
      <c r="F222" s="40">
        <v>33452</v>
      </c>
      <c r="G222" s="39">
        <v>1615.4</v>
      </c>
      <c r="H222" s="39">
        <f t="shared" si="17"/>
        <v>5</v>
      </c>
      <c r="I222" s="39">
        <f t="shared" si="18"/>
        <v>1615.4</v>
      </c>
      <c r="K222" s="40">
        <v>34383</v>
      </c>
      <c r="L222" s="39">
        <v>2152</v>
      </c>
      <c r="M222" s="39">
        <v>5</v>
      </c>
      <c r="N222" s="39">
        <v>2152</v>
      </c>
      <c r="O222" s="219">
        <f t="shared" si="23"/>
        <v>2.8946536183068371E-2</v>
      </c>
      <c r="Q222" s="40">
        <v>33452</v>
      </c>
      <c r="R222" s="39">
        <v>1615.4</v>
      </c>
      <c r="S222" s="39">
        <f t="shared" si="19"/>
        <v>8</v>
      </c>
      <c r="T222" s="39">
        <f t="shared" si="20"/>
        <v>0</v>
      </c>
      <c r="U222" s="39">
        <f t="shared" si="21"/>
        <v>0</v>
      </c>
      <c r="V222" s="40">
        <v>38321</v>
      </c>
      <c r="W222" s="39">
        <v>4126</v>
      </c>
      <c r="X222" s="39">
        <v>11</v>
      </c>
      <c r="Y222" s="39">
        <v>4126</v>
      </c>
      <c r="Z222" s="249">
        <f t="shared" si="24"/>
        <v>4.1001260062236998E-2</v>
      </c>
      <c r="AA222" s="219"/>
    </row>
    <row r="223" spans="2:27" x14ac:dyDescent="0.35">
      <c r="B223" s="40">
        <v>33455</v>
      </c>
      <c r="C223" s="39">
        <v>1622</v>
      </c>
      <c r="D223" s="219">
        <f t="shared" si="22"/>
        <v>4.0773516671622559E-3</v>
      </c>
      <c r="F223" s="40">
        <v>33455</v>
      </c>
      <c r="G223" s="39">
        <v>1622</v>
      </c>
      <c r="H223" s="39">
        <f t="shared" si="17"/>
        <v>1</v>
      </c>
      <c r="I223" s="39">
        <f t="shared" si="18"/>
        <v>0</v>
      </c>
      <c r="K223" s="40">
        <v>34390</v>
      </c>
      <c r="L223" s="39">
        <v>2075</v>
      </c>
      <c r="M223" s="39">
        <v>5</v>
      </c>
      <c r="N223" s="39">
        <v>2075</v>
      </c>
      <c r="O223" s="219">
        <f t="shared" si="23"/>
        <v>-3.6436488616876407E-2</v>
      </c>
      <c r="Q223" s="40">
        <v>33455</v>
      </c>
      <c r="R223" s="39">
        <v>1622</v>
      </c>
      <c r="S223" s="39">
        <f t="shared" si="19"/>
        <v>8</v>
      </c>
      <c r="T223" s="39">
        <f t="shared" si="20"/>
        <v>0</v>
      </c>
      <c r="U223" s="39">
        <f t="shared" si="21"/>
        <v>0</v>
      </c>
      <c r="V223" s="40">
        <v>38351</v>
      </c>
      <c r="W223" s="39">
        <v>4256.08</v>
      </c>
      <c r="X223" s="39">
        <v>12</v>
      </c>
      <c r="Y223" s="39">
        <v>4256.08</v>
      </c>
      <c r="Z223" s="249">
        <f t="shared" si="24"/>
        <v>3.1040134206103062E-2</v>
      </c>
      <c r="AA223" s="219"/>
    </row>
    <row r="224" spans="2:27" x14ac:dyDescent="0.35">
      <c r="B224" s="40">
        <v>33456</v>
      </c>
      <c r="C224" s="39">
        <v>1611.9</v>
      </c>
      <c r="D224" s="219">
        <f t="shared" si="22"/>
        <v>-6.2463482724726838E-3</v>
      </c>
      <c r="F224" s="40">
        <v>33456</v>
      </c>
      <c r="G224" s="39">
        <v>1611.9</v>
      </c>
      <c r="H224" s="39">
        <f t="shared" si="17"/>
        <v>2</v>
      </c>
      <c r="I224" s="39">
        <f t="shared" si="18"/>
        <v>0</v>
      </c>
      <c r="K224" s="40">
        <v>34397</v>
      </c>
      <c r="L224" s="39">
        <v>2060.1</v>
      </c>
      <c r="M224" s="39">
        <v>5</v>
      </c>
      <c r="N224" s="39">
        <v>2060.1</v>
      </c>
      <c r="O224" s="219">
        <f t="shared" si="23"/>
        <v>-7.2066283700583612E-3</v>
      </c>
      <c r="Q224" s="40">
        <v>33456</v>
      </c>
      <c r="R224" s="39">
        <v>1611.9</v>
      </c>
      <c r="S224" s="39">
        <f t="shared" si="19"/>
        <v>8</v>
      </c>
      <c r="T224" s="39">
        <f t="shared" si="20"/>
        <v>0</v>
      </c>
      <c r="U224" s="39">
        <f t="shared" si="21"/>
        <v>0</v>
      </c>
      <c r="V224" s="40">
        <v>38383</v>
      </c>
      <c r="W224" s="39">
        <v>4254.8500000000004</v>
      </c>
      <c r="X224" s="39">
        <v>1</v>
      </c>
      <c r="Y224" s="39">
        <v>4254.8500000000004</v>
      </c>
      <c r="Z224" s="249">
        <f t="shared" si="24"/>
        <v>-2.8904009516304878E-4</v>
      </c>
      <c r="AA224" s="219"/>
    </row>
    <row r="225" spans="2:27" x14ac:dyDescent="0.35">
      <c r="B225" s="40">
        <v>33457</v>
      </c>
      <c r="C225" s="39">
        <v>1631.4</v>
      </c>
      <c r="D225" s="219">
        <f t="shared" si="22"/>
        <v>1.2024934463594577E-2</v>
      </c>
      <c r="F225" s="40">
        <v>33457</v>
      </c>
      <c r="G225" s="39">
        <v>1631.4</v>
      </c>
      <c r="H225" s="39">
        <f t="shared" si="17"/>
        <v>3</v>
      </c>
      <c r="I225" s="39">
        <f t="shared" si="18"/>
        <v>0</v>
      </c>
      <c r="K225" s="40">
        <v>34404</v>
      </c>
      <c r="L225" s="39">
        <v>2103.5</v>
      </c>
      <c r="M225" s="39">
        <v>5</v>
      </c>
      <c r="N225" s="39">
        <v>2103.5</v>
      </c>
      <c r="O225" s="219">
        <f t="shared" si="23"/>
        <v>2.0848098735835256E-2</v>
      </c>
      <c r="Q225" s="40">
        <v>33457</v>
      </c>
      <c r="R225" s="39">
        <v>1631.4</v>
      </c>
      <c r="S225" s="39">
        <f t="shared" si="19"/>
        <v>8</v>
      </c>
      <c r="T225" s="39">
        <f t="shared" si="20"/>
        <v>0</v>
      </c>
      <c r="U225" s="39">
        <f t="shared" si="21"/>
        <v>0</v>
      </c>
      <c r="V225" s="40">
        <v>38411</v>
      </c>
      <c r="W225" s="39">
        <v>4350.49</v>
      </c>
      <c r="X225" s="39">
        <v>2</v>
      </c>
      <c r="Y225" s="39">
        <v>4350.49</v>
      </c>
      <c r="Z225" s="249">
        <f t="shared" si="24"/>
        <v>2.2228973674930746E-2</v>
      </c>
      <c r="AA225" s="219"/>
    </row>
    <row r="226" spans="2:27" x14ac:dyDescent="0.35">
      <c r="B226" s="40">
        <v>33458</v>
      </c>
      <c r="C226" s="39">
        <v>1630.2</v>
      </c>
      <c r="D226" s="219">
        <f t="shared" si="22"/>
        <v>-7.3583520612301612E-4</v>
      </c>
      <c r="F226" s="40">
        <v>33458</v>
      </c>
      <c r="G226" s="39">
        <v>1630.2</v>
      </c>
      <c r="H226" s="39">
        <f t="shared" si="17"/>
        <v>4</v>
      </c>
      <c r="I226" s="39">
        <f t="shared" si="18"/>
        <v>0</v>
      </c>
      <c r="K226" s="40">
        <v>34411</v>
      </c>
      <c r="L226" s="39">
        <v>2155.6</v>
      </c>
      <c r="M226" s="39">
        <v>5</v>
      </c>
      <c r="N226" s="39">
        <v>2155.6</v>
      </c>
      <c r="O226" s="219">
        <f t="shared" si="23"/>
        <v>2.4466483028766084E-2</v>
      </c>
      <c r="Q226" s="40">
        <v>33458</v>
      </c>
      <c r="R226" s="39">
        <v>1630.2</v>
      </c>
      <c r="S226" s="39">
        <f t="shared" si="19"/>
        <v>8</v>
      </c>
      <c r="T226" s="39">
        <f t="shared" si="20"/>
        <v>0</v>
      </c>
      <c r="U226" s="39">
        <f t="shared" si="21"/>
        <v>0</v>
      </c>
      <c r="V226" s="40">
        <v>38442</v>
      </c>
      <c r="W226" s="39">
        <v>4348.7700000000004</v>
      </c>
      <c r="X226" s="39">
        <v>3</v>
      </c>
      <c r="Y226" s="39">
        <v>4348.7700000000004</v>
      </c>
      <c r="Z226" s="249">
        <f t="shared" si="24"/>
        <v>-3.9543593878383336E-4</v>
      </c>
      <c r="AA226" s="219"/>
    </row>
    <row r="227" spans="2:27" x14ac:dyDescent="0.35">
      <c r="B227" s="40">
        <v>33459</v>
      </c>
      <c r="C227" s="39">
        <v>1632.2</v>
      </c>
      <c r="D227" s="219">
        <f t="shared" si="22"/>
        <v>1.2260913747854881E-3</v>
      </c>
      <c r="F227" s="40">
        <v>33459</v>
      </c>
      <c r="G227" s="39">
        <v>1632.2</v>
      </c>
      <c r="H227" s="39">
        <f t="shared" si="17"/>
        <v>5</v>
      </c>
      <c r="I227" s="39">
        <f t="shared" si="18"/>
        <v>1632.2</v>
      </c>
      <c r="K227" s="40">
        <v>34418</v>
      </c>
      <c r="L227" s="39">
        <v>2130.1</v>
      </c>
      <c r="M227" s="39">
        <v>5</v>
      </c>
      <c r="N227" s="39">
        <v>2130.1</v>
      </c>
      <c r="O227" s="219">
        <f t="shared" si="23"/>
        <v>-1.190018010110297E-2</v>
      </c>
      <c r="Q227" s="40">
        <v>33459</v>
      </c>
      <c r="R227" s="39">
        <v>1632.2</v>
      </c>
      <c r="S227" s="39">
        <f t="shared" si="19"/>
        <v>8</v>
      </c>
      <c r="T227" s="39">
        <f t="shared" si="20"/>
        <v>0</v>
      </c>
      <c r="U227" s="39">
        <f t="shared" si="21"/>
        <v>0</v>
      </c>
      <c r="V227" s="40">
        <v>38471</v>
      </c>
      <c r="W227" s="39">
        <v>4184.84</v>
      </c>
      <c r="X227" s="39">
        <v>4</v>
      </c>
      <c r="Y227" s="39">
        <v>4184.84</v>
      </c>
      <c r="Z227" s="249">
        <f t="shared" si="24"/>
        <v>-3.8424575065728751E-2</v>
      </c>
      <c r="AA227" s="219"/>
    </row>
    <row r="228" spans="2:27" x14ac:dyDescent="0.35">
      <c r="B228" s="40">
        <v>33462</v>
      </c>
      <c r="C228" s="39">
        <v>1626.1</v>
      </c>
      <c r="D228" s="219">
        <f t="shared" si="22"/>
        <v>-3.7442882034658502E-3</v>
      </c>
      <c r="F228" s="40">
        <v>33462</v>
      </c>
      <c r="G228" s="39">
        <v>1626.1</v>
      </c>
      <c r="H228" s="39">
        <f t="shared" si="17"/>
        <v>1</v>
      </c>
      <c r="I228" s="39">
        <f t="shared" si="18"/>
        <v>0</v>
      </c>
      <c r="K228" s="40">
        <v>34424</v>
      </c>
      <c r="L228" s="39">
        <v>2133.1</v>
      </c>
      <c r="M228" s="39">
        <v>4</v>
      </c>
      <c r="N228" s="39">
        <v>2133.1</v>
      </c>
      <c r="O228" s="219">
        <f t="shared" si="23"/>
        <v>1.4073937395333005E-3</v>
      </c>
      <c r="Q228" s="40">
        <v>33462</v>
      </c>
      <c r="R228" s="39">
        <v>1626.1</v>
      </c>
      <c r="S228" s="39">
        <f t="shared" si="19"/>
        <v>8</v>
      </c>
      <c r="T228" s="39">
        <f t="shared" si="20"/>
        <v>0</v>
      </c>
      <c r="U228" s="39">
        <f t="shared" si="21"/>
        <v>0</v>
      </c>
      <c r="V228" s="40">
        <v>38503</v>
      </c>
      <c r="W228" s="39">
        <v>4460.63</v>
      </c>
      <c r="X228" s="39">
        <v>5</v>
      </c>
      <c r="Y228" s="39">
        <v>4460.63</v>
      </c>
      <c r="Z228" s="249">
        <f t="shared" si="24"/>
        <v>6.3821540231302085E-2</v>
      </c>
      <c r="AA228" s="219"/>
    </row>
    <row r="229" spans="2:27" x14ac:dyDescent="0.35">
      <c r="B229" s="40">
        <v>33463</v>
      </c>
      <c r="C229" s="39">
        <v>1644.7</v>
      </c>
      <c r="D229" s="219">
        <f t="shared" si="22"/>
        <v>1.1373486915546568E-2</v>
      </c>
      <c r="F229" s="40">
        <v>33463</v>
      </c>
      <c r="G229" s="39">
        <v>1644.7</v>
      </c>
      <c r="H229" s="39">
        <f t="shared" si="17"/>
        <v>2</v>
      </c>
      <c r="I229" s="39">
        <f t="shared" si="18"/>
        <v>0</v>
      </c>
      <c r="K229" s="40">
        <v>34432</v>
      </c>
      <c r="L229" s="39">
        <v>2203.4</v>
      </c>
      <c r="M229" s="39">
        <v>5</v>
      </c>
      <c r="N229" s="39">
        <v>2203.4</v>
      </c>
      <c r="O229" s="219">
        <f t="shared" si="23"/>
        <v>3.2425301208192661E-2</v>
      </c>
      <c r="Q229" s="40">
        <v>33463</v>
      </c>
      <c r="R229" s="39">
        <v>1644.7</v>
      </c>
      <c r="S229" s="39">
        <f t="shared" si="19"/>
        <v>8</v>
      </c>
      <c r="T229" s="39">
        <f t="shared" si="20"/>
        <v>0</v>
      </c>
      <c r="U229" s="39">
        <f t="shared" si="21"/>
        <v>0</v>
      </c>
      <c r="V229" s="40">
        <v>38533</v>
      </c>
      <c r="W229" s="39">
        <v>4586.28</v>
      </c>
      <c r="X229" s="39">
        <v>6</v>
      </c>
      <c r="Y229" s="39">
        <v>4586.28</v>
      </c>
      <c r="Z229" s="249">
        <f t="shared" si="24"/>
        <v>2.7779226296145328E-2</v>
      </c>
      <c r="AA229" s="219"/>
    </row>
    <row r="230" spans="2:27" x14ac:dyDescent="0.35">
      <c r="B230" s="40">
        <v>33464</v>
      </c>
      <c r="C230" s="39">
        <v>1650.2</v>
      </c>
      <c r="D230" s="219">
        <f t="shared" si="22"/>
        <v>3.3384959230195045E-3</v>
      </c>
      <c r="F230" s="40">
        <v>33464</v>
      </c>
      <c r="G230" s="39">
        <v>1650.2</v>
      </c>
      <c r="H230" s="39">
        <f t="shared" si="17"/>
        <v>3</v>
      </c>
      <c r="I230" s="39">
        <f t="shared" si="18"/>
        <v>0</v>
      </c>
      <c r="K230" s="40">
        <v>34439</v>
      </c>
      <c r="L230" s="39">
        <v>2200.4</v>
      </c>
      <c r="M230" s="39">
        <v>5</v>
      </c>
      <c r="N230" s="39">
        <v>2200.4</v>
      </c>
      <c r="O230" s="219">
        <f t="shared" si="23"/>
        <v>-1.3624599046614949E-3</v>
      </c>
      <c r="Q230" s="40">
        <v>33464</v>
      </c>
      <c r="R230" s="39">
        <v>1650.2</v>
      </c>
      <c r="S230" s="39">
        <f t="shared" si="19"/>
        <v>8</v>
      </c>
      <c r="T230" s="39">
        <f t="shared" si="20"/>
        <v>0</v>
      </c>
      <c r="U230" s="39">
        <f t="shared" si="21"/>
        <v>0</v>
      </c>
      <c r="V230" s="40">
        <v>38562</v>
      </c>
      <c r="W230" s="39">
        <v>4886.5</v>
      </c>
      <c r="X230" s="39">
        <v>7</v>
      </c>
      <c r="Y230" s="39">
        <v>4886.5</v>
      </c>
      <c r="Z230" s="249">
        <f t="shared" si="24"/>
        <v>6.3407062838887709E-2</v>
      </c>
      <c r="AA230" s="219"/>
    </row>
    <row r="231" spans="2:27" x14ac:dyDescent="0.35">
      <c r="B231" s="40">
        <v>33465</v>
      </c>
      <c r="C231" s="39">
        <v>1654.3</v>
      </c>
      <c r="D231" s="219">
        <f t="shared" si="22"/>
        <v>2.4814659427273289E-3</v>
      </c>
      <c r="F231" s="40">
        <v>33465</v>
      </c>
      <c r="G231" s="39">
        <v>1654.3</v>
      </c>
      <c r="H231" s="39">
        <f t="shared" si="17"/>
        <v>4</v>
      </c>
      <c r="I231" s="39">
        <f t="shared" si="18"/>
        <v>0</v>
      </c>
      <c r="K231" s="40">
        <v>34446</v>
      </c>
      <c r="L231" s="39">
        <v>2213.9</v>
      </c>
      <c r="M231" s="39">
        <v>5</v>
      </c>
      <c r="N231" s="39">
        <v>2213.9</v>
      </c>
      <c r="O231" s="219">
        <f t="shared" si="23"/>
        <v>6.1165041288764174E-3</v>
      </c>
      <c r="Q231" s="40">
        <v>33465</v>
      </c>
      <c r="R231" s="39">
        <v>1654.3</v>
      </c>
      <c r="S231" s="39">
        <f t="shared" si="19"/>
        <v>8</v>
      </c>
      <c r="T231" s="39">
        <f t="shared" si="20"/>
        <v>0</v>
      </c>
      <c r="U231" s="39">
        <f t="shared" si="21"/>
        <v>0</v>
      </c>
      <c r="V231" s="40">
        <v>38595</v>
      </c>
      <c r="W231" s="39">
        <v>4829.6899999999996</v>
      </c>
      <c r="X231" s="39">
        <v>8</v>
      </c>
      <c r="Y231" s="39">
        <v>4829.6899999999996</v>
      </c>
      <c r="Z231" s="249">
        <f t="shared" si="24"/>
        <v>-1.1694017386654359E-2</v>
      </c>
      <c r="AA231" s="219"/>
    </row>
    <row r="232" spans="2:27" x14ac:dyDescent="0.35">
      <c r="B232" s="40">
        <v>33466</v>
      </c>
      <c r="C232" s="39">
        <v>1653.3</v>
      </c>
      <c r="D232" s="219">
        <f t="shared" si="22"/>
        <v>-6.0466805567092408E-4</v>
      </c>
      <c r="F232" s="40">
        <v>33466</v>
      </c>
      <c r="G232" s="39">
        <v>1653.3</v>
      </c>
      <c r="H232" s="39">
        <f t="shared" si="17"/>
        <v>5</v>
      </c>
      <c r="I232" s="39">
        <f t="shared" si="18"/>
        <v>1653.3</v>
      </c>
      <c r="K232" s="40">
        <v>34453</v>
      </c>
      <c r="L232" s="39">
        <v>2246</v>
      </c>
      <c r="M232" s="39">
        <v>5</v>
      </c>
      <c r="N232" s="39">
        <v>2246</v>
      </c>
      <c r="O232" s="219">
        <f t="shared" si="23"/>
        <v>1.4395190168209211E-2</v>
      </c>
      <c r="Q232" s="40">
        <v>33466</v>
      </c>
      <c r="R232" s="39">
        <v>1653.3</v>
      </c>
      <c r="S232" s="39">
        <f t="shared" si="19"/>
        <v>8</v>
      </c>
      <c r="T232" s="39">
        <f t="shared" si="20"/>
        <v>0</v>
      </c>
      <c r="U232" s="39">
        <f t="shared" si="21"/>
        <v>0</v>
      </c>
      <c r="V232" s="40">
        <v>38625</v>
      </c>
      <c r="W232" s="39">
        <v>5044.12</v>
      </c>
      <c r="X232" s="39">
        <v>9</v>
      </c>
      <c r="Y232" s="39">
        <v>5044.12</v>
      </c>
      <c r="Z232" s="249">
        <f t="shared" si="24"/>
        <v>4.3440925051928446E-2</v>
      </c>
      <c r="AA232" s="219"/>
    </row>
    <row r="233" spans="2:27" x14ac:dyDescent="0.35">
      <c r="B233" s="40">
        <v>33469</v>
      </c>
      <c r="C233" s="39">
        <v>1497.9</v>
      </c>
      <c r="D233" s="219">
        <f t="shared" si="22"/>
        <v>-9.8709163382626017E-2</v>
      </c>
      <c r="F233" s="40">
        <v>33469</v>
      </c>
      <c r="G233" s="39">
        <v>1497.9</v>
      </c>
      <c r="H233" s="39">
        <f t="shared" si="17"/>
        <v>1</v>
      </c>
      <c r="I233" s="39">
        <f t="shared" si="18"/>
        <v>0</v>
      </c>
      <c r="K233" s="40">
        <v>34460</v>
      </c>
      <c r="L233" s="39">
        <v>2237</v>
      </c>
      <c r="M233" s="39">
        <v>5</v>
      </c>
      <c r="N233" s="39">
        <v>2237</v>
      </c>
      <c r="O233" s="219">
        <f t="shared" si="23"/>
        <v>-4.0151738082588985E-3</v>
      </c>
      <c r="Q233" s="40">
        <v>33469</v>
      </c>
      <c r="R233" s="39">
        <v>1497.9</v>
      </c>
      <c r="S233" s="39">
        <f t="shared" si="19"/>
        <v>8</v>
      </c>
      <c r="T233" s="39">
        <f t="shared" si="20"/>
        <v>0</v>
      </c>
      <c r="U233" s="39">
        <f t="shared" si="21"/>
        <v>0</v>
      </c>
      <c r="V233" s="40">
        <v>38656</v>
      </c>
      <c r="W233" s="39">
        <v>4929.07</v>
      </c>
      <c r="X233" s="39">
        <v>10</v>
      </c>
      <c r="Y233" s="39">
        <v>4929.07</v>
      </c>
      <c r="Z233" s="249">
        <f t="shared" si="24"/>
        <v>-2.3072879176006169E-2</v>
      </c>
      <c r="AA233" s="219"/>
    </row>
    <row r="234" spans="2:27" x14ac:dyDescent="0.35">
      <c r="B234" s="40">
        <v>33470</v>
      </c>
      <c r="C234" s="39">
        <v>1526.9</v>
      </c>
      <c r="D234" s="219">
        <f t="shared" si="22"/>
        <v>1.9175409014792772E-2</v>
      </c>
      <c r="F234" s="40">
        <v>33470</v>
      </c>
      <c r="G234" s="39">
        <v>1526.9</v>
      </c>
      <c r="H234" s="39">
        <f t="shared" si="17"/>
        <v>2</v>
      </c>
      <c r="I234" s="39">
        <f t="shared" si="18"/>
        <v>0</v>
      </c>
      <c r="K234" s="40">
        <v>34467</v>
      </c>
      <c r="L234" s="39">
        <v>2258.8000000000002</v>
      </c>
      <c r="M234" s="39">
        <v>5</v>
      </c>
      <c r="N234" s="39">
        <v>2258.8000000000002</v>
      </c>
      <c r="O234" s="219">
        <f t="shared" si="23"/>
        <v>9.6980163085522118E-3</v>
      </c>
      <c r="Q234" s="40">
        <v>33470</v>
      </c>
      <c r="R234" s="39">
        <v>1526.9</v>
      </c>
      <c r="S234" s="39">
        <f t="shared" si="19"/>
        <v>8</v>
      </c>
      <c r="T234" s="39">
        <f t="shared" si="20"/>
        <v>0</v>
      </c>
      <c r="U234" s="39">
        <f t="shared" si="21"/>
        <v>0</v>
      </c>
      <c r="V234" s="40">
        <v>38686</v>
      </c>
      <c r="W234" s="39">
        <v>5193.3999999999996</v>
      </c>
      <c r="X234" s="39">
        <v>11</v>
      </c>
      <c r="Y234" s="39">
        <v>5193.3999999999996</v>
      </c>
      <c r="Z234" s="249">
        <f t="shared" si="24"/>
        <v>5.2238259376552687E-2</v>
      </c>
      <c r="AA234" s="219"/>
    </row>
    <row r="235" spans="2:27" x14ac:dyDescent="0.35">
      <c r="B235" s="40">
        <v>33471</v>
      </c>
      <c r="C235" s="39">
        <v>1570.8</v>
      </c>
      <c r="D235" s="219">
        <f t="shared" si="22"/>
        <v>2.8345507514388572E-2</v>
      </c>
      <c r="F235" s="40">
        <v>33471</v>
      </c>
      <c r="G235" s="39">
        <v>1570.8</v>
      </c>
      <c r="H235" s="39">
        <f t="shared" si="17"/>
        <v>3</v>
      </c>
      <c r="I235" s="39">
        <f t="shared" si="18"/>
        <v>0</v>
      </c>
      <c r="K235" s="40">
        <v>34474</v>
      </c>
      <c r="L235" s="39">
        <v>2249.6999999999998</v>
      </c>
      <c r="M235" s="39">
        <v>5</v>
      </c>
      <c r="N235" s="39">
        <v>2249.6999999999998</v>
      </c>
      <c r="O235" s="219">
        <f t="shared" si="23"/>
        <v>-4.0368248232283662E-3</v>
      </c>
      <c r="Q235" s="40">
        <v>33471</v>
      </c>
      <c r="R235" s="39">
        <v>1570.8</v>
      </c>
      <c r="S235" s="39">
        <f t="shared" si="19"/>
        <v>8</v>
      </c>
      <c r="T235" s="39">
        <f t="shared" si="20"/>
        <v>0</v>
      </c>
      <c r="U235" s="39">
        <f t="shared" si="21"/>
        <v>0</v>
      </c>
      <c r="V235" s="40">
        <v>38716</v>
      </c>
      <c r="W235" s="39">
        <v>5408.26</v>
      </c>
      <c r="X235" s="39">
        <v>12</v>
      </c>
      <c r="Y235" s="39">
        <v>5408.26</v>
      </c>
      <c r="Z235" s="249">
        <f t="shared" si="24"/>
        <v>4.0538825845507498E-2</v>
      </c>
      <c r="AA235" s="219"/>
    </row>
    <row r="236" spans="2:27" x14ac:dyDescent="0.35">
      <c r="B236" s="40">
        <v>33472</v>
      </c>
      <c r="C236" s="39">
        <v>1630.8</v>
      </c>
      <c r="D236" s="219">
        <f t="shared" si="22"/>
        <v>3.7485648241243806E-2</v>
      </c>
      <c r="F236" s="40">
        <v>33472</v>
      </c>
      <c r="G236" s="39">
        <v>1630.8</v>
      </c>
      <c r="H236" s="39">
        <f t="shared" si="17"/>
        <v>4</v>
      </c>
      <c r="I236" s="39">
        <f t="shared" si="18"/>
        <v>0</v>
      </c>
      <c r="K236" s="40">
        <v>34481</v>
      </c>
      <c r="L236" s="39">
        <v>2141</v>
      </c>
      <c r="M236" s="39">
        <v>5</v>
      </c>
      <c r="N236" s="39">
        <v>2141</v>
      </c>
      <c r="O236" s="219">
        <f t="shared" si="23"/>
        <v>-4.9523864385770569E-2</v>
      </c>
      <c r="Q236" s="40">
        <v>33472</v>
      </c>
      <c r="R236" s="39">
        <v>1630.8</v>
      </c>
      <c r="S236" s="39">
        <f t="shared" si="19"/>
        <v>8</v>
      </c>
      <c r="T236" s="39">
        <f t="shared" si="20"/>
        <v>0</v>
      </c>
      <c r="U236" s="39">
        <f t="shared" si="21"/>
        <v>0</v>
      </c>
      <c r="V236" s="40">
        <v>38748</v>
      </c>
      <c r="W236" s="39">
        <v>5674.15</v>
      </c>
      <c r="X236" s="39">
        <v>1</v>
      </c>
      <c r="Y236" s="39">
        <v>5674.15</v>
      </c>
      <c r="Z236" s="249">
        <f t="shared" si="24"/>
        <v>4.7993357905597084E-2</v>
      </c>
      <c r="AA236" s="219"/>
    </row>
    <row r="237" spans="2:27" x14ac:dyDescent="0.35">
      <c r="B237" s="40">
        <v>33473</v>
      </c>
      <c r="C237" s="39">
        <v>1627.2</v>
      </c>
      <c r="D237" s="219">
        <f t="shared" si="22"/>
        <v>-2.2099456508027329E-3</v>
      </c>
      <c r="F237" s="40">
        <v>33473</v>
      </c>
      <c r="G237" s="39">
        <v>1627.2</v>
      </c>
      <c r="H237" s="39">
        <f t="shared" si="17"/>
        <v>5</v>
      </c>
      <c r="I237" s="39">
        <f t="shared" si="18"/>
        <v>1627.2</v>
      </c>
      <c r="K237" s="40">
        <v>34488</v>
      </c>
      <c r="L237" s="39">
        <v>2148.4</v>
      </c>
      <c r="M237" s="39">
        <v>5</v>
      </c>
      <c r="N237" s="39">
        <v>2148.4</v>
      </c>
      <c r="O237" s="219">
        <f t="shared" si="23"/>
        <v>3.4503694416214365E-3</v>
      </c>
      <c r="Q237" s="40">
        <v>33473</v>
      </c>
      <c r="R237" s="39">
        <v>1627.2</v>
      </c>
      <c r="S237" s="39">
        <f t="shared" si="19"/>
        <v>8</v>
      </c>
      <c r="T237" s="39">
        <f t="shared" si="20"/>
        <v>0</v>
      </c>
      <c r="U237" s="39">
        <f t="shared" si="21"/>
        <v>0</v>
      </c>
      <c r="V237" s="40">
        <v>38776</v>
      </c>
      <c r="W237" s="39">
        <v>5796.04</v>
      </c>
      <c r="X237" s="39">
        <v>2</v>
      </c>
      <c r="Y237" s="39">
        <v>5796.04</v>
      </c>
      <c r="Z237" s="249">
        <f t="shared" si="24"/>
        <v>2.1254153332192525E-2</v>
      </c>
      <c r="AA237" s="219"/>
    </row>
    <row r="238" spans="2:27" x14ac:dyDescent="0.35">
      <c r="B238" s="40">
        <v>33476</v>
      </c>
      <c r="C238" s="39">
        <v>1654.2</v>
      </c>
      <c r="D238" s="219">
        <f t="shared" si="22"/>
        <v>1.6456761963510549E-2</v>
      </c>
      <c r="F238" s="40">
        <v>33476</v>
      </c>
      <c r="G238" s="39">
        <v>1654.2</v>
      </c>
      <c r="H238" s="39">
        <f t="shared" si="17"/>
        <v>1</v>
      </c>
      <c r="I238" s="39">
        <f t="shared" si="18"/>
        <v>0</v>
      </c>
      <c r="K238" s="40">
        <v>34495</v>
      </c>
      <c r="L238" s="39">
        <v>2133.1</v>
      </c>
      <c r="M238" s="39">
        <v>5</v>
      </c>
      <c r="N238" s="39">
        <v>2133.1</v>
      </c>
      <c r="O238" s="219">
        <f t="shared" si="23"/>
        <v>-7.1470583335323298E-3</v>
      </c>
      <c r="Q238" s="40">
        <v>33476</v>
      </c>
      <c r="R238" s="39">
        <v>1654.2</v>
      </c>
      <c r="S238" s="39">
        <f t="shared" si="19"/>
        <v>8</v>
      </c>
      <c r="T238" s="39">
        <f t="shared" si="20"/>
        <v>0</v>
      </c>
      <c r="U238" s="39">
        <f t="shared" si="21"/>
        <v>0</v>
      </c>
      <c r="V238" s="40">
        <v>38807</v>
      </c>
      <c r="W238" s="39">
        <v>5970.08</v>
      </c>
      <c r="X238" s="39">
        <v>3</v>
      </c>
      <c r="Y238" s="39">
        <v>5970.08</v>
      </c>
      <c r="Z238" s="249">
        <f t="shared" si="24"/>
        <v>2.9585401903864262E-2</v>
      </c>
      <c r="AA238" s="219"/>
    </row>
    <row r="239" spans="2:27" x14ac:dyDescent="0.35">
      <c r="B239" s="40">
        <v>33477</v>
      </c>
      <c r="C239" s="39">
        <v>1647.1</v>
      </c>
      <c r="D239" s="219">
        <f t="shared" si="22"/>
        <v>-4.3013424691759903E-3</v>
      </c>
      <c r="F239" s="40">
        <v>33477</v>
      </c>
      <c r="G239" s="39">
        <v>1647.1</v>
      </c>
      <c r="H239" s="39">
        <f t="shared" si="17"/>
        <v>2</v>
      </c>
      <c r="I239" s="39">
        <f t="shared" si="18"/>
        <v>0</v>
      </c>
      <c r="K239" s="40">
        <v>34502</v>
      </c>
      <c r="L239" s="39">
        <v>2050.6999999999998</v>
      </c>
      <c r="M239" s="39">
        <v>5</v>
      </c>
      <c r="N239" s="39">
        <v>2050.6999999999998</v>
      </c>
      <c r="O239" s="219">
        <f t="shared" si="23"/>
        <v>-3.9395122436048015E-2</v>
      </c>
      <c r="Q239" s="40">
        <v>33477</v>
      </c>
      <c r="R239" s="39">
        <v>1647.1</v>
      </c>
      <c r="S239" s="39">
        <f t="shared" si="19"/>
        <v>8</v>
      </c>
      <c r="T239" s="39">
        <f t="shared" si="20"/>
        <v>0</v>
      </c>
      <c r="U239" s="39">
        <f t="shared" si="21"/>
        <v>0</v>
      </c>
      <c r="V239" s="40">
        <v>38835</v>
      </c>
      <c r="W239" s="39">
        <v>6009.89</v>
      </c>
      <c r="X239" s="39">
        <v>4</v>
      </c>
      <c r="Y239" s="39">
        <v>6009.89</v>
      </c>
      <c r="Z239" s="249">
        <f t="shared" si="24"/>
        <v>6.6461179012631544E-3</v>
      </c>
      <c r="AA239" s="219"/>
    </row>
    <row r="240" spans="2:27" x14ac:dyDescent="0.35">
      <c r="B240" s="40">
        <v>33478</v>
      </c>
      <c r="C240" s="39">
        <v>1647.5</v>
      </c>
      <c r="D240" s="219">
        <f t="shared" si="22"/>
        <v>2.4282158803222369E-4</v>
      </c>
      <c r="F240" s="40">
        <v>33478</v>
      </c>
      <c r="G240" s="39">
        <v>1647.5</v>
      </c>
      <c r="H240" s="39">
        <f t="shared" si="17"/>
        <v>3</v>
      </c>
      <c r="I240" s="39">
        <f t="shared" si="18"/>
        <v>0</v>
      </c>
      <c r="K240" s="40">
        <v>34509</v>
      </c>
      <c r="L240" s="39">
        <v>2005.3</v>
      </c>
      <c r="M240" s="39">
        <v>5</v>
      </c>
      <c r="N240" s="39">
        <v>2005.3</v>
      </c>
      <c r="O240" s="219">
        <f t="shared" si="23"/>
        <v>-2.2387522778736159E-2</v>
      </c>
      <c r="Q240" s="40">
        <v>33478</v>
      </c>
      <c r="R240" s="39">
        <v>1647.5</v>
      </c>
      <c r="S240" s="39">
        <f t="shared" si="19"/>
        <v>8</v>
      </c>
      <c r="T240" s="39">
        <f t="shared" si="20"/>
        <v>0</v>
      </c>
      <c r="U240" s="39">
        <f t="shared" si="21"/>
        <v>0</v>
      </c>
      <c r="V240" s="40">
        <v>38868</v>
      </c>
      <c r="W240" s="39">
        <v>5692.86</v>
      </c>
      <c r="X240" s="39">
        <v>5</v>
      </c>
      <c r="Y240" s="39">
        <v>5692.86</v>
      </c>
      <c r="Z240" s="249">
        <f t="shared" si="24"/>
        <v>-5.4193687488155985E-2</v>
      </c>
      <c r="AA240" s="219"/>
    </row>
    <row r="241" spans="2:27" x14ac:dyDescent="0.35">
      <c r="B241" s="40">
        <v>33479</v>
      </c>
      <c r="C241" s="39">
        <v>1655.5</v>
      </c>
      <c r="D241" s="219">
        <f t="shared" si="22"/>
        <v>4.8440906106387181E-3</v>
      </c>
      <c r="F241" s="40">
        <v>33479</v>
      </c>
      <c r="G241" s="39">
        <v>1655.5</v>
      </c>
      <c r="H241" s="39">
        <f t="shared" si="17"/>
        <v>4</v>
      </c>
      <c r="I241" s="39">
        <f t="shared" si="18"/>
        <v>0</v>
      </c>
      <c r="K241" s="40">
        <v>34516</v>
      </c>
      <c r="L241" s="39">
        <v>2036.5</v>
      </c>
      <c r="M241" s="39">
        <v>5</v>
      </c>
      <c r="N241" s="39">
        <v>2036.5</v>
      </c>
      <c r="O241" s="219">
        <f t="shared" si="23"/>
        <v>1.5438972605479395E-2</v>
      </c>
      <c r="Q241" s="40">
        <v>33479</v>
      </c>
      <c r="R241" s="39">
        <v>1655.5</v>
      </c>
      <c r="S241" s="39">
        <f t="shared" si="19"/>
        <v>8</v>
      </c>
      <c r="T241" s="39">
        <f t="shared" si="20"/>
        <v>0</v>
      </c>
      <c r="U241" s="39">
        <f t="shared" si="21"/>
        <v>0</v>
      </c>
      <c r="V241" s="40">
        <v>38898</v>
      </c>
      <c r="W241" s="39">
        <v>5683.31</v>
      </c>
      <c r="X241" s="39">
        <v>6</v>
      </c>
      <c r="Y241" s="39">
        <v>5683.31</v>
      </c>
      <c r="Z241" s="249">
        <f t="shared" si="24"/>
        <v>-1.6789485817016519E-3</v>
      </c>
      <c r="AA241" s="219"/>
    </row>
    <row r="242" spans="2:27" x14ac:dyDescent="0.35">
      <c r="B242" s="40">
        <v>33480</v>
      </c>
      <c r="C242" s="39">
        <v>1650.5</v>
      </c>
      <c r="D242" s="219">
        <f t="shared" si="22"/>
        <v>-3.0248056940533098E-3</v>
      </c>
      <c r="F242" s="40">
        <v>33480</v>
      </c>
      <c r="G242" s="39">
        <v>1650.5</v>
      </c>
      <c r="H242" s="39">
        <f t="shared" si="17"/>
        <v>5</v>
      </c>
      <c r="I242" s="39">
        <f t="shared" si="18"/>
        <v>1650.5</v>
      </c>
      <c r="K242" s="40">
        <v>34523</v>
      </c>
      <c r="L242" s="39">
        <v>2050.9</v>
      </c>
      <c r="M242" s="39">
        <v>5</v>
      </c>
      <c r="N242" s="39">
        <v>2050.9</v>
      </c>
      <c r="O242" s="219">
        <f t="shared" si="23"/>
        <v>7.0460730912198276E-3</v>
      </c>
      <c r="Q242" s="40">
        <v>33480</v>
      </c>
      <c r="R242" s="39">
        <v>1650.5</v>
      </c>
      <c r="S242" s="39">
        <f t="shared" si="19"/>
        <v>8</v>
      </c>
      <c r="T242" s="39">
        <f t="shared" si="20"/>
        <v>1650.5</v>
      </c>
      <c r="U242" s="39">
        <f t="shared" si="21"/>
        <v>1650.5</v>
      </c>
      <c r="V242" s="40">
        <v>38929</v>
      </c>
      <c r="W242" s="39">
        <v>5681.97</v>
      </c>
      <c r="X242" s="39">
        <v>7</v>
      </c>
      <c r="Y242" s="39">
        <v>5681.97</v>
      </c>
      <c r="Z242" s="249">
        <f t="shared" si="24"/>
        <v>-2.3580589412836245E-4</v>
      </c>
      <c r="AA242" s="219"/>
    </row>
    <row r="243" spans="2:27" x14ac:dyDescent="0.35">
      <c r="B243" s="40">
        <v>33483</v>
      </c>
      <c r="C243" s="39">
        <v>1650.5</v>
      </c>
      <c r="D243" s="219">
        <f t="shared" si="22"/>
        <v>0</v>
      </c>
      <c r="F243" s="40">
        <v>33483</v>
      </c>
      <c r="G243" s="39">
        <v>1650.5</v>
      </c>
      <c r="H243" s="39">
        <f t="shared" si="17"/>
        <v>1</v>
      </c>
      <c r="I243" s="39">
        <f t="shared" si="18"/>
        <v>0</v>
      </c>
      <c r="K243" s="40">
        <v>34530</v>
      </c>
      <c r="L243" s="39">
        <v>2093.6</v>
      </c>
      <c r="M243" s="39">
        <v>5</v>
      </c>
      <c r="N243" s="39">
        <v>2093.6</v>
      </c>
      <c r="O243" s="219">
        <f t="shared" si="23"/>
        <v>2.0606351036248978E-2</v>
      </c>
      <c r="Q243" s="40">
        <v>33483</v>
      </c>
      <c r="R243" s="39">
        <v>1650.5</v>
      </c>
      <c r="S243" s="39">
        <f t="shared" si="19"/>
        <v>9</v>
      </c>
      <c r="T243" s="39">
        <f t="shared" si="20"/>
        <v>0</v>
      </c>
      <c r="U243" s="39">
        <f t="shared" si="21"/>
        <v>0</v>
      </c>
      <c r="V243" s="40">
        <v>38960</v>
      </c>
      <c r="W243" s="39">
        <v>5859.57</v>
      </c>
      <c r="X243" s="39">
        <v>8</v>
      </c>
      <c r="Y243" s="39">
        <v>5859.57</v>
      </c>
      <c r="Z243" s="249">
        <f t="shared" si="24"/>
        <v>3.0778218469959477E-2</v>
      </c>
      <c r="AA243" s="219"/>
    </row>
    <row r="244" spans="2:27" x14ac:dyDescent="0.35">
      <c r="B244" s="40">
        <v>33484</v>
      </c>
      <c r="C244" s="39">
        <v>1655.6</v>
      </c>
      <c r="D244" s="219">
        <f t="shared" si="22"/>
        <v>3.085208581329634E-3</v>
      </c>
      <c r="F244" s="40">
        <v>33484</v>
      </c>
      <c r="G244" s="39">
        <v>1655.6</v>
      </c>
      <c r="H244" s="39">
        <f t="shared" si="17"/>
        <v>2</v>
      </c>
      <c r="I244" s="39">
        <f t="shared" si="18"/>
        <v>0</v>
      </c>
      <c r="K244" s="40">
        <v>34537</v>
      </c>
      <c r="L244" s="39">
        <v>2150.3000000000002</v>
      </c>
      <c r="M244" s="39">
        <v>5</v>
      </c>
      <c r="N244" s="39">
        <v>2150.3000000000002</v>
      </c>
      <c r="O244" s="219">
        <f t="shared" si="23"/>
        <v>2.6722295055406978E-2</v>
      </c>
      <c r="Q244" s="40">
        <v>33484</v>
      </c>
      <c r="R244" s="39">
        <v>1655.6</v>
      </c>
      <c r="S244" s="39">
        <f t="shared" si="19"/>
        <v>9</v>
      </c>
      <c r="T244" s="39">
        <f t="shared" si="20"/>
        <v>0</v>
      </c>
      <c r="U244" s="39">
        <f t="shared" si="21"/>
        <v>0</v>
      </c>
      <c r="V244" s="40">
        <v>38989</v>
      </c>
      <c r="W244" s="39">
        <v>6004.33</v>
      </c>
      <c r="X244" s="39">
        <v>9</v>
      </c>
      <c r="Y244" s="39">
        <v>6004.33</v>
      </c>
      <c r="Z244" s="249">
        <f t="shared" si="24"/>
        <v>2.4404653561575094E-2</v>
      </c>
      <c r="AA244" s="219"/>
    </row>
    <row r="245" spans="2:27" x14ac:dyDescent="0.35">
      <c r="B245" s="40">
        <v>33485</v>
      </c>
      <c r="C245" s="39">
        <v>1647.9</v>
      </c>
      <c r="D245" s="219">
        <f t="shared" si="22"/>
        <v>-4.66173085789281E-3</v>
      </c>
      <c r="F245" s="40">
        <v>33485</v>
      </c>
      <c r="G245" s="39">
        <v>1647.9</v>
      </c>
      <c r="H245" s="39">
        <f t="shared" si="17"/>
        <v>3</v>
      </c>
      <c r="I245" s="39">
        <f t="shared" si="18"/>
        <v>0</v>
      </c>
      <c r="K245" s="40">
        <v>34544</v>
      </c>
      <c r="L245" s="39">
        <v>2146.6</v>
      </c>
      <c r="M245" s="39">
        <v>5</v>
      </c>
      <c r="N245" s="39">
        <v>2146.6</v>
      </c>
      <c r="O245" s="219">
        <f t="shared" si="23"/>
        <v>-1.7221722239191255E-3</v>
      </c>
      <c r="Q245" s="40">
        <v>33485</v>
      </c>
      <c r="R245" s="39">
        <v>1647.9</v>
      </c>
      <c r="S245" s="39">
        <f t="shared" si="19"/>
        <v>9</v>
      </c>
      <c r="T245" s="39">
        <f t="shared" si="20"/>
        <v>0</v>
      </c>
      <c r="U245" s="39">
        <f t="shared" si="21"/>
        <v>0</v>
      </c>
      <c r="V245" s="40">
        <v>39021</v>
      </c>
      <c r="W245" s="39">
        <v>6268.92</v>
      </c>
      <c r="X245" s="39">
        <v>10</v>
      </c>
      <c r="Y245" s="39">
        <v>6268.92</v>
      </c>
      <c r="Z245" s="249">
        <f t="shared" si="24"/>
        <v>4.3123215385925583E-2</v>
      </c>
      <c r="AA245" s="219"/>
    </row>
    <row r="246" spans="2:27" x14ac:dyDescent="0.35">
      <c r="B246" s="40">
        <v>33486</v>
      </c>
      <c r="C246" s="39">
        <v>1647.2</v>
      </c>
      <c r="D246" s="219">
        <f t="shared" si="22"/>
        <v>-4.2487330310474734E-4</v>
      </c>
      <c r="F246" s="40">
        <v>33486</v>
      </c>
      <c r="G246" s="39">
        <v>1647.2</v>
      </c>
      <c r="H246" s="39">
        <f t="shared" si="17"/>
        <v>4</v>
      </c>
      <c r="I246" s="39">
        <f t="shared" si="18"/>
        <v>0</v>
      </c>
      <c r="K246" s="40">
        <v>34551</v>
      </c>
      <c r="L246" s="39">
        <v>2184.8000000000002</v>
      </c>
      <c r="M246" s="39">
        <v>5</v>
      </c>
      <c r="N246" s="39">
        <v>2184.8000000000002</v>
      </c>
      <c r="O246" s="219">
        <f t="shared" si="23"/>
        <v>1.7639096112071279E-2</v>
      </c>
      <c r="Q246" s="40">
        <v>33486</v>
      </c>
      <c r="R246" s="39">
        <v>1647.2</v>
      </c>
      <c r="S246" s="39">
        <f t="shared" si="19"/>
        <v>9</v>
      </c>
      <c r="T246" s="39">
        <f t="shared" si="20"/>
        <v>0</v>
      </c>
      <c r="U246" s="39">
        <f t="shared" si="21"/>
        <v>0</v>
      </c>
      <c r="V246" s="40">
        <v>39051</v>
      </c>
      <c r="W246" s="39">
        <v>6309.19</v>
      </c>
      <c r="X246" s="39">
        <v>11</v>
      </c>
      <c r="Y246" s="39">
        <v>6309.19</v>
      </c>
      <c r="Z246" s="249">
        <f t="shared" si="24"/>
        <v>6.4032096384500376E-3</v>
      </c>
      <c r="AA246" s="219"/>
    </row>
    <row r="247" spans="2:27" x14ac:dyDescent="0.35">
      <c r="B247" s="40">
        <v>33487</v>
      </c>
      <c r="C247" s="39">
        <v>1646.2</v>
      </c>
      <c r="D247" s="219">
        <f t="shared" si="22"/>
        <v>-6.0727517503610367E-4</v>
      </c>
      <c r="F247" s="40">
        <v>33487</v>
      </c>
      <c r="G247" s="39">
        <v>1646.2</v>
      </c>
      <c r="H247" s="39">
        <f t="shared" ref="H247:H310" si="25">WEEKDAY(F247,2)</f>
        <v>5</v>
      </c>
      <c r="I247" s="39">
        <f t="shared" ref="I247:I310" si="26">IF(H247&gt;H248,G247,0)</f>
        <v>1646.2</v>
      </c>
      <c r="K247" s="40">
        <v>34558</v>
      </c>
      <c r="L247" s="39">
        <v>2124.6999999999998</v>
      </c>
      <c r="M247" s="39">
        <v>5</v>
      </c>
      <c r="N247" s="39">
        <v>2124.6999999999998</v>
      </c>
      <c r="O247" s="219">
        <f t="shared" si="23"/>
        <v>-2.789367523790242E-2</v>
      </c>
      <c r="Q247" s="40">
        <v>33487</v>
      </c>
      <c r="R247" s="39">
        <v>1646.2</v>
      </c>
      <c r="S247" s="39">
        <f t="shared" ref="S247:S310" si="27">MONTH(Q247)</f>
        <v>9</v>
      </c>
      <c r="T247" s="39">
        <f t="shared" ref="T247:T310" si="28">IF(S248&lt;&gt;S247,R247,0)</f>
        <v>0</v>
      </c>
      <c r="U247" s="39">
        <f t="shared" ref="U247:U310" si="29">IF(S248=S247,0,R247)</f>
        <v>0</v>
      </c>
      <c r="V247" s="40">
        <v>39080</v>
      </c>
      <c r="W247" s="39">
        <v>6596.92</v>
      </c>
      <c r="X247" s="39">
        <v>12</v>
      </c>
      <c r="Y247" s="39">
        <v>6596.92</v>
      </c>
      <c r="Z247" s="249">
        <f t="shared" si="24"/>
        <v>4.4595572800013243E-2</v>
      </c>
      <c r="AA247" s="219"/>
    </row>
    <row r="248" spans="2:27" x14ac:dyDescent="0.35">
      <c r="B248" s="40">
        <v>33490</v>
      </c>
      <c r="C248" s="39">
        <v>1633.1</v>
      </c>
      <c r="D248" s="219">
        <f t="shared" ref="D248:D311" si="30">LN(C248/C247)</f>
        <v>-7.9895524558460766E-3</v>
      </c>
      <c r="F248" s="40">
        <v>33490</v>
      </c>
      <c r="G248" s="39">
        <v>1633.1</v>
      </c>
      <c r="H248" s="39">
        <f t="shared" si="25"/>
        <v>1</v>
      </c>
      <c r="I248" s="39">
        <f t="shared" si="26"/>
        <v>0</v>
      </c>
      <c r="K248" s="40">
        <v>34565</v>
      </c>
      <c r="L248" s="39">
        <v>2149.6</v>
      </c>
      <c r="M248" s="39">
        <v>5</v>
      </c>
      <c r="N248" s="39">
        <v>2149.6</v>
      </c>
      <c r="O248" s="219">
        <f t="shared" ref="O248:O311" si="31">LN(N248/N247)</f>
        <v>1.1651162379688563E-2</v>
      </c>
      <c r="Q248" s="40">
        <v>33490</v>
      </c>
      <c r="R248" s="39">
        <v>1633.1</v>
      </c>
      <c r="S248" s="39">
        <f t="shared" si="27"/>
        <v>9</v>
      </c>
      <c r="T248" s="39">
        <f t="shared" si="28"/>
        <v>0</v>
      </c>
      <c r="U248" s="39">
        <f t="shared" si="29"/>
        <v>0</v>
      </c>
      <c r="V248" s="40">
        <v>39113</v>
      </c>
      <c r="W248" s="39">
        <v>6789.11</v>
      </c>
      <c r="X248" s="39">
        <v>1</v>
      </c>
      <c r="Y248" s="39">
        <v>6789.11</v>
      </c>
      <c r="Z248" s="249">
        <f t="shared" ref="Z248:Z285" si="32">LN(Y248/Y247)</f>
        <v>2.8716984426119207E-2</v>
      </c>
      <c r="AA248" s="219"/>
    </row>
    <row r="249" spans="2:27" x14ac:dyDescent="0.35">
      <c r="B249" s="40">
        <v>33491</v>
      </c>
      <c r="C249" s="39">
        <v>1629.1</v>
      </c>
      <c r="D249" s="219">
        <f t="shared" si="30"/>
        <v>-2.4523340105739697E-3</v>
      </c>
      <c r="F249" s="40">
        <v>33491</v>
      </c>
      <c r="G249" s="39">
        <v>1629.1</v>
      </c>
      <c r="H249" s="39">
        <f t="shared" si="25"/>
        <v>2</v>
      </c>
      <c r="I249" s="39">
        <f t="shared" si="26"/>
        <v>0</v>
      </c>
      <c r="K249" s="40">
        <v>34572</v>
      </c>
      <c r="L249" s="39">
        <v>2161.5</v>
      </c>
      <c r="M249" s="39">
        <v>5</v>
      </c>
      <c r="N249" s="39">
        <v>2161.5</v>
      </c>
      <c r="O249" s="219">
        <f t="shared" si="31"/>
        <v>5.520646806404998E-3</v>
      </c>
      <c r="Q249" s="40">
        <v>33491</v>
      </c>
      <c r="R249" s="39">
        <v>1629.1</v>
      </c>
      <c r="S249" s="39">
        <f t="shared" si="27"/>
        <v>9</v>
      </c>
      <c r="T249" s="39">
        <f t="shared" si="28"/>
        <v>0</v>
      </c>
      <c r="U249" s="39">
        <f t="shared" si="29"/>
        <v>0</v>
      </c>
      <c r="V249" s="40">
        <v>39141</v>
      </c>
      <c r="W249" s="39">
        <v>6715.44</v>
      </c>
      <c r="X249" s="39">
        <v>2</v>
      </c>
      <c r="Y249" s="39">
        <v>6715.44</v>
      </c>
      <c r="Z249" s="249">
        <f t="shared" si="32"/>
        <v>-1.0910505096364828E-2</v>
      </c>
      <c r="AA249" s="219"/>
    </row>
    <row r="250" spans="2:27" x14ac:dyDescent="0.35">
      <c r="B250" s="40">
        <v>33492</v>
      </c>
      <c r="C250" s="39">
        <v>1628.2</v>
      </c>
      <c r="D250" s="219">
        <f t="shared" si="30"/>
        <v>-5.5260493224624141E-4</v>
      </c>
      <c r="F250" s="40">
        <v>33492</v>
      </c>
      <c r="G250" s="39">
        <v>1628.2</v>
      </c>
      <c r="H250" s="39">
        <f t="shared" si="25"/>
        <v>3</v>
      </c>
      <c r="I250" s="39">
        <f t="shared" si="26"/>
        <v>0</v>
      </c>
      <c r="K250" s="40">
        <v>34579</v>
      </c>
      <c r="L250" s="39">
        <v>2204.6999999999998</v>
      </c>
      <c r="M250" s="39">
        <v>5</v>
      </c>
      <c r="N250" s="39">
        <v>2204.6999999999998</v>
      </c>
      <c r="O250" s="219">
        <f t="shared" si="31"/>
        <v>1.9789020095248609E-2</v>
      </c>
      <c r="Q250" s="40">
        <v>33492</v>
      </c>
      <c r="R250" s="39">
        <v>1628.2</v>
      </c>
      <c r="S250" s="39">
        <f t="shared" si="27"/>
        <v>9</v>
      </c>
      <c r="T250" s="39">
        <f t="shared" si="28"/>
        <v>0</v>
      </c>
      <c r="U250" s="39">
        <f t="shared" si="29"/>
        <v>0</v>
      </c>
      <c r="V250" s="40">
        <v>39171</v>
      </c>
      <c r="W250" s="39">
        <v>6917.03</v>
      </c>
      <c r="X250" s="39">
        <v>3</v>
      </c>
      <c r="Y250" s="39">
        <v>6917.03</v>
      </c>
      <c r="Z250" s="249">
        <f t="shared" si="32"/>
        <v>2.9577133976730698E-2</v>
      </c>
      <c r="AA250" s="219"/>
    </row>
    <row r="251" spans="2:27" x14ac:dyDescent="0.35">
      <c r="B251" s="40">
        <v>33493</v>
      </c>
      <c r="C251" s="39">
        <v>1631.3</v>
      </c>
      <c r="D251" s="219">
        <f t="shared" si="30"/>
        <v>1.9021328023795874E-3</v>
      </c>
      <c r="F251" s="40">
        <v>33493</v>
      </c>
      <c r="G251" s="39">
        <v>1631.3</v>
      </c>
      <c r="H251" s="39">
        <f t="shared" si="25"/>
        <v>4</v>
      </c>
      <c r="I251" s="39">
        <f t="shared" si="26"/>
        <v>0</v>
      </c>
      <c r="K251" s="40">
        <v>34586</v>
      </c>
      <c r="L251" s="39">
        <v>2185.1999999999998</v>
      </c>
      <c r="M251" s="39">
        <v>5</v>
      </c>
      <c r="N251" s="39">
        <v>2185.1999999999998</v>
      </c>
      <c r="O251" s="219">
        <f t="shared" si="31"/>
        <v>-8.8840876813726932E-3</v>
      </c>
      <c r="Q251" s="40">
        <v>33493</v>
      </c>
      <c r="R251" s="39">
        <v>1631.3</v>
      </c>
      <c r="S251" s="39">
        <f t="shared" si="27"/>
        <v>9</v>
      </c>
      <c r="T251" s="39">
        <f t="shared" si="28"/>
        <v>0</v>
      </c>
      <c r="U251" s="39">
        <f t="shared" si="29"/>
        <v>0</v>
      </c>
      <c r="V251" s="40">
        <v>39202</v>
      </c>
      <c r="W251" s="39">
        <v>7408.87</v>
      </c>
      <c r="X251" s="39">
        <v>4</v>
      </c>
      <c r="Y251" s="39">
        <v>7408.87</v>
      </c>
      <c r="Z251" s="249">
        <f t="shared" si="32"/>
        <v>6.8691444303600926E-2</v>
      </c>
      <c r="AA251" s="219"/>
    </row>
    <row r="252" spans="2:27" x14ac:dyDescent="0.35">
      <c r="B252" s="40">
        <v>33494</v>
      </c>
      <c r="C252" s="39">
        <v>1637.6</v>
      </c>
      <c r="D252" s="219">
        <f t="shared" si="30"/>
        <v>3.8545124048227674E-3</v>
      </c>
      <c r="F252" s="40">
        <v>33494</v>
      </c>
      <c r="G252" s="39">
        <v>1637.6</v>
      </c>
      <c r="H252" s="39">
        <f t="shared" si="25"/>
        <v>5</v>
      </c>
      <c r="I252" s="39">
        <f t="shared" si="26"/>
        <v>1637.6</v>
      </c>
      <c r="K252" s="40">
        <v>34593</v>
      </c>
      <c r="L252" s="39">
        <v>2118.6999999999998</v>
      </c>
      <c r="M252" s="39">
        <v>5</v>
      </c>
      <c r="N252" s="39">
        <v>2118.6999999999998</v>
      </c>
      <c r="O252" s="219">
        <f t="shared" si="31"/>
        <v>-3.0904664491317676E-2</v>
      </c>
      <c r="Q252" s="40">
        <v>33494</v>
      </c>
      <c r="R252" s="39">
        <v>1637.6</v>
      </c>
      <c r="S252" s="39">
        <f t="shared" si="27"/>
        <v>9</v>
      </c>
      <c r="T252" s="39">
        <f t="shared" si="28"/>
        <v>0</v>
      </c>
      <c r="U252" s="39">
        <f t="shared" si="29"/>
        <v>0</v>
      </c>
      <c r="V252" s="40">
        <v>39233</v>
      </c>
      <c r="W252" s="39">
        <v>7883.04</v>
      </c>
      <c r="X252" s="39">
        <v>5</v>
      </c>
      <c r="Y252" s="39">
        <v>7883.04</v>
      </c>
      <c r="Z252" s="249">
        <f t="shared" si="32"/>
        <v>6.2035685222201424E-2</v>
      </c>
      <c r="AA252" s="219"/>
    </row>
    <row r="253" spans="2:27" x14ac:dyDescent="0.35">
      <c r="B253" s="40">
        <v>33497</v>
      </c>
      <c r="C253" s="39">
        <v>1629.8</v>
      </c>
      <c r="D253" s="219">
        <f t="shared" si="30"/>
        <v>-4.7744474609603066E-3</v>
      </c>
      <c r="F253" s="40">
        <v>33497</v>
      </c>
      <c r="G253" s="39">
        <v>1629.8</v>
      </c>
      <c r="H253" s="39">
        <f t="shared" si="25"/>
        <v>1</v>
      </c>
      <c r="I253" s="39">
        <f t="shared" si="26"/>
        <v>0</v>
      </c>
      <c r="K253" s="40">
        <v>34600</v>
      </c>
      <c r="L253" s="39">
        <v>2089.1</v>
      </c>
      <c r="M253" s="39">
        <v>5</v>
      </c>
      <c r="N253" s="39">
        <v>2089.1</v>
      </c>
      <c r="O253" s="219">
        <f t="shared" si="31"/>
        <v>-1.4069341825241149E-2</v>
      </c>
      <c r="Q253" s="40">
        <v>33497</v>
      </c>
      <c r="R253" s="39">
        <v>1629.8</v>
      </c>
      <c r="S253" s="39">
        <f t="shared" si="27"/>
        <v>9</v>
      </c>
      <c r="T253" s="39">
        <f t="shared" si="28"/>
        <v>0</v>
      </c>
      <c r="U253" s="39">
        <f t="shared" si="29"/>
        <v>0</v>
      </c>
      <c r="V253" s="40">
        <v>39262</v>
      </c>
      <c r="W253" s="39">
        <v>8007.32</v>
      </c>
      <c r="X253" s="39">
        <v>6</v>
      </c>
      <c r="Y253" s="39">
        <v>8007.32</v>
      </c>
      <c r="Z253" s="249">
        <f t="shared" si="32"/>
        <v>1.5642507047291043E-2</v>
      </c>
      <c r="AA253" s="219"/>
    </row>
    <row r="254" spans="2:27" x14ac:dyDescent="0.35">
      <c r="B254" s="40">
        <v>33498</v>
      </c>
      <c r="C254" s="39">
        <v>1634.6</v>
      </c>
      <c r="D254" s="219">
        <f t="shared" si="30"/>
        <v>2.9408181959099454E-3</v>
      </c>
      <c r="F254" s="40">
        <v>33498</v>
      </c>
      <c r="G254" s="39">
        <v>1634.6</v>
      </c>
      <c r="H254" s="39">
        <f t="shared" si="25"/>
        <v>2</v>
      </c>
      <c r="I254" s="39">
        <f t="shared" si="26"/>
        <v>0</v>
      </c>
      <c r="K254" s="40">
        <v>34607</v>
      </c>
      <c r="L254" s="39">
        <v>2011.8</v>
      </c>
      <c r="M254" s="39">
        <v>5</v>
      </c>
      <c r="N254" s="39">
        <v>2011.8</v>
      </c>
      <c r="O254" s="219">
        <f t="shared" si="31"/>
        <v>-3.7703507504765713E-2</v>
      </c>
      <c r="Q254" s="40">
        <v>33498</v>
      </c>
      <c r="R254" s="39">
        <v>1634.6</v>
      </c>
      <c r="S254" s="39">
        <f t="shared" si="27"/>
        <v>9</v>
      </c>
      <c r="T254" s="39">
        <f t="shared" si="28"/>
        <v>0</v>
      </c>
      <c r="U254" s="39">
        <f t="shared" si="29"/>
        <v>0</v>
      </c>
      <c r="V254" s="40">
        <v>39294</v>
      </c>
      <c r="W254" s="39">
        <v>7584.14</v>
      </c>
      <c r="X254" s="39">
        <v>7</v>
      </c>
      <c r="Y254" s="39">
        <v>7584.14</v>
      </c>
      <c r="Z254" s="249">
        <f t="shared" si="32"/>
        <v>-5.4296898624564008E-2</v>
      </c>
      <c r="AA254" s="219"/>
    </row>
    <row r="255" spans="2:27" x14ac:dyDescent="0.35">
      <c r="B255" s="40">
        <v>33499</v>
      </c>
      <c r="C255" s="39">
        <v>1628.1</v>
      </c>
      <c r="D255" s="219">
        <f t="shared" si="30"/>
        <v>-3.9844353445604519E-3</v>
      </c>
      <c r="F255" s="40">
        <v>33499</v>
      </c>
      <c r="G255" s="39">
        <v>1628.1</v>
      </c>
      <c r="H255" s="39">
        <f t="shared" si="25"/>
        <v>3</v>
      </c>
      <c r="I255" s="39">
        <f t="shared" si="26"/>
        <v>0</v>
      </c>
      <c r="K255" s="40">
        <v>34614</v>
      </c>
      <c r="L255" s="39">
        <v>1960.6</v>
      </c>
      <c r="M255" s="39">
        <v>5</v>
      </c>
      <c r="N255" s="39">
        <v>1960.6</v>
      </c>
      <c r="O255" s="219">
        <f t="shared" si="31"/>
        <v>-2.5779294872612119E-2</v>
      </c>
      <c r="Q255" s="40">
        <v>33499</v>
      </c>
      <c r="R255" s="39">
        <v>1628.1</v>
      </c>
      <c r="S255" s="39">
        <f t="shared" si="27"/>
        <v>9</v>
      </c>
      <c r="T255" s="39">
        <f t="shared" si="28"/>
        <v>0</v>
      </c>
      <c r="U255" s="39">
        <f t="shared" si="29"/>
        <v>0</v>
      </c>
      <c r="V255" s="40">
        <v>39325</v>
      </c>
      <c r="W255" s="39">
        <v>7638.17</v>
      </c>
      <c r="X255" s="39">
        <v>8</v>
      </c>
      <c r="Y255" s="39">
        <v>7638.17</v>
      </c>
      <c r="Z255" s="249">
        <f t="shared" si="32"/>
        <v>7.0988209930634358E-3</v>
      </c>
      <c r="AA255" s="219"/>
    </row>
    <row r="256" spans="2:27" x14ac:dyDescent="0.35">
      <c r="B256" s="40">
        <v>33500</v>
      </c>
      <c r="C256" s="39">
        <v>1620.7</v>
      </c>
      <c r="D256" s="219">
        <f t="shared" si="30"/>
        <v>-4.5555360733948065E-3</v>
      </c>
      <c r="F256" s="40">
        <v>33500</v>
      </c>
      <c r="G256" s="39">
        <v>1620.7</v>
      </c>
      <c r="H256" s="39">
        <f t="shared" si="25"/>
        <v>4</v>
      </c>
      <c r="I256" s="39">
        <f t="shared" si="26"/>
        <v>0</v>
      </c>
      <c r="K256" s="40">
        <v>34621</v>
      </c>
      <c r="L256" s="39">
        <v>2105.6999999999998</v>
      </c>
      <c r="M256" s="39">
        <v>5</v>
      </c>
      <c r="N256" s="39">
        <v>2105.6999999999998</v>
      </c>
      <c r="O256" s="219">
        <f t="shared" si="31"/>
        <v>7.139740457685978E-2</v>
      </c>
      <c r="Q256" s="40">
        <v>33500</v>
      </c>
      <c r="R256" s="39">
        <v>1620.7</v>
      </c>
      <c r="S256" s="39">
        <f t="shared" si="27"/>
        <v>9</v>
      </c>
      <c r="T256" s="39">
        <f t="shared" si="28"/>
        <v>0</v>
      </c>
      <c r="U256" s="39">
        <f t="shared" si="29"/>
        <v>0</v>
      </c>
      <c r="V256" s="40">
        <v>39353</v>
      </c>
      <c r="W256" s="39">
        <v>7861.51</v>
      </c>
      <c r="X256" s="39">
        <v>9</v>
      </c>
      <c r="Y256" s="39">
        <v>7861.51</v>
      </c>
      <c r="Z256" s="249">
        <f t="shared" si="32"/>
        <v>2.8820654258249423E-2</v>
      </c>
      <c r="AA256" s="219"/>
    </row>
    <row r="257" spans="2:27" x14ac:dyDescent="0.35">
      <c r="B257" s="40">
        <v>33501</v>
      </c>
      <c r="C257" s="39">
        <v>1616.1</v>
      </c>
      <c r="D257" s="219">
        <f t="shared" si="30"/>
        <v>-2.8423153094761975E-3</v>
      </c>
      <c r="F257" s="40">
        <v>33501</v>
      </c>
      <c r="G257" s="39">
        <v>1616.1</v>
      </c>
      <c r="H257" s="39">
        <f t="shared" si="25"/>
        <v>5</v>
      </c>
      <c r="I257" s="39">
        <f t="shared" si="26"/>
        <v>1616.1</v>
      </c>
      <c r="K257" s="40">
        <v>34628</v>
      </c>
      <c r="L257" s="39">
        <v>2022.2</v>
      </c>
      <c r="M257" s="39">
        <v>5</v>
      </c>
      <c r="N257" s="39">
        <v>2022.2</v>
      </c>
      <c r="O257" s="219">
        <f t="shared" si="31"/>
        <v>-4.0461925747186676E-2</v>
      </c>
      <c r="Q257" s="40">
        <v>33501</v>
      </c>
      <c r="R257" s="39">
        <v>1616.1</v>
      </c>
      <c r="S257" s="39">
        <f t="shared" si="27"/>
        <v>9</v>
      </c>
      <c r="T257" s="39">
        <f t="shared" si="28"/>
        <v>0</v>
      </c>
      <c r="U257" s="39">
        <f t="shared" si="29"/>
        <v>0</v>
      </c>
      <c r="V257" s="40">
        <v>39386</v>
      </c>
      <c r="W257" s="39">
        <v>8019.22</v>
      </c>
      <c r="X257" s="39">
        <v>10</v>
      </c>
      <c r="Y257" s="39">
        <v>8019.22</v>
      </c>
      <c r="Z257" s="249">
        <f t="shared" si="32"/>
        <v>1.986246034154945E-2</v>
      </c>
      <c r="AA257" s="219"/>
    </row>
    <row r="258" spans="2:27" x14ac:dyDescent="0.35">
      <c r="B258" s="40">
        <v>33504</v>
      </c>
      <c r="C258" s="39">
        <v>1614.2</v>
      </c>
      <c r="D258" s="219">
        <f t="shared" si="30"/>
        <v>-1.1763614643257327E-3</v>
      </c>
      <c r="F258" s="40">
        <v>33504</v>
      </c>
      <c r="G258" s="39">
        <v>1614.2</v>
      </c>
      <c r="H258" s="39">
        <f t="shared" si="25"/>
        <v>1</v>
      </c>
      <c r="I258" s="39">
        <f t="shared" si="26"/>
        <v>0</v>
      </c>
      <c r="K258" s="40">
        <v>34635</v>
      </c>
      <c r="L258" s="39">
        <v>2040.3</v>
      </c>
      <c r="M258" s="39">
        <v>5</v>
      </c>
      <c r="N258" s="39">
        <v>2040.3</v>
      </c>
      <c r="O258" s="219">
        <f t="shared" si="31"/>
        <v>8.9108281924040536E-3</v>
      </c>
      <c r="Q258" s="40">
        <v>33504</v>
      </c>
      <c r="R258" s="39">
        <v>1614.2</v>
      </c>
      <c r="S258" s="39">
        <f t="shared" si="27"/>
        <v>9</v>
      </c>
      <c r="T258" s="39">
        <f t="shared" si="28"/>
        <v>0</v>
      </c>
      <c r="U258" s="39">
        <f t="shared" si="29"/>
        <v>0</v>
      </c>
      <c r="V258" s="40">
        <v>39416</v>
      </c>
      <c r="W258" s="39">
        <v>7870.52</v>
      </c>
      <c r="X258" s="39">
        <v>11</v>
      </c>
      <c r="Y258" s="39">
        <v>7870.52</v>
      </c>
      <c r="Z258" s="249">
        <f t="shared" si="32"/>
        <v>-1.8717026346685869E-2</v>
      </c>
      <c r="AA258" s="219"/>
    </row>
    <row r="259" spans="2:27" x14ac:dyDescent="0.35">
      <c r="B259" s="40">
        <v>33505</v>
      </c>
      <c r="C259" s="39">
        <v>1626.6</v>
      </c>
      <c r="D259" s="219">
        <f t="shared" si="30"/>
        <v>7.6524688424028514E-3</v>
      </c>
      <c r="F259" s="40">
        <v>33505</v>
      </c>
      <c r="G259" s="39">
        <v>1626.6</v>
      </c>
      <c r="H259" s="39">
        <f t="shared" si="25"/>
        <v>2</v>
      </c>
      <c r="I259" s="39">
        <f t="shared" si="26"/>
        <v>0</v>
      </c>
      <c r="K259" s="40">
        <v>34642</v>
      </c>
      <c r="L259" s="39">
        <v>2067.6</v>
      </c>
      <c r="M259" s="39">
        <v>5</v>
      </c>
      <c r="N259" s="39">
        <v>2067.6</v>
      </c>
      <c r="O259" s="219">
        <f t="shared" si="31"/>
        <v>1.3291658472181464E-2</v>
      </c>
      <c r="Q259" s="40">
        <v>33505</v>
      </c>
      <c r="R259" s="39">
        <v>1626.6</v>
      </c>
      <c r="S259" s="39">
        <f t="shared" si="27"/>
        <v>9</v>
      </c>
      <c r="T259" s="39">
        <f t="shared" si="28"/>
        <v>0</v>
      </c>
      <c r="U259" s="39">
        <f t="shared" si="29"/>
        <v>0</v>
      </c>
      <c r="V259" s="40">
        <v>39444</v>
      </c>
      <c r="W259" s="39">
        <v>8067.32</v>
      </c>
      <c r="X259" s="39">
        <v>12</v>
      </c>
      <c r="Y259" s="39">
        <v>8067.32</v>
      </c>
      <c r="Z259" s="249">
        <f t="shared" si="32"/>
        <v>2.4697199006287661E-2</v>
      </c>
      <c r="AA259" s="219"/>
    </row>
    <row r="260" spans="2:27" x14ac:dyDescent="0.35">
      <c r="B260" s="40">
        <v>33506</v>
      </c>
      <c r="C260" s="39">
        <v>1625.4</v>
      </c>
      <c r="D260" s="219">
        <f t="shared" si="30"/>
        <v>-7.3800741357032474E-4</v>
      </c>
      <c r="F260" s="40">
        <v>33506</v>
      </c>
      <c r="G260" s="39">
        <v>1625.4</v>
      </c>
      <c r="H260" s="39">
        <f t="shared" si="25"/>
        <v>3</v>
      </c>
      <c r="I260" s="39">
        <f t="shared" si="26"/>
        <v>0</v>
      </c>
      <c r="K260" s="40">
        <v>34649</v>
      </c>
      <c r="L260" s="39">
        <v>2078.4</v>
      </c>
      <c r="M260" s="39">
        <v>5</v>
      </c>
      <c r="N260" s="39">
        <v>2078.4</v>
      </c>
      <c r="O260" s="219">
        <f t="shared" si="31"/>
        <v>5.209852594450998E-3</v>
      </c>
      <c r="Q260" s="40">
        <v>33506</v>
      </c>
      <c r="R260" s="39">
        <v>1625.4</v>
      </c>
      <c r="S260" s="39">
        <f t="shared" si="27"/>
        <v>9</v>
      </c>
      <c r="T260" s="39">
        <f t="shared" si="28"/>
        <v>0</v>
      </c>
      <c r="U260" s="39">
        <f t="shared" si="29"/>
        <v>0</v>
      </c>
      <c r="V260" s="40">
        <v>39478</v>
      </c>
      <c r="W260" s="39">
        <v>6851.75</v>
      </c>
      <c r="X260" s="39">
        <v>1</v>
      </c>
      <c r="Y260" s="39">
        <v>6851.75</v>
      </c>
      <c r="Z260" s="249">
        <f t="shared" si="32"/>
        <v>-0.16331723885176699</v>
      </c>
      <c r="AA260" s="219"/>
    </row>
    <row r="261" spans="2:27" x14ac:dyDescent="0.35">
      <c r="B261" s="40">
        <v>33507</v>
      </c>
      <c r="C261" s="39">
        <v>1620</v>
      </c>
      <c r="D261" s="219">
        <f t="shared" si="30"/>
        <v>-3.327790092674691E-3</v>
      </c>
      <c r="F261" s="40">
        <v>33507</v>
      </c>
      <c r="G261" s="39">
        <v>1620</v>
      </c>
      <c r="H261" s="39">
        <f t="shared" si="25"/>
        <v>4</v>
      </c>
      <c r="I261" s="39">
        <f t="shared" si="26"/>
        <v>0</v>
      </c>
      <c r="K261" s="40">
        <v>34656</v>
      </c>
      <c r="L261" s="39">
        <v>2100.1999999999998</v>
      </c>
      <c r="M261" s="39">
        <v>5</v>
      </c>
      <c r="N261" s="39">
        <v>2100.1999999999998</v>
      </c>
      <c r="O261" s="219">
        <f t="shared" si="31"/>
        <v>1.0434211355557695E-2</v>
      </c>
      <c r="Q261" s="40">
        <v>33507</v>
      </c>
      <c r="R261" s="39">
        <v>1620</v>
      </c>
      <c r="S261" s="39">
        <f t="shared" si="27"/>
        <v>9</v>
      </c>
      <c r="T261" s="39">
        <f t="shared" si="28"/>
        <v>0</v>
      </c>
      <c r="U261" s="39">
        <f t="shared" si="29"/>
        <v>0</v>
      </c>
      <c r="V261" s="40">
        <v>39507</v>
      </c>
      <c r="W261" s="39">
        <v>6748.13</v>
      </c>
      <c r="X261" s="39">
        <v>2</v>
      </c>
      <c r="Y261" s="39">
        <v>6748.13</v>
      </c>
      <c r="Z261" s="249">
        <f t="shared" si="32"/>
        <v>-1.5238664633095122E-2</v>
      </c>
      <c r="AA261" s="219"/>
    </row>
    <row r="262" spans="2:27" x14ac:dyDescent="0.35">
      <c r="B262" s="40">
        <v>33508</v>
      </c>
      <c r="C262" s="39">
        <v>1608.1</v>
      </c>
      <c r="D262" s="219">
        <f t="shared" si="30"/>
        <v>-7.3727913664508584E-3</v>
      </c>
      <c r="F262" s="40">
        <v>33508</v>
      </c>
      <c r="G262" s="39">
        <v>1608.1</v>
      </c>
      <c r="H262" s="39">
        <f t="shared" si="25"/>
        <v>5</v>
      </c>
      <c r="I262" s="39">
        <f t="shared" si="26"/>
        <v>1608.1</v>
      </c>
      <c r="K262" s="40">
        <v>34663</v>
      </c>
      <c r="L262" s="39">
        <v>2051.6</v>
      </c>
      <c r="M262" s="39">
        <v>5</v>
      </c>
      <c r="N262" s="39">
        <v>2051.6</v>
      </c>
      <c r="O262" s="219">
        <f t="shared" si="31"/>
        <v>-2.3412601756779599E-2</v>
      </c>
      <c r="Q262" s="40">
        <v>33508</v>
      </c>
      <c r="R262" s="39">
        <v>1608.1</v>
      </c>
      <c r="S262" s="39">
        <f t="shared" si="27"/>
        <v>9</v>
      </c>
      <c r="T262" s="39">
        <f t="shared" si="28"/>
        <v>0</v>
      </c>
      <c r="U262" s="39">
        <f t="shared" si="29"/>
        <v>0</v>
      </c>
      <c r="V262" s="40">
        <v>39538</v>
      </c>
      <c r="W262" s="39">
        <v>6534.97</v>
      </c>
      <c r="X262" s="39">
        <v>3</v>
      </c>
      <c r="Y262" s="39">
        <v>6534.97</v>
      </c>
      <c r="Z262" s="249">
        <f t="shared" si="32"/>
        <v>-3.2097673065550933E-2</v>
      </c>
      <c r="AA262" s="219"/>
    </row>
    <row r="263" spans="2:27" x14ac:dyDescent="0.35">
      <c r="B263" s="40">
        <v>33511</v>
      </c>
      <c r="C263" s="39">
        <v>1607</v>
      </c>
      <c r="D263" s="219">
        <f t="shared" si="30"/>
        <v>-6.8427112246625607E-4</v>
      </c>
      <c r="F263" s="40">
        <v>33511</v>
      </c>
      <c r="G263" s="39">
        <v>1607</v>
      </c>
      <c r="H263" s="39">
        <f t="shared" si="25"/>
        <v>1</v>
      </c>
      <c r="I263" s="39">
        <f t="shared" si="26"/>
        <v>0</v>
      </c>
      <c r="K263" s="40">
        <v>34670</v>
      </c>
      <c r="L263" s="39">
        <v>2038.5</v>
      </c>
      <c r="M263" s="39">
        <v>5</v>
      </c>
      <c r="N263" s="39">
        <v>2038.5</v>
      </c>
      <c r="O263" s="219">
        <f t="shared" si="31"/>
        <v>-6.4057332558052149E-3</v>
      </c>
      <c r="Q263" s="40">
        <v>33511</v>
      </c>
      <c r="R263" s="39">
        <v>1607</v>
      </c>
      <c r="S263" s="39">
        <f t="shared" si="27"/>
        <v>9</v>
      </c>
      <c r="T263" s="39">
        <f t="shared" si="28"/>
        <v>1607</v>
      </c>
      <c r="U263" s="39">
        <f t="shared" si="29"/>
        <v>1607</v>
      </c>
      <c r="V263" s="40">
        <v>39568</v>
      </c>
      <c r="W263" s="39">
        <v>6948.82</v>
      </c>
      <c r="X263" s="39">
        <v>4</v>
      </c>
      <c r="Y263" s="39">
        <v>6948.82</v>
      </c>
      <c r="Z263" s="249">
        <f t="shared" si="32"/>
        <v>6.1404104589072833E-2</v>
      </c>
      <c r="AA263" s="219"/>
    </row>
    <row r="264" spans="2:27" x14ac:dyDescent="0.35">
      <c r="B264" s="40">
        <v>33512</v>
      </c>
      <c r="C264" s="39">
        <v>1609.6</v>
      </c>
      <c r="D264" s="219">
        <f t="shared" si="30"/>
        <v>1.6166141679075272E-3</v>
      </c>
      <c r="F264" s="40">
        <v>33512</v>
      </c>
      <c r="G264" s="39">
        <v>1609.6</v>
      </c>
      <c r="H264" s="39">
        <f t="shared" si="25"/>
        <v>2</v>
      </c>
      <c r="I264" s="39">
        <f t="shared" si="26"/>
        <v>0</v>
      </c>
      <c r="K264" s="40">
        <v>34677</v>
      </c>
      <c r="L264" s="39">
        <v>2028.3</v>
      </c>
      <c r="M264" s="39">
        <v>5</v>
      </c>
      <c r="N264" s="39">
        <v>2028.3</v>
      </c>
      <c r="O264" s="219">
        <f t="shared" si="31"/>
        <v>-5.0162394945662261E-3</v>
      </c>
      <c r="Q264" s="40">
        <v>33512</v>
      </c>
      <c r="R264" s="39">
        <v>1609.6</v>
      </c>
      <c r="S264" s="39">
        <f t="shared" si="27"/>
        <v>10</v>
      </c>
      <c r="T264" s="39">
        <f t="shared" si="28"/>
        <v>0</v>
      </c>
      <c r="U264" s="39">
        <f t="shared" si="29"/>
        <v>0</v>
      </c>
      <c r="V264" s="40">
        <v>39598</v>
      </c>
      <c r="W264" s="39">
        <v>7096.79</v>
      </c>
      <c r="X264" s="39">
        <v>5</v>
      </c>
      <c r="Y264" s="39">
        <v>7096.79</v>
      </c>
      <c r="Z264" s="249">
        <f t="shared" si="32"/>
        <v>2.1070708148387698E-2</v>
      </c>
      <c r="AA264" s="219"/>
    </row>
    <row r="265" spans="2:27" x14ac:dyDescent="0.35">
      <c r="B265" s="40">
        <v>33513</v>
      </c>
      <c r="C265" s="39">
        <v>1607.3</v>
      </c>
      <c r="D265" s="219">
        <f t="shared" si="30"/>
        <v>-1.4299483303246937E-3</v>
      </c>
      <c r="F265" s="40">
        <v>33513</v>
      </c>
      <c r="G265" s="39">
        <v>1607.3</v>
      </c>
      <c r="H265" s="39">
        <f t="shared" si="25"/>
        <v>3</v>
      </c>
      <c r="I265" s="39">
        <f t="shared" si="26"/>
        <v>0</v>
      </c>
      <c r="K265" s="40">
        <v>34684</v>
      </c>
      <c r="L265" s="39">
        <v>2070.1</v>
      </c>
      <c r="M265" s="39">
        <v>5</v>
      </c>
      <c r="N265" s="39">
        <v>2070.1</v>
      </c>
      <c r="O265" s="219">
        <f t="shared" si="31"/>
        <v>2.039891150656593E-2</v>
      </c>
      <c r="Q265" s="40">
        <v>33513</v>
      </c>
      <c r="R265" s="39">
        <v>1607.3</v>
      </c>
      <c r="S265" s="39">
        <f t="shared" si="27"/>
        <v>10</v>
      </c>
      <c r="T265" s="39">
        <f t="shared" si="28"/>
        <v>0</v>
      </c>
      <c r="U265" s="39">
        <f t="shared" si="29"/>
        <v>0</v>
      </c>
      <c r="V265" s="40">
        <v>39629</v>
      </c>
      <c r="W265" s="39">
        <v>6418.32</v>
      </c>
      <c r="X265" s="39">
        <v>6</v>
      </c>
      <c r="Y265" s="39">
        <v>6418.32</v>
      </c>
      <c r="Z265" s="249">
        <f t="shared" si="32"/>
        <v>-0.10048616792335553</v>
      </c>
      <c r="AA265" s="219"/>
    </row>
    <row r="266" spans="2:27" x14ac:dyDescent="0.35">
      <c r="B266" s="40">
        <v>33515</v>
      </c>
      <c r="C266" s="39">
        <v>1601.7</v>
      </c>
      <c r="D266" s="219">
        <f t="shared" si="30"/>
        <v>-3.4901874008449974E-3</v>
      </c>
      <c r="F266" s="40">
        <v>33515</v>
      </c>
      <c r="G266" s="39">
        <v>1601.7</v>
      </c>
      <c r="H266" s="39">
        <f t="shared" si="25"/>
        <v>5</v>
      </c>
      <c r="I266" s="39">
        <f t="shared" si="26"/>
        <v>1601.7</v>
      </c>
      <c r="K266" s="40">
        <v>34691</v>
      </c>
      <c r="L266" s="39">
        <v>2094</v>
      </c>
      <c r="M266" s="39">
        <v>5</v>
      </c>
      <c r="N266" s="39">
        <v>2094</v>
      </c>
      <c r="O266" s="219">
        <f t="shared" si="31"/>
        <v>1.1479197159174271E-2</v>
      </c>
      <c r="Q266" s="40">
        <v>33515</v>
      </c>
      <c r="R266" s="39">
        <v>1601.7</v>
      </c>
      <c r="S266" s="39">
        <f t="shared" si="27"/>
        <v>10</v>
      </c>
      <c r="T266" s="39">
        <f t="shared" si="28"/>
        <v>0</v>
      </c>
      <c r="U266" s="39">
        <f t="shared" si="29"/>
        <v>0</v>
      </c>
      <c r="V266" s="40">
        <v>39660</v>
      </c>
      <c r="W266" s="39">
        <v>6479.56</v>
      </c>
      <c r="X266" s="39">
        <v>7</v>
      </c>
      <c r="Y266" s="39">
        <v>6479.56</v>
      </c>
      <c r="Z266" s="249">
        <f t="shared" si="32"/>
        <v>9.4962056101157242E-3</v>
      </c>
      <c r="AA266" s="219"/>
    </row>
    <row r="267" spans="2:27" x14ac:dyDescent="0.35">
      <c r="B267" s="40">
        <v>33518</v>
      </c>
      <c r="C267" s="39">
        <v>1588.7</v>
      </c>
      <c r="D267" s="219">
        <f t="shared" si="30"/>
        <v>-8.1494934482723609E-3</v>
      </c>
      <c r="F267" s="40">
        <v>33518</v>
      </c>
      <c r="G267" s="39">
        <v>1588.7</v>
      </c>
      <c r="H267" s="39">
        <f t="shared" si="25"/>
        <v>1</v>
      </c>
      <c r="I267" s="39">
        <f t="shared" si="26"/>
        <v>0</v>
      </c>
      <c r="K267" s="40">
        <v>34698</v>
      </c>
      <c r="L267" s="39">
        <v>2106.6</v>
      </c>
      <c r="M267" s="39">
        <v>5</v>
      </c>
      <c r="N267" s="39">
        <v>2106.6</v>
      </c>
      <c r="O267" s="219">
        <f t="shared" si="31"/>
        <v>5.9991609719593176E-3</v>
      </c>
      <c r="Q267" s="40">
        <v>33518</v>
      </c>
      <c r="R267" s="39">
        <v>1588.7</v>
      </c>
      <c r="S267" s="39">
        <f t="shared" si="27"/>
        <v>10</v>
      </c>
      <c r="T267" s="39">
        <f t="shared" si="28"/>
        <v>0</v>
      </c>
      <c r="U267" s="39">
        <f t="shared" si="29"/>
        <v>0</v>
      </c>
      <c r="V267" s="40">
        <v>39689</v>
      </c>
      <c r="W267" s="39">
        <v>6422.3</v>
      </c>
      <c r="X267" s="39">
        <v>8</v>
      </c>
      <c r="Y267" s="39">
        <v>6422.3</v>
      </c>
      <c r="Z267" s="249">
        <f t="shared" si="32"/>
        <v>-8.8762978288005352E-3</v>
      </c>
      <c r="AA267" s="219"/>
    </row>
    <row r="268" spans="2:27" x14ac:dyDescent="0.35">
      <c r="B268" s="40">
        <v>33519</v>
      </c>
      <c r="C268" s="39">
        <v>1578.7</v>
      </c>
      <c r="D268" s="219">
        <f t="shared" si="30"/>
        <v>-6.3143481882966621E-3</v>
      </c>
      <c r="F268" s="40">
        <v>33519</v>
      </c>
      <c r="G268" s="39">
        <v>1578.7</v>
      </c>
      <c r="H268" s="39">
        <f t="shared" si="25"/>
        <v>2</v>
      </c>
      <c r="I268" s="39">
        <f t="shared" si="26"/>
        <v>0</v>
      </c>
      <c r="K268" s="40">
        <v>34705</v>
      </c>
      <c r="L268" s="39">
        <v>2053.9</v>
      </c>
      <c r="M268" s="39">
        <v>5</v>
      </c>
      <c r="N268" s="39">
        <v>2053.9</v>
      </c>
      <c r="O268" s="219">
        <f t="shared" si="31"/>
        <v>-2.5334848590838423E-2</v>
      </c>
      <c r="Q268" s="40">
        <v>33519</v>
      </c>
      <c r="R268" s="39">
        <v>1578.7</v>
      </c>
      <c r="S268" s="39">
        <f t="shared" si="27"/>
        <v>10</v>
      </c>
      <c r="T268" s="39">
        <f t="shared" si="28"/>
        <v>0</v>
      </c>
      <c r="U268" s="39">
        <f t="shared" si="29"/>
        <v>0</v>
      </c>
      <c r="V268" s="40">
        <v>39721</v>
      </c>
      <c r="W268" s="39">
        <v>5831.02</v>
      </c>
      <c r="X268" s="39">
        <v>9</v>
      </c>
      <c r="Y268" s="39">
        <v>5831.02</v>
      </c>
      <c r="Z268" s="249">
        <f t="shared" si="32"/>
        <v>-9.6584366817879075E-2</v>
      </c>
      <c r="AA268" s="219"/>
    </row>
    <row r="269" spans="2:27" x14ac:dyDescent="0.35">
      <c r="B269" s="40">
        <v>33520</v>
      </c>
      <c r="C269" s="39">
        <v>1567.2</v>
      </c>
      <c r="D269" s="219">
        <f t="shared" si="30"/>
        <v>-7.311135907350115E-3</v>
      </c>
      <c r="F269" s="40">
        <v>33520</v>
      </c>
      <c r="G269" s="39">
        <v>1567.2</v>
      </c>
      <c r="H269" s="39">
        <f t="shared" si="25"/>
        <v>3</v>
      </c>
      <c r="I269" s="39">
        <f t="shared" si="26"/>
        <v>0</v>
      </c>
      <c r="K269" s="40">
        <v>34712</v>
      </c>
      <c r="L269" s="39">
        <v>2055.6</v>
      </c>
      <c r="M269" s="39">
        <v>5</v>
      </c>
      <c r="N269" s="39">
        <v>2055.6</v>
      </c>
      <c r="O269" s="219">
        <f t="shared" si="31"/>
        <v>8.2735130647137653E-4</v>
      </c>
      <c r="Q269" s="40">
        <v>33520</v>
      </c>
      <c r="R269" s="39">
        <v>1567.2</v>
      </c>
      <c r="S269" s="39">
        <f t="shared" si="27"/>
        <v>10</v>
      </c>
      <c r="T269" s="39">
        <f t="shared" si="28"/>
        <v>0</v>
      </c>
      <c r="U269" s="39">
        <f t="shared" si="29"/>
        <v>0</v>
      </c>
      <c r="V269" s="40">
        <v>39752</v>
      </c>
      <c r="W269" s="39">
        <v>4987.97</v>
      </c>
      <c r="X269" s="39">
        <v>10</v>
      </c>
      <c r="Y269" s="39">
        <v>4987.97</v>
      </c>
      <c r="Z269" s="249">
        <f t="shared" si="32"/>
        <v>-0.15616292881248256</v>
      </c>
      <c r="AA269" s="219"/>
    </row>
    <row r="270" spans="2:27" x14ac:dyDescent="0.35">
      <c r="B270" s="40">
        <v>33521</v>
      </c>
      <c r="C270" s="39">
        <v>1568</v>
      </c>
      <c r="D270" s="219">
        <f t="shared" si="30"/>
        <v>5.103342800221258E-4</v>
      </c>
      <c r="F270" s="40">
        <v>33521</v>
      </c>
      <c r="G270" s="39">
        <v>1568</v>
      </c>
      <c r="H270" s="39">
        <f t="shared" si="25"/>
        <v>4</v>
      </c>
      <c r="I270" s="39">
        <f t="shared" si="26"/>
        <v>0</v>
      </c>
      <c r="K270" s="40">
        <v>34719</v>
      </c>
      <c r="L270" s="39">
        <v>2055.6</v>
      </c>
      <c r="M270" s="39">
        <v>5</v>
      </c>
      <c r="N270" s="39">
        <v>2055.6</v>
      </c>
      <c r="O270" s="219">
        <f t="shared" si="31"/>
        <v>0</v>
      </c>
      <c r="Q270" s="40">
        <v>33521</v>
      </c>
      <c r="R270" s="39">
        <v>1568</v>
      </c>
      <c r="S270" s="39">
        <f t="shared" si="27"/>
        <v>10</v>
      </c>
      <c r="T270" s="39">
        <f t="shared" si="28"/>
        <v>0</v>
      </c>
      <c r="U270" s="39">
        <f t="shared" si="29"/>
        <v>0</v>
      </c>
      <c r="V270" s="40">
        <v>39780</v>
      </c>
      <c r="W270" s="39">
        <v>4669.4399999999996</v>
      </c>
      <c r="X270" s="39">
        <v>11</v>
      </c>
      <c r="Y270" s="39">
        <v>4669.4399999999996</v>
      </c>
      <c r="Z270" s="249">
        <f t="shared" si="32"/>
        <v>-6.598986322144948E-2</v>
      </c>
      <c r="AA270" s="219"/>
    </row>
    <row r="271" spans="2:27" x14ac:dyDescent="0.35">
      <c r="B271" s="40">
        <v>33522</v>
      </c>
      <c r="C271" s="39">
        <v>1568.4</v>
      </c>
      <c r="D271" s="219">
        <f t="shared" si="30"/>
        <v>2.5506950782344732E-4</v>
      </c>
      <c r="F271" s="40">
        <v>33522</v>
      </c>
      <c r="G271" s="39">
        <v>1568.4</v>
      </c>
      <c r="H271" s="39">
        <f t="shared" si="25"/>
        <v>5</v>
      </c>
      <c r="I271" s="39">
        <f t="shared" si="26"/>
        <v>1568.4</v>
      </c>
      <c r="K271" s="40">
        <v>34726</v>
      </c>
      <c r="L271" s="39">
        <v>2031.7</v>
      </c>
      <c r="M271" s="39">
        <v>5</v>
      </c>
      <c r="N271" s="39">
        <v>2031.7</v>
      </c>
      <c r="O271" s="219">
        <f t="shared" si="31"/>
        <v>-1.1694895114509619E-2</v>
      </c>
      <c r="Q271" s="40">
        <v>33522</v>
      </c>
      <c r="R271" s="39">
        <v>1568.4</v>
      </c>
      <c r="S271" s="39">
        <f t="shared" si="27"/>
        <v>10</v>
      </c>
      <c r="T271" s="39">
        <f t="shared" si="28"/>
        <v>0</v>
      </c>
      <c r="U271" s="39">
        <f t="shared" si="29"/>
        <v>0</v>
      </c>
      <c r="V271" s="40">
        <v>39812</v>
      </c>
      <c r="W271" s="39">
        <v>4810.2</v>
      </c>
      <c r="X271" s="39">
        <v>12</v>
      </c>
      <c r="Y271" s="39">
        <v>4810.2</v>
      </c>
      <c r="Z271" s="249">
        <f t="shared" si="32"/>
        <v>2.9699513151213223E-2</v>
      </c>
      <c r="AA271" s="219"/>
    </row>
    <row r="272" spans="2:27" x14ac:dyDescent="0.35">
      <c r="B272" s="40">
        <v>33525</v>
      </c>
      <c r="C272" s="39">
        <v>1571</v>
      </c>
      <c r="D272" s="219">
        <f t="shared" si="30"/>
        <v>1.6563678374444807E-3</v>
      </c>
      <c r="F272" s="40">
        <v>33525</v>
      </c>
      <c r="G272" s="39">
        <v>1571</v>
      </c>
      <c r="H272" s="39">
        <f t="shared" si="25"/>
        <v>1</v>
      </c>
      <c r="I272" s="39">
        <f t="shared" si="26"/>
        <v>0</v>
      </c>
      <c r="K272" s="40">
        <v>34733</v>
      </c>
      <c r="L272" s="39">
        <v>2058</v>
      </c>
      <c r="M272" s="39">
        <v>5</v>
      </c>
      <c r="N272" s="39">
        <v>2058</v>
      </c>
      <c r="O272" s="219">
        <f t="shared" si="31"/>
        <v>1.2861756390430043E-2</v>
      </c>
      <c r="Q272" s="40">
        <v>33525</v>
      </c>
      <c r="R272" s="39">
        <v>1571</v>
      </c>
      <c r="S272" s="39">
        <f t="shared" si="27"/>
        <v>10</v>
      </c>
      <c r="T272" s="39">
        <f t="shared" si="28"/>
        <v>0</v>
      </c>
      <c r="U272" s="39">
        <f t="shared" si="29"/>
        <v>0</v>
      </c>
      <c r="V272" s="40">
        <v>39843</v>
      </c>
      <c r="W272" s="39">
        <v>4338.3500000000004</v>
      </c>
      <c r="X272" s="39">
        <v>1</v>
      </c>
      <c r="Y272" s="39">
        <v>4338.3500000000004</v>
      </c>
      <c r="Z272" s="249">
        <f t="shared" si="32"/>
        <v>-0.10324457180269316</v>
      </c>
      <c r="AA272" s="219"/>
    </row>
    <row r="273" spans="2:27" x14ac:dyDescent="0.35">
      <c r="B273" s="40">
        <v>33526</v>
      </c>
      <c r="C273" s="39">
        <v>1585</v>
      </c>
      <c r="D273" s="219">
        <f t="shared" si="30"/>
        <v>8.8720480557597965E-3</v>
      </c>
      <c r="F273" s="40">
        <v>33526</v>
      </c>
      <c r="G273" s="39">
        <v>1585</v>
      </c>
      <c r="H273" s="39">
        <f t="shared" si="25"/>
        <v>2</v>
      </c>
      <c r="I273" s="39">
        <f t="shared" si="26"/>
        <v>0</v>
      </c>
      <c r="K273" s="40">
        <v>34740</v>
      </c>
      <c r="L273" s="39">
        <v>2130.1999999999998</v>
      </c>
      <c r="M273" s="39">
        <v>5</v>
      </c>
      <c r="N273" s="39">
        <v>2130.1999999999998</v>
      </c>
      <c r="O273" s="219">
        <f t="shared" si="31"/>
        <v>3.4481234615070237E-2</v>
      </c>
      <c r="Q273" s="40">
        <v>33526</v>
      </c>
      <c r="R273" s="39">
        <v>1585</v>
      </c>
      <c r="S273" s="39">
        <f t="shared" si="27"/>
        <v>10</v>
      </c>
      <c r="T273" s="39">
        <f t="shared" si="28"/>
        <v>0</v>
      </c>
      <c r="U273" s="39">
        <f t="shared" si="29"/>
        <v>0</v>
      </c>
      <c r="V273" s="40">
        <v>39871</v>
      </c>
      <c r="W273" s="39">
        <v>3843.74</v>
      </c>
      <c r="X273" s="39">
        <v>2</v>
      </c>
      <c r="Y273" s="39">
        <v>3843.74</v>
      </c>
      <c r="Z273" s="249">
        <f t="shared" si="32"/>
        <v>-0.12104824054884041</v>
      </c>
      <c r="AA273" s="219"/>
    </row>
    <row r="274" spans="2:27" x14ac:dyDescent="0.35">
      <c r="B274" s="40">
        <v>33527</v>
      </c>
      <c r="C274" s="39">
        <v>1570.1</v>
      </c>
      <c r="D274" s="219">
        <f t="shared" si="30"/>
        <v>-9.4450957299051213E-3</v>
      </c>
      <c r="F274" s="40">
        <v>33527</v>
      </c>
      <c r="G274" s="39">
        <v>1570.1</v>
      </c>
      <c r="H274" s="39">
        <f t="shared" si="25"/>
        <v>3</v>
      </c>
      <c r="I274" s="39">
        <f t="shared" si="26"/>
        <v>0</v>
      </c>
      <c r="K274" s="40">
        <v>34747</v>
      </c>
      <c r="L274" s="39">
        <v>2117</v>
      </c>
      <c r="M274" s="39">
        <v>5</v>
      </c>
      <c r="N274" s="39">
        <v>2117</v>
      </c>
      <c r="O274" s="219">
        <f t="shared" si="31"/>
        <v>-6.2158798742000818E-3</v>
      </c>
      <c r="Q274" s="40">
        <v>33527</v>
      </c>
      <c r="R274" s="39">
        <v>1570.1</v>
      </c>
      <c r="S274" s="39">
        <f t="shared" si="27"/>
        <v>10</v>
      </c>
      <c r="T274" s="39">
        <f t="shared" si="28"/>
        <v>0</v>
      </c>
      <c r="U274" s="39">
        <f t="shared" si="29"/>
        <v>0</v>
      </c>
      <c r="V274" s="40">
        <v>39903</v>
      </c>
      <c r="W274" s="39">
        <v>4084.76</v>
      </c>
      <c r="X274" s="39">
        <v>3</v>
      </c>
      <c r="Y274" s="39">
        <v>4084.76</v>
      </c>
      <c r="Z274" s="249">
        <f t="shared" si="32"/>
        <v>6.0817124112749379E-2</v>
      </c>
      <c r="AA274" s="219"/>
    </row>
    <row r="275" spans="2:27" x14ac:dyDescent="0.35">
      <c r="B275" s="40">
        <v>33528</v>
      </c>
      <c r="C275" s="39">
        <v>1564.5</v>
      </c>
      <c r="D275" s="219">
        <f t="shared" si="30"/>
        <v>-3.573027472539072E-3</v>
      </c>
      <c r="F275" s="40">
        <v>33528</v>
      </c>
      <c r="G275" s="39">
        <v>1564.5</v>
      </c>
      <c r="H275" s="39">
        <f t="shared" si="25"/>
        <v>4</v>
      </c>
      <c r="I275" s="39">
        <f t="shared" si="26"/>
        <v>0</v>
      </c>
      <c r="K275" s="40">
        <v>34754</v>
      </c>
      <c r="L275" s="39">
        <v>2118.6</v>
      </c>
      <c r="M275" s="39">
        <v>5</v>
      </c>
      <c r="N275" s="39">
        <v>2118.6</v>
      </c>
      <c r="O275" s="219">
        <f t="shared" si="31"/>
        <v>7.5550102753057385E-4</v>
      </c>
      <c r="Q275" s="40">
        <v>33528</v>
      </c>
      <c r="R275" s="39">
        <v>1564.5</v>
      </c>
      <c r="S275" s="39">
        <f t="shared" si="27"/>
        <v>10</v>
      </c>
      <c r="T275" s="39">
        <f t="shared" si="28"/>
        <v>0</v>
      </c>
      <c r="U275" s="39">
        <f t="shared" si="29"/>
        <v>0</v>
      </c>
      <c r="V275" s="40">
        <v>39933</v>
      </c>
      <c r="W275" s="39">
        <v>4769.45</v>
      </c>
      <c r="X275" s="39">
        <v>4</v>
      </c>
      <c r="Y275" s="39">
        <v>4769.45</v>
      </c>
      <c r="Z275" s="249">
        <f t="shared" si="32"/>
        <v>0.1549680192129663</v>
      </c>
      <c r="AA275" s="219"/>
    </row>
    <row r="276" spans="2:27" x14ac:dyDescent="0.35">
      <c r="B276" s="40">
        <v>33529</v>
      </c>
      <c r="C276" s="39">
        <v>1563.3</v>
      </c>
      <c r="D276" s="219">
        <f t="shared" si="30"/>
        <v>-7.6731252565822845E-4</v>
      </c>
      <c r="F276" s="40">
        <v>33529</v>
      </c>
      <c r="G276" s="39">
        <v>1563.3</v>
      </c>
      <c r="H276" s="39">
        <f t="shared" si="25"/>
        <v>5</v>
      </c>
      <c r="I276" s="39">
        <f t="shared" si="26"/>
        <v>1563.3</v>
      </c>
      <c r="K276" s="40">
        <v>34761</v>
      </c>
      <c r="L276" s="39">
        <v>2109.5</v>
      </c>
      <c r="M276" s="39">
        <v>5</v>
      </c>
      <c r="N276" s="39">
        <v>2109.5</v>
      </c>
      <c r="O276" s="219">
        <f t="shared" si="31"/>
        <v>-4.3045405980023316E-3</v>
      </c>
      <c r="Q276" s="40">
        <v>33529</v>
      </c>
      <c r="R276" s="39">
        <v>1563.3</v>
      </c>
      <c r="S276" s="39">
        <f t="shared" si="27"/>
        <v>10</v>
      </c>
      <c r="T276" s="39">
        <f t="shared" si="28"/>
        <v>0</v>
      </c>
      <c r="U276" s="39">
        <f t="shared" si="29"/>
        <v>0</v>
      </c>
      <c r="V276" s="40">
        <v>39962</v>
      </c>
      <c r="W276" s="39">
        <v>4940.82</v>
      </c>
      <c r="X276" s="39">
        <v>5</v>
      </c>
      <c r="Y276" s="39">
        <v>4940.82</v>
      </c>
      <c r="Z276" s="249">
        <f t="shared" si="32"/>
        <v>3.5300315058527577E-2</v>
      </c>
      <c r="AA276" s="219"/>
    </row>
    <row r="277" spans="2:27" x14ac:dyDescent="0.35">
      <c r="B277" s="40">
        <v>33532</v>
      </c>
      <c r="C277" s="39">
        <v>1572.7</v>
      </c>
      <c r="D277" s="219">
        <f t="shared" si="30"/>
        <v>5.9949159134011125E-3</v>
      </c>
      <c r="F277" s="40">
        <v>33532</v>
      </c>
      <c r="G277" s="39">
        <v>1572.7</v>
      </c>
      <c r="H277" s="39">
        <f t="shared" si="25"/>
        <v>1</v>
      </c>
      <c r="I277" s="39">
        <f t="shared" si="26"/>
        <v>0</v>
      </c>
      <c r="K277" s="40">
        <v>34768</v>
      </c>
      <c r="L277" s="39">
        <v>1994</v>
      </c>
      <c r="M277" s="39">
        <v>5</v>
      </c>
      <c r="N277" s="39">
        <v>1994</v>
      </c>
      <c r="O277" s="219">
        <f t="shared" si="31"/>
        <v>-5.6308281042609667E-2</v>
      </c>
      <c r="Q277" s="40">
        <v>33532</v>
      </c>
      <c r="R277" s="39">
        <v>1572.7</v>
      </c>
      <c r="S277" s="39">
        <f t="shared" si="27"/>
        <v>10</v>
      </c>
      <c r="T277" s="39">
        <f t="shared" si="28"/>
        <v>0</v>
      </c>
      <c r="U277" s="39">
        <f t="shared" si="29"/>
        <v>0</v>
      </c>
      <c r="V277" s="40">
        <v>39994</v>
      </c>
      <c r="W277" s="39">
        <v>4808.6400000000003</v>
      </c>
      <c r="X277" s="39">
        <v>6</v>
      </c>
      <c r="Y277" s="39">
        <v>4808.6400000000003</v>
      </c>
      <c r="Z277" s="249">
        <f t="shared" si="32"/>
        <v>-2.7117009472308818E-2</v>
      </c>
      <c r="AA277" s="219"/>
    </row>
    <row r="278" spans="2:27" x14ac:dyDescent="0.35">
      <c r="B278" s="40">
        <v>33533</v>
      </c>
      <c r="C278" s="39">
        <v>1580.7</v>
      </c>
      <c r="D278" s="219">
        <f t="shared" si="30"/>
        <v>5.0738993866699241E-3</v>
      </c>
      <c r="F278" s="40">
        <v>33533</v>
      </c>
      <c r="G278" s="39">
        <v>1580.7</v>
      </c>
      <c r="H278" s="39">
        <f t="shared" si="25"/>
        <v>2</v>
      </c>
      <c r="I278" s="39">
        <f t="shared" si="26"/>
        <v>0</v>
      </c>
      <c r="K278" s="40">
        <v>34775</v>
      </c>
      <c r="L278" s="39">
        <v>2005.2</v>
      </c>
      <c r="M278" s="39">
        <v>5</v>
      </c>
      <c r="N278" s="39">
        <v>2005.2</v>
      </c>
      <c r="O278" s="219">
        <f t="shared" si="31"/>
        <v>5.6011348675646857E-3</v>
      </c>
      <c r="Q278" s="40">
        <v>33533</v>
      </c>
      <c r="R278" s="39">
        <v>1580.7</v>
      </c>
      <c r="S278" s="39">
        <f t="shared" si="27"/>
        <v>10</v>
      </c>
      <c r="T278" s="39">
        <f t="shared" si="28"/>
        <v>0</v>
      </c>
      <c r="U278" s="39">
        <f t="shared" si="29"/>
        <v>0</v>
      </c>
      <c r="V278" s="40">
        <v>40025</v>
      </c>
      <c r="W278" s="39">
        <v>5332.14</v>
      </c>
      <c r="X278" s="39">
        <v>7</v>
      </c>
      <c r="Y278" s="39">
        <v>5332.14</v>
      </c>
      <c r="Z278" s="249">
        <f t="shared" si="32"/>
        <v>0.10333835868068111</v>
      </c>
      <c r="AA278" s="219"/>
    </row>
    <row r="279" spans="2:27" x14ac:dyDescent="0.35">
      <c r="B279" s="40">
        <v>33534</v>
      </c>
      <c r="C279" s="39">
        <v>1587.9</v>
      </c>
      <c r="D279" s="219">
        <f t="shared" si="30"/>
        <v>4.5446016487018792E-3</v>
      </c>
      <c r="F279" s="40">
        <v>33534</v>
      </c>
      <c r="G279" s="39">
        <v>1587.9</v>
      </c>
      <c r="H279" s="39">
        <f t="shared" si="25"/>
        <v>3</v>
      </c>
      <c r="I279" s="39">
        <f t="shared" si="26"/>
        <v>0</v>
      </c>
      <c r="K279" s="40">
        <v>34782</v>
      </c>
      <c r="L279" s="39">
        <v>1925.4</v>
      </c>
      <c r="M279" s="39">
        <v>5</v>
      </c>
      <c r="N279" s="39">
        <v>1925.4</v>
      </c>
      <c r="O279" s="219">
        <f t="shared" si="31"/>
        <v>-4.061006804548218E-2</v>
      </c>
      <c r="Q279" s="40">
        <v>33534</v>
      </c>
      <c r="R279" s="39">
        <v>1587.9</v>
      </c>
      <c r="S279" s="39">
        <f t="shared" si="27"/>
        <v>10</v>
      </c>
      <c r="T279" s="39">
        <f t="shared" si="28"/>
        <v>0</v>
      </c>
      <c r="U279" s="39">
        <f t="shared" si="29"/>
        <v>0</v>
      </c>
      <c r="V279" s="40">
        <v>40056</v>
      </c>
      <c r="W279" s="39">
        <v>5458.04</v>
      </c>
      <c r="X279" s="39">
        <v>8</v>
      </c>
      <c r="Y279" s="39">
        <v>5458.04</v>
      </c>
      <c r="Z279" s="249">
        <f t="shared" si="32"/>
        <v>2.3337092415214675E-2</v>
      </c>
      <c r="AA279" s="219"/>
    </row>
    <row r="280" spans="2:27" x14ac:dyDescent="0.35">
      <c r="B280" s="40">
        <v>33535</v>
      </c>
      <c r="C280" s="39">
        <v>1579</v>
      </c>
      <c r="D280" s="219">
        <f t="shared" si="30"/>
        <v>-5.6206532764095651E-3</v>
      </c>
      <c r="F280" s="40">
        <v>33535</v>
      </c>
      <c r="G280" s="39">
        <v>1579</v>
      </c>
      <c r="H280" s="39">
        <f t="shared" si="25"/>
        <v>4</v>
      </c>
      <c r="I280" s="39">
        <f t="shared" si="26"/>
        <v>0</v>
      </c>
      <c r="K280" s="40">
        <v>34789</v>
      </c>
      <c r="L280" s="39">
        <v>1922.6</v>
      </c>
      <c r="M280" s="39">
        <v>5</v>
      </c>
      <c r="N280" s="39">
        <v>1922.6</v>
      </c>
      <c r="O280" s="219">
        <f t="shared" si="31"/>
        <v>-1.4553017121504523E-3</v>
      </c>
      <c r="Q280" s="40">
        <v>33535</v>
      </c>
      <c r="R280" s="39">
        <v>1579</v>
      </c>
      <c r="S280" s="39">
        <f t="shared" si="27"/>
        <v>10</v>
      </c>
      <c r="T280" s="39">
        <f t="shared" si="28"/>
        <v>0</v>
      </c>
      <c r="U280" s="39">
        <f t="shared" si="29"/>
        <v>0</v>
      </c>
      <c r="V280" s="40">
        <v>40086</v>
      </c>
      <c r="W280" s="39">
        <v>5675.16</v>
      </c>
      <c r="X280" s="39">
        <v>9</v>
      </c>
      <c r="Y280" s="39">
        <v>5675.16</v>
      </c>
      <c r="Z280" s="249">
        <f t="shared" si="32"/>
        <v>3.9009005851506399E-2</v>
      </c>
      <c r="AA280" s="219"/>
    </row>
    <row r="281" spans="2:27" x14ac:dyDescent="0.35">
      <c r="B281" s="40">
        <v>33536</v>
      </c>
      <c r="C281" s="39">
        <v>1572</v>
      </c>
      <c r="D281" s="219">
        <f t="shared" si="30"/>
        <v>-4.4430412664902535E-3</v>
      </c>
      <c r="F281" s="40">
        <v>33536</v>
      </c>
      <c r="G281" s="39">
        <v>1572</v>
      </c>
      <c r="H281" s="39">
        <f t="shared" si="25"/>
        <v>5</v>
      </c>
      <c r="I281" s="39">
        <f t="shared" si="26"/>
        <v>1572</v>
      </c>
      <c r="K281" s="40">
        <v>34796</v>
      </c>
      <c r="L281" s="39">
        <v>1981.9</v>
      </c>
      <c r="M281" s="39">
        <v>5</v>
      </c>
      <c r="N281" s="39">
        <v>1981.9</v>
      </c>
      <c r="O281" s="219">
        <f t="shared" si="31"/>
        <v>3.0377543898586355E-2</v>
      </c>
      <c r="Q281" s="40">
        <v>33536</v>
      </c>
      <c r="R281" s="39">
        <v>1572</v>
      </c>
      <c r="S281" s="39">
        <f t="shared" si="27"/>
        <v>10</v>
      </c>
      <c r="T281" s="39">
        <f t="shared" si="28"/>
        <v>0</v>
      </c>
      <c r="U281" s="39">
        <f t="shared" si="29"/>
        <v>0</v>
      </c>
      <c r="V281" s="40">
        <v>40116</v>
      </c>
      <c r="W281" s="39">
        <v>5414.96</v>
      </c>
      <c r="X281" s="39">
        <v>10</v>
      </c>
      <c r="Y281" s="39">
        <v>5414.96</v>
      </c>
      <c r="Z281" s="249">
        <f t="shared" si="32"/>
        <v>-4.6933263265229459E-2</v>
      </c>
      <c r="AA281" s="219"/>
    </row>
    <row r="282" spans="2:27" x14ac:dyDescent="0.35">
      <c r="B282" s="40">
        <v>33539</v>
      </c>
      <c r="C282" s="39">
        <v>1576.8</v>
      </c>
      <c r="D282" s="219">
        <f t="shared" si="30"/>
        <v>3.0487828493585096E-3</v>
      </c>
      <c r="F282" s="40">
        <v>33539</v>
      </c>
      <c r="G282" s="39">
        <v>1576.8</v>
      </c>
      <c r="H282" s="39">
        <f t="shared" si="25"/>
        <v>1</v>
      </c>
      <c r="I282" s="39">
        <f t="shared" si="26"/>
        <v>0</v>
      </c>
      <c r="K282" s="40">
        <v>34802</v>
      </c>
      <c r="L282" s="39">
        <v>1986.5</v>
      </c>
      <c r="M282" s="39">
        <v>4</v>
      </c>
      <c r="N282" s="39">
        <v>1986.5</v>
      </c>
      <c r="O282" s="219">
        <f t="shared" si="31"/>
        <v>2.3183157243514946E-3</v>
      </c>
      <c r="Q282" s="40">
        <v>33539</v>
      </c>
      <c r="R282" s="39">
        <v>1576.8</v>
      </c>
      <c r="S282" s="39">
        <f t="shared" si="27"/>
        <v>10</v>
      </c>
      <c r="T282" s="39">
        <f t="shared" si="28"/>
        <v>0</v>
      </c>
      <c r="U282" s="39">
        <f t="shared" si="29"/>
        <v>0</v>
      </c>
      <c r="V282" s="40">
        <v>40147</v>
      </c>
      <c r="W282" s="39">
        <v>5625.95</v>
      </c>
      <c r="X282" s="39">
        <v>11</v>
      </c>
      <c r="Y282" s="39">
        <v>5625.95</v>
      </c>
      <c r="Z282" s="249">
        <f t="shared" si="32"/>
        <v>3.8224329181852396E-2</v>
      </c>
      <c r="AA282" s="219"/>
    </row>
    <row r="283" spans="2:27" x14ac:dyDescent="0.35">
      <c r="B283" s="40">
        <v>33540</v>
      </c>
      <c r="C283" s="39">
        <v>1590.8</v>
      </c>
      <c r="D283" s="219">
        <f t="shared" si="30"/>
        <v>8.8395574950251403E-3</v>
      </c>
      <c r="F283" s="40">
        <v>33540</v>
      </c>
      <c r="G283" s="39">
        <v>1590.8</v>
      </c>
      <c r="H283" s="39">
        <f t="shared" si="25"/>
        <v>2</v>
      </c>
      <c r="I283" s="39">
        <f t="shared" si="26"/>
        <v>0</v>
      </c>
      <c r="K283" s="40">
        <v>34810</v>
      </c>
      <c r="L283" s="39">
        <v>1976.6</v>
      </c>
      <c r="M283" s="39">
        <v>5</v>
      </c>
      <c r="N283" s="39">
        <v>1976.6</v>
      </c>
      <c r="O283" s="219">
        <f t="shared" si="31"/>
        <v>-4.996099312570155E-3</v>
      </c>
      <c r="Q283" s="40">
        <v>33540</v>
      </c>
      <c r="R283" s="39">
        <v>1590.8</v>
      </c>
      <c r="S283" s="39">
        <f t="shared" si="27"/>
        <v>10</v>
      </c>
      <c r="T283" s="39">
        <f t="shared" si="28"/>
        <v>0</v>
      </c>
      <c r="U283" s="39">
        <f t="shared" si="29"/>
        <v>0</v>
      </c>
      <c r="V283" s="40">
        <v>40177</v>
      </c>
      <c r="W283" s="39">
        <v>5957.43</v>
      </c>
      <c r="X283" s="39">
        <v>12</v>
      </c>
      <c r="Y283" s="39">
        <v>5957.43</v>
      </c>
      <c r="Z283" s="249">
        <f t="shared" si="32"/>
        <v>5.7249357307389601E-2</v>
      </c>
      <c r="AA283" s="219"/>
    </row>
    <row r="284" spans="2:27" x14ac:dyDescent="0.35">
      <c r="B284" s="40">
        <v>33541</v>
      </c>
      <c r="C284" s="39">
        <v>1582.8</v>
      </c>
      <c r="D284" s="219">
        <f t="shared" si="30"/>
        <v>-5.0416038222663891E-3</v>
      </c>
      <c r="F284" s="40">
        <v>33541</v>
      </c>
      <c r="G284" s="39">
        <v>1582.8</v>
      </c>
      <c r="H284" s="39">
        <f t="shared" si="25"/>
        <v>3</v>
      </c>
      <c r="I284" s="39">
        <f t="shared" si="26"/>
        <v>0</v>
      </c>
      <c r="K284" s="40">
        <v>34817</v>
      </c>
      <c r="L284" s="39">
        <v>2015.9</v>
      </c>
      <c r="M284" s="39">
        <v>5</v>
      </c>
      <c r="N284" s="39">
        <v>2015.9</v>
      </c>
      <c r="O284" s="219">
        <f t="shared" si="31"/>
        <v>1.9687548844294574E-2</v>
      </c>
      <c r="Q284" s="40">
        <v>33541</v>
      </c>
      <c r="R284" s="39">
        <v>1582.8</v>
      </c>
      <c r="S284" s="39">
        <f t="shared" si="27"/>
        <v>10</v>
      </c>
      <c r="T284" s="39">
        <f t="shared" si="28"/>
        <v>0</v>
      </c>
      <c r="U284" s="39">
        <f t="shared" si="29"/>
        <v>0</v>
      </c>
      <c r="V284" s="40">
        <v>40207</v>
      </c>
      <c r="W284" s="39">
        <v>5608.79</v>
      </c>
      <c r="X284" s="39">
        <v>1</v>
      </c>
      <c r="Y284" s="39">
        <v>5608.79</v>
      </c>
      <c r="Z284" s="249">
        <f t="shared" si="32"/>
        <v>-6.0304170030173937E-2</v>
      </c>
      <c r="AA284" s="219"/>
    </row>
    <row r="285" spans="2:27" x14ac:dyDescent="0.35">
      <c r="B285" s="40">
        <v>33542</v>
      </c>
      <c r="C285" s="39">
        <v>1582.1</v>
      </c>
      <c r="D285" s="219">
        <f t="shared" si="30"/>
        <v>-4.4235205625101125E-4</v>
      </c>
      <c r="F285" s="40">
        <v>33542</v>
      </c>
      <c r="G285" s="39">
        <v>1582.1</v>
      </c>
      <c r="H285" s="39">
        <f t="shared" si="25"/>
        <v>4</v>
      </c>
      <c r="I285" s="39">
        <f t="shared" si="26"/>
        <v>0</v>
      </c>
      <c r="K285" s="40">
        <v>34824</v>
      </c>
      <c r="L285" s="39">
        <v>2023.8</v>
      </c>
      <c r="M285" s="39">
        <v>5</v>
      </c>
      <c r="N285" s="39">
        <v>2023.8</v>
      </c>
      <c r="O285" s="219">
        <f t="shared" si="31"/>
        <v>3.9111865092816452E-3</v>
      </c>
      <c r="Q285" s="40">
        <v>33542</v>
      </c>
      <c r="R285" s="39">
        <v>1582.1</v>
      </c>
      <c r="S285" s="39">
        <f t="shared" si="27"/>
        <v>10</v>
      </c>
      <c r="T285" s="39">
        <f t="shared" si="28"/>
        <v>1582.1</v>
      </c>
      <c r="U285" s="39">
        <f t="shared" si="29"/>
        <v>1582.1</v>
      </c>
      <c r="V285" s="40">
        <v>40235</v>
      </c>
      <c r="W285" s="39">
        <v>5598.46</v>
      </c>
      <c r="X285" s="39">
        <v>2</v>
      </c>
      <c r="Y285" s="39">
        <v>5598.46</v>
      </c>
      <c r="Z285" s="249">
        <f t="shared" si="32"/>
        <v>-1.843450074795685E-3</v>
      </c>
      <c r="AA285" s="219"/>
    </row>
    <row r="286" spans="2:27" x14ac:dyDescent="0.35">
      <c r="B286" s="40">
        <v>33543</v>
      </c>
      <c r="C286" s="39">
        <v>1573.6</v>
      </c>
      <c r="D286" s="219">
        <f t="shared" si="30"/>
        <v>-5.3870903801688779E-3</v>
      </c>
      <c r="F286" s="40">
        <v>33543</v>
      </c>
      <c r="G286" s="39">
        <v>1573.6</v>
      </c>
      <c r="H286" s="39">
        <f t="shared" si="25"/>
        <v>5</v>
      </c>
      <c r="I286" s="39">
        <f t="shared" si="26"/>
        <v>1573.6</v>
      </c>
      <c r="K286" s="40">
        <v>34831</v>
      </c>
      <c r="L286" s="39">
        <v>2096.9</v>
      </c>
      <c r="M286" s="39">
        <v>5</v>
      </c>
      <c r="N286" s="39">
        <v>2096.9</v>
      </c>
      <c r="O286" s="219">
        <f t="shared" si="31"/>
        <v>3.5483131297040497E-2</v>
      </c>
      <c r="Q286" s="40">
        <v>33543</v>
      </c>
      <c r="R286" s="39">
        <v>1573.6</v>
      </c>
      <c r="S286" s="39">
        <f t="shared" si="27"/>
        <v>11</v>
      </c>
      <c r="T286" s="39">
        <f t="shared" si="28"/>
        <v>0</v>
      </c>
      <c r="U286" s="39">
        <f t="shared" si="29"/>
        <v>0</v>
      </c>
      <c r="V286" s="40">
        <v>40268</v>
      </c>
      <c r="W286" s="39">
        <v>6153.55</v>
      </c>
      <c r="X286" s="39">
        <v>3</v>
      </c>
      <c r="Y286" s="39">
        <v>6153.55</v>
      </c>
      <c r="Z286" s="249">
        <f>LN(Y286/Y285)</f>
        <v>9.4537591132630119E-2</v>
      </c>
      <c r="AA286" s="219"/>
    </row>
    <row r="287" spans="2:27" x14ac:dyDescent="0.35">
      <c r="B287" s="40">
        <v>33546</v>
      </c>
      <c r="C287" s="39">
        <v>1573.6</v>
      </c>
      <c r="D287" s="219">
        <f t="shared" si="30"/>
        <v>0</v>
      </c>
      <c r="F287" s="40">
        <v>33546</v>
      </c>
      <c r="G287" s="39">
        <v>1573.6</v>
      </c>
      <c r="H287" s="39">
        <f t="shared" si="25"/>
        <v>1</v>
      </c>
      <c r="I287" s="39">
        <f t="shared" si="26"/>
        <v>0</v>
      </c>
      <c r="K287" s="40">
        <v>34838</v>
      </c>
      <c r="L287" s="39">
        <v>2065.1</v>
      </c>
      <c r="M287" s="39">
        <v>5</v>
      </c>
      <c r="N287" s="39">
        <v>2065.1</v>
      </c>
      <c r="O287" s="219">
        <f t="shared" si="31"/>
        <v>-1.5281412219953999E-2</v>
      </c>
      <c r="Q287" s="40">
        <v>33546</v>
      </c>
      <c r="R287" s="39">
        <v>1573.6</v>
      </c>
      <c r="S287" s="39">
        <f t="shared" si="27"/>
        <v>11</v>
      </c>
      <c r="T287" s="39">
        <f t="shared" si="28"/>
        <v>0</v>
      </c>
      <c r="U287" s="39">
        <f t="shared" si="29"/>
        <v>0</v>
      </c>
      <c r="V287" s="40">
        <v>40294</v>
      </c>
      <c r="W287" s="39">
        <v>6332.1</v>
      </c>
      <c r="X287" s="39">
        <f t="shared" ref="X287" si="33">MONTH(V287)</f>
        <v>4</v>
      </c>
      <c r="Y287" s="39">
        <f t="shared" ref="Y287" si="34">IF(X288&lt;&gt;X287,W287,0)</f>
        <v>6332.1</v>
      </c>
      <c r="Z287" s="249">
        <f>LN(Y287/Y286)</f>
        <v>2.8602783638244717E-2</v>
      </c>
    </row>
    <row r="288" spans="2:27" x14ac:dyDescent="0.35">
      <c r="B288" s="40">
        <v>33547</v>
      </c>
      <c r="C288" s="39">
        <v>1576.1</v>
      </c>
      <c r="D288" s="219">
        <f t="shared" si="30"/>
        <v>1.5874531066459949E-3</v>
      </c>
      <c r="F288" s="40">
        <v>33547</v>
      </c>
      <c r="G288" s="39">
        <v>1576.1</v>
      </c>
      <c r="H288" s="39">
        <f t="shared" si="25"/>
        <v>2</v>
      </c>
      <c r="I288" s="39">
        <f t="shared" si="26"/>
        <v>0</v>
      </c>
      <c r="K288" s="40">
        <v>34845</v>
      </c>
      <c r="L288" s="39">
        <v>2077.9</v>
      </c>
      <c r="M288" s="39">
        <v>5</v>
      </c>
      <c r="N288" s="39">
        <v>2077.9</v>
      </c>
      <c r="O288" s="219">
        <f t="shared" si="31"/>
        <v>6.1791169330885354E-3</v>
      </c>
      <c r="Q288" s="40">
        <v>33547</v>
      </c>
      <c r="R288" s="39">
        <v>1576.1</v>
      </c>
      <c r="S288" s="39">
        <f t="shared" si="27"/>
        <v>11</v>
      </c>
      <c r="T288" s="39">
        <f t="shared" si="28"/>
        <v>0</v>
      </c>
      <c r="U288" s="39">
        <f t="shared" si="29"/>
        <v>0</v>
      </c>
      <c r="V288" s="40"/>
    </row>
    <row r="289" spans="2:22" x14ac:dyDescent="0.35">
      <c r="B289" s="40">
        <v>33548</v>
      </c>
      <c r="C289" s="39">
        <v>1574.2</v>
      </c>
      <c r="D289" s="219">
        <f t="shared" si="30"/>
        <v>-1.2062344731455332E-3</v>
      </c>
      <c r="F289" s="40">
        <v>33548</v>
      </c>
      <c r="G289" s="39">
        <v>1574.2</v>
      </c>
      <c r="H289" s="39">
        <f t="shared" si="25"/>
        <v>3</v>
      </c>
      <c r="I289" s="39">
        <f t="shared" si="26"/>
        <v>0</v>
      </c>
      <c r="K289" s="40">
        <v>34852</v>
      </c>
      <c r="L289" s="39">
        <v>2136.3000000000002</v>
      </c>
      <c r="M289" s="39">
        <v>5</v>
      </c>
      <c r="N289" s="39">
        <v>2136.3000000000002</v>
      </c>
      <c r="O289" s="219">
        <f t="shared" si="31"/>
        <v>2.7717592350354484E-2</v>
      </c>
      <c r="Q289" s="40">
        <v>33548</v>
      </c>
      <c r="R289" s="39">
        <v>1574.2</v>
      </c>
      <c r="S289" s="39">
        <f t="shared" si="27"/>
        <v>11</v>
      </c>
      <c r="T289" s="39">
        <f t="shared" si="28"/>
        <v>0</v>
      </c>
      <c r="U289" s="39">
        <f t="shared" si="29"/>
        <v>0</v>
      </c>
      <c r="V289" s="40"/>
    </row>
    <row r="290" spans="2:22" x14ac:dyDescent="0.35">
      <c r="B290" s="40">
        <v>33549</v>
      </c>
      <c r="C290" s="39">
        <v>1578.4</v>
      </c>
      <c r="D290" s="219">
        <f t="shared" si="30"/>
        <v>2.6644690000559371E-3</v>
      </c>
      <c r="F290" s="40">
        <v>33549</v>
      </c>
      <c r="G290" s="39">
        <v>1578.4</v>
      </c>
      <c r="H290" s="39">
        <f t="shared" si="25"/>
        <v>4</v>
      </c>
      <c r="I290" s="39">
        <f t="shared" si="26"/>
        <v>0</v>
      </c>
      <c r="K290" s="40">
        <v>34859</v>
      </c>
      <c r="L290" s="39">
        <v>2121.8000000000002</v>
      </c>
      <c r="M290" s="39">
        <v>5</v>
      </c>
      <c r="N290" s="39">
        <v>2121.8000000000002</v>
      </c>
      <c r="O290" s="219">
        <f t="shared" si="31"/>
        <v>-6.8105756310175899E-3</v>
      </c>
      <c r="Q290" s="40">
        <v>33549</v>
      </c>
      <c r="R290" s="39">
        <v>1578.4</v>
      </c>
      <c r="S290" s="39">
        <f t="shared" si="27"/>
        <v>11</v>
      </c>
      <c r="T290" s="39">
        <f t="shared" si="28"/>
        <v>0</v>
      </c>
      <c r="U290" s="39">
        <f t="shared" si="29"/>
        <v>0</v>
      </c>
      <c r="V290" s="40"/>
    </row>
    <row r="291" spans="2:22" x14ac:dyDescent="0.35">
      <c r="B291" s="40">
        <v>33550</v>
      </c>
      <c r="C291" s="39">
        <v>1606.2</v>
      </c>
      <c r="D291" s="219">
        <f t="shared" si="30"/>
        <v>1.7459465045956309E-2</v>
      </c>
      <c r="F291" s="40">
        <v>33550</v>
      </c>
      <c r="G291" s="39">
        <v>1606.2</v>
      </c>
      <c r="H291" s="39">
        <f t="shared" si="25"/>
        <v>5</v>
      </c>
      <c r="I291" s="39">
        <f t="shared" si="26"/>
        <v>1606.2</v>
      </c>
      <c r="K291" s="40">
        <v>34866</v>
      </c>
      <c r="L291" s="39">
        <v>2120</v>
      </c>
      <c r="M291" s="39">
        <v>5</v>
      </c>
      <c r="N291" s="39">
        <v>2120</v>
      </c>
      <c r="O291" s="219">
        <f t="shared" si="31"/>
        <v>-8.4869635911310613E-4</v>
      </c>
      <c r="Q291" s="40">
        <v>33550</v>
      </c>
      <c r="R291" s="39">
        <v>1606.2</v>
      </c>
      <c r="S291" s="39">
        <f t="shared" si="27"/>
        <v>11</v>
      </c>
      <c r="T291" s="39">
        <f t="shared" si="28"/>
        <v>0</v>
      </c>
      <c r="U291" s="39">
        <f t="shared" si="29"/>
        <v>0</v>
      </c>
      <c r="V291" s="40"/>
    </row>
    <row r="292" spans="2:22" x14ac:dyDescent="0.35">
      <c r="B292" s="40">
        <v>33553</v>
      </c>
      <c r="C292" s="39">
        <v>1609</v>
      </c>
      <c r="D292" s="219">
        <f t="shared" si="30"/>
        <v>1.7417272380213403E-3</v>
      </c>
      <c r="F292" s="40">
        <v>33553</v>
      </c>
      <c r="G292" s="39">
        <v>1609</v>
      </c>
      <c r="H292" s="39">
        <f t="shared" si="25"/>
        <v>1</v>
      </c>
      <c r="I292" s="39">
        <f t="shared" si="26"/>
        <v>0</v>
      </c>
      <c r="K292" s="40">
        <v>34873</v>
      </c>
      <c r="L292" s="39">
        <v>2139.8000000000002</v>
      </c>
      <c r="M292" s="39">
        <v>5</v>
      </c>
      <c r="N292" s="39">
        <v>2139.8000000000002</v>
      </c>
      <c r="O292" s="219">
        <f t="shared" si="31"/>
        <v>9.2962780384480501E-3</v>
      </c>
      <c r="Q292" s="40">
        <v>33553</v>
      </c>
      <c r="R292" s="39">
        <v>1609</v>
      </c>
      <c r="S292" s="39">
        <f t="shared" si="27"/>
        <v>11</v>
      </c>
      <c r="T292" s="39">
        <f t="shared" si="28"/>
        <v>0</v>
      </c>
      <c r="U292" s="39">
        <f t="shared" si="29"/>
        <v>0</v>
      </c>
      <c r="V292" s="40"/>
    </row>
    <row r="293" spans="2:22" x14ac:dyDescent="0.35">
      <c r="B293" s="40">
        <v>33554</v>
      </c>
      <c r="C293" s="39">
        <v>1621.2</v>
      </c>
      <c r="D293" s="219">
        <f t="shared" si="30"/>
        <v>7.5537477617703807E-3</v>
      </c>
      <c r="F293" s="40">
        <v>33554</v>
      </c>
      <c r="G293" s="39">
        <v>1621.2</v>
      </c>
      <c r="H293" s="39">
        <f t="shared" si="25"/>
        <v>2</v>
      </c>
      <c r="I293" s="39">
        <f t="shared" si="26"/>
        <v>0</v>
      </c>
      <c r="K293" s="40">
        <v>34880</v>
      </c>
      <c r="L293" s="39">
        <v>2083.9</v>
      </c>
      <c r="M293" s="39">
        <v>5</v>
      </c>
      <c r="N293" s="39">
        <v>2083.9</v>
      </c>
      <c r="O293" s="219">
        <f t="shared" si="31"/>
        <v>-2.6471228627462175E-2</v>
      </c>
      <c r="Q293" s="40">
        <v>33554</v>
      </c>
      <c r="R293" s="39">
        <v>1621.2</v>
      </c>
      <c r="S293" s="39">
        <f t="shared" si="27"/>
        <v>11</v>
      </c>
      <c r="T293" s="39">
        <f t="shared" si="28"/>
        <v>0</v>
      </c>
      <c r="U293" s="39">
        <f t="shared" si="29"/>
        <v>0</v>
      </c>
      <c r="V293" s="40"/>
    </row>
    <row r="294" spans="2:22" x14ac:dyDescent="0.35">
      <c r="B294" s="40">
        <v>33555</v>
      </c>
      <c r="C294" s="39">
        <v>1623.2</v>
      </c>
      <c r="D294" s="219">
        <f t="shared" si="30"/>
        <v>1.2328937574515295E-3</v>
      </c>
      <c r="F294" s="40">
        <v>33555</v>
      </c>
      <c r="G294" s="39">
        <v>1623.2</v>
      </c>
      <c r="H294" s="39">
        <f t="shared" si="25"/>
        <v>3</v>
      </c>
      <c r="I294" s="39">
        <f t="shared" si="26"/>
        <v>0</v>
      </c>
      <c r="K294" s="40">
        <v>34887</v>
      </c>
      <c r="L294" s="39">
        <v>2153.4</v>
      </c>
      <c r="M294" s="39">
        <v>5</v>
      </c>
      <c r="N294" s="39">
        <v>2153.4</v>
      </c>
      <c r="O294" s="219">
        <f t="shared" si="31"/>
        <v>3.280685030457263E-2</v>
      </c>
      <c r="Q294" s="40">
        <v>33555</v>
      </c>
      <c r="R294" s="39">
        <v>1623.2</v>
      </c>
      <c r="S294" s="39">
        <f t="shared" si="27"/>
        <v>11</v>
      </c>
      <c r="T294" s="39">
        <f t="shared" si="28"/>
        <v>0</v>
      </c>
      <c r="U294" s="39">
        <f t="shared" si="29"/>
        <v>0</v>
      </c>
      <c r="V294" s="40"/>
    </row>
    <row r="295" spans="2:22" x14ac:dyDescent="0.35">
      <c r="B295" s="40">
        <v>33556</v>
      </c>
      <c r="C295" s="39">
        <v>1621</v>
      </c>
      <c r="D295" s="219">
        <f t="shared" si="30"/>
        <v>-1.3562667759289201E-3</v>
      </c>
      <c r="F295" s="40">
        <v>33556</v>
      </c>
      <c r="G295" s="39">
        <v>1621</v>
      </c>
      <c r="H295" s="39">
        <f t="shared" si="25"/>
        <v>4</v>
      </c>
      <c r="I295" s="39">
        <f t="shared" si="26"/>
        <v>0</v>
      </c>
      <c r="K295" s="40">
        <v>34894</v>
      </c>
      <c r="L295" s="39">
        <v>2184.9</v>
      </c>
      <c r="M295" s="39">
        <v>5</v>
      </c>
      <c r="N295" s="39">
        <v>2184.9</v>
      </c>
      <c r="O295" s="219">
        <f t="shared" si="31"/>
        <v>1.452207251036264E-2</v>
      </c>
      <c r="Q295" s="40">
        <v>33556</v>
      </c>
      <c r="R295" s="39">
        <v>1621</v>
      </c>
      <c r="S295" s="39">
        <f t="shared" si="27"/>
        <v>11</v>
      </c>
      <c r="T295" s="39">
        <f t="shared" si="28"/>
        <v>0</v>
      </c>
      <c r="U295" s="39">
        <f t="shared" si="29"/>
        <v>0</v>
      </c>
      <c r="V295" s="40"/>
    </row>
    <row r="296" spans="2:22" x14ac:dyDescent="0.35">
      <c r="B296" s="40">
        <v>33557</v>
      </c>
      <c r="C296" s="39">
        <v>1629.4</v>
      </c>
      <c r="D296" s="219">
        <f t="shared" si="30"/>
        <v>5.1686061408653498E-3</v>
      </c>
      <c r="F296" s="40">
        <v>33557</v>
      </c>
      <c r="G296" s="39">
        <v>1629.4</v>
      </c>
      <c r="H296" s="39">
        <f t="shared" si="25"/>
        <v>5</v>
      </c>
      <c r="I296" s="39">
        <f t="shared" si="26"/>
        <v>1629.4</v>
      </c>
      <c r="K296" s="40">
        <v>34901</v>
      </c>
      <c r="L296" s="39">
        <v>2201.9</v>
      </c>
      <c r="M296" s="39">
        <v>5</v>
      </c>
      <c r="N296" s="39">
        <v>2201.9</v>
      </c>
      <c r="O296" s="219">
        <f t="shared" si="31"/>
        <v>7.7505630987605902E-3</v>
      </c>
      <c r="Q296" s="40">
        <v>33557</v>
      </c>
      <c r="R296" s="39">
        <v>1629.4</v>
      </c>
      <c r="S296" s="39">
        <f t="shared" si="27"/>
        <v>11</v>
      </c>
      <c r="T296" s="39">
        <f t="shared" si="28"/>
        <v>0</v>
      </c>
      <c r="U296" s="39">
        <f t="shared" si="29"/>
        <v>0</v>
      </c>
      <c r="V296" s="40"/>
    </row>
    <row r="297" spans="2:22" x14ac:dyDescent="0.35">
      <c r="B297" s="40">
        <v>33560</v>
      </c>
      <c r="C297" s="39">
        <v>1611.9</v>
      </c>
      <c r="D297" s="219">
        <f t="shared" si="30"/>
        <v>-1.0798241473655962E-2</v>
      </c>
      <c r="F297" s="40">
        <v>33560</v>
      </c>
      <c r="G297" s="39">
        <v>1611.9</v>
      </c>
      <c r="H297" s="39">
        <f t="shared" si="25"/>
        <v>1</v>
      </c>
      <c r="I297" s="39">
        <f t="shared" si="26"/>
        <v>0</v>
      </c>
      <c r="K297" s="40">
        <v>34908</v>
      </c>
      <c r="L297" s="39">
        <v>2230</v>
      </c>
      <c r="M297" s="39">
        <v>5</v>
      </c>
      <c r="N297" s="39">
        <v>2230</v>
      </c>
      <c r="O297" s="219">
        <f t="shared" si="31"/>
        <v>1.2680961463424484E-2</v>
      </c>
      <c r="Q297" s="40">
        <v>33560</v>
      </c>
      <c r="R297" s="39">
        <v>1611.9</v>
      </c>
      <c r="S297" s="39">
        <f t="shared" si="27"/>
        <v>11</v>
      </c>
      <c r="T297" s="39">
        <f t="shared" si="28"/>
        <v>0</v>
      </c>
      <c r="U297" s="39">
        <f t="shared" si="29"/>
        <v>0</v>
      </c>
      <c r="V297" s="40"/>
    </row>
    <row r="298" spans="2:22" x14ac:dyDescent="0.35">
      <c r="B298" s="40">
        <v>33561</v>
      </c>
      <c r="C298" s="39">
        <v>1599.1</v>
      </c>
      <c r="D298" s="219">
        <f t="shared" si="30"/>
        <v>-7.9726364374891941E-3</v>
      </c>
      <c r="F298" s="40">
        <v>33561</v>
      </c>
      <c r="G298" s="39">
        <v>1599.1</v>
      </c>
      <c r="H298" s="39">
        <f t="shared" si="25"/>
        <v>2</v>
      </c>
      <c r="I298" s="39">
        <f t="shared" si="26"/>
        <v>0</v>
      </c>
      <c r="K298" s="40">
        <v>34915</v>
      </c>
      <c r="L298" s="39">
        <v>2236</v>
      </c>
      <c r="M298" s="39">
        <v>5</v>
      </c>
      <c r="N298" s="39">
        <v>2236</v>
      </c>
      <c r="O298" s="219">
        <f t="shared" si="31"/>
        <v>2.6869698208253877E-3</v>
      </c>
      <c r="Q298" s="40">
        <v>33561</v>
      </c>
      <c r="R298" s="39">
        <v>1599.1</v>
      </c>
      <c r="S298" s="39">
        <f t="shared" si="27"/>
        <v>11</v>
      </c>
      <c r="T298" s="39">
        <f t="shared" si="28"/>
        <v>0</v>
      </c>
      <c r="U298" s="39">
        <f t="shared" si="29"/>
        <v>0</v>
      </c>
      <c r="V298" s="40"/>
    </row>
    <row r="299" spans="2:22" x14ac:dyDescent="0.35">
      <c r="B299" s="40">
        <v>33563</v>
      </c>
      <c r="C299" s="39">
        <v>1598.1</v>
      </c>
      <c r="D299" s="219">
        <f t="shared" si="30"/>
        <v>-6.2554737433319601E-4</v>
      </c>
      <c r="F299" s="40">
        <v>33563</v>
      </c>
      <c r="G299" s="39">
        <v>1598.1</v>
      </c>
      <c r="H299" s="39">
        <f t="shared" si="25"/>
        <v>4</v>
      </c>
      <c r="I299" s="39">
        <f t="shared" si="26"/>
        <v>0</v>
      </c>
      <c r="K299" s="40">
        <v>34922</v>
      </c>
      <c r="L299" s="39">
        <v>2232.9</v>
      </c>
      <c r="M299" s="39">
        <v>5</v>
      </c>
      <c r="N299" s="39">
        <v>2232.9</v>
      </c>
      <c r="O299" s="219">
        <f t="shared" si="31"/>
        <v>-1.3873662410150301E-3</v>
      </c>
      <c r="Q299" s="40">
        <v>33563</v>
      </c>
      <c r="R299" s="39">
        <v>1598.1</v>
      </c>
      <c r="S299" s="39">
        <f t="shared" si="27"/>
        <v>11</v>
      </c>
      <c r="T299" s="39">
        <f t="shared" si="28"/>
        <v>0</v>
      </c>
      <c r="U299" s="39">
        <f t="shared" si="29"/>
        <v>0</v>
      </c>
      <c r="V299" s="40"/>
    </row>
    <row r="300" spans="2:22" x14ac:dyDescent="0.35">
      <c r="B300" s="40">
        <v>33564</v>
      </c>
      <c r="C300" s="39">
        <v>1600.3</v>
      </c>
      <c r="D300" s="219">
        <f t="shared" si="30"/>
        <v>1.3756880608813457E-3</v>
      </c>
      <c r="F300" s="40">
        <v>33564</v>
      </c>
      <c r="G300" s="39">
        <v>1600.3</v>
      </c>
      <c r="H300" s="39">
        <f t="shared" si="25"/>
        <v>5</v>
      </c>
      <c r="I300" s="39">
        <f t="shared" si="26"/>
        <v>1600.3</v>
      </c>
      <c r="K300" s="40">
        <v>34929</v>
      </c>
      <c r="L300" s="39">
        <v>2263.5</v>
      </c>
      <c r="M300" s="39">
        <v>5</v>
      </c>
      <c r="N300" s="39">
        <v>2263.5</v>
      </c>
      <c r="O300" s="219">
        <f t="shared" si="31"/>
        <v>1.3611098842038443E-2</v>
      </c>
      <c r="Q300" s="40">
        <v>33564</v>
      </c>
      <c r="R300" s="39">
        <v>1600.3</v>
      </c>
      <c r="S300" s="39">
        <f t="shared" si="27"/>
        <v>11</v>
      </c>
      <c r="T300" s="39">
        <f t="shared" si="28"/>
        <v>0</v>
      </c>
      <c r="U300" s="39">
        <f t="shared" si="29"/>
        <v>0</v>
      </c>
      <c r="V300" s="40"/>
    </row>
    <row r="301" spans="2:22" x14ac:dyDescent="0.35">
      <c r="B301" s="40">
        <v>33567</v>
      </c>
      <c r="C301" s="39">
        <v>1589.2</v>
      </c>
      <c r="D301" s="219">
        <f t="shared" si="30"/>
        <v>-6.9603667115006344E-3</v>
      </c>
      <c r="F301" s="40">
        <v>33567</v>
      </c>
      <c r="G301" s="39">
        <v>1589.2</v>
      </c>
      <c r="H301" s="39">
        <f t="shared" si="25"/>
        <v>1</v>
      </c>
      <c r="I301" s="39">
        <f t="shared" si="26"/>
        <v>0</v>
      </c>
      <c r="K301" s="40">
        <v>34936</v>
      </c>
      <c r="L301" s="39">
        <v>2249.3000000000002</v>
      </c>
      <c r="M301" s="39">
        <v>5</v>
      </c>
      <c r="N301" s="39">
        <v>2249.3000000000002</v>
      </c>
      <c r="O301" s="219">
        <f t="shared" si="31"/>
        <v>-6.2932311937600269E-3</v>
      </c>
      <c r="Q301" s="40">
        <v>33567</v>
      </c>
      <c r="R301" s="39">
        <v>1589.2</v>
      </c>
      <c r="S301" s="39">
        <f t="shared" si="27"/>
        <v>11</v>
      </c>
      <c r="T301" s="39">
        <f t="shared" si="28"/>
        <v>0</v>
      </c>
      <c r="U301" s="39">
        <f t="shared" si="29"/>
        <v>0</v>
      </c>
      <c r="V301" s="40"/>
    </row>
    <row r="302" spans="2:22" x14ac:dyDescent="0.35">
      <c r="B302" s="40">
        <v>33568</v>
      </c>
      <c r="C302" s="39">
        <v>1602.9</v>
      </c>
      <c r="D302" s="219">
        <f t="shared" si="30"/>
        <v>8.583743691391435E-3</v>
      </c>
      <c r="F302" s="40">
        <v>33568</v>
      </c>
      <c r="G302" s="39">
        <v>1602.9</v>
      </c>
      <c r="H302" s="39">
        <f t="shared" si="25"/>
        <v>2</v>
      </c>
      <c r="I302" s="39">
        <f t="shared" si="26"/>
        <v>0</v>
      </c>
      <c r="K302" s="40">
        <v>34943</v>
      </c>
      <c r="L302" s="39">
        <v>2233.1</v>
      </c>
      <c r="M302" s="39">
        <v>5</v>
      </c>
      <c r="N302" s="39">
        <v>2233.1</v>
      </c>
      <c r="O302" s="219">
        <f t="shared" si="31"/>
        <v>-7.2283020414116526E-3</v>
      </c>
      <c r="Q302" s="40">
        <v>33568</v>
      </c>
      <c r="R302" s="39">
        <v>1602.9</v>
      </c>
      <c r="S302" s="39">
        <f t="shared" si="27"/>
        <v>11</v>
      </c>
      <c r="T302" s="39">
        <f t="shared" si="28"/>
        <v>0</v>
      </c>
      <c r="U302" s="39">
        <f t="shared" si="29"/>
        <v>0</v>
      </c>
      <c r="V302" s="40"/>
    </row>
    <row r="303" spans="2:22" x14ac:dyDescent="0.35">
      <c r="B303" s="40">
        <v>33569</v>
      </c>
      <c r="C303" s="39">
        <v>1586.2</v>
      </c>
      <c r="D303" s="219">
        <f t="shared" si="30"/>
        <v>-1.0473269982616098E-2</v>
      </c>
      <c r="F303" s="40">
        <v>33569</v>
      </c>
      <c r="G303" s="39">
        <v>1586.2</v>
      </c>
      <c r="H303" s="39">
        <f t="shared" si="25"/>
        <v>3</v>
      </c>
      <c r="I303" s="39">
        <f t="shared" si="26"/>
        <v>0</v>
      </c>
      <c r="K303" s="40">
        <v>34950</v>
      </c>
      <c r="L303" s="39">
        <v>2273.6999999999998</v>
      </c>
      <c r="M303" s="39">
        <v>5</v>
      </c>
      <c r="N303" s="39">
        <v>2273.6999999999998</v>
      </c>
      <c r="O303" s="219">
        <f t="shared" si="31"/>
        <v>1.8017705845251586E-2</v>
      </c>
      <c r="Q303" s="40">
        <v>33569</v>
      </c>
      <c r="R303" s="39">
        <v>1586.2</v>
      </c>
      <c r="S303" s="39">
        <f t="shared" si="27"/>
        <v>11</v>
      </c>
      <c r="T303" s="39">
        <f t="shared" si="28"/>
        <v>0</v>
      </c>
      <c r="U303" s="39">
        <f t="shared" si="29"/>
        <v>0</v>
      </c>
      <c r="V303" s="40"/>
    </row>
    <row r="304" spans="2:22" x14ac:dyDescent="0.35">
      <c r="B304" s="40">
        <v>33570</v>
      </c>
      <c r="C304" s="39">
        <v>1588.2</v>
      </c>
      <c r="D304" s="219">
        <f t="shared" si="30"/>
        <v>1.2600808118914202E-3</v>
      </c>
      <c r="F304" s="40">
        <v>33570</v>
      </c>
      <c r="G304" s="39">
        <v>1588.2</v>
      </c>
      <c r="H304" s="39">
        <f t="shared" si="25"/>
        <v>4</v>
      </c>
      <c r="I304" s="39">
        <f t="shared" si="26"/>
        <v>0</v>
      </c>
      <c r="K304" s="40">
        <v>34957</v>
      </c>
      <c r="L304" s="39">
        <v>2317</v>
      </c>
      <c r="M304" s="39">
        <v>5</v>
      </c>
      <c r="N304" s="39">
        <v>2317</v>
      </c>
      <c r="O304" s="219">
        <f t="shared" si="31"/>
        <v>1.8864784946283266E-2</v>
      </c>
      <c r="Q304" s="40">
        <v>33570</v>
      </c>
      <c r="R304" s="39">
        <v>1588.2</v>
      </c>
      <c r="S304" s="39">
        <f t="shared" si="27"/>
        <v>11</v>
      </c>
      <c r="T304" s="39">
        <f t="shared" si="28"/>
        <v>0</v>
      </c>
      <c r="U304" s="39">
        <f t="shared" si="29"/>
        <v>0</v>
      </c>
      <c r="V304" s="40"/>
    </row>
    <row r="305" spans="2:22" x14ac:dyDescent="0.35">
      <c r="B305" s="40">
        <v>33571</v>
      </c>
      <c r="C305" s="39">
        <v>1566.6</v>
      </c>
      <c r="D305" s="219">
        <f t="shared" si="30"/>
        <v>-1.3693633527972491E-2</v>
      </c>
      <c r="F305" s="40">
        <v>33571</v>
      </c>
      <c r="G305" s="39">
        <v>1566.6</v>
      </c>
      <c r="H305" s="39">
        <f t="shared" si="25"/>
        <v>5</v>
      </c>
      <c r="I305" s="39">
        <f t="shared" si="26"/>
        <v>1566.6</v>
      </c>
      <c r="K305" s="40">
        <v>34964</v>
      </c>
      <c r="L305" s="39">
        <v>2211.8000000000002</v>
      </c>
      <c r="M305" s="39">
        <v>5</v>
      </c>
      <c r="N305" s="39">
        <v>2211.8000000000002</v>
      </c>
      <c r="O305" s="219">
        <f t="shared" si="31"/>
        <v>-4.6466581791116492E-2</v>
      </c>
      <c r="Q305" s="40">
        <v>33571</v>
      </c>
      <c r="R305" s="39">
        <v>1566.6</v>
      </c>
      <c r="S305" s="39">
        <f t="shared" si="27"/>
        <v>11</v>
      </c>
      <c r="T305" s="39">
        <f t="shared" si="28"/>
        <v>1566.6</v>
      </c>
      <c r="U305" s="39">
        <f t="shared" si="29"/>
        <v>1566.6</v>
      </c>
      <c r="V305" s="40"/>
    </row>
    <row r="306" spans="2:22" x14ac:dyDescent="0.35">
      <c r="B306" s="40">
        <v>33574</v>
      </c>
      <c r="C306" s="39">
        <v>1545.4</v>
      </c>
      <c r="D306" s="219">
        <f t="shared" si="30"/>
        <v>-1.362488943365453E-2</v>
      </c>
      <c r="F306" s="40">
        <v>33574</v>
      </c>
      <c r="G306" s="39">
        <v>1545.4</v>
      </c>
      <c r="H306" s="39">
        <f t="shared" si="25"/>
        <v>1</v>
      </c>
      <c r="I306" s="39">
        <f t="shared" si="26"/>
        <v>0</v>
      </c>
      <c r="K306" s="40">
        <v>34971</v>
      </c>
      <c r="L306" s="39">
        <v>2187</v>
      </c>
      <c r="M306" s="39">
        <v>5</v>
      </c>
      <c r="N306" s="39">
        <v>2187</v>
      </c>
      <c r="O306" s="219">
        <f t="shared" si="31"/>
        <v>-1.1275921964491863E-2</v>
      </c>
      <c r="Q306" s="40">
        <v>33574</v>
      </c>
      <c r="R306" s="39">
        <v>1545.4</v>
      </c>
      <c r="S306" s="39">
        <f t="shared" si="27"/>
        <v>12</v>
      </c>
      <c r="T306" s="39">
        <f t="shared" si="28"/>
        <v>0</v>
      </c>
      <c r="U306" s="39">
        <f t="shared" si="29"/>
        <v>0</v>
      </c>
      <c r="V306" s="40"/>
    </row>
    <row r="307" spans="2:22" x14ac:dyDescent="0.35">
      <c r="B307" s="40">
        <v>33575</v>
      </c>
      <c r="C307" s="39">
        <v>1546.8</v>
      </c>
      <c r="D307" s="219">
        <f t="shared" si="30"/>
        <v>9.0550423365838887E-4</v>
      </c>
      <c r="F307" s="40">
        <v>33575</v>
      </c>
      <c r="G307" s="39">
        <v>1546.8</v>
      </c>
      <c r="H307" s="39">
        <f t="shared" si="25"/>
        <v>2</v>
      </c>
      <c r="I307" s="39">
        <f t="shared" si="26"/>
        <v>0</v>
      </c>
      <c r="K307" s="40">
        <v>34978</v>
      </c>
      <c r="L307" s="39">
        <v>2171.4</v>
      </c>
      <c r="M307" s="39">
        <v>5</v>
      </c>
      <c r="N307" s="39">
        <v>2171.4</v>
      </c>
      <c r="O307" s="219">
        <f t="shared" si="31"/>
        <v>-7.1586208790160397E-3</v>
      </c>
      <c r="Q307" s="40">
        <v>33575</v>
      </c>
      <c r="R307" s="39">
        <v>1546.8</v>
      </c>
      <c r="S307" s="39">
        <f t="shared" si="27"/>
        <v>12</v>
      </c>
      <c r="T307" s="39">
        <f t="shared" si="28"/>
        <v>0</v>
      </c>
      <c r="U307" s="39">
        <f t="shared" si="29"/>
        <v>0</v>
      </c>
      <c r="V307" s="40"/>
    </row>
    <row r="308" spans="2:22" x14ac:dyDescent="0.35">
      <c r="B308" s="40">
        <v>33576</v>
      </c>
      <c r="C308" s="39">
        <v>1561</v>
      </c>
      <c r="D308" s="219">
        <f t="shared" si="30"/>
        <v>9.1383607822901492E-3</v>
      </c>
      <c r="F308" s="40">
        <v>33576</v>
      </c>
      <c r="G308" s="39">
        <v>1561</v>
      </c>
      <c r="H308" s="39">
        <f t="shared" si="25"/>
        <v>3</v>
      </c>
      <c r="I308" s="39">
        <f t="shared" si="26"/>
        <v>0</v>
      </c>
      <c r="K308" s="40">
        <v>34985</v>
      </c>
      <c r="L308" s="39">
        <v>2196.8000000000002</v>
      </c>
      <c r="M308" s="39">
        <v>5</v>
      </c>
      <c r="N308" s="39">
        <v>2196.8000000000002</v>
      </c>
      <c r="O308" s="219">
        <f t="shared" si="31"/>
        <v>1.1629635215954863E-2</v>
      </c>
      <c r="Q308" s="40">
        <v>33576</v>
      </c>
      <c r="R308" s="39">
        <v>1561</v>
      </c>
      <c r="S308" s="39">
        <f t="shared" si="27"/>
        <v>12</v>
      </c>
      <c r="T308" s="39">
        <f t="shared" si="28"/>
        <v>0</v>
      </c>
      <c r="U308" s="39">
        <f t="shared" si="29"/>
        <v>0</v>
      </c>
      <c r="V308" s="40"/>
    </row>
    <row r="309" spans="2:22" x14ac:dyDescent="0.35">
      <c r="B309" s="40">
        <v>33577</v>
      </c>
      <c r="C309" s="39">
        <v>1553.4</v>
      </c>
      <c r="D309" s="219">
        <f t="shared" si="30"/>
        <v>-4.8805645298850989E-3</v>
      </c>
      <c r="F309" s="40">
        <v>33577</v>
      </c>
      <c r="G309" s="39">
        <v>1553.4</v>
      </c>
      <c r="H309" s="39">
        <f t="shared" si="25"/>
        <v>4</v>
      </c>
      <c r="I309" s="39">
        <f t="shared" si="26"/>
        <v>0</v>
      </c>
      <c r="K309" s="40">
        <v>34992</v>
      </c>
      <c r="L309" s="39">
        <v>2170.5</v>
      </c>
      <c r="M309" s="39">
        <v>5</v>
      </c>
      <c r="N309" s="39">
        <v>2170.5</v>
      </c>
      <c r="O309" s="219">
        <f t="shared" si="31"/>
        <v>-1.2044200274058491E-2</v>
      </c>
      <c r="Q309" s="40">
        <v>33577</v>
      </c>
      <c r="R309" s="39">
        <v>1553.4</v>
      </c>
      <c r="S309" s="39">
        <f t="shared" si="27"/>
        <v>12</v>
      </c>
      <c r="T309" s="39">
        <f t="shared" si="28"/>
        <v>0</v>
      </c>
      <c r="U309" s="39">
        <f t="shared" si="29"/>
        <v>0</v>
      </c>
      <c r="V309" s="40"/>
    </row>
    <row r="310" spans="2:22" x14ac:dyDescent="0.35">
      <c r="B310" s="40">
        <v>33578</v>
      </c>
      <c r="C310" s="39">
        <v>1558.2</v>
      </c>
      <c r="D310" s="219">
        <f t="shared" si="30"/>
        <v>3.0852319112108042E-3</v>
      </c>
      <c r="F310" s="40">
        <v>33578</v>
      </c>
      <c r="G310" s="39">
        <v>1558.2</v>
      </c>
      <c r="H310" s="39">
        <f t="shared" si="25"/>
        <v>5</v>
      </c>
      <c r="I310" s="39">
        <f t="shared" si="26"/>
        <v>1558.2</v>
      </c>
      <c r="K310" s="40">
        <v>34999</v>
      </c>
      <c r="L310" s="39">
        <v>2096.1</v>
      </c>
      <c r="M310" s="39">
        <v>5</v>
      </c>
      <c r="N310" s="39">
        <v>2096.1</v>
      </c>
      <c r="O310" s="219">
        <f t="shared" si="31"/>
        <v>-3.4879080513133612E-2</v>
      </c>
      <c r="Q310" s="40">
        <v>33578</v>
      </c>
      <c r="R310" s="39">
        <v>1558.2</v>
      </c>
      <c r="S310" s="39">
        <f t="shared" si="27"/>
        <v>12</v>
      </c>
      <c r="T310" s="39">
        <f t="shared" si="28"/>
        <v>0</v>
      </c>
      <c r="U310" s="39">
        <f t="shared" si="29"/>
        <v>0</v>
      </c>
      <c r="V310" s="40"/>
    </row>
    <row r="311" spans="2:22" x14ac:dyDescent="0.35">
      <c r="B311" s="40">
        <v>33581</v>
      </c>
      <c r="C311" s="39">
        <v>1559.1</v>
      </c>
      <c r="D311" s="219">
        <f t="shared" si="30"/>
        <v>5.7742278574794638E-4</v>
      </c>
      <c r="F311" s="40">
        <v>33581</v>
      </c>
      <c r="G311" s="39">
        <v>1559.1</v>
      </c>
      <c r="H311" s="39">
        <f t="shared" ref="H311:H374" si="35">WEEKDAY(F311,2)</f>
        <v>1</v>
      </c>
      <c r="I311" s="39">
        <f t="shared" ref="I311:I374" si="36">IF(H311&gt;H312,G311,0)</f>
        <v>0</v>
      </c>
      <c r="K311" s="40">
        <v>35006</v>
      </c>
      <c r="L311" s="39">
        <v>2181.6999999999998</v>
      </c>
      <c r="M311" s="39">
        <v>5</v>
      </c>
      <c r="N311" s="39">
        <v>2181.6999999999998</v>
      </c>
      <c r="O311" s="219">
        <f t="shared" si="31"/>
        <v>4.0025914171463839E-2</v>
      </c>
      <c r="Q311" s="40">
        <v>33581</v>
      </c>
      <c r="R311" s="39">
        <v>1559.1</v>
      </c>
      <c r="S311" s="39">
        <f t="shared" ref="S311:S374" si="37">MONTH(Q311)</f>
        <v>12</v>
      </c>
      <c r="T311" s="39">
        <f t="shared" ref="T311:T374" si="38">IF(S312&lt;&gt;S311,R311,0)</f>
        <v>0</v>
      </c>
      <c r="U311" s="39">
        <f t="shared" ref="U311:U374" si="39">IF(S312=S311,0,R311)</f>
        <v>0</v>
      </c>
      <c r="V311" s="40"/>
    </row>
    <row r="312" spans="2:22" x14ac:dyDescent="0.35">
      <c r="B312" s="40">
        <v>33582</v>
      </c>
      <c r="C312" s="39">
        <v>1551.1</v>
      </c>
      <c r="D312" s="219">
        <f t="shared" ref="D312:D375" si="40">LN(C312/C311)</f>
        <v>-5.1443750518006945E-3</v>
      </c>
      <c r="F312" s="40">
        <v>33582</v>
      </c>
      <c r="G312" s="39">
        <v>1551.1</v>
      </c>
      <c r="H312" s="39">
        <f t="shared" si="35"/>
        <v>2</v>
      </c>
      <c r="I312" s="39">
        <f t="shared" si="36"/>
        <v>0</v>
      </c>
      <c r="K312" s="40">
        <v>35013</v>
      </c>
      <c r="L312" s="39">
        <v>2172.1999999999998</v>
      </c>
      <c r="M312" s="39">
        <v>5</v>
      </c>
      <c r="N312" s="39">
        <v>2172.1999999999998</v>
      </c>
      <c r="O312" s="219">
        <f t="shared" ref="O312:O375" si="41">LN(N312/N311)</f>
        <v>-4.3639105520429499E-3</v>
      </c>
      <c r="Q312" s="40">
        <v>33582</v>
      </c>
      <c r="R312" s="39">
        <v>1551.1</v>
      </c>
      <c r="S312" s="39">
        <f t="shared" si="37"/>
        <v>12</v>
      </c>
      <c r="T312" s="39">
        <f t="shared" si="38"/>
        <v>0</v>
      </c>
      <c r="U312" s="39">
        <f t="shared" si="39"/>
        <v>0</v>
      </c>
      <c r="V312" s="40"/>
    </row>
    <row r="313" spans="2:22" x14ac:dyDescent="0.35">
      <c r="B313" s="40">
        <v>33583</v>
      </c>
      <c r="C313" s="39">
        <v>1543.6</v>
      </c>
      <c r="D313" s="219">
        <f t="shared" si="40"/>
        <v>-4.8470059672414741E-3</v>
      </c>
      <c r="F313" s="40">
        <v>33583</v>
      </c>
      <c r="G313" s="39">
        <v>1543.6</v>
      </c>
      <c r="H313" s="39">
        <f t="shared" si="35"/>
        <v>3</v>
      </c>
      <c r="I313" s="39">
        <f t="shared" si="36"/>
        <v>0</v>
      </c>
      <c r="K313" s="40">
        <v>35020</v>
      </c>
      <c r="L313" s="39">
        <v>2201.3000000000002</v>
      </c>
      <c r="M313" s="39">
        <v>5</v>
      </c>
      <c r="N313" s="39">
        <v>2201.3000000000002</v>
      </c>
      <c r="O313" s="219">
        <f t="shared" si="41"/>
        <v>1.330761607335005E-2</v>
      </c>
      <c r="Q313" s="40">
        <v>33583</v>
      </c>
      <c r="R313" s="39">
        <v>1543.6</v>
      </c>
      <c r="S313" s="39">
        <f t="shared" si="37"/>
        <v>12</v>
      </c>
      <c r="T313" s="39">
        <f t="shared" si="38"/>
        <v>0</v>
      </c>
      <c r="U313" s="39">
        <f t="shared" si="39"/>
        <v>0</v>
      </c>
      <c r="V313" s="40"/>
    </row>
    <row r="314" spans="2:22" x14ac:dyDescent="0.35">
      <c r="B314" s="40">
        <v>33584</v>
      </c>
      <c r="C314" s="39">
        <v>1546.4</v>
      </c>
      <c r="D314" s="219">
        <f t="shared" si="40"/>
        <v>1.8122982306574657E-3</v>
      </c>
      <c r="F314" s="40">
        <v>33584</v>
      </c>
      <c r="G314" s="39">
        <v>1546.4</v>
      </c>
      <c r="H314" s="39">
        <f t="shared" si="35"/>
        <v>4</v>
      </c>
      <c r="I314" s="39">
        <f t="shared" si="36"/>
        <v>0</v>
      </c>
      <c r="K314" s="40">
        <v>35027</v>
      </c>
      <c r="L314" s="39">
        <v>2198.1999999999998</v>
      </c>
      <c r="M314" s="39">
        <v>5</v>
      </c>
      <c r="N314" s="39">
        <v>2198.1999999999998</v>
      </c>
      <c r="O314" s="219">
        <f t="shared" si="41"/>
        <v>-1.4092512844857332E-3</v>
      </c>
      <c r="Q314" s="40">
        <v>33584</v>
      </c>
      <c r="R314" s="39">
        <v>1546.4</v>
      </c>
      <c r="S314" s="39">
        <f t="shared" si="37"/>
        <v>12</v>
      </c>
      <c r="T314" s="39">
        <f t="shared" si="38"/>
        <v>0</v>
      </c>
      <c r="U314" s="39">
        <f t="shared" si="39"/>
        <v>0</v>
      </c>
      <c r="V314" s="40"/>
    </row>
    <row r="315" spans="2:22" x14ac:dyDescent="0.35">
      <c r="B315" s="40">
        <v>33585</v>
      </c>
      <c r="C315" s="39">
        <v>1558.3</v>
      </c>
      <c r="D315" s="219">
        <f t="shared" si="40"/>
        <v>7.6658345574475741E-3</v>
      </c>
      <c r="F315" s="40">
        <v>33585</v>
      </c>
      <c r="G315" s="39">
        <v>1558.3</v>
      </c>
      <c r="H315" s="39">
        <f t="shared" si="35"/>
        <v>5</v>
      </c>
      <c r="I315" s="39">
        <f t="shared" si="36"/>
        <v>1558.3</v>
      </c>
      <c r="K315" s="40">
        <v>35034</v>
      </c>
      <c r="L315" s="39">
        <v>2260.6999999999998</v>
      </c>
      <c r="M315" s="39">
        <v>5</v>
      </c>
      <c r="N315" s="39">
        <v>2260.6999999999998</v>
      </c>
      <c r="O315" s="219">
        <f t="shared" si="41"/>
        <v>2.8035656186974092E-2</v>
      </c>
      <c r="Q315" s="40">
        <v>33585</v>
      </c>
      <c r="R315" s="39">
        <v>1558.3</v>
      </c>
      <c r="S315" s="39">
        <f t="shared" si="37"/>
        <v>12</v>
      </c>
      <c r="T315" s="39">
        <f t="shared" si="38"/>
        <v>0</v>
      </c>
      <c r="U315" s="39">
        <f t="shared" si="39"/>
        <v>0</v>
      </c>
      <c r="V315" s="40"/>
    </row>
    <row r="316" spans="2:22" x14ac:dyDescent="0.35">
      <c r="B316" s="40">
        <v>33588</v>
      </c>
      <c r="C316" s="39">
        <v>1552.9</v>
      </c>
      <c r="D316" s="219">
        <f t="shared" si="40"/>
        <v>-3.4713328764252342E-3</v>
      </c>
      <c r="F316" s="40">
        <v>33588</v>
      </c>
      <c r="G316" s="39">
        <v>1552.9</v>
      </c>
      <c r="H316" s="39">
        <f t="shared" si="35"/>
        <v>1</v>
      </c>
      <c r="I316" s="39">
        <f t="shared" si="36"/>
        <v>0</v>
      </c>
      <c r="K316" s="40">
        <v>35041</v>
      </c>
      <c r="L316" s="39">
        <v>2267.5</v>
      </c>
      <c r="M316" s="39">
        <v>5</v>
      </c>
      <c r="N316" s="39">
        <v>2267.5</v>
      </c>
      <c r="O316" s="219">
        <f t="shared" si="41"/>
        <v>3.0034031675176464E-3</v>
      </c>
      <c r="Q316" s="40">
        <v>33588</v>
      </c>
      <c r="R316" s="39">
        <v>1552.9</v>
      </c>
      <c r="S316" s="39">
        <f t="shared" si="37"/>
        <v>12</v>
      </c>
      <c r="T316" s="39">
        <f t="shared" si="38"/>
        <v>0</v>
      </c>
      <c r="U316" s="39">
        <f t="shared" si="39"/>
        <v>0</v>
      </c>
      <c r="V316" s="40"/>
    </row>
    <row r="317" spans="2:22" x14ac:dyDescent="0.35">
      <c r="B317" s="40">
        <v>33589</v>
      </c>
      <c r="C317" s="39">
        <v>1560.9</v>
      </c>
      <c r="D317" s="219">
        <f t="shared" si="40"/>
        <v>5.1384273892241183E-3</v>
      </c>
      <c r="F317" s="40">
        <v>33589</v>
      </c>
      <c r="G317" s="39">
        <v>1560.9</v>
      </c>
      <c r="H317" s="39">
        <f t="shared" si="35"/>
        <v>2</v>
      </c>
      <c r="I317" s="39">
        <f t="shared" si="36"/>
        <v>0</v>
      </c>
      <c r="K317" s="40">
        <v>35048</v>
      </c>
      <c r="L317" s="39">
        <v>2284.8000000000002</v>
      </c>
      <c r="M317" s="39">
        <v>5</v>
      </c>
      <c r="N317" s="39">
        <v>2284.8000000000002</v>
      </c>
      <c r="O317" s="219">
        <f t="shared" si="41"/>
        <v>7.6005901559736619E-3</v>
      </c>
      <c r="Q317" s="40">
        <v>33589</v>
      </c>
      <c r="R317" s="39">
        <v>1560.9</v>
      </c>
      <c r="S317" s="39">
        <f t="shared" si="37"/>
        <v>12</v>
      </c>
      <c r="T317" s="39">
        <f t="shared" si="38"/>
        <v>0</v>
      </c>
      <c r="U317" s="39">
        <f t="shared" si="39"/>
        <v>0</v>
      </c>
      <c r="V317" s="40"/>
    </row>
    <row r="318" spans="2:22" x14ac:dyDescent="0.35">
      <c r="B318" s="40">
        <v>33590</v>
      </c>
      <c r="C318" s="39">
        <v>1573.8</v>
      </c>
      <c r="D318" s="219">
        <f t="shared" si="40"/>
        <v>8.2304991365154435E-3</v>
      </c>
      <c r="F318" s="40">
        <v>33590</v>
      </c>
      <c r="G318" s="39">
        <v>1573.8</v>
      </c>
      <c r="H318" s="39">
        <f t="shared" si="35"/>
        <v>3</v>
      </c>
      <c r="I318" s="39">
        <f t="shared" si="36"/>
        <v>0</v>
      </c>
      <c r="K318" s="40">
        <v>35055</v>
      </c>
      <c r="L318" s="39">
        <v>2280.4</v>
      </c>
      <c r="M318" s="39">
        <v>5</v>
      </c>
      <c r="N318" s="39">
        <v>2280.4</v>
      </c>
      <c r="O318" s="219">
        <f t="shared" si="41"/>
        <v>-1.9276269878384421E-3</v>
      </c>
      <c r="Q318" s="40">
        <v>33590</v>
      </c>
      <c r="R318" s="39">
        <v>1573.8</v>
      </c>
      <c r="S318" s="39">
        <f t="shared" si="37"/>
        <v>12</v>
      </c>
      <c r="T318" s="39">
        <f t="shared" si="38"/>
        <v>0</v>
      </c>
      <c r="U318" s="39">
        <f t="shared" si="39"/>
        <v>0</v>
      </c>
      <c r="V318" s="40"/>
    </row>
    <row r="319" spans="2:22" x14ac:dyDescent="0.35">
      <c r="B319" s="40">
        <v>33591</v>
      </c>
      <c r="C319" s="39">
        <v>1561.8</v>
      </c>
      <c r="D319" s="219">
        <f t="shared" si="40"/>
        <v>-7.6540748723082485E-3</v>
      </c>
      <c r="F319" s="40">
        <v>33591</v>
      </c>
      <c r="G319" s="39">
        <v>1561.8</v>
      </c>
      <c r="H319" s="39">
        <f t="shared" si="35"/>
        <v>4</v>
      </c>
      <c r="I319" s="39">
        <f t="shared" si="36"/>
        <v>0</v>
      </c>
      <c r="K319" s="40">
        <v>35062</v>
      </c>
      <c r="L319" s="39">
        <v>2253.9</v>
      </c>
      <c r="M319" s="39">
        <v>5</v>
      </c>
      <c r="N319" s="39">
        <v>2253.9</v>
      </c>
      <c r="O319" s="219">
        <f t="shared" si="41"/>
        <v>-1.1688817114202188E-2</v>
      </c>
      <c r="Q319" s="40">
        <v>33591</v>
      </c>
      <c r="R319" s="39">
        <v>1561.8</v>
      </c>
      <c r="S319" s="39">
        <f t="shared" si="37"/>
        <v>12</v>
      </c>
      <c r="T319" s="39">
        <f t="shared" si="38"/>
        <v>0</v>
      </c>
      <c r="U319" s="39">
        <f t="shared" si="39"/>
        <v>0</v>
      </c>
      <c r="V319" s="40"/>
    </row>
    <row r="320" spans="2:22" x14ac:dyDescent="0.35">
      <c r="B320" s="40">
        <v>33592</v>
      </c>
      <c r="C320" s="39">
        <v>1543.2</v>
      </c>
      <c r="D320" s="219">
        <f t="shared" si="40"/>
        <v>-1.1980819637055259E-2</v>
      </c>
      <c r="F320" s="40">
        <v>33592</v>
      </c>
      <c r="G320" s="39">
        <v>1543.2</v>
      </c>
      <c r="H320" s="39">
        <f t="shared" si="35"/>
        <v>5</v>
      </c>
      <c r="I320" s="39">
        <f t="shared" si="36"/>
        <v>1543.2</v>
      </c>
      <c r="K320" s="40">
        <v>35069</v>
      </c>
      <c r="L320" s="39">
        <v>2331.9</v>
      </c>
      <c r="M320" s="39">
        <v>5</v>
      </c>
      <c r="N320" s="39">
        <v>2331.9</v>
      </c>
      <c r="O320" s="219">
        <f t="shared" si="41"/>
        <v>3.4021336861058953E-2</v>
      </c>
      <c r="Q320" s="40">
        <v>33592</v>
      </c>
      <c r="R320" s="39">
        <v>1543.2</v>
      </c>
      <c r="S320" s="39">
        <f t="shared" si="37"/>
        <v>12</v>
      </c>
      <c r="T320" s="39">
        <f t="shared" si="38"/>
        <v>0</v>
      </c>
      <c r="U320" s="39">
        <f t="shared" si="39"/>
        <v>0</v>
      </c>
      <c r="V320" s="40"/>
    </row>
    <row r="321" spans="2:22" x14ac:dyDescent="0.35">
      <c r="B321" s="40">
        <v>33595</v>
      </c>
      <c r="C321" s="39">
        <v>1539.6</v>
      </c>
      <c r="D321" s="219">
        <f t="shared" si="40"/>
        <v>-2.3355401819284091E-3</v>
      </c>
      <c r="F321" s="40">
        <v>33595</v>
      </c>
      <c r="G321" s="39">
        <v>1539.6</v>
      </c>
      <c r="H321" s="39">
        <f t="shared" si="35"/>
        <v>1</v>
      </c>
      <c r="I321" s="39">
        <f t="shared" si="36"/>
        <v>0</v>
      </c>
      <c r="K321" s="40">
        <v>35076</v>
      </c>
      <c r="L321" s="39">
        <v>2356.5</v>
      </c>
      <c r="M321" s="39">
        <v>5</v>
      </c>
      <c r="N321" s="39">
        <v>2356.5</v>
      </c>
      <c r="O321" s="219">
        <f t="shared" si="41"/>
        <v>1.0494081459501887E-2</v>
      </c>
      <c r="Q321" s="40">
        <v>33595</v>
      </c>
      <c r="R321" s="39">
        <v>1539.6</v>
      </c>
      <c r="S321" s="39">
        <f t="shared" si="37"/>
        <v>12</v>
      </c>
      <c r="T321" s="39">
        <f t="shared" si="38"/>
        <v>0</v>
      </c>
      <c r="U321" s="39">
        <f t="shared" si="39"/>
        <v>0</v>
      </c>
      <c r="V321" s="40"/>
    </row>
    <row r="322" spans="2:22" x14ac:dyDescent="0.35">
      <c r="B322" s="40">
        <v>33599</v>
      </c>
      <c r="C322" s="39">
        <v>1563.6</v>
      </c>
      <c r="D322" s="219">
        <f t="shared" si="40"/>
        <v>1.5468212509208695E-2</v>
      </c>
      <c r="F322" s="40">
        <v>33599</v>
      </c>
      <c r="G322" s="39">
        <v>1563.6</v>
      </c>
      <c r="H322" s="39">
        <f t="shared" si="35"/>
        <v>5</v>
      </c>
      <c r="I322" s="39">
        <f t="shared" si="36"/>
        <v>1563.6</v>
      </c>
      <c r="K322" s="40">
        <v>35083</v>
      </c>
      <c r="L322" s="39">
        <v>2398.8000000000002</v>
      </c>
      <c r="M322" s="39">
        <v>5</v>
      </c>
      <c r="N322" s="39">
        <v>2398.8000000000002</v>
      </c>
      <c r="O322" s="219">
        <f t="shared" si="41"/>
        <v>1.77911449305693E-2</v>
      </c>
      <c r="Q322" s="40">
        <v>33599</v>
      </c>
      <c r="R322" s="39">
        <v>1563.6</v>
      </c>
      <c r="S322" s="39">
        <f t="shared" si="37"/>
        <v>12</v>
      </c>
      <c r="T322" s="39">
        <f t="shared" si="38"/>
        <v>0</v>
      </c>
      <c r="U322" s="39">
        <f t="shared" si="39"/>
        <v>0</v>
      </c>
      <c r="V322" s="40"/>
    </row>
    <row r="323" spans="2:22" x14ac:dyDescent="0.35">
      <c r="B323" s="40">
        <v>33602</v>
      </c>
      <c r="C323" s="39">
        <v>1578</v>
      </c>
      <c r="D323" s="219">
        <f t="shared" si="40"/>
        <v>9.1673674870198958E-3</v>
      </c>
      <c r="F323" s="40">
        <v>33602</v>
      </c>
      <c r="G323" s="39">
        <v>1578</v>
      </c>
      <c r="H323" s="39">
        <f t="shared" si="35"/>
        <v>1</v>
      </c>
      <c r="I323" s="39">
        <f t="shared" si="36"/>
        <v>0</v>
      </c>
      <c r="K323" s="40">
        <v>35090</v>
      </c>
      <c r="L323" s="39">
        <v>2432.9</v>
      </c>
      <c r="M323" s="39">
        <v>5</v>
      </c>
      <c r="N323" s="39">
        <v>2432.9</v>
      </c>
      <c r="O323" s="219">
        <f t="shared" si="41"/>
        <v>1.4115349123720932E-2</v>
      </c>
      <c r="Q323" s="40">
        <v>33602</v>
      </c>
      <c r="R323" s="39">
        <v>1578</v>
      </c>
      <c r="S323" s="39">
        <f t="shared" si="37"/>
        <v>12</v>
      </c>
      <c r="T323" s="39">
        <f t="shared" si="38"/>
        <v>1578</v>
      </c>
      <c r="U323" s="39">
        <f t="shared" si="39"/>
        <v>1578</v>
      </c>
      <c r="V323" s="40"/>
    </row>
    <row r="324" spans="2:22" x14ac:dyDescent="0.35">
      <c r="B324" s="40">
        <v>33605</v>
      </c>
      <c r="C324" s="39">
        <v>1601.9</v>
      </c>
      <c r="D324" s="219">
        <f t="shared" si="40"/>
        <v>1.5032202301618299E-2</v>
      </c>
      <c r="F324" s="40">
        <v>33605</v>
      </c>
      <c r="G324" s="39">
        <v>1601.9</v>
      </c>
      <c r="H324" s="39">
        <f t="shared" si="35"/>
        <v>4</v>
      </c>
      <c r="I324" s="39">
        <f t="shared" si="36"/>
        <v>0</v>
      </c>
      <c r="K324" s="40">
        <v>35097</v>
      </c>
      <c r="L324" s="39">
        <v>2452.1</v>
      </c>
      <c r="M324" s="39">
        <v>5</v>
      </c>
      <c r="N324" s="39">
        <v>2452.1</v>
      </c>
      <c r="O324" s="219">
        <f t="shared" si="41"/>
        <v>7.8608388406787456E-3</v>
      </c>
      <c r="Q324" s="40">
        <v>33605</v>
      </c>
      <c r="R324" s="39">
        <v>1601.9</v>
      </c>
      <c r="S324" s="39">
        <f t="shared" si="37"/>
        <v>1</v>
      </c>
      <c r="T324" s="39">
        <f t="shared" si="38"/>
        <v>0</v>
      </c>
      <c r="U324" s="39">
        <f t="shared" si="39"/>
        <v>0</v>
      </c>
      <c r="V324" s="40"/>
    </row>
    <row r="325" spans="2:22" x14ac:dyDescent="0.35">
      <c r="B325" s="40">
        <v>33606</v>
      </c>
      <c r="C325" s="39">
        <v>1603.6</v>
      </c>
      <c r="D325" s="219">
        <f t="shared" si="40"/>
        <v>1.0606770609140389E-3</v>
      </c>
      <c r="F325" s="40">
        <v>33606</v>
      </c>
      <c r="G325" s="39">
        <v>1603.6</v>
      </c>
      <c r="H325" s="39">
        <f t="shared" si="35"/>
        <v>5</v>
      </c>
      <c r="I325" s="39">
        <f t="shared" si="36"/>
        <v>1603.6</v>
      </c>
      <c r="K325" s="40">
        <v>35104</v>
      </c>
      <c r="L325" s="39">
        <v>2411.9</v>
      </c>
      <c r="M325" s="39">
        <v>5</v>
      </c>
      <c r="N325" s="39">
        <v>2411.9</v>
      </c>
      <c r="O325" s="219">
        <f t="shared" si="41"/>
        <v>-1.6529981640959278E-2</v>
      </c>
      <c r="Q325" s="40">
        <v>33606</v>
      </c>
      <c r="R325" s="39">
        <v>1603.6</v>
      </c>
      <c r="S325" s="39">
        <f t="shared" si="37"/>
        <v>1</v>
      </c>
      <c r="T325" s="39">
        <f t="shared" si="38"/>
        <v>0</v>
      </c>
      <c r="U325" s="39">
        <f t="shared" si="39"/>
        <v>0</v>
      </c>
      <c r="V325" s="40"/>
    </row>
    <row r="326" spans="2:22" x14ac:dyDescent="0.35">
      <c r="B326" s="40">
        <v>33609</v>
      </c>
      <c r="C326" s="39">
        <v>1603.3</v>
      </c>
      <c r="D326" s="219">
        <f t="shared" si="40"/>
        <v>-1.8709657356022808E-4</v>
      </c>
      <c r="F326" s="40">
        <v>33609</v>
      </c>
      <c r="G326" s="39">
        <v>1603.3</v>
      </c>
      <c r="H326" s="39">
        <f t="shared" si="35"/>
        <v>1</v>
      </c>
      <c r="I326" s="39">
        <f t="shared" si="36"/>
        <v>0</v>
      </c>
      <c r="K326" s="40">
        <v>35111</v>
      </c>
      <c r="L326" s="39">
        <v>2429</v>
      </c>
      <c r="M326" s="39">
        <v>5</v>
      </c>
      <c r="N326" s="39">
        <v>2429</v>
      </c>
      <c r="O326" s="219">
        <f t="shared" si="41"/>
        <v>7.0648313843774766E-3</v>
      </c>
      <c r="Q326" s="40">
        <v>33609</v>
      </c>
      <c r="R326" s="39">
        <v>1603.3</v>
      </c>
      <c r="S326" s="39">
        <f t="shared" si="37"/>
        <v>1</v>
      </c>
      <c r="T326" s="39">
        <f t="shared" si="38"/>
        <v>0</v>
      </c>
      <c r="U326" s="39">
        <f t="shared" si="39"/>
        <v>0</v>
      </c>
      <c r="V326" s="40"/>
    </row>
    <row r="327" spans="2:22" x14ac:dyDescent="0.35">
      <c r="B327" s="40">
        <v>33610</v>
      </c>
      <c r="C327" s="39">
        <v>1592.5</v>
      </c>
      <c r="D327" s="219">
        <f t="shared" si="40"/>
        <v>-6.7588967484731909E-3</v>
      </c>
      <c r="F327" s="40">
        <v>33610</v>
      </c>
      <c r="G327" s="39">
        <v>1592.5</v>
      </c>
      <c r="H327" s="39">
        <f t="shared" si="35"/>
        <v>2</v>
      </c>
      <c r="I327" s="39">
        <f t="shared" si="36"/>
        <v>0</v>
      </c>
      <c r="K327" s="40">
        <v>35118</v>
      </c>
      <c r="L327" s="39">
        <v>2451.8000000000002</v>
      </c>
      <c r="M327" s="39">
        <v>5</v>
      </c>
      <c r="N327" s="39">
        <v>2451.8000000000002</v>
      </c>
      <c r="O327" s="219">
        <f t="shared" si="41"/>
        <v>9.3427986587213338E-3</v>
      </c>
      <c r="Q327" s="40">
        <v>33610</v>
      </c>
      <c r="R327" s="39">
        <v>1592.5</v>
      </c>
      <c r="S327" s="39">
        <f t="shared" si="37"/>
        <v>1</v>
      </c>
      <c r="T327" s="39">
        <f t="shared" si="38"/>
        <v>0</v>
      </c>
      <c r="U327" s="39">
        <f t="shared" si="39"/>
        <v>0</v>
      </c>
      <c r="V327" s="40"/>
    </row>
    <row r="328" spans="2:22" x14ac:dyDescent="0.35">
      <c r="B328" s="40">
        <v>33611</v>
      </c>
      <c r="C328" s="39">
        <v>1578.7</v>
      </c>
      <c r="D328" s="219">
        <f t="shared" si="40"/>
        <v>-8.7033849086371982E-3</v>
      </c>
      <c r="F328" s="40">
        <v>33611</v>
      </c>
      <c r="G328" s="39">
        <v>1578.7</v>
      </c>
      <c r="H328" s="39">
        <f t="shared" si="35"/>
        <v>3</v>
      </c>
      <c r="I328" s="39">
        <f t="shared" si="36"/>
        <v>0</v>
      </c>
      <c r="K328" s="40">
        <v>35125</v>
      </c>
      <c r="L328" s="39">
        <v>2501.1999999999998</v>
      </c>
      <c r="M328" s="39">
        <v>5</v>
      </c>
      <c r="N328" s="39">
        <v>2501.1999999999998</v>
      </c>
      <c r="O328" s="219">
        <f t="shared" si="41"/>
        <v>1.9948168032248786E-2</v>
      </c>
      <c r="Q328" s="40">
        <v>33611</v>
      </c>
      <c r="R328" s="39">
        <v>1578.7</v>
      </c>
      <c r="S328" s="39">
        <f t="shared" si="37"/>
        <v>1</v>
      </c>
      <c r="T328" s="39">
        <f t="shared" si="38"/>
        <v>0</v>
      </c>
      <c r="U328" s="39">
        <f t="shared" si="39"/>
        <v>0</v>
      </c>
      <c r="V328" s="40"/>
    </row>
    <row r="329" spans="2:22" x14ac:dyDescent="0.35">
      <c r="B329" s="40">
        <v>33612</v>
      </c>
      <c r="C329" s="39">
        <v>1589.8</v>
      </c>
      <c r="D329" s="219">
        <f t="shared" si="40"/>
        <v>7.0064986013309797E-3</v>
      </c>
      <c r="F329" s="40">
        <v>33612</v>
      </c>
      <c r="G329" s="39">
        <v>1589.8</v>
      </c>
      <c r="H329" s="39">
        <f t="shared" si="35"/>
        <v>4</v>
      </c>
      <c r="I329" s="39">
        <f t="shared" si="36"/>
        <v>0</v>
      </c>
      <c r="K329" s="40">
        <v>35132</v>
      </c>
      <c r="L329" s="39">
        <v>2469.1</v>
      </c>
      <c r="M329" s="39">
        <v>5</v>
      </c>
      <c r="N329" s="39">
        <v>2469.1</v>
      </c>
      <c r="O329" s="219">
        <f t="shared" si="41"/>
        <v>-1.2916904940533878E-2</v>
      </c>
      <c r="Q329" s="40">
        <v>33612</v>
      </c>
      <c r="R329" s="39">
        <v>1589.8</v>
      </c>
      <c r="S329" s="39">
        <f t="shared" si="37"/>
        <v>1</v>
      </c>
      <c r="T329" s="39">
        <f t="shared" si="38"/>
        <v>0</v>
      </c>
      <c r="U329" s="39">
        <f t="shared" si="39"/>
        <v>0</v>
      </c>
      <c r="V329" s="40"/>
    </row>
    <row r="330" spans="2:22" x14ac:dyDescent="0.35">
      <c r="B330" s="40">
        <v>33613</v>
      </c>
      <c r="C330" s="39">
        <v>1615.7</v>
      </c>
      <c r="D330" s="219">
        <f t="shared" si="40"/>
        <v>1.6160077143772694E-2</v>
      </c>
      <c r="F330" s="40">
        <v>33613</v>
      </c>
      <c r="G330" s="39">
        <v>1615.7</v>
      </c>
      <c r="H330" s="39">
        <f t="shared" si="35"/>
        <v>5</v>
      </c>
      <c r="I330" s="39">
        <f t="shared" si="36"/>
        <v>1615.7</v>
      </c>
      <c r="K330" s="40">
        <v>35139</v>
      </c>
      <c r="L330" s="39">
        <v>2458.1999999999998</v>
      </c>
      <c r="M330" s="39">
        <v>5</v>
      </c>
      <c r="N330" s="39">
        <v>2458.1999999999998</v>
      </c>
      <c r="O330" s="219">
        <f t="shared" si="41"/>
        <v>-4.4243369717286282E-3</v>
      </c>
      <c r="Q330" s="40">
        <v>33613</v>
      </c>
      <c r="R330" s="39">
        <v>1615.7</v>
      </c>
      <c r="S330" s="39">
        <f t="shared" si="37"/>
        <v>1</v>
      </c>
      <c r="T330" s="39">
        <f t="shared" si="38"/>
        <v>0</v>
      </c>
      <c r="U330" s="39">
        <f t="shared" si="39"/>
        <v>0</v>
      </c>
      <c r="V330" s="40"/>
    </row>
    <row r="331" spans="2:22" x14ac:dyDescent="0.35">
      <c r="B331" s="40">
        <v>33616</v>
      </c>
      <c r="C331" s="39">
        <v>1622.7</v>
      </c>
      <c r="D331" s="219">
        <f t="shared" si="40"/>
        <v>4.323129262706225E-3</v>
      </c>
      <c r="F331" s="40">
        <v>33616</v>
      </c>
      <c r="G331" s="39">
        <v>1622.7</v>
      </c>
      <c r="H331" s="39">
        <f t="shared" si="35"/>
        <v>1</v>
      </c>
      <c r="I331" s="39">
        <f t="shared" si="36"/>
        <v>0</v>
      </c>
      <c r="K331" s="40">
        <v>35146</v>
      </c>
      <c r="L331" s="39">
        <v>2504.1999999999998</v>
      </c>
      <c r="M331" s="39">
        <v>5</v>
      </c>
      <c r="N331" s="39">
        <v>2504.1999999999998</v>
      </c>
      <c r="O331" s="219">
        <f t="shared" si="41"/>
        <v>1.8539947453966848E-2</v>
      </c>
      <c r="Q331" s="40">
        <v>33616</v>
      </c>
      <c r="R331" s="39">
        <v>1622.7</v>
      </c>
      <c r="S331" s="39">
        <f t="shared" si="37"/>
        <v>1</v>
      </c>
      <c r="T331" s="39">
        <f t="shared" si="38"/>
        <v>0</v>
      </c>
      <c r="U331" s="39">
        <f t="shared" si="39"/>
        <v>0</v>
      </c>
      <c r="V331" s="40"/>
    </row>
    <row r="332" spans="2:22" x14ac:dyDescent="0.35">
      <c r="B332" s="40">
        <v>33617</v>
      </c>
      <c r="C332" s="39">
        <v>1628.5</v>
      </c>
      <c r="D332" s="219">
        <f t="shared" si="40"/>
        <v>3.5679171707972582E-3</v>
      </c>
      <c r="F332" s="40">
        <v>33617</v>
      </c>
      <c r="G332" s="39">
        <v>1628.5</v>
      </c>
      <c r="H332" s="39">
        <f t="shared" si="35"/>
        <v>2</v>
      </c>
      <c r="I332" s="39">
        <f t="shared" si="36"/>
        <v>0</v>
      </c>
      <c r="K332" s="40">
        <v>35153</v>
      </c>
      <c r="L332" s="39">
        <v>2485.9</v>
      </c>
      <c r="M332" s="39">
        <v>5</v>
      </c>
      <c r="N332" s="39">
        <v>2485.9</v>
      </c>
      <c r="O332" s="219">
        <f t="shared" si="41"/>
        <v>-7.3345552347124886E-3</v>
      </c>
      <c r="Q332" s="40">
        <v>33617</v>
      </c>
      <c r="R332" s="39">
        <v>1628.5</v>
      </c>
      <c r="S332" s="39">
        <f t="shared" si="37"/>
        <v>1</v>
      </c>
      <c r="T332" s="39">
        <f t="shared" si="38"/>
        <v>0</v>
      </c>
      <c r="U332" s="39">
        <f t="shared" si="39"/>
        <v>0</v>
      </c>
      <c r="V332" s="40"/>
    </row>
    <row r="333" spans="2:22" x14ac:dyDescent="0.35">
      <c r="B333" s="40">
        <v>33618</v>
      </c>
      <c r="C333" s="39">
        <v>1667.5</v>
      </c>
      <c r="D333" s="219">
        <f t="shared" si="40"/>
        <v>2.3666153073490636E-2</v>
      </c>
      <c r="F333" s="40">
        <v>33618</v>
      </c>
      <c r="G333" s="39">
        <v>1667.5</v>
      </c>
      <c r="H333" s="39">
        <f t="shared" si="35"/>
        <v>3</v>
      </c>
      <c r="I333" s="39">
        <f t="shared" si="36"/>
        <v>0</v>
      </c>
      <c r="K333" s="40">
        <v>35159</v>
      </c>
      <c r="L333" s="39">
        <v>2495.1999999999998</v>
      </c>
      <c r="M333" s="39">
        <v>4</v>
      </c>
      <c r="N333" s="39">
        <v>2495.1999999999998</v>
      </c>
      <c r="O333" s="219">
        <f t="shared" si="41"/>
        <v>3.7341192934586889E-3</v>
      </c>
      <c r="Q333" s="40">
        <v>33618</v>
      </c>
      <c r="R333" s="39">
        <v>1667.5</v>
      </c>
      <c r="S333" s="39">
        <f t="shared" si="37"/>
        <v>1</v>
      </c>
      <c r="T333" s="39">
        <f t="shared" si="38"/>
        <v>0</v>
      </c>
      <c r="U333" s="39">
        <f t="shared" si="39"/>
        <v>0</v>
      </c>
      <c r="V333" s="40"/>
    </row>
    <row r="334" spans="2:22" x14ac:dyDescent="0.35">
      <c r="B334" s="40">
        <v>33619</v>
      </c>
      <c r="C334" s="39">
        <v>1666.3</v>
      </c>
      <c r="D334" s="219">
        <f t="shared" si="40"/>
        <v>-7.1989924520103024E-4</v>
      </c>
      <c r="F334" s="40">
        <v>33619</v>
      </c>
      <c r="G334" s="39">
        <v>1666.3</v>
      </c>
      <c r="H334" s="39">
        <f t="shared" si="35"/>
        <v>4</v>
      </c>
      <c r="I334" s="39">
        <f t="shared" si="36"/>
        <v>0</v>
      </c>
      <c r="K334" s="40">
        <v>35167</v>
      </c>
      <c r="L334" s="39">
        <v>2511.8000000000002</v>
      </c>
      <c r="M334" s="39">
        <v>5</v>
      </c>
      <c r="N334" s="39">
        <v>2511.8000000000002</v>
      </c>
      <c r="O334" s="219">
        <f t="shared" si="41"/>
        <v>6.6307412904329276E-3</v>
      </c>
      <c r="Q334" s="40">
        <v>33619</v>
      </c>
      <c r="R334" s="39">
        <v>1666.3</v>
      </c>
      <c r="S334" s="39">
        <f t="shared" si="37"/>
        <v>1</v>
      </c>
      <c r="T334" s="39">
        <f t="shared" si="38"/>
        <v>0</v>
      </c>
      <c r="U334" s="39">
        <f t="shared" si="39"/>
        <v>0</v>
      </c>
      <c r="V334" s="40"/>
    </row>
    <row r="335" spans="2:22" x14ac:dyDescent="0.35">
      <c r="B335" s="40">
        <v>33620</v>
      </c>
      <c r="C335" s="39">
        <v>1671</v>
      </c>
      <c r="D335" s="219">
        <f t="shared" si="40"/>
        <v>2.8166500508158558E-3</v>
      </c>
      <c r="F335" s="40">
        <v>33620</v>
      </c>
      <c r="G335" s="39">
        <v>1671</v>
      </c>
      <c r="H335" s="39">
        <f t="shared" si="35"/>
        <v>5</v>
      </c>
      <c r="I335" s="39">
        <f t="shared" si="36"/>
        <v>1671</v>
      </c>
      <c r="K335" s="40">
        <v>35174</v>
      </c>
      <c r="L335" s="39">
        <v>2536.5</v>
      </c>
      <c r="M335" s="39">
        <v>5</v>
      </c>
      <c r="N335" s="39">
        <v>2536.5</v>
      </c>
      <c r="O335" s="219">
        <f t="shared" si="41"/>
        <v>9.7855504227181839E-3</v>
      </c>
      <c r="Q335" s="40">
        <v>33620</v>
      </c>
      <c r="R335" s="39">
        <v>1671</v>
      </c>
      <c r="S335" s="39">
        <f t="shared" si="37"/>
        <v>1</v>
      </c>
      <c r="T335" s="39">
        <f t="shared" si="38"/>
        <v>0</v>
      </c>
      <c r="U335" s="39">
        <f t="shared" si="39"/>
        <v>0</v>
      </c>
      <c r="V335" s="40"/>
    </row>
    <row r="336" spans="2:22" x14ac:dyDescent="0.35">
      <c r="B336" s="40">
        <v>33623</v>
      </c>
      <c r="C336" s="39">
        <v>1677.2</v>
      </c>
      <c r="D336" s="219">
        <f t="shared" si="40"/>
        <v>3.7034867012139022E-3</v>
      </c>
      <c r="F336" s="40">
        <v>33623</v>
      </c>
      <c r="G336" s="39">
        <v>1677.2</v>
      </c>
      <c r="H336" s="39">
        <f t="shared" si="35"/>
        <v>1</v>
      </c>
      <c r="I336" s="39">
        <f t="shared" si="36"/>
        <v>0</v>
      </c>
      <c r="K336" s="40">
        <v>35181</v>
      </c>
      <c r="L336" s="39">
        <v>2537.1999999999998</v>
      </c>
      <c r="M336" s="39">
        <v>5</v>
      </c>
      <c r="N336" s="39">
        <v>2537.1999999999998</v>
      </c>
      <c r="O336" s="219">
        <f t="shared" si="41"/>
        <v>2.7593275299735333E-4</v>
      </c>
      <c r="Q336" s="40">
        <v>33623</v>
      </c>
      <c r="R336" s="39">
        <v>1677.2</v>
      </c>
      <c r="S336" s="39">
        <f t="shared" si="37"/>
        <v>1</v>
      </c>
      <c r="T336" s="39">
        <f t="shared" si="38"/>
        <v>0</v>
      </c>
      <c r="U336" s="39">
        <f t="shared" si="39"/>
        <v>0</v>
      </c>
      <c r="V336" s="40"/>
    </row>
    <row r="337" spans="2:22" x14ac:dyDescent="0.35">
      <c r="B337" s="40">
        <v>33624</v>
      </c>
      <c r="C337" s="39">
        <v>1685.3</v>
      </c>
      <c r="D337" s="219">
        <f t="shared" si="40"/>
        <v>4.8178531853666738E-3</v>
      </c>
      <c r="F337" s="40">
        <v>33624</v>
      </c>
      <c r="G337" s="39">
        <v>1685.3</v>
      </c>
      <c r="H337" s="39">
        <f t="shared" si="35"/>
        <v>2</v>
      </c>
      <c r="I337" s="39">
        <f t="shared" si="36"/>
        <v>0</v>
      </c>
      <c r="K337" s="40">
        <v>35188</v>
      </c>
      <c r="L337" s="39">
        <v>2457.5</v>
      </c>
      <c r="M337" s="39">
        <v>5</v>
      </c>
      <c r="N337" s="39">
        <v>2457.5</v>
      </c>
      <c r="O337" s="219">
        <f t="shared" si="41"/>
        <v>-3.1916537738420354E-2</v>
      </c>
      <c r="Q337" s="40">
        <v>33624</v>
      </c>
      <c r="R337" s="39">
        <v>1685.3</v>
      </c>
      <c r="S337" s="39">
        <f t="shared" si="37"/>
        <v>1</v>
      </c>
      <c r="T337" s="39">
        <f t="shared" si="38"/>
        <v>0</v>
      </c>
      <c r="U337" s="39">
        <f t="shared" si="39"/>
        <v>0</v>
      </c>
      <c r="V337" s="40"/>
    </row>
    <row r="338" spans="2:22" x14ac:dyDescent="0.35">
      <c r="B338" s="40">
        <v>33625</v>
      </c>
      <c r="C338" s="39">
        <v>1680.1</v>
      </c>
      <c r="D338" s="219">
        <f t="shared" si="40"/>
        <v>-3.0902740466175831E-3</v>
      </c>
      <c r="F338" s="40">
        <v>33625</v>
      </c>
      <c r="G338" s="39">
        <v>1680.1</v>
      </c>
      <c r="H338" s="39">
        <f t="shared" si="35"/>
        <v>3</v>
      </c>
      <c r="I338" s="39">
        <f t="shared" si="36"/>
        <v>0</v>
      </c>
      <c r="K338" s="40">
        <v>35195</v>
      </c>
      <c r="L338" s="39">
        <v>2468.8000000000002</v>
      </c>
      <c r="M338" s="39">
        <v>5</v>
      </c>
      <c r="N338" s="39">
        <v>2468.8000000000002</v>
      </c>
      <c r="O338" s="219">
        <f t="shared" si="41"/>
        <v>4.5876295875747789E-3</v>
      </c>
      <c r="Q338" s="40">
        <v>33625</v>
      </c>
      <c r="R338" s="39">
        <v>1680.1</v>
      </c>
      <c r="S338" s="39">
        <f t="shared" si="37"/>
        <v>1</v>
      </c>
      <c r="T338" s="39">
        <f t="shared" si="38"/>
        <v>0</v>
      </c>
      <c r="U338" s="39">
        <f t="shared" si="39"/>
        <v>0</v>
      </c>
      <c r="V338" s="40"/>
    </row>
    <row r="339" spans="2:22" x14ac:dyDescent="0.35">
      <c r="B339" s="40">
        <v>33626</v>
      </c>
      <c r="C339" s="39">
        <v>1669.6</v>
      </c>
      <c r="D339" s="219">
        <f t="shared" si="40"/>
        <v>-6.2692386723657342E-3</v>
      </c>
      <c r="F339" s="40">
        <v>33626</v>
      </c>
      <c r="G339" s="39">
        <v>1669.6</v>
      </c>
      <c r="H339" s="39">
        <f t="shared" si="35"/>
        <v>4</v>
      </c>
      <c r="I339" s="39">
        <f t="shared" si="36"/>
        <v>0</v>
      </c>
      <c r="K339" s="40">
        <v>35202</v>
      </c>
      <c r="L339" s="39">
        <v>2537.3000000000002</v>
      </c>
      <c r="M339" s="39">
        <v>5</v>
      </c>
      <c r="N339" s="39">
        <v>2537.3000000000002</v>
      </c>
      <c r="O339" s="219">
        <f t="shared" si="41"/>
        <v>2.7368320900875369E-2</v>
      </c>
      <c r="Q339" s="40">
        <v>33626</v>
      </c>
      <c r="R339" s="39">
        <v>1669.6</v>
      </c>
      <c r="S339" s="39">
        <f t="shared" si="37"/>
        <v>1</v>
      </c>
      <c r="T339" s="39">
        <f t="shared" si="38"/>
        <v>0</v>
      </c>
      <c r="U339" s="39">
        <f t="shared" si="39"/>
        <v>0</v>
      </c>
      <c r="V339" s="40"/>
    </row>
    <row r="340" spans="2:22" x14ac:dyDescent="0.35">
      <c r="B340" s="40">
        <v>33627</v>
      </c>
      <c r="C340" s="39">
        <v>1664.8</v>
      </c>
      <c r="D340" s="219">
        <f t="shared" si="40"/>
        <v>-2.8790806835663008E-3</v>
      </c>
      <c r="F340" s="40">
        <v>33627</v>
      </c>
      <c r="G340" s="39">
        <v>1664.8</v>
      </c>
      <c r="H340" s="39">
        <f t="shared" si="35"/>
        <v>5</v>
      </c>
      <c r="I340" s="39">
        <f t="shared" si="36"/>
        <v>1664.8</v>
      </c>
      <c r="K340" s="40">
        <v>35209</v>
      </c>
      <c r="L340" s="39">
        <v>2542.1999999999998</v>
      </c>
      <c r="M340" s="39">
        <v>5</v>
      </c>
      <c r="N340" s="39">
        <v>2542.1999999999998</v>
      </c>
      <c r="O340" s="219">
        <f t="shared" si="41"/>
        <v>1.9293243507966839E-3</v>
      </c>
      <c r="Q340" s="40">
        <v>33627</v>
      </c>
      <c r="R340" s="39">
        <v>1664.8</v>
      </c>
      <c r="S340" s="39">
        <f t="shared" si="37"/>
        <v>1</v>
      </c>
      <c r="T340" s="39">
        <f t="shared" si="38"/>
        <v>0</v>
      </c>
      <c r="U340" s="39">
        <f t="shared" si="39"/>
        <v>0</v>
      </c>
      <c r="V340" s="40"/>
    </row>
    <row r="341" spans="2:22" x14ac:dyDescent="0.35">
      <c r="B341" s="40">
        <v>33630</v>
      </c>
      <c r="C341" s="39">
        <v>1683.6</v>
      </c>
      <c r="D341" s="219">
        <f t="shared" si="40"/>
        <v>1.1229361816990861E-2</v>
      </c>
      <c r="F341" s="40">
        <v>33630</v>
      </c>
      <c r="G341" s="39">
        <v>1683.6</v>
      </c>
      <c r="H341" s="39">
        <f t="shared" si="35"/>
        <v>1</v>
      </c>
      <c r="I341" s="39">
        <f t="shared" si="36"/>
        <v>0</v>
      </c>
      <c r="K341" s="40">
        <v>35216</v>
      </c>
      <c r="L341" s="39">
        <v>2542.8000000000002</v>
      </c>
      <c r="M341" s="39">
        <v>5</v>
      </c>
      <c r="N341" s="39">
        <v>2542.8000000000002</v>
      </c>
      <c r="O341" s="219">
        <f t="shared" si="41"/>
        <v>2.3598820168533683E-4</v>
      </c>
      <c r="Q341" s="40">
        <v>33630</v>
      </c>
      <c r="R341" s="39">
        <v>1683.6</v>
      </c>
      <c r="S341" s="39">
        <f t="shared" si="37"/>
        <v>1</v>
      </c>
      <c r="T341" s="39">
        <f t="shared" si="38"/>
        <v>0</v>
      </c>
      <c r="U341" s="39">
        <f t="shared" si="39"/>
        <v>0</v>
      </c>
      <c r="V341" s="40"/>
    </row>
    <row r="342" spans="2:22" x14ac:dyDescent="0.35">
      <c r="B342" s="40">
        <v>33631</v>
      </c>
      <c r="C342" s="39">
        <v>1683.1</v>
      </c>
      <c r="D342" s="219">
        <f t="shared" si="40"/>
        <v>-2.9702676429507058E-4</v>
      </c>
      <c r="F342" s="40">
        <v>33631</v>
      </c>
      <c r="G342" s="39">
        <v>1683.1</v>
      </c>
      <c r="H342" s="39">
        <f t="shared" si="35"/>
        <v>2</v>
      </c>
      <c r="I342" s="39">
        <f t="shared" si="36"/>
        <v>0</v>
      </c>
      <c r="K342" s="40">
        <v>35223</v>
      </c>
      <c r="L342" s="39">
        <v>2557.4</v>
      </c>
      <c r="M342" s="39">
        <v>5</v>
      </c>
      <c r="N342" s="39">
        <v>2557.4</v>
      </c>
      <c r="O342" s="219">
        <f t="shared" si="41"/>
        <v>5.7252813148141717E-3</v>
      </c>
      <c r="Q342" s="40">
        <v>33631</v>
      </c>
      <c r="R342" s="39">
        <v>1683.1</v>
      </c>
      <c r="S342" s="39">
        <f t="shared" si="37"/>
        <v>1</v>
      </c>
      <c r="T342" s="39">
        <f t="shared" si="38"/>
        <v>0</v>
      </c>
      <c r="U342" s="39">
        <f t="shared" si="39"/>
        <v>0</v>
      </c>
      <c r="V342" s="40"/>
    </row>
    <row r="343" spans="2:22" x14ac:dyDescent="0.35">
      <c r="B343" s="40">
        <v>33632</v>
      </c>
      <c r="C343" s="39">
        <v>1672.4</v>
      </c>
      <c r="D343" s="219">
        <f t="shared" si="40"/>
        <v>-6.3776106497104475E-3</v>
      </c>
      <c r="F343" s="40">
        <v>33632</v>
      </c>
      <c r="G343" s="39">
        <v>1672.4</v>
      </c>
      <c r="H343" s="39">
        <f t="shared" si="35"/>
        <v>3</v>
      </c>
      <c r="I343" s="39">
        <f t="shared" si="36"/>
        <v>0</v>
      </c>
      <c r="K343" s="40">
        <v>35230</v>
      </c>
      <c r="L343" s="39">
        <v>2548.8000000000002</v>
      </c>
      <c r="M343" s="39">
        <v>5</v>
      </c>
      <c r="N343" s="39">
        <v>2548.8000000000002</v>
      </c>
      <c r="O343" s="219">
        <f t="shared" si="41"/>
        <v>-3.3684572212837409E-3</v>
      </c>
      <c r="Q343" s="40">
        <v>33632</v>
      </c>
      <c r="R343" s="39">
        <v>1672.4</v>
      </c>
      <c r="S343" s="39">
        <f t="shared" si="37"/>
        <v>1</v>
      </c>
      <c r="T343" s="39">
        <f t="shared" si="38"/>
        <v>0</v>
      </c>
      <c r="U343" s="39">
        <f t="shared" si="39"/>
        <v>0</v>
      </c>
      <c r="V343" s="40"/>
    </row>
    <row r="344" spans="2:22" x14ac:dyDescent="0.35">
      <c r="B344" s="40">
        <v>33633</v>
      </c>
      <c r="C344" s="39">
        <v>1680.9</v>
      </c>
      <c r="D344" s="219">
        <f t="shared" si="40"/>
        <v>5.0696437569385149E-3</v>
      </c>
      <c r="F344" s="40">
        <v>33633</v>
      </c>
      <c r="G344" s="39">
        <v>1680.9</v>
      </c>
      <c r="H344" s="39">
        <f t="shared" si="35"/>
        <v>4</v>
      </c>
      <c r="I344" s="39">
        <f t="shared" si="36"/>
        <v>0</v>
      </c>
      <c r="K344" s="40">
        <v>35237</v>
      </c>
      <c r="L344" s="39">
        <v>2540.1</v>
      </c>
      <c r="M344" s="39">
        <v>5</v>
      </c>
      <c r="N344" s="39">
        <v>2540.1</v>
      </c>
      <c r="O344" s="219">
        <f t="shared" si="41"/>
        <v>-3.4192098394429972E-3</v>
      </c>
      <c r="Q344" s="40">
        <v>33633</v>
      </c>
      <c r="R344" s="39">
        <v>1680.9</v>
      </c>
      <c r="S344" s="39">
        <f t="shared" si="37"/>
        <v>1</v>
      </c>
      <c r="T344" s="39">
        <f t="shared" si="38"/>
        <v>0</v>
      </c>
      <c r="U344" s="39">
        <f t="shared" si="39"/>
        <v>0</v>
      </c>
      <c r="V344" s="40"/>
    </row>
    <row r="345" spans="2:22" x14ac:dyDescent="0.35">
      <c r="B345" s="40">
        <v>33634</v>
      </c>
      <c r="C345" s="39">
        <v>1687.5</v>
      </c>
      <c r="D345" s="219">
        <f t="shared" si="40"/>
        <v>3.9187795073362874E-3</v>
      </c>
      <c r="F345" s="40">
        <v>33634</v>
      </c>
      <c r="G345" s="39">
        <v>1687.5</v>
      </c>
      <c r="H345" s="39">
        <f t="shared" si="35"/>
        <v>5</v>
      </c>
      <c r="I345" s="39">
        <f t="shared" si="36"/>
        <v>1687.5</v>
      </c>
      <c r="K345" s="40">
        <v>35244</v>
      </c>
      <c r="L345" s="39">
        <v>2561.4</v>
      </c>
      <c r="M345" s="39">
        <v>5</v>
      </c>
      <c r="N345" s="39">
        <v>2561.4</v>
      </c>
      <c r="O345" s="219">
        <f t="shared" si="41"/>
        <v>8.3505336756302811E-3</v>
      </c>
      <c r="Q345" s="40">
        <v>33634</v>
      </c>
      <c r="R345" s="39">
        <v>1687.5</v>
      </c>
      <c r="S345" s="39">
        <f t="shared" si="37"/>
        <v>1</v>
      </c>
      <c r="T345" s="39">
        <f t="shared" si="38"/>
        <v>1687.5</v>
      </c>
      <c r="U345" s="39">
        <f t="shared" si="39"/>
        <v>1687.5</v>
      </c>
      <c r="V345" s="40"/>
    </row>
    <row r="346" spans="2:22" x14ac:dyDescent="0.35">
      <c r="B346" s="40">
        <v>33637</v>
      </c>
      <c r="C346" s="39">
        <v>1689</v>
      </c>
      <c r="D346" s="219">
        <f t="shared" si="40"/>
        <v>8.8849406111523492E-4</v>
      </c>
      <c r="F346" s="40">
        <v>33637</v>
      </c>
      <c r="G346" s="39">
        <v>1689</v>
      </c>
      <c r="H346" s="39">
        <f t="shared" si="35"/>
        <v>1</v>
      </c>
      <c r="I346" s="39">
        <f t="shared" si="36"/>
        <v>0</v>
      </c>
      <c r="K346" s="40">
        <v>35251</v>
      </c>
      <c r="L346" s="39">
        <v>2583.5</v>
      </c>
      <c r="M346" s="39">
        <v>5</v>
      </c>
      <c r="N346" s="39">
        <v>2583.5</v>
      </c>
      <c r="O346" s="219">
        <f t="shared" si="41"/>
        <v>8.5910847352678992E-3</v>
      </c>
      <c r="Q346" s="40">
        <v>33637</v>
      </c>
      <c r="R346" s="39">
        <v>1689</v>
      </c>
      <c r="S346" s="39">
        <f t="shared" si="37"/>
        <v>2</v>
      </c>
      <c r="T346" s="39">
        <f t="shared" si="38"/>
        <v>0</v>
      </c>
      <c r="U346" s="39">
        <f t="shared" si="39"/>
        <v>0</v>
      </c>
      <c r="V346" s="40"/>
    </row>
    <row r="347" spans="2:22" x14ac:dyDescent="0.35">
      <c r="B347" s="40">
        <v>33638</v>
      </c>
      <c r="C347" s="39">
        <v>1674.6</v>
      </c>
      <c r="D347" s="219">
        <f t="shared" si="40"/>
        <v>-8.5623070374686167E-3</v>
      </c>
      <c r="F347" s="40">
        <v>33638</v>
      </c>
      <c r="G347" s="39">
        <v>1674.6</v>
      </c>
      <c r="H347" s="39">
        <f t="shared" si="35"/>
        <v>2</v>
      </c>
      <c r="I347" s="39">
        <f t="shared" si="36"/>
        <v>0</v>
      </c>
      <c r="K347" s="40">
        <v>35258</v>
      </c>
      <c r="L347" s="39">
        <v>2544.3000000000002</v>
      </c>
      <c r="M347" s="39">
        <v>5</v>
      </c>
      <c r="N347" s="39">
        <v>2544.3000000000002</v>
      </c>
      <c r="O347" s="219">
        <f t="shared" si="41"/>
        <v>-1.5289505691475197E-2</v>
      </c>
      <c r="Q347" s="40">
        <v>33638</v>
      </c>
      <c r="R347" s="39">
        <v>1674.6</v>
      </c>
      <c r="S347" s="39">
        <f t="shared" si="37"/>
        <v>2</v>
      </c>
      <c r="T347" s="39">
        <f t="shared" si="38"/>
        <v>0</v>
      </c>
      <c r="U347" s="39">
        <f t="shared" si="39"/>
        <v>0</v>
      </c>
      <c r="V347" s="40"/>
    </row>
    <row r="348" spans="2:22" x14ac:dyDescent="0.35">
      <c r="B348" s="40">
        <v>33639</v>
      </c>
      <c r="C348" s="39">
        <v>1686.6</v>
      </c>
      <c r="D348" s="219">
        <f t="shared" si="40"/>
        <v>7.1403373702096712E-3</v>
      </c>
      <c r="F348" s="40">
        <v>33639</v>
      </c>
      <c r="G348" s="39">
        <v>1686.6</v>
      </c>
      <c r="H348" s="39">
        <f t="shared" si="35"/>
        <v>3</v>
      </c>
      <c r="I348" s="39">
        <f t="shared" si="36"/>
        <v>0</v>
      </c>
      <c r="K348" s="40">
        <v>35265</v>
      </c>
      <c r="L348" s="39">
        <v>2520.1999999999998</v>
      </c>
      <c r="M348" s="39">
        <v>5</v>
      </c>
      <c r="N348" s="39">
        <v>2520.1999999999998</v>
      </c>
      <c r="O348" s="219">
        <f t="shared" si="41"/>
        <v>-9.5172996001713656E-3</v>
      </c>
      <c r="Q348" s="40">
        <v>33639</v>
      </c>
      <c r="R348" s="39">
        <v>1686.6</v>
      </c>
      <c r="S348" s="39">
        <f t="shared" si="37"/>
        <v>2</v>
      </c>
      <c r="T348" s="39">
        <f t="shared" si="38"/>
        <v>0</v>
      </c>
      <c r="U348" s="39">
        <f t="shared" si="39"/>
        <v>0</v>
      </c>
      <c r="V348" s="40"/>
    </row>
    <row r="349" spans="2:22" x14ac:dyDescent="0.35">
      <c r="B349" s="40">
        <v>33640</v>
      </c>
      <c r="C349" s="39">
        <v>1681.1</v>
      </c>
      <c r="D349" s="219">
        <f t="shared" si="40"/>
        <v>-3.2663271015282128E-3</v>
      </c>
      <c r="F349" s="40">
        <v>33640</v>
      </c>
      <c r="G349" s="39">
        <v>1681.1</v>
      </c>
      <c r="H349" s="39">
        <f t="shared" si="35"/>
        <v>4</v>
      </c>
      <c r="I349" s="39">
        <f t="shared" si="36"/>
        <v>0</v>
      </c>
      <c r="K349" s="40">
        <v>35272</v>
      </c>
      <c r="L349" s="39">
        <v>2470.3000000000002</v>
      </c>
      <c r="M349" s="39">
        <v>5</v>
      </c>
      <c r="N349" s="39">
        <v>2470.3000000000002</v>
      </c>
      <c r="O349" s="219">
        <f t="shared" si="41"/>
        <v>-1.9998662699054943E-2</v>
      </c>
      <c r="Q349" s="40">
        <v>33640</v>
      </c>
      <c r="R349" s="39">
        <v>1681.1</v>
      </c>
      <c r="S349" s="39">
        <f t="shared" si="37"/>
        <v>2</v>
      </c>
      <c r="T349" s="39">
        <f t="shared" si="38"/>
        <v>0</v>
      </c>
      <c r="U349" s="39">
        <f t="shared" si="39"/>
        <v>0</v>
      </c>
      <c r="V349" s="40"/>
    </row>
    <row r="350" spans="2:22" x14ac:dyDescent="0.35">
      <c r="B350" s="40">
        <v>33641</v>
      </c>
      <c r="C350" s="39">
        <v>1685.5</v>
      </c>
      <c r="D350" s="219">
        <f t="shared" si="40"/>
        <v>2.6139146351024383E-3</v>
      </c>
      <c r="F350" s="40">
        <v>33641</v>
      </c>
      <c r="G350" s="39">
        <v>1685.5</v>
      </c>
      <c r="H350" s="39">
        <f t="shared" si="35"/>
        <v>5</v>
      </c>
      <c r="I350" s="39">
        <f t="shared" si="36"/>
        <v>1685.5</v>
      </c>
      <c r="K350" s="40">
        <v>35279</v>
      </c>
      <c r="L350" s="39">
        <v>2508.6999999999998</v>
      </c>
      <c r="M350" s="39">
        <v>5</v>
      </c>
      <c r="N350" s="39">
        <v>2508.6999999999998</v>
      </c>
      <c r="O350" s="219">
        <f t="shared" si="41"/>
        <v>1.5425089931254705E-2</v>
      </c>
      <c r="Q350" s="40">
        <v>33641</v>
      </c>
      <c r="R350" s="39">
        <v>1685.5</v>
      </c>
      <c r="S350" s="39">
        <f t="shared" si="37"/>
        <v>2</v>
      </c>
      <c r="T350" s="39">
        <f t="shared" si="38"/>
        <v>0</v>
      </c>
      <c r="U350" s="39">
        <f t="shared" si="39"/>
        <v>0</v>
      </c>
      <c r="V350" s="40"/>
    </row>
    <row r="351" spans="2:22" x14ac:dyDescent="0.35">
      <c r="B351" s="40">
        <v>33644</v>
      </c>
      <c r="C351" s="39">
        <v>1682.1</v>
      </c>
      <c r="D351" s="219">
        <f t="shared" si="40"/>
        <v>-2.0192428763789105E-3</v>
      </c>
      <c r="F351" s="40">
        <v>33644</v>
      </c>
      <c r="G351" s="39">
        <v>1682.1</v>
      </c>
      <c r="H351" s="39">
        <f t="shared" si="35"/>
        <v>1</v>
      </c>
      <c r="I351" s="39">
        <f t="shared" si="36"/>
        <v>0</v>
      </c>
      <c r="K351" s="40">
        <v>35286</v>
      </c>
      <c r="L351" s="39">
        <v>2525.6</v>
      </c>
      <c r="M351" s="39">
        <v>5</v>
      </c>
      <c r="N351" s="39">
        <v>2525.6</v>
      </c>
      <c r="O351" s="219">
        <f t="shared" si="41"/>
        <v>6.7139675759895611E-3</v>
      </c>
      <c r="Q351" s="40">
        <v>33644</v>
      </c>
      <c r="R351" s="39">
        <v>1682.1</v>
      </c>
      <c r="S351" s="39">
        <f t="shared" si="37"/>
        <v>2</v>
      </c>
      <c r="T351" s="39">
        <f t="shared" si="38"/>
        <v>0</v>
      </c>
      <c r="U351" s="39">
        <f t="shared" si="39"/>
        <v>0</v>
      </c>
      <c r="V351" s="40"/>
    </row>
    <row r="352" spans="2:22" x14ac:dyDescent="0.35">
      <c r="B352" s="40">
        <v>33645</v>
      </c>
      <c r="C352" s="39">
        <v>1683.6</v>
      </c>
      <c r="D352" s="219">
        <f t="shared" si="40"/>
        <v>8.9134509867893924E-4</v>
      </c>
      <c r="F352" s="40">
        <v>33645</v>
      </c>
      <c r="G352" s="39">
        <v>1683.6</v>
      </c>
      <c r="H352" s="39">
        <f t="shared" si="35"/>
        <v>2</v>
      </c>
      <c r="I352" s="39">
        <f t="shared" si="36"/>
        <v>0</v>
      </c>
      <c r="K352" s="40">
        <v>35293</v>
      </c>
      <c r="L352" s="39">
        <v>2548.4</v>
      </c>
      <c r="M352" s="39">
        <v>5</v>
      </c>
      <c r="N352" s="39">
        <v>2548.4</v>
      </c>
      <c r="O352" s="219">
        <f t="shared" si="41"/>
        <v>8.9870529985512648E-3</v>
      </c>
      <c r="Q352" s="40">
        <v>33645</v>
      </c>
      <c r="R352" s="39">
        <v>1683.6</v>
      </c>
      <c r="S352" s="39">
        <f t="shared" si="37"/>
        <v>2</v>
      </c>
      <c r="T352" s="39">
        <f t="shared" si="38"/>
        <v>0</v>
      </c>
      <c r="U352" s="39">
        <f t="shared" si="39"/>
        <v>0</v>
      </c>
      <c r="V352" s="40"/>
    </row>
    <row r="353" spans="2:22" x14ac:dyDescent="0.35">
      <c r="B353" s="40">
        <v>33646</v>
      </c>
      <c r="C353" s="39">
        <v>1678.9</v>
      </c>
      <c r="D353" s="219">
        <f t="shared" si="40"/>
        <v>-2.7955408540630004E-3</v>
      </c>
      <c r="F353" s="40">
        <v>33646</v>
      </c>
      <c r="G353" s="39">
        <v>1678.9</v>
      </c>
      <c r="H353" s="39">
        <f t="shared" si="35"/>
        <v>3</v>
      </c>
      <c r="I353" s="39">
        <f t="shared" si="36"/>
        <v>0</v>
      </c>
      <c r="K353" s="40">
        <v>35300</v>
      </c>
      <c r="L353" s="39">
        <v>2555.1999999999998</v>
      </c>
      <c r="M353" s="39">
        <v>5</v>
      </c>
      <c r="N353" s="39">
        <v>2555.1999999999998</v>
      </c>
      <c r="O353" s="219">
        <f t="shared" si="41"/>
        <v>2.6647872184147841E-3</v>
      </c>
      <c r="Q353" s="40">
        <v>33646</v>
      </c>
      <c r="R353" s="39">
        <v>1678.9</v>
      </c>
      <c r="S353" s="39">
        <f t="shared" si="37"/>
        <v>2</v>
      </c>
      <c r="T353" s="39">
        <f t="shared" si="38"/>
        <v>0</v>
      </c>
      <c r="U353" s="39">
        <f t="shared" si="39"/>
        <v>0</v>
      </c>
      <c r="V353" s="40"/>
    </row>
    <row r="354" spans="2:22" x14ac:dyDescent="0.35">
      <c r="B354" s="40">
        <v>33647</v>
      </c>
      <c r="C354" s="39">
        <v>1681.4</v>
      </c>
      <c r="D354" s="219">
        <f t="shared" si="40"/>
        <v>1.4879626588440635E-3</v>
      </c>
      <c r="F354" s="40">
        <v>33647</v>
      </c>
      <c r="G354" s="39">
        <v>1681.4</v>
      </c>
      <c r="H354" s="39">
        <f t="shared" si="35"/>
        <v>4</v>
      </c>
      <c r="I354" s="39">
        <f t="shared" si="36"/>
        <v>0</v>
      </c>
      <c r="K354" s="40">
        <v>35307</v>
      </c>
      <c r="L354" s="39">
        <v>2543.8000000000002</v>
      </c>
      <c r="M354" s="39">
        <v>5</v>
      </c>
      <c r="N354" s="39">
        <v>2543.8000000000002</v>
      </c>
      <c r="O354" s="219">
        <f t="shared" si="41"/>
        <v>-4.4714724433637066E-3</v>
      </c>
      <c r="Q354" s="40">
        <v>33647</v>
      </c>
      <c r="R354" s="39">
        <v>1681.4</v>
      </c>
      <c r="S354" s="39">
        <f t="shared" si="37"/>
        <v>2</v>
      </c>
      <c r="T354" s="39">
        <f t="shared" si="38"/>
        <v>0</v>
      </c>
      <c r="U354" s="39">
        <f t="shared" si="39"/>
        <v>0</v>
      </c>
      <c r="V354" s="40"/>
    </row>
    <row r="355" spans="2:22" x14ac:dyDescent="0.35">
      <c r="B355" s="40">
        <v>33648</v>
      </c>
      <c r="C355" s="39">
        <v>1676.5</v>
      </c>
      <c r="D355" s="219">
        <f t="shared" si="40"/>
        <v>-2.9184927949133174E-3</v>
      </c>
      <c r="F355" s="40">
        <v>33648</v>
      </c>
      <c r="G355" s="39">
        <v>1676.5</v>
      </c>
      <c r="H355" s="39">
        <f t="shared" si="35"/>
        <v>5</v>
      </c>
      <c r="I355" s="39">
        <f t="shared" si="36"/>
        <v>1676.5</v>
      </c>
      <c r="K355" s="40">
        <v>35314</v>
      </c>
      <c r="L355" s="39">
        <v>2517</v>
      </c>
      <c r="M355" s="39">
        <v>5</v>
      </c>
      <c r="N355" s="39">
        <v>2517</v>
      </c>
      <c r="O355" s="219">
        <f t="shared" si="41"/>
        <v>-1.0591309882068363E-2</v>
      </c>
      <c r="Q355" s="40">
        <v>33648</v>
      </c>
      <c r="R355" s="39">
        <v>1676.5</v>
      </c>
      <c r="S355" s="39">
        <f t="shared" si="37"/>
        <v>2</v>
      </c>
      <c r="T355" s="39">
        <f t="shared" si="38"/>
        <v>0</v>
      </c>
      <c r="U355" s="39">
        <f t="shared" si="39"/>
        <v>0</v>
      </c>
      <c r="V355" s="40"/>
    </row>
    <row r="356" spans="2:22" x14ac:dyDescent="0.35">
      <c r="B356" s="40">
        <v>33651</v>
      </c>
      <c r="C356" s="39">
        <v>1681.1</v>
      </c>
      <c r="D356" s="219">
        <f t="shared" si="40"/>
        <v>2.7400541327295925E-3</v>
      </c>
      <c r="F356" s="40">
        <v>33651</v>
      </c>
      <c r="G356" s="39">
        <v>1681.1</v>
      </c>
      <c r="H356" s="39">
        <f t="shared" si="35"/>
        <v>1</v>
      </c>
      <c r="I356" s="39">
        <f t="shared" si="36"/>
        <v>0</v>
      </c>
      <c r="K356" s="40">
        <v>35321</v>
      </c>
      <c r="L356" s="39">
        <v>2596</v>
      </c>
      <c r="M356" s="39">
        <v>5</v>
      </c>
      <c r="N356" s="39">
        <v>2596</v>
      </c>
      <c r="O356" s="219">
        <f t="shared" si="41"/>
        <v>3.0904082688664757E-2</v>
      </c>
      <c r="Q356" s="40">
        <v>33651</v>
      </c>
      <c r="R356" s="39">
        <v>1681.1</v>
      </c>
      <c r="S356" s="39">
        <f t="shared" si="37"/>
        <v>2</v>
      </c>
      <c r="T356" s="39">
        <f t="shared" si="38"/>
        <v>0</v>
      </c>
      <c r="U356" s="39">
        <f t="shared" si="39"/>
        <v>0</v>
      </c>
      <c r="V356" s="40"/>
    </row>
    <row r="357" spans="2:22" x14ac:dyDescent="0.35">
      <c r="B357" s="40">
        <v>33652</v>
      </c>
      <c r="C357" s="39">
        <v>1695</v>
      </c>
      <c r="D357" s="219">
        <f t="shared" si="40"/>
        <v>8.2343997755376774E-3</v>
      </c>
      <c r="F357" s="40">
        <v>33652</v>
      </c>
      <c r="G357" s="39">
        <v>1695</v>
      </c>
      <c r="H357" s="39">
        <f t="shared" si="35"/>
        <v>2</v>
      </c>
      <c r="I357" s="39">
        <f t="shared" si="36"/>
        <v>0</v>
      </c>
      <c r="K357" s="40">
        <v>35328</v>
      </c>
      <c r="L357" s="39">
        <v>2646.1</v>
      </c>
      <c r="M357" s="39">
        <v>5</v>
      </c>
      <c r="N357" s="39">
        <v>2646.1</v>
      </c>
      <c r="O357" s="219">
        <f t="shared" si="41"/>
        <v>1.9115059031722583E-2</v>
      </c>
      <c r="Q357" s="40">
        <v>33652</v>
      </c>
      <c r="R357" s="39">
        <v>1695</v>
      </c>
      <c r="S357" s="39">
        <f t="shared" si="37"/>
        <v>2</v>
      </c>
      <c r="T357" s="39">
        <f t="shared" si="38"/>
        <v>0</v>
      </c>
      <c r="U357" s="39">
        <f t="shared" si="39"/>
        <v>0</v>
      </c>
      <c r="V357" s="40"/>
    </row>
    <row r="358" spans="2:22" x14ac:dyDescent="0.35">
      <c r="B358" s="40">
        <v>33653</v>
      </c>
      <c r="C358" s="39">
        <v>1687.8</v>
      </c>
      <c r="D358" s="219">
        <f t="shared" si="40"/>
        <v>-4.2568350906845021E-3</v>
      </c>
      <c r="F358" s="40">
        <v>33653</v>
      </c>
      <c r="G358" s="39">
        <v>1687.8</v>
      </c>
      <c r="H358" s="39">
        <f t="shared" si="35"/>
        <v>3</v>
      </c>
      <c r="I358" s="39">
        <f t="shared" si="36"/>
        <v>0</v>
      </c>
      <c r="K358" s="40">
        <v>35335</v>
      </c>
      <c r="L358" s="39">
        <v>2659</v>
      </c>
      <c r="M358" s="39">
        <v>5</v>
      </c>
      <c r="N358" s="39">
        <v>2659</v>
      </c>
      <c r="O358" s="219">
        <f t="shared" si="41"/>
        <v>4.8632543873165721E-3</v>
      </c>
      <c r="Q358" s="40">
        <v>33653</v>
      </c>
      <c r="R358" s="39">
        <v>1687.8</v>
      </c>
      <c r="S358" s="39">
        <f t="shared" si="37"/>
        <v>2</v>
      </c>
      <c r="T358" s="39">
        <f t="shared" si="38"/>
        <v>0</v>
      </c>
      <c r="U358" s="39">
        <f t="shared" si="39"/>
        <v>0</v>
      </c>
      <c r="V358" s="40"/>
    </row>
    <row r="359" spans="2:22" x14ac:dyDescent="0.35">
      <c r="B359" s="40">
        <v>33654</v>
      </c>
      <c r="C359" s="39">
        <v>1703.2</v>
      </c>
      <c r="D359" s="219">
        <f t="shared" si="40"/>
        <v>9.0829288554036009E-3</v>
      </c>
      <c r="F359" s="40">
        <v>33654</v>
      </c>
      <c r="G359" s="39">
        <v>1703.2</v>
      </c>
      <c r="H359" s="39">
        <f t="shared" si="35"/>
        <v>4</v>
      </c>
      <c r="I359" s="39">
        <f t="shared" si="36"/>
        <v>0</v>
      </c>
      <c r="K359" s="40">
        <v>35342</v>
      </c>
      <c r="L359" s="39">
        <v>2683.3</v>
      </c>
      <c r="M359" s="39">
        <v>5</v>
      </c>
      <c r="N359" s="39">
        <v>2683.3</v>
      </c>
      <c r="O359" s="219">
        <f t="shared" si="41"/>
        <v>9.0972680640730129E-3</v>
      </c>
      <c r="Q359" s="40">
        <v>33654</v>
      </c>
      <c r="R359" s="39">
        <v>1703.2</v>
      </c>
      <c r="S359" s="39">
        <f t="shared" si="37"/>
        <v>2</v>
      </c>
      <c r="T359" s="39">
        <f t="shared" si="38"/>
        <v>0</v>
      </c>
      <c r="U359" s="39">
        <f t="shared" si="39"/>
        <v>0</v>
      </c>
      <c r="V359" s="40"/>
    </row>
    <row r="360" spans="2:22" x14ac:dyDescent="0.35">
      <c r="B360" s="40">
        <v>33655</v>
      </c>
      <c r="C360" s="39">
        <v>1717.6</v>
      </c>
      <c r="D360" s="219">
        <f t="shared" si="40"/>
        <v>8.4191329853014994E-3</v>
      </c>
      <c r="F360" s="40">
        <v>33655</v>
      </c>
      <c r="G360" s="39">
        <v>1717.6</v>
      </c>
      <c r="H360" s="39">
        <f t="shared" si="35"/>
        <v>5</v>
      </c>
      <c r="I360" s="39">
        <f t="shared" si="36"/>
        <v>1717.6</v>
      </c>
      <c r="K360" s="40">
        <v>35349</v>
      </c>
      <c r="L360" s="39">
        <v>2686</v>
      </c>
      <c r="M360" s="39">
        <v>5</v>
      </c>
      <c r="N360" s="39">
        <v>2686</v>
      </c>
      <c r="O360" s="219">
        <f t="shared" si="41"/>
        <v>1.0057177760900507E-3</v>
      </c>
      <c r="Q360" s="40">
        <v>33655</v>
      </c>
      <c r="R360" s="39">
        <v>1717.6</v>
      </c>
      <c r="S360" s="39">
        <f t="shared" si="37"/>
        <v>2</v>
      </c>
      <c r="T360" s="39">
        <f t="shared" si="38"/>
        <v>0</v>
      </c>
      <c r="U360" s="39">
        <f t="shared" si="39"/>
        <v>0</v>
      </c>
      <c r="V360" s="40"/>
    </row>
    <row r="361" spans="2:22" x14ac:dyDescent="0.35">
      <c r="B361" s="40">
        <v>33658</v>
      </c>
      <c r="C361" s="39">
        <v>1729.1</v>
      </c>
      <c r="D361" s="219">
        <f t="shared" si="40"/>
        <v>6.6730743461723262E-3</v>
      </c>
      <c r="F361" s="40">
        <v>33658</v>
      </c>
      <c r="G361" s="39">
        <v>1729.1</v>
      </c>
      <c r="H361" s="39">
        <f t="shared" si="35"/>
        <v>1</v>
      </c>
      <c r="I361" s="39">
        <f t="shared" si="36"/>
        <v>0</v>
      </c>
      <c r="K361" s="40">
        <v>35356</v>
      </c>
      <c r="L361" s="39">
        <v>2734.8</v>
      </c>
      <c r="M361" s="39">
        <v>5</v>
      </c>
      <c r="N361" s="39">
        <v>2734.8</v>
      </c>
      <c r="O361" s="219">
        <f t="shared" si="41"/>
        <v>1.8005208956456145E-2</v>
      </c>
      <c r="Q361" s="40">
        <v>33658</v>
      </c>
      <c r="R361" s="39">
        <v>1729.1</v>
      </c>
      <c r="S361" s="39">
        <f t="shared" si="37"/>
        <v>2</v>
      </c>
      <c r="T361" s="39">
        <f t="shared" si="38"/>
        <v>0</v>
      </c>
      <c r="U361" s="39">
        <f t="shared" si="39"/>
        <v>0</v>
      </c>
      <c r="V361" s="40"/>
    </row>
    <row r="362" spans="2:22" x14ac:dyDescent="0.35">
      <c r="B362" s="40">
        <v>33659</v>
      </c>
      <c r="C362" s="39">
        <v>1722.3</v>
      </c>
      <c r="D362" s="219">
        <f t="shared" si="40"/>
        <v>-3.9404350690427688E-3</v>
      </c>
      <c r="F362" s="40">
        <v>33659</v>
      </c>
      <c r="G362" s="39">
        <v>1722.3</v>
      </c>
      <c r="H362" s="39">
        <f t="shared" si="35"/>
        <v>2</v>
      </c>
      <c r="I362" s="39">
        <f t="shared" si="36"/>
        <v>0</v>
      </c>
      <c r="K362" s="40">
        <v>35363</v>
      </c>
      <c r="L362" s="39">
        <v>2674.2</v>
      </c>
      <c r="M362" s="39">
        <v>5</v>
      </c>
      <c r="N362" s="39">
        <v>2674.2</v>
      </c>
      <c r="O362" s="219">
        <f t="shared" si="41"/>
        <v>-2.2408036859073836E-2</v>
      </c>
      <c r="Q362" s="40">
        <v>33659</v>
      </c>
      <c r="R362" s="39">
        <v>1722.3</v>
      </c>
      <c r="S362" s="39">
        <f t="shared" si="37"/>
        <v>2</v>
      </c>
      <c r="T362" s="39">
        <f t="shared" si="38"/>
        <v>0</v>
      </c>
      <c r="U362" s="39">
        <f t="shared" si="39"/>
        <v>0</v>
      </c>
      <c r="V362" s="40"/>
    </row>
    <row r="363" spans="2:22" x14ac:dyDescent="0.35">
      <c r="B363" s="40">
        <v>33660</v>
      </c>
      <c r="C363" s="39">
        <v>1737.3</v>
      </c>
      <c r="D363" s="219">
        <f t="shared" si="40"/>
        <v>8.6715770581529874E-3</v>
      </c>
      <c r="F363" s="40">
        <v>33660</v>
      </c>
      <c r="G363" s="39">
        <v>1737.3</v>
      </c>
      <c r="H363" s="39">
        <f t="shared" si="35"/>
        <v>3</v>
      </c>
      <c r="I363" s="39">
        <f t="shared" si="36"/>
        <v>0</v>
      </c>
      <c r="K363" s="40">
        <v>35370</v>
      </c>
      <c r="L363" s="39">
        <v>2683.3</v>
      </c>
      <c r="M363" s="39">
        <v>5</v>
      </c>
      <c r="N363" s="39">
        <v>2683.3</v>
      </c>
      <c r="O363" s="219">
        <f t="shared" si="41"/>
        <v>3.3971101265278521E-3</v>
      </c>
      <c r="Q363" s="40">
        <v>33660</v>
      </c>
      <c r="R363" s="39">
        <v>1737.3</v>
      </c>
      <c r="S363" s="39">
        <f t="shared" si="37"/>
        <v>2</v>
      </c>
      <c r="T363" s="39">
        <f t="shared" si="38"/>
        <v>0</v>
      </c>
      <c r="U363" s="39">
        <f t="shared" si="39"/>
        <v>0</v>
      </c>
      <c r="V363" s="40"/>
    </row>
    <row r="364" spans="2:22" x14ac:dyDescent="0.35">
      <c r="B364" s="40">
        <v>33661</v>
      </c>
      <c r="C364" s="39">
        <v>1749.9</v>
      </c>
      <c r="D364" s="219">
        <f t="shared" si="40"/>
        <v>7.226459527847894E-3</v>
      </c>
      <c r="F364" s="40">
        <v>33661</v>
      </c>
      <c r="G364" s="39">
        <v>1749.9</v>
      </c>
      <c r="H364" s="39">
        <f t="shared" si="35"/>
        <v>4</v>
      </c>
      <c r="I364" s="39">
        <f t="shared" si="36"/>
        <v>0</v>
      </c>
      <c r="K364" s="40">
        <v>35377</v>
      </c>
      <c r="L364" s="39">
        <v>2739.8</v>
      </c>
      <c r="M364" s="39">
        <v>5</v>
      </c>
      <c r="N364" s="39">
        <v>2739.8</v>
      </c>
      <c r="O364" s="219">
        <f t="shared" si="41"/>
        <v>2.0837544710196502E-2</v>
      </c>
      <c r="Q364" s="40">
        <v>33661</v>
      </c>
      <c r="R364" s="39">
        <v>1749.9</v>
      </c>
      <c r="S364" s="39">
        <f t="shared" si="37"/>
        <v>2</v>
      </c>
      <c r="T364" s="39">
        <f t="shared" si="38"/>
        <v>0</v>
      </c>
      <c r="U364" s="39">
        <f t="shared" si="39"/>
        <v>0</v>
      </c>
      <c r="V364" s="40"/>
    </row>
    <row r="365" spans="2:22" x14ac:dyDescent="0.35">
      <c r="B365" s="40">
        <v>33662</v>
      </c>
      <c r="C365" s="39">
        <v>1745.1</v>
      </c>
      <c r="D365" s="219">
        <f t="shared" si="40"/>
        <v>-2.7467828428762004E-3</v>
      </c>
      <c r="F365" s="40">
        <v>33662</v>
      </c>
      <c r="G365" s="39">
        <v>1745.1</v>
      </c>
      <c r="H365" s="39">
        <f t="shared" si="35"/>
        <v>5</v>
      </c>
      <c r="I365" s="39">
        <f t="shared" si="36"/>
        <v>1745.1</v>
      </c>
      <c r="K365" s="40">
        <v>35384</v>
      </c>
      <c r="L365" s="39">
        <v>2795.8</v>
      </c>
      <c r="M365" s="39">
        <v>5</v>
      </c>
      <c r="N365" s="39">
        <v>2795.8</v>
      </c>
      <c r="O365" s="219">
        <f t="shared" si="41"/>
        <v>2.0233366019739022E-2</v>
      </c>
      <c r="Q365" s="40">
        <v>33662</v>
      </c>
      <c r="R365" s="39">
        <v>1745.1</v>
      </c>
      <c r="S365" s="39">
        <f t="shared" si="37"/>
        <v>2</v>
      </c>
      <c r="T365" s="39">
        <f t="shared" si="38"/>
        <v>1745.1</v>
      </c>
      <c r="U365" s="39">
        <f t="shared" si="39"/>
        <v>1745.1</v>
      </c>
      <c r="V365" s="40"/>
    </row>
    <row r="366" spans="2:22" x14ac:dyDescent="0.35">
      <c r="B366" s="40">
        <v>33665</v>
      </c>
      <c r="C366" s="39">
        <v>1747.9</v>
      </c>
      <c r="D366" s="219">
        <f t="shared" si="40"/>
        <v>1.6032067562155316E-3</v>
      </c>
      <c r="F366" s="40">
        <v>33665</v>
      </c>
      <c r="G366" s="39">
        <v>1747.9</v>
      </c>
      <c r="H366" s="39">
        <f t="shared" si="35"/>
        <v>1</v>
      </c>
      <c r="I366" s="39">
        <f t="shared" si="36"/>
        <v>0</v>
      </c>
      <c r="K366" s="40">
        <v>35391</v>
      </c>
      <c r="L366" s="39">
        <v>2763.7</v>
      </c>
      <c r="M366" s="39">
        <v>5</v>
      </c>
      <c r="N366" s="39">
        <v>2763.7</v>
      </c>
      <c r="O366" s="219">
        <f t="shared" si="41"/>
        <v>-1.1547929390397853E-2</v>
      </c>
      <c r="Q366" s="40">
        <v>33665</v>
      </c>
      <c r="R366" s="39">
        <v>1747.9</v>
      </c>
      <c r="S366" s="39">
        <f t="shared" si="37"/>
        <v>3</v>
      </c>
      <c r="T366" s="39">
        <f t="shared" si="38"/>
        <v>0</v>
      </c>
      <c r="U366" s="39">
        <f t="shared" si="39"/>
        <v>0</v>
      </c>
      <c r="V366" s="40"/>
    </row>
    <row r="367" spans="2:22" x14ac:dyDescent="0.35">
      <c r="B367" s="40">
        <v>33666</v>
      </c>
      <c r="C367" s="39">
        <v>1763.3</v>
      </c>
      <c r="D367" s="219">
        <f t="shared" si="40"/>
        <v>8.7719860728368206E-3</v>
      </c>
      <c r="F367" s="40">
        <v>33666</v>
      </c>
      <c r="G367" s="39">
        <v>1763.3</v>
      </c>
      <c r="H367" s="39">
        <f t="shared" si="35"/>
        <v>2</v>
      </c>
      <c r="I367" s="39">
        <f t="shared" si="36"/>
        <v>0</v>
      </c>
      <c r="K367" s="40">
        <v>35398</v>
      </c>
      <c r="L367" s="39">
        <v>2845.5</v>
      </c>
      <c r="M367" s="39">
        <v>5</v>
      </c>
      <c r="N367" s="39">
        <v>2845.5</v>
      </c>
      <c r="O367" s="219">
        <f t="shared" si="41"/>
        <v>2.9168437396548164E-2</v>
      </c>
      <c r="Q367" s="40">
        <v>33666</v>
      </c>
      <c r="R367" s="39">
        <v>1763.3</v>
      </c>
      <c r="S367" s="39">
        <f t="shared" si="37"/>
        <v>3</v>
      </c>
      <c r="T367" s="39">
        <f t="shared" si="38"/>
        <v>0</v>
      </c>
      <c r="U367" s="39">
        <f t="shared" si="39"/>
        <v>0</v>
      </c>
      <c r="V367" s="40"/>
    </row>
    <row r="368" spans="2:22" x14ac:dyDescent="0.35">
      <c r="B368" s="40">
        <v>33667</v>
      </c>
      <c r="C368" s="39">
        <v>1759.1</v>
      </c>
      <c r="D368" s="219">
        <f t="shared" si="40"/>
        <v>-2.3847388090180097E-3</v>
      </c>
      <c r="F368" s="40">
        <v>33667</v>
      </c>
      <c r="G368" s="39">
        <v>1759.1</v>
      </c>
      <c r="H368" s="39">
        <f t="shared" si="35"/>
        <v>3</v>
      </c>
      <c r="I368" s="39">
        <f t="shared" si="36"/>
        <v>0</v>
      </c>
      <c r="K368" s="40">
        <v>35405</v>
      </c>
      <c r="L368" s="39">
        <v>2792</v>
      </c>
      <c r="M368" s="39">
        <v>5</v>
      </c>
      <c r="N368" s="39">
        <v>2792</v>
      </c>
      <c r="O368" s="219">
        <f t="shared" si="41"/>
        <v>-1.8980614160915545E-2</v>
      </c>
      <c r="Q368" s="40">
        <v>33667</v>
      </c>
      <c r="R368" s="39">
        <v>1759.1</v>
      </c>
      <c r="S368" s="39">
        <f t="shared" si="37"/>
        <v>3</v>
      </c>
      <c r="T368" s="39">
        <f t="shared" si="38"/>
        <v>0</v>
      </c>
      <c r="U368" s="39">
        <f t="shared" si="39"/>
        <v>0</v>
      </c>
      <c r="V368" s="40"/>
    </row>
    <row r="369" spans="2:22" x14ac:dyDescent="0.35">
      <c r="B369" s="40">
        <v>33668</v>
      </c>
      <c r="C369" s="39">
        <v>1764.8</v>
      </c>
      <c r="D369" s="219">
        <f t="shared" si="40"/>
        <v>3.2350548943782306E-3</v>
      </c>
      <c r="F369" s="40">
        <v>33668</v>
      </c>
      <c r="G369" s="39">
        <v>1764.8</v>
      </c>
      <c r="H369" s="39">
        <f t="shared" si="35"/>
        <v>4</v>
      </c>
      <c r="I369" s="39">
        <f t="shared" si="36"/>
        <v>0</v>
      </c>
      <c r="K369" s="40">
        <v>35412</v>
      </c>
      <c r="L369" s="39">
        <v>2799.7</v>
      </c>
      <c r="M369" s="39">
        <v>5</v>
      </c>
      <c r="N369" s="39">
        <v>2799.7</v>
      </c>
      <c r="O369" s="219">
        <f t="shared" si="41"/>
        <v>2.7540836836834259E-3</v>
      </c>
      <c r="Q369" s="40">
        <v>33668</v>
      </c>
      <c r="R369" s="39">
        <v>1764.8</v>
      </c>
      <c r="S369" s="39">
        <f t="shared" si="37"/>
        <v>3</v>
      </c>
      <c r="T369" s="39">
        <f t="shared" si="38"/>
        <v>0</v>
      </c>
      <c r="U369" s="39">
        <f t="shared" si="39"/>
        <v>0</v>
      </c>
      <c r="V369" s="40"/>
    </row>
    <row r="370" spans="2:22" x14ac:dyDescent="0.35">
      <c r="B370" s="40">
        <v>33669</v>
      </c>
      <c r="C370" s="39">
        <v>1746</v>
      </c>
      <c r="D370" s="219">
        <f t="shared" si="40"/>
        <v>-1.0709912099690539E-2</v>
      </c>
      <c r="F370" s="40">
        <v>33669</v>
      </c>
      <c r="G370" s="39">
        <v>1746</v>
      </c>
      <c r="H370" s="39">
        <f t="shared" si="35"/>
        <v>5</v>
      </c>
      <c r="I370" s="39">
        <f t="shared" si="36"/>
        <v>1746</v>
      </c>
      <c r="K370" s="40">
        <v>35419</v>
      </c>
      <c r="L370" s="39">
        <v>2854.5</v>
      </c>
      <c r="M370" s="39">
        <v>5</v>
      </c>
      <c r="N370" s="39">
        <v>2854.5</v>
      </c>
      <c r="O370" s="219">
        <f t="shared" si="41"/>
        <v>1.9384427838367548E-2</v>
      </c>
      <c r="Q370" s="40">
        <v>33669</v>
      </c>
      <c r="R370" s="39">
        <v>1746</v>
      </c>
      <c r="S370" s="39">
        <f t="shared" si="37"/>
        <v>3</v>
      </c>
      <c r="T370" s="39">
        <f t="shared" si="38"/>
        <v>0</v>
      </c>
      <c r="U370" s="39">
        <f t="shared" si="39"/>
        <v>0</v>
      </c>
      <c r="V370" s="40"/>
    </row>
    <row r="371" spans="2:22" x14ac:dyDescent="0.35">
      <c r="B371" s="40">
        <v>33672</v>
      </c>
      <c r="C371" s="39">
        <v>1750.3</v>
      </c>
      <c r="D371" s="219">
        <f t="shared" si="40"/>
        <v>2.45974439724232E-3</v>
      </c>
      <c r="F371" s="40">
        <v>33672</v>
      </c>
      <c r="G371" s="39">
        <v>1750.3</v>
      </c>
      <c r="H371" s="39">
        <f t="shared" si="35"/>
        <v>1</v>
      </c>
      <c r="I371" s="39">
        <f t="shared" si="36"/>
        <v>0</v>
      </c>
      <c r="K371" s="40">
        <v>35426</v>
      </c>
      <c r="L371" s="39">
        <v>2852.9</v>
      </c>
      <c r="M371" s="39">
        <v>5</v>
      </c>
      <c r="N371" s="39">
        <v>2852.9</v>
      </c>
      <c r="O371" s="219">
        <f t="shared" si="41"/>
        <v>-5.6067562880268078E-4</v>
      </c>
      <c r="Q371" s="40">
        <v>33672</v>
      </c>
      <c r="R371" s="39">
        <v>1750.3</v>
      </c>
      <c r="S371" s="39">
        <f t="shared" si="37"/>
        <v>3</v>
      </c>
      <c r="T371" s="39">
        <f t="shared" si="38"/>
        <v>0</v>
      </c>
      <c r="U371" s="39">
        <f t="shared" si="39"/>
        <v>0</v>
      </c>
      <c r="V371" s="40"/>
    </row>
    <row r="372" spans="2:22" x14ac:dyDescent="0.35">
      <c r="B372" s="40">
        <v>33673</v>
      </c>
      <c r="C372" s="39">
        <v>1750.5</v>
      </c>
      <c r="D372" s="219">
        <f t="shared" si="40"/>
        <v>1.1425959793063504E-4</v>
      </c>
      <c r="F372" s="40">
        <v>33673</v>
      </c>
      <c r="G372" s="39">
        <v>1750.5</v>
      </c>
      <c r="H372" s="39">
        <f t="shared" si="35"/>
        <v>2</v>
      </c>
      <c r="I372" s="39">
        <f t="shared" si="36"/>
        <v>0</v>
      </c>
      <c r="K372" s="40">
        <v>35433</v>
      </c>
      <c r="L372" s="39">
        <v>2859.3</v>
      </c>
      <c r="M372" s="39">
        <v>5</v>
      </c>
      <c r="N372" s="39">
        <v>2859.3</v>
      </c>
      <c r="O372" s="219">
        <f t="shared" si="41"/>
        <v>2.2408188361787728E-3</v>
      </c>
      <c r="Q372" s="40">
        <v>33673</v>
      </c>
      <c r="R372" s="39">
        <v>1750.5</v>
      </c>
      <c r="S372" s="39">
        <f t="shared" si="37"/>
        <v>3</v>
      </c>
      <c r="T372" s="39">
        <f t="shared" si="38"/>
        <v>0</v>
      </c>
      <c r="U372" s="39">
        <f t="shared" si="39"/>
        <v>0</v>
      </c>
      <c r="V372" s="40"/>
    </row>
    <row r="373" spans="2:22" x14ac:dyDescent="0.35">
      <c r="B373" s="40">
        <v>33674</v>
      </c>
      <c r="C373" s="39">
        <v>1743.4</v>
      </c>
      <c r="D373" s="219">
        <f t="shared" si="40"/>
        <v>-4.064231817244658E-3</v>
      </c>
      <c r="F373" s="40">
        <v>33674</v>
      </c>
      <c r="G373" s="39">
        <v>1743.4</v>
      </c>
      <c r="H373" s="39">
        <f t="shared" si="35"/>
        <v>3</v>
      </c>
      <c r="I373" s="39">
        <f t="shared" si="36"/>
        <v>0</v>
      </c>
      <c r="K373" s="40">
        <v>35440</v>
      </c>
      <c r="L373" s="39">
        <v>2933.4</v>
      </c>
      <c r="M373" s="39">
        <v>5</v>
      </c>
      <c r="N373" s="39">
        <v>2933.4</v>
      </c>
      <c r="O373" s="219">
        <f t="shared" si="41"/>
        <v>2.5585320200965055E-2</v>
      </c>
      <c r="Q373" s="40">
        <v>33674</v>
      </c>
      <c r="R373" s="39">
        <v>1743.4</v>
      </c>
      <c r="S373" s="39">
        <f t="shared" si="37"/>
        <v>3</v>
      </c>
      <c r="T373" s="39">
        <f t="shared" si="38"/>
        <v>0</v>
      </c>
      <c r="U373" s="39">
        <f t="shared" si="39"/>
        <v>0</v>
      </c>
      <c r="V373" s="40"/>
    </row>
    <row r="374" spans="2:22" x14ac:dyDescent="0.35">
      <c r="B374" s="40">
        <v>33675</v>
      </c>
      <c r="C374" s="39">
        <v>1727.5</v>
      </c>
      <c r="D374" s="219">
        <f t="shared" si="40"/>
        <v>-9.1619529356507124E-3</v>
      </c>
      <c r="F374" s="40">
        <v>33675</v>
      </c>
      <c r="G374" s="39">
        <v>1727.5</v>
      </c>
      <c r="H374" s="39">
        <f t="shared" si="35"/>
        <v>4</v>
      </c>
      <c r="I374" s="39">
        <f t="shared" si="36"/>
        <v>0</v>
      </c>
      <c r="K374" s="40">
        <v>35447</v>
      </c>
      <c r="L374" s="39">
        <v>3001.4</v>
      </c>
      <c r="M374" s="39">
        <v>5</v>
      </c>
      <c r="N374" s="39">
        <v>3001.4</v>
      </c>
      <c r="O374" s="219">
        <f t="shared" si="41"/>
        <v>2.2916686649234404E-2</v>
      </c>
      <c r="Q374" s="40">
        <v>33675</v>
      </c>
      <c r="R374" s="39">
        <v>1727.5</v>
      </c>
      <c r="S374" s="39">
        <f t="shared" si="37"/>
        <v>3</v>
      </c>
      <c r="T374" s="39">
        <f t="shared" si="38"/>
        <v>0</v>
      </c>
      <c r="U374" s="39">
        <f t="shared" si="39"/>
        <v>0</v>
      </c>
      <c r="V374" s="40"/>
    </row>
    <row r="375" spans="2:22" x14ac:dyDescent="0.35">
      <c r="B375" s="40">
        <v>33676</v>
      </c>
      <c r="C375" s="39">
        <v>1732.6</v>
      </c>
      <c r="D375" s="219">
        <f t="shared" si="40"/>
        <v>2.9478938142148367E-3</v>
      </c>
      <c r="F375" s="40">
        <v>33676</v>
      </c>
      <c r="G375" s="39">
        <v>1732.6</v>
      </c>
      <c r="H375" s="39">
        <f t="shared" ref="H375:H438" si="42">WEEKDAY(F375,2)</f>
        <v>5</v>
      </c>
      <c r="I375" s="39">
        <f t="shared" ref="I375:I438" si="43">IF(H375&gt;H376,G375,0)</f>
        <v>1732.6</v>
      </c>
      <c r="K375" s="40">
        <v>35454</v>
      </c>
      <c r="L375" s="39">
        <v>2998.2</v>
      </c>
      <c r="M375" s="39">
        <v>5</v>
      </c>
      <c r="N375" s="39">
        <v>2998.2</v>
      </c>
      <c r="O375" s="219">
        <f t="shared" si="41"/>
        <v>-1.0667378836749855E-3</v>
      </c>
      <c r="Q375" s="40">
        <v>33676</v>
      </c>
      <c r="R375" s="39">
        <v>1732.6</v>
      </c>
      <c r="S375" s="39">
        <f t="shared" ref="S375:S438" si="44">MONTH(Q375)</f>
        <v>3</v>
      </c>
      <c r="T375" s="39">
        <f t="shared" ref="T375:T438" si="45">IF(S376&lt;&gt;S375,R375,0)</f>
        <v>0</v>
      </c>
      <c r="U375" s="39">
        <f t="shared" ref="U375:U438" si="46">IF(S376=S375,0,R375)</f>
        <v>0</v>
      </c>
      <c r="V375" s="40"/>
    </row>
    <row r="376" spans="2:22" x14ac:dyDescent="0.35">
      <c r="B376" s="40">
        <v>33679</v>
      </c>
      <c r="C376" s="39">
        <v>1724.8</v>
      </c>
      <c r="D376" s="219">
        <f t="shared" ref="D376:D439" si="47">LN(C376/C375)</f>
        <v>-4.512068741361854E-3</v>
      </c>
      <c r="F376" s="40">
        <v>33679</v>
      </c>
      <c r="G376" s="39">
        <v>1724.8</v>
      </c>
      <c r="H376" s="39">
        <f t="shared" si="42"/>
        <v>1</v>
      </c>
      <c r="I376" s="39">
        <f t="shared" si="43"/>
        <v>0</v>
      </c>
      <c r="K376" s="40">
        <v>35461</v>
      </c>
      <c r="L376" s="39">
        <v>3035.2</v>
      </c>
      <c r="M376" s="39">
        <v>5</v>
      </c>
      <c r="N376" s="39">
        <v>3035.2</v>
      </c>
      <c r="O376" s="219">
        <f t="shared" ref="O376:O439" si="48">LN(N376/N375)</f>
        <v>1.2265211602535476E-2</v>
      </c>
      <c r="Q376" s="40">
        <v>33679</v>
      </c>
      <c r="R376" s="39">
        <v>1724.8</v>
      </c>
      <c r="S376" s="39">
        <f t="shared" si="44"/>
        <v>3</v>
      </c>
      <c r="T376" s="39">
        <f t="shared" si="45"/>
        <v>0</v>
      </c>
      <c r="U376" s="39">
        <f t="shared" si="46"/>
        <v>0</v>
      </c>
      <c r="V376" s="40"/>
    </row>
    <row r="377" spans="2:22" x14ac:dyDescent="0.35">
      <c r="B377" s="40">
        <v>33680</v>
      </c>
      <c r="C377" s="39">
        <v>1730.1</v>
      </c>
      <c r="D377" s="219">
        <f t="shared" si="47"/>
        <v>3.068108574798601E-3</v>
      </c>
      <c r="F377" s="40">
        <v>33680</v>
      </c>
      <c r="G377" s="39">
        <v>1730.1</v>
      </c>
      <c r="H377" s="39">
        <f t="shared" si="42"/>
        <v>2</v>
      </c>
      <c r="I377" s="39">
        <f t="shared" si="43"/>
        <v>0</v>
      </c>
      <c r="K377" s="40">
        <v>35468</v>
      </c>
      <c r="L377" s="39">
        <v>3138</v>
      </c>
      <c r="M377" s="39">
        <v>5</v>
      </c>
      <c r="N377" s="39">
        <v>3138</v>
      </c>
      <c r="O377" s="219">
        <f t="shared" si="48"/>
        <v>3.3308334112228152E-2</v>
      </c>
      <c r="Q377" s="40">
        <v>33680</v>
      </c>
      <c r="R377" s="39">
        <v>1730.1</v>
      </c>
      <c r="S377" s="39">
        <f t="shared" si="44"/>
        <v>3</v>
      </c>
      <c r="T377" s="39">
        <f t="shared" si="45"/>
        <v>0</v>
      </c>
      <c r="U377" s="39">
        <f t="shared" si="46"/>
        <v>0</v>
      </c>
      <c r="V377" s="40"/>
    </row>
    <row r="378" spans="2:22" x14ac:dyDescent="0.35">
      <c r="B378" s="40">
        <v>33681</v>
      </c>
      <c r="C378" s="39">
        <v>1732.2</v>
      </c>
      <c r="D378" s="219">
        <f t="shared" si="47"/>
        <v>1.2130666074677654E-3</v>
      </c>
      <c r="F378" s="40">
        <v>33681</v>
      </c>
      <c r="G378" s="39">
        <v>1732.2</v>
      </c>
      <c r="H378" s="39">
        <f t="shared" si="42"/>
        <v>3</v>
      </c>
      <c r="I378" s="39">
        <f t="shared" si="43"/>
        <v>0</v>
      </c>
      <c r="K378" s="40">
        <v>35475</v>
      </c>
      <c r="L378" s="39">
        <v>3248.2</v>
      </c>
      <c r="M378" s="39">
        <v>5</v>
      </c>
      <c r="N378" s="39">
        <v>3248.2</v>
      </c>
      <c r="O378" s="219">
        <f t="shared" si="48"/>
        <v>3.4515342447524605E-2</v>
      </c>
      <c r="Q378" s="40">
        <v>33681</v>
      </c>
      <c r="R378" s="39">
        <v>1732.2</v>
      </c>
      <c r="S378" s="39">
        <f t="shared" si="44"/>
        <v>3</v>
      </c>
      <c r="T378" s="39">
        <f t="shared" si="45"/>
        <v>0</v>
      </c>
      <c r="U378" s="39">
        <f t="shared" si="46"/>
        <v>0</v>
      </c>
      <c r="V378" s="40"/>
    </row>
    <row r="379" spans="2:22" x14ac:dyDescent="0.35">
      <c r="B379" s="40">
        <v>33682</v>
      </c>
      <c r="C379" s="39">
        <v>1724.6</v>
      </c>
      <c r="D379" s="219">
        <f t="shared" si="47"/>
        <v>-4.3971373787204376E-3</v>
      </c>
      <c r="F379" s="40">
        <v>33682</v>
      </c>
      <c r="G379" s="39">
        <v>1724.6</v>
      </c>
      <c r="H379" s="39">
        <f t="shared" si="42"/>
        <v>4</v>
      </c>
      <c r="I379" s="39">
        <f t="shared" si="43"/>
        <v>0</v>
      </c>
      <c r="K379" s="40">
        <v>35482</v>
      </c>
      <c r="L379" s="39">
        <v>3184.1</v>
      </c>
      <c r="M379" s="39">
        <v>5</v>
      </c>
      <c r="N379" s="39">
        <v>3184.1</v>
      </c>
      <c r="O379" s="219">
        <f t="shared" si="48"/>
        <v>-1.9931322234243511E-2</v>
      </c>
      <c r="Q379" s="40">
        <v>33682</v>
      </c>
      <c r="R379" s="39">
        <v>1724.6</v>
      </c>
      <c r="S379" s="39">
        <f t="shared" si="44"/>
        <v>3</v>
      </c>
      <c r="T379" s="39">
        <f t="shared" si="45"/>
        <v>0</v>
      </c>
      <c r="U379" s="39">
        <f t="shared" si="46"/>
        <v>0</v>
      </c>
      <c r="V379" s="40"/>
    </row>
    <row r="380" spans="2:22" x14ac:dyDescent="0.35">
      <c r="B380" s="40">
        <v>33683</v>
      </c>
      <c r="C380" s="39">
        <v>1736.3</v>
      </c>
      <c r="D380" s="219">
        <f t="shared" si="47"/>
        <v>6.761272831868087E-3</v>
      </c>
      <c r="F380" s="40">
        <v>33683</v>
      </c>
      <c r="G380" s="39">
        <v>1736.3</v>
      </c>
      <c r="H380" s="39">
        <f t="shared" si="42"/>
        <v>5</v>
      </c>
      <c r="I380" s="39">
        <f t="shared" si="43"/>
        <v>1736.3</v>
      </c>
      <c r="K380" s="40">
        <v>35489</v>
      </c>
      <c r="L380" s="39">
        <v>3259.6</v>
      </c>
      <c r="M380" s="39">
        <v>5</v>
      </c>
      <c r="N380" s="39">
        <v>3259.6</v>
      </c>
      <c r="O380" s="219">
        <f t="shared" si="48"/>
        <v>2.3434813939805912E-2</v>
      </c>
      <c r="Q380" s="40">
        <v>33683</v>
      </c>
      <c r="R380" s="39">
        <v>1736.3</v>
      </c>
      <c r="S380" s="39">
        <f t="shared" si="44"/>
        <v>3</v>
      </c>
      <c r="T380" s="39">
        <f t="shared" si="45"/>
        <v>0</v>
      </c>
      <c r="U380" s="39">
        <f t="shared" si="46"/>
        <v>0</v>
      </c>
      <c r="V380" s="40"/>
    </row>
    <row r="381" spans="2:22" x14ac:dyDescent="0.35">
      <c r="B381" s="40">
        <v>33686</v>
      </c>
      <c r="C381" s="39">
        <v>1717.5</v>
      </c>
      <c r="D381" s="219">
        <f t="shared" si="47"/>
        <v>-1.0886667253587707E-2</v>
      </c>
      <c r="F381" s="40">
        <v>33686</v>
      </c>
      <c r="G381" s="39">
        <v>1717.5</v>
      </c>
      <c r="H381" s="39">
        <f t="shared" si="42"/>
        <v>1</v>
      </c>
      <c r="I381" s="39">
        <f t="shared" si="43"/>
        <v>0</v>
      </c>
      <c r="K381" s="40">
        <v>35496</v>
      </c>
      <c r="L381" s="39">
        <v>3376.2</v>
      </c>
      <c r="M381" s="39">
        <v>5</v>
      </c>
      <c r="N381" s="39">
        <v>3376.2</v>
      </c>
      <c r="O381" s="219">
        <f t="shared" si="48"/>
        <v>3.5146328221223502E-2</v>
      </c>
      <c r="Q381" s="40">
        <v>33686</v>
      </c>
      <c r="R381" s="39">
        <v>1717.5</v>
      </c>
      <c r="S381" s="39">
        <f t="shared" si="44"/>
        <v>3</v>
      </c>
      <c r="T381" s="39">
        <f t="shared" si="45"/>
        <v>0</v>
      </c>
      <c r="U381" s="39">
        <f t="shared" si="46"/>
        <v>0</v>
      </c>
      <c r="V381" s="40"/>
    </row>
    <row r="382" spans="2:22" x14ac:dyDescent="0.35">
      <c r="B382" s="40">
        <v>33687</v>
      </c>
      <c r="C382" s="39">
        <v>1713.1</v>
      </c>
      <c r="D382" s="219">
        <f t="shared" si="47"/>
        <v>-2.565150360091624E-3</v>
      </c>
      <c r="F382" s="40">
        <v>33687</v>
      </c>
      <c r="G382" s="39">
        <v>1713.1</v>
      </c>
      <c r="H382" s="39">
        <f t="shared" si="42"/>
        <v>2</v>
      </c>
      <c r="I382" s="39">
        <f t="shared" si="43"/>
        <v>0</v>
      </c>
      <c r="K382" s="40">
        <v>35503</v>
      </c>
      <c r="L382" s="39">
        <v>3359.3</v>
      </c>
      <c r="M382" s="39">
        <v>5</v>
      </c>
      <c r="N382" s="39">
        <v>3359.3</v>
      </c>
      <c r="O382" s="219">
        <f t="shared" si="48"/>
        <v>-5.0181977477750019E-3</v>
      </c>
      <c r="Q382" s="40">
        <v>33687</v>
      </c>
      <c r="R382" s="39">
        <v>1713.1</v>
      </c>
      <c r="S382" s="39">
        <f t="shared" si="44"/>
        <v>3</v>
      </c>
      <c r="T382" s="39">
        <f t="shared" si="45"/>
        <v>0</v>
      </c>
      <c r="U382" s="39">
        <f t="shared" si="46"/>
        <v>0</v>
      </c>
      <c r="V382" s="40"/>
    </row>
    <row r="383" spans="2:22" x14ac:dyDescent="0.35">
      <c r="B383" s="40">
        <v>33688</v>
      </c>
      <c r="C383" s="39">
        <v>1716.3</v>
      </c>
      <c r="D383" s="219">
        <f t="shared" si="47"/>
        <v>1.8662162061798516E-3</v>
      </c>
      <c r="F383" s="40">
        <v>33688</v>
      </c>
      <c r="G383" s="39">
        <v>1716.3</v>
      </c>
      <c r="H383" s="39">
        <f t="shared" si="42"/>
        <v>3</v>
      </c>
      <c r="I383" s="39">
        <f t="shared" si="43"/>
        <v>0</v>
      </c>
      <c r="K383" s="40">
        <v>35510</v>
      </c>
      <c r="L383" s="39">
        <v>3298.2</v>
      </c>
      <c r="M383" s="39">
        <v>5</v>
      </c>
      <c r="N383" s="39">
        <v>3298.2</v>
      </c>
      <c r="O383" s="219">
        <f t="shared" si="48"/>
        <v>-1.8355753824843592E-2</v>
      </c>
      <c r="Q383" s="40">
        <v>33688</v>
      </c>
      <c r="R383" s="39">
        <v>1716.3</v>
      </c>
      <c r="S383" s="39">
        <f t="shared" si="44"/>
        <v>3</v>
      </c>
      <c r="T383" s="39">
        <f t="shared" si="45"/>
        <v>0</v>
      </c>
      <c r="U383" s="39">
        <f t="shared" si="46"/>
        <v>0</v>
      </c>
      <c r="V383" s="40"/>
    </row>
    <row r="384" spans="2:22" x14ac:dyDescent="0.35">
      <c r="B384" s="40">
        <v>33689</v>
      </c>
      <c r="C384" s="39">
        <v>1719</v>
      </c>
      <c r="D384" s="219">
        <f t="shared" si="47"/>
        <v>1.5719154402565193E-3</v>
      </c>
      <c r="F384" s="40">
        <v>33689</v>
      </c>
      <c r="G384" s="39">
        <v>1719</v>
      </c>
      <c r="H384" s="39">
        <f t="shared" si="42"/>
        <v>4</v>
      </c>
      <c r="I384" s="39">
        <f t="shared" si="43"/>
        <v>0</v>
      </c>
      <c r="K384" s="40">
        <v>35516</v>
      </c>
      <c r="L384" s="39">
        <v>3429.1</v>
      </c>
      <c r="M384" s="39">
        <v>4</v>
      </c>
      <c r="N384" s="39">
        <v>3429.1</v>
      </c>
      <c r="O384" s="219">
        <f t="shared" si="48"/>
        <v>3.8920970964306974E-2</v>
      </c>
      <c r="Q384" s="40">
        <v>33689</v>
      </c>
      <c r="R384" s="39">
        <v>1719</v>
      </c>
      <c r="S384" s="39">
        <f t="shared" si="44"/>
        <v>3</v>
      </c>
      <c r="T384" s="39">
        <f t="shared" si="45"/>
        <v>0</v>
      </c>
      <c r="U384" s="39">
        <f t="shared" si="46"/>
        <v>0</v>
      </c>
      <c r="V384" s="40"/>
    </row>
    <row r="385" spans="2:22" x14ac:dyDescent="0.35">
      <c r="B385" s="40">
        <v>33690</v>
      </c>
      <c r="C385" s="39">
        <v>1711.5</v>
      </c>
      <c r="D385" s="219">
        <f t="shared" si="47"/>
        <v>-4.3725474126091925E-3</v>
      </c>
      <c r="F385" s="40">
        <v>33690</v>
      </c>
      <c r="G385" s="39">
        <v>1711.5</v>
      </c>
      <c r="H385" s="39">
        <f t="shared" si="42"/>
        <v>5</v>
      </c>
      <c r="I385" s="39">
        <f t="shared" si="43"/>
        <v>1711.5</v>
      </c>
      <c r="K385" s="40">
        <v>35524</v>
      </c>
      <c r="L385" s="39">
        <v>3244.9</v>
      </c>
      <c r="M385" s="39">
        <v>5</v>
      </c>
      <c r="N385" s="39">
        <v>3244.9</v>
      </c>
      <c r="O385" s="219">
        <f t="shared" si="48"/>
        <v>-5.5213303036614834E-2</v>
      </c>
      <c r="Q385" s="40">
        <v>33690</v>
      </c>
      <c r="R385" s="39">
        <v>1711.5</v>
      </c>
      <c r="S385" s="39">
        <f t="shared" si="44"/>
        <v>3</v>
      </c>
      <c r="T385" s="39">
        <f t="shared" si="45"/>
        <v>0</v>
      </c>
      <c r="U385" s="39">
        <f t="shared" si="46"/>
        <v>0</v>
      </c>
      <c r="V385" s="40"/>
    </row>
    <row r="386" spans="2:22" x14ac:dyDescent="0.35">
      <c r="B386" s="40">
        <v>33693</v>
      </c>
      <c r="C386" s="39">
        <v>1710.3</v>
      </c>
      <c r="D386" s="219">
        <f t="shared" si="47"/>
        <v>-7.0138526459416028E-4</v>
      </c>
      <c r="F386" s="40">
        <v>33693</v>
      </c>
      <c r="G386" s="39">
        <v>1710.3</v>
      </c>
      <c r="H386" s="39">
        <f t="shared" si="42"/>
        <v>1</v>
      </c>
      <c r="I386" s="39">
        <f t="shared" si="43"/>
        <v>0</v>
      </c>
      <c r="K386" s="40">
        <v>35531</v>
      </c>
      <c r="L386" s="39">
        <v>3340.1</v>
      </c>
      <c r="M386" s="39">
        <v>5</v>
      </c>
      <c r="N386" s="39">
        <v>3340.1</v>
      </c>
      <c r="O386" s="219">
        <f t="shared" si="48"/>
        <v>2.8916213619948346E-2</v>
      </c>
      <c r="Q386" s="40">
        <v>33693</v>
      </c>
      <c r="R386" s="39">
        <v>1710.3</v>
      </c>
      <c r="S386" s="39">
        <f t="shared" si="44"/>
        <v>3</v>
      </c>
      <c r="T386" s="39">
        <f t="shared" si="45"/>
        <v>0</v>
      </c>
      <c r="U386" s="39">
        <f t="shared" si="46"/>
        <v>0</v>
      </c>
      <c r="V386" s="40"/>
    </row>
    <row r="387" spans="2:22" x14ac:dyDescent="0.35">
      <c r="B387" s="40">
        <v>33694</v>
      </c>
      <c r="C387" s="39">
        <v>1717.9</v>
      </c>
      <c r="D387" s="219">
        <f t="shared" si="47"/>
        <v>4.4338209267541064E-3</v>
      </c>
      <c r="F387" s="40">
        <v>33694</v>
      </c>
      <c r="G387" s="39">
        <v>1717.9</v>
      </c>
      <c r="H387" s="39">
        <f t="shared" si="42"/>
        <v>2</v>
      </c>
      <c r="I387" s="39">
        <f t="shared" si="43"/>
        <v>0</v>
      </c>
      <c r="K387" s="40">
        <v>35538</v>
      </c>
      <c r="L387" s="39">
        <v>3344.4</v>
      </c>
      <c r="M387" s="39">
        <v>5</v>
      </c>
      <c r="N387" s="39">
        <v>3344.4</v>
      </c>
      <c r="O387" s="219">
        <f t="shared" si="48"/>
        <v>1.2865586335926874E-3</v>
      </c>
      <c r="Q387" s="40">
        <v>33694</v>
      </c>
      <c r="R387" s="39">
        <v>1717.9</v>
      </c>
      <c r="S387" s="39">
        <f t="shared" si="44"/>
        <v>3</v>
      </c>
      <c r="T387" s="39">
        <f t="shared" si="45"/>
        <v>1717.9</v>
      </c>
      <c r="U387" s="39">
        <f t="shared" si="46"/>
        <v>1717.9</v>
      </c>
      <c r="V387" s="40"/>
    </row>
    <row r="388" spans="2:22" x14ac:dyDescent="0.35">
      <c r="B388" s="40">
        <v>33695</v>
      </c>
      <c r="C388" s="39">
        <v>1707.3</v>
      </c>
      <c r="D388" s="219">
        <f t="shared" si="47"/>
        <v>-6.1894393552120782E-3</v>
      </c>
      <c r="F388" s="40">
        <v>33695</v>
      </c>
      <c r="G388" s="39">
        <v>1707.3</v>
      </c>
      <c r="H388" s="39">
        <f t="shared" si="42"/>
        <v>3</v>
      </c>
      <c r="I388" s="39">
        <f t="shared" si="43"/>
        <v>0</v>
      </c>
      <c r="K388" s="40">
        <v>35545</v>
      </c>
      <c r="L388" s="39">
        <v>3374.1</v>
      </c>
      <c r="M388" s="39">
        <v>5</v>
      </c>
      <c r="N388" s="39">
        <v>3374.1</v>
      </c>
      <c r="O388" s="219">
        <f t="shared" si="48"/>
        <v>8.8413168021828827E-3</v>
      </c>
      <c r="Q388" s="40">
        <v>33695</v>
      </c>
      <c r="R388" s="39">
        <v>1707.3</v>
      </c>
      <c r="S388" s="39">
        <f t="shared" si="44"/>
        <v>4</v>
      </c>
      <c r="T388" s="39">
        <f t="shared" si="45"/>
        <v>0</v>
      </c>
      <c r="U388" s="39">
        <f t="shared" si="46"/>
        <v>0</v>
      </c>
      <c r="V388" s="40"/>
    </row>
    <row r="389" spans="2:22" x14ac:dyDescent="0.35">
      <c r="B389" s="40">
        <v>33696</v>
      </c>
      <c r="C389" s="39">
        <v>1721.7</v>
      </c>
      <c r="D389" s="219">
        <f t="shared" si="47"/>
        <v>8.3989995052386832E-3</v>
      </c>
      <c r="F389" s="40">
        <v>33696</v>
      </c>
      <c r="G389" s="39">
        <v>1721.7</v>
      </c>
      <c r="H389" s="39">
        <f t="shared" si="42"/>
        <v>4</v>
      </c>
      <c r="I389" s="39">
        <f t="shared" si="43"/>
        <v>0</v>
      </c>
      <c r="K389" s="40">
        <v>35552</v>
      </c>
      <c r="L389" s="39">
        <v>3460.4</v>
      </c>
      <c r="M389" s="39">
        <v>5</v>
      </c>
      <c r="N389" s="39">
        <v>3460.4</v>
      </c>
      <c r="O389" s="219">
        <f t="shared" si="48"/>
        <v>2.5255567228133536E-2</v>
      </c>
      <c r="Q389" s="40">
        <v>33696</v>
      </c>
      <c r="R389" s="39">
        <v>1721.7</v>
      </c>
      <c r="S389" s="39">
        <f t="shared" si="44"/>
        <v>4</v>
      </c>
      <c r="T389" s="39">
        <f t="shared" si="45"/>
        <v>0</v>
      </c>
      <c r="U389" s="39">
        <f t="shared" si="46"/>
        <v>0</v>
      </c>
      <c r="V389" s="40"/>
    </row>
    <row r="390" spans="2:22" x14ac:dyDescent="0.35">
      <c r="B390" s="40">
        <v>33697</v>
      </c>
      <c r="C390" s="39">
        <v>1719.6</v>
      </c>
      <c r="D390" s="219">
        <f t="shared" si="47"/>
        <v>-1.2204691603001727E-3</v>
      </c>
      <c r="F390" s="40">
        <v>33697</v>
      </c>
      <c r="G390" s="39">
        <v>1719.6</v>
      </c>
      <c r="H390" s="39">
        <f t="shared" si="42"/>
        <v>5</v>
      </c>
      <c r="I390" s="39">
        <f t="shared" si="43"/>
        <v>1719.6</v>
      </c>
      <c r="K390" s="40">
        <v>35559</v>
      </c>
      <c r="L390" s="39">
        <v>3562.4</v>
      </c>
      <c r="M390" s="39">
        <v>5</v>
      </c>
      <c r="N390" s="39">
        <v>3562.4</v>
      </c>
      <c r="O390" s="219">
        <f t="shared" si="48"/>
        <v>2.9050285701273403E-2</v>
      </c>
      <c r="Q390" s="40">
        <v>33697</v>
      </c>
      <c r="R390" s="39">
        <v>1719.6</v>
      </c>
      <c r="S390" s="39">
        <f t="shared" si="44"/>
        <v>4</v>
      </c>
      <c r="T390" s="39">
        <f t="shared" si="45"/>
        <v>0</v>
      </c>
      <c r="U390" s="39">
        <f t="shared" si="46"/>
        <v>0</v>
      </c>
      <c r="V390" s="40"/>
    </row>
    <row r="391" spans="2:22" x14ac:dyDescent="0.35">
      <c r="B391" s="40">
        <v>33700</v>
      </c>
      <c r="C391" s="39">
        <v>1734.6</v>
      </c>
      <c r="D391" s="219">
        <f t="shared" si="47"/>
        <v>8.6851336282288659E-3</v>
      </c>
      <c r="F391" s="40">
        <v>33700</v>
      </c>
      <c r="G391" s="39">
        <v>1734.6</v>
      </c>
      <c r="H391" s="39">
        <f t="shared" si="42"/>
        <v>1</v>
      </c>
      <c r="I391" s="39">
        <f t="shared" si="43"/>
        <v>0</v>
      </c>
      <c r="K391" s="40">
        <v>35566</v>
      </c>
      <c r="L391" s="39">
        <v>3604.6</v>
      </c>
      <c r="M391" s="39">
        <v>5</v>
      </c>
      <c r="N391" s="39">
        <v>3604.6</v>
      </c>
      <c r="O391" s="219">
        <f t="shared" si="48"/>
        <v>1.1776332551212207E-2</v>
      </c>
      <c r="Q391" s="40">
        <v>33700</v>
      </c>
      <c r="R391" s="39">
        <v>1734.6</v>
      </c>
      <c r="S391" s="39">
        <f t="shared" si="44"/>
        <v>4</v>
      </c>
      <c r="T391" s="39">
        <f t="shared" si="45"/>
        <v>0</v>
      </c>
      <c r="U391" s="39">
        <f t="shared" si="46"/>
        <v>0</v>
      </c>
      <c r="V391" s="40"/>
    </row>
    <row r="392" spans="2:22" x14ac:dyDescent="0.35">
      <c r="B392" s="40">
        <v>33701</v>
      </c>
      <c r="C392" s="39">
        <v>1739.4</v>
      </c>
      <c r="D392" s="219">
        <f t="shared" si="47"/>
        <v>2.7633869053096207E-3</v>
      </c>
      <c r="F392" s="40">
        <v>33701</v>
      </c>
      <c r="G392" s="39">
        <v>1739.4</v>
      </c>
      <c r="H392" s="39">
        <f t="shared" si="42"/>
        <v>2</v>
      </c>
      <c r="I392" s="39">
        <f t="shared" si="43"/>
        <v>0</v>
      </c>
      <c r="K392" s="40">
        <v>35573</v>
      </c>
      <c r="L392" s="39">
        <v>3602.2</v>
      </c>
      <c r="M392" s="39">
        <v>5</v>
      </c>
      <c r="N392" s="39">
        <v>3602.2</v>
      </c>
      <c r="O392" s="219">
        <f t="shared" si="48"/>
        <v>-6.6603765574774492E-4</v>
      </c>
      <c r="Q392" s="40">
        <v>33701</v>
      </c>
      <c r="R392" s="39">
        <v>1739.4</v>
      </c>
      <c r="S392" s="39">
        <f t="shared" si="44"/>
        <v>4</v>
      </c>
      <c r="T392" s="39">
        <f t="shared" si="45"/>
        <v>0</v>
      </c>
      <c r="U392" s="39">
        <f t="shared" si="46"/>
        <v>0</v>
      </c>
      <c r="V392" s="40"/>
    </row>
    <row r="393" spans="2:22" x14ac:dyDescent="0.35">
      <c r="B393" s="40">
        <v>33702</v>
      </c>
      <c r="C393" s="39">
        <v>1720</v>
      </c>
      <c r="D393" s="219">
        <f t="shared" si="47"/>
        <v>-1.1215935348166142E-2</v>
      </c>
      <c r="F393" s="40">
        <v>33702</v>
      </c>
      <c r="G393" s="39">
        <v>1720</v>
      </c>
      <c r="H393" s="39">
        <f t="shared" si="42"/>
        <v>3</v>
      </c>
      <c r="I393" s="39">
        <f t="shared" si="43"/>
        <v>0</v>
      </c>
      <c r="K393" s="40">
        <v>35580</v>
      </c>
      <c r="L393" s="39">
        <v>3562.7</v>
      </c>
      <c r="M393" s="39">
        <v>5</v>
      </c>
      <c r="N393" s="39">
        <v>3562.7</v>
      </c>
      <c r="O393" s="219">
        <f t="shared" si="48"/>
        <v>-1.1026085550984414E-2</v>
      </c>
      <c r="Q393" s="40">
        <v>33702</v>
      </c>
      <c r="R393" s="39">
        <v>1720</v>
      </c>
      <c r="S393" s="39">
        <f t="shared" si="44"/>
        <v>4</v>
      </c>
      <c r="T393" s="39">
        <f t="shared" si="45"/>
        <v>0</v>
      </c>
      <c r="U393" s="39">
        <f t="shared" si="46"/>
        <v>0</v>
      </c>
      <c r="V393" s="40"/>
    </row>
    <row r="394" spans="2:22" x14ac:dyDescent="0.35">
      <c r="B394" s="40">
        <v>33703</v>
      </c>
      <c r="C394" s="39">
        <v>1720.3</v>
      </c>
      <c r="D394" s="219">
        <f t="shared" si="47"/>
        <v>1.744033954947176E-4</v>
      </c>
      <c r="F394" s="40">
        <v>33703</v>
      </c>
      <c r="G394" s="39">
        <v>1720.3</v>
      </c>
      <c r="H394" s="39">
        <f t="shared" si="42"/>
        <v>4</v>
      </c>
      <c r="I394" s="39">
        <f t="shared" si="43"/>
        <v>0</v>
      </c>
      <c r="K394" s="40">
        <v>35587</v>
      </c>
      <c r="L394" s="39">
        <v>3700.5</v>
      </c>
      <c r="M394" s="39">
        <v>5</v>
      </c>
      <c r="N394" s="39">
        <v>3700.5</v>
      </c>
      <c r="O394" s="219">
        <f t="shared" si="48"/>
        <v>3.7949261285548583E-2</v>
      </c>
      <c r="Q394" s="40">
        <v>33703</v>
      </c>
      <c r="R394" s="39">
        <v>1720.3</v>
      </c>
      <c r="S394" s="39">
        <f t="shared" si="44"/>
        <v>4</v>
      </c>
      <c r="T394" s="39">
        <f t="shared" si="45"/>
        <v>0</v>
      </c>
      <c r="U394" s="39">
        <f t="shared" si="46"/>
        <v>0</v>
      </c>
      <c r="V394" s="40"/>
    </row>
    <row r="395" spans="2:22" x14ac:dyDescent="0.35">
      <c r="B395" s="40">
        <v>33704</v>
      </c>
      <c r="C395" s="39">
        <v>1736.1</v>
      </c>
      <c r="D395" s="219">
        <f t="shared" si="47"/>
        <v>9.1425240449092386E-3</v>
      </c>
      <c r="F395" s="40">
        <v>33704</v>
      </c>
      <c r="G395" s="39">
        <v>1736.1</v>
      </c>
      <c r="H395" s="39">
        <f t="shared" si="42"/>
        <v>5</v>
      </c>
      <c r="I395" s="39">
        <f t="shared" si="43"/>
        <v>1736.1</v>
      </c>
      <c r="K395" s="40">
        <v>35594</v>
      </c>
      <c r="L395" s="39">
        <v>3752.4</v>
      </c>
      <c r="M395" s="39">
        <v>5</v>
      </c>
      <c r="N395" s="39">
        <v>3752.4</v>
      </c>
      <c r="O395" s="219">
        <f t="shared" si="48"/>
        <v>1.392768961427478E-2</v>
      </c>
      <c r="Q395" s="40">
        <v>33704</v>
      </c>
      <c r="R395" s="39">
        <v>1736.1</v>
      </c>
      <c r="S395" s="39">
        <f t="shared" si="44"/>
        <v>4</v>
      </c>
      <c r="T395" s="39">
        <f t="shared" si="45"/>
        <v>0</v>
      </c>
      <c r="U395" s="39">
        <f t="shared" si="46"/>
        <v>0</v>
      </c>
      <c r="V395" s="40"/>
    </row>
    <row r="396" spans="2:22" x14ac:dyDescent="0.35">
      <c r="B396" s="40">
        <v>33707</v>
      </c>
      <c r="C396" s="39">
        <v>1727.7</v>
      </c>
      <c r="D396" s="219">
        <f t="shared" si="47"/>
        <v>-4.850174067166365E-3</v>
      </c>
      <c r="F396" s="40">
        <v>33707</v>
      </c>
      <c r="G396" s="39">
        <v>1727.7</v>
      </c>
      <c r="H396" s="39">
        <f t="shared" si="42"/>
        <v>1</v>
      </c>
      <c r="I396" s="39">
        <f t="shared" si="43"/>
        <v>0</v>
      </c>
      <c r="K396" s="40">
        <v>35601</v>
      </c>
      <c r="L396" s="39">
        <v>3788.5</v>
      </c>
      <c r="M396" s="39">
        <v>5</v>
      </c>
      <c r="N396" s="39">
        <v>3788.5</v>
      </c>
      <c r="O396" s="219">
        <f t="shared" si="48"/>
        <v>9.5745271196320519E-3</v>
      </c>
      <c r="Q396" s="40">
        <v>33707</v>
      </c>
      <c r="R396" s="39">
        <v>1727.7</v>
      </c>
      <c r="S396" s="39">
        <f t="shared" si="44"/>
        <v>4</v>
      </c>
      <c r="T396" s="39">
        <f t="shared" si="45"/>
        <v>0</v>
      </c>
      <c r="U396" s="39">
        <f t="shared" si="46"/>
        <v>0</v>
      </c>
      <c r="V396" s="40"/>
    </row>
    <row r="397" spans="2:22" x14ac:dyDescent="0.35">
      <c r="B397" s="40">
        <v>33708</v>
      </c>
      <c r="C397" s="39">
        <v>1732.5</v>
      </c>
      <c r="D397" s="219">
        <f t="shared" si="47"/>
        <v>2.7744078833218232E-3</v>
      </c>
      <c r="F397" s="40">
        <v>33708</v>
      </c>
      <c r="G397" s="39">
        <v>1732.5</v>
      </c>
      <c r="H397" s="39">
        <f t="shared" si="42"/>
        <v>2</v>
      </c>
      <c r="I397" s="39">
        <f t="shared" si="43"/>
        <v>0</v>
      </c>
      <c r="K397" s="40">
        <v>35608</v>
      </c>
      <c r="L397" s="39">
        <v>3809.9</v>
      </c>
      <c r="M397" s="39">
        <v>5</v>
      </c>
      <c r="N397" s="39">
        <v>3809.9</v>
      </c>
      <c r="O397" s="219">
        <f t="shared" si="48"/>
        <v>5.6327796857073278E-3</v>
      </c>
      <c r="Q397" s="40">
        <v>33708</v>
      </c>
      <c r="R397" s="39">
        <v>1732.5</v>
      </c>
      <c r="S397" s="39">
        <f t="shared" si="44"/>
        <v>4</v>
      </c>
      <c r="T397" s="39">
        <f t="shared" si="45"/>
        <v>0</v>
      </c>
      <c r="U397" s="39">
        <f t="shared" si="46"/>
        <v>0</v>
      </c>
      <c r="V397" s="40"/>
    </row>
    <row r="398" spans="2:22" x14ac:dyDescent="0.35">
      <c r="B398" s="40">
        <v>33709</v>
      </c>
      <c r="C398" s="39">
        <v>1743.8</v>
      </c>
      <c r="D398" s="219">
        <f t="shared" si="47"/>
        <v>6.5011879296564311E-3</v>
      </c>
      <c r="F398" s="40">
        <v>33709</v>
      </c>
      <c r="G398" s="39">
        <v>1743.8</v>
      </c>
      <c r="H398" s="39">
        <f t="shared" si="42"/>
        <v>3</v>
      </c>
      <c r="I398" s="39">
        <f t="shared" si="43"/>
        <v>0</v>
      </c>
      <c r="K398" s="40">
        <v>35615</v>
      </c>
      <c r="L398" s="39">
        <v>3946.7</v>
      </c>
      <c r="M398" s="39">
        <v>5</v>
      </c>
      <c r="N398" s="39">
        <v>3946.7</v>
      </c>
      <c r="O398" s="219">
        <f t="shared" si="48"/>
        <v>3.5276844623030656E-2</v>
      </c>
      <c r="Q398" s="40">
        <v>33709</v>
      </c>
      <c r="R398" s="39">
        <v>1743.8</v>
      </c>
      <c r="S398" s="39">
        <f t="shared" si="44"/>
        <v>4</v>
      </c>
      <c r="T398" s="39">
        <f t="shared" si="45"/>
        <v>0</v>
      </c>
      <c r="U398" s="39">
        <f t="shared" si="46"/>
        <v>0</v>
      </c>
      <c r="V398" s="40"/>
    </row>
    <row r="399" spans="2:22" x14ac:dyDescent="0.35">
      <c r="B399" s="40">
        <v>33710</v>
      </c>
      <c r="C399" s="39">
        <v>1749.2</v>
      </c>
      <c r="D399" s="219">
        <f t="shared" si="47"/>
        <v>3.0919005450509461E-3</v>
      </c>
      <c r="F399" s="40">
        <v>33710</v>
      </c>
      <c r="G399" s="39">
        <v>1749.2</v>
      </c>
      <c r="H399" s="39">
        <f t="shared" si="42"/>
        <v>4</v>
      </c>
      <c r="I399" s="39">
        <f t="shared" si="43"/>
        <v>1749.2</v>
      </c>
      <c r="K399" s="40">
        <v>35622</v>
      </c>
      <c r="L399" s="39">
        <v>4074.3</v>
      </c>
      <c r="M399" s="39">
        <v>5</v>
      </c>
      <c r="N399" s="39">
        <v>4074.3</v>
      </c>
      <c r="O399" s="219">
        <f t="shared" si="48"/>
        <v>3.1819166097966284E-2</v>
      </c>
      <c r="Q399" s="40">
        <v>33710</v>
      </c>
      <c r="R399" s="39">
        <v>1749.2</v>
      </c>
      <c r="S399" s="39">
        <f t="shared" si="44"/>
        <v>4</v>
      </c>
      <c r="T399" s="39">
        <f t="shared" si="45"/>
        <v>0</v>
      </c>
      <c r="U399" s="39">
        <f t="shared" si="46"/>
        <v>0</v>
      </c>
      <c r="V399" s="40"/>
    </row>
    <row r="400" spans="2:22" x14ac:dyDescent="0.35">
      <c r="B400" s="40">
        <v>33715</v>
      </c>
      <c r="C400" s="39">
        <v>1746.5</v>
      </c>
      <c r="D400" s="219">
        <f t="shared" si="47"/>
        <v>-1.5447552918789252E-3</v>
      </c>
      <c r="F400" s="40">
        <v>33715</v>
      </c>
      <c r="G400" s="39">
        <v>1746.5</v>
      </c>
      <c r="H400" s="39">
        <f t="shared" si="42"/>
        <v>2</v>
      </c>
      <c r="I400" s="39">
        <f t="shared" si="43"/>
        <v>0</v>
      </c>
      <c r="K400" s="40">
        <v>35629</v>
      </c>
      <c r="L400" s="39">
        <v>4131.8999999999996</v>
      </c>
      <c r="M400" s="39">
        <v>5</v>
      </c>
      <c r="N400" s="39">
        <v>4131.8999999999996</v>
      </c>
      <c r="O400" s="219">
        <f t="shared" si="48"/>
        <v>1.4038396813263344E-2</v>
      </c>
      <c r="Q400" s="40">
        <v>33715</v>
      </c>
      <c r="R400" s="39">
        <v>1746.5</v>
      </c>
      <c r="S400" s="39">
        <f t="shared" si="44"/>
        <v>4</v>
      </c>
      <c r="T400" s="39">
        <f t="shared" si="45"/>
        <v>0</v>
      </c>
      <c r="U400" s="39">
        <f t="shared" si="46"/>
        <v>0</v>
      </c>
      <c r="V400" s="40"/>
    </row>
    <row r="401" spans="2:22" x14ac:dyDescent="0.35">
      <c r="B401" s="40">
        <v>33716</v>
      </c>
      <c r="C401" s="39">
        <v>1753.3</v>
      </c>
      <c r="D401" s="219">
        <f t="shared" si="47"/>
        <v>3.8859412291959343E-3</v>
      </c>
      <c r="F401" s="40">
        <v>33716</v>
      </c>
      <c r="G401" s="39">
        <v>1753.3</v>
      </c>
      <c r="H401" s="39">
        <f t="shared" si="42"/>
        <v>3</v>
      </c>
      <c r="I401" s="39">
        <f t="shared" si="43"/>
        <v>0</v>
      </c>
      <c r="K401" s="40">
        <v>35636</v>
      </c>
      <c r="L401" s="39">
        <v>4368.5</v>
      </c>
      <c r="M401" s="39">
        <v>5</v>
      </c>
      <c r="N401" s="39">
        <v>4368.5</v>
      </c>
      <c r="O401" s="219">
        <f t="shared" si="48"/>
        <v>5.5682351146753538E-2</v>
      </c>
      <c r="Q401" s="40">
        <v>33716</v>
      </c>
      <c r="R401" s="39">
        <v>1753.3</v>
      </c>
      <c r="S401" s="39">
        <f t="shared" si="44"/>
        <v>4</v>
      </c>
      <c r="T401" s="39">
        <f t="shared" si="45"/>
        <v>0</v>
      </c>
      <c r="U401" s="39">
        <f t="shared" si="46"/>
        <v>0</v>
      </c>
      <c r="V401" s="40"/>
    </row>
    <row r="402" spans="2:22" x14ac:dyDescent="0.35">
      <c r="B402" s="40">
        <v>33717</v>
      </c>
      <c r="C402" s="39">
        <v>1752.4</v>
      </c>
      <c r="D402" s="219">
        <f t="shared" si="47"/>
        <v>-5.1344953633916494E-4</v>
      </c>
      <c r="F402" s="40">
        <v>33717</v>
      </c>
      <c r="G402" s="39">
        <v>1752.4</v>
      </c>
      <c r="H402" s="39">
        <f t="shared" si="42"/>
        <v>4</v>
      </c>
      <c r="I402" s="39">
        <f t="shared" si="43"/>
        <v>0</v>
      </c>
      <c r="K402" s="40">
        <v>35643</v>
      </c>
      <c r="L402" s="39">
        <v>4337</v>
      </c>
      <c r="M402" s="39">
        <v>5</v>
      </c>
      <c r="N402" s="39">
        <v>4337</v>
      </c>
      <c r="O402" s="219">
        <f t="shared" si="48"/>
        <v>-7.2368359027830892E-3</v>
      </c>
      <c r="Q402" s="40">
        <v>33717</v>
      </c>
      <c r="R402" s="39">
        <v>1752.4</v>
      </c>
      <c r="S402" s="39">
        <f t="shared" si="44"/>
        <v>4</v>
      </c>
      <c r="T402" s="39">
        <f t="shared" si="45"/>
        <v>0</v>
      </c>
      <c r="U402" s="39">
        <f t="shared" si="46"/>
        <v>0</v>
      </c>
      <c r="V402" s="40"/>
    </row>
    <row r="403" spans="2:22" x14ac:dyDescent="0.35">
      <c r="B403" s="40">
        <v>33718</v>
      </c>
      <c r="C403" s="39">
        <v>1745.7</v>
      </c>
      <c r="D403" s="219">
        <f t="shared" si="47"/>
        <v>-3.8306556090095326E-3</v>
      </c>
      <c r="F403" s="40">
        <v>33718</v>
      </c>
      <c r="G403" s="39">
        <v>1745.7</v>
      </c>
      <c r="H403" s="39">
        <f t="shared" si="42"/>
        <v>5</v>
      </c>
      <c r="I403" s="39">
        <f t="shared" si="43"/>
        <v>1745.7</v>
      </c>
      <c r="K403" s="40">
        <v>35650</v>
      </c>
      <c r="L403" s="39">
        <v>4342.3</v>
      </c>
      <c r="M403" s="39">
        <v>5</v>
      </c>
      <c r="N403" s="39">
        <v>4342.3</v>
      </c>
      <c r="O403" s="219">
        <f t="shared" si="48"/>
        <v>1.2212968001509882E-3</v>
      </c>
      <c r="Q403" s="40">
        <v>33718</v>
      </c>
      <c r="R403" s="39">
        <v>1745.7</v>
      </c>
      <c r="S403" s="39">
        <f t="shared" si="44"/>
        <v>4</v>
      </c>
      <c r="T403" s="39">
        <f t="shared" si="45"/>
        <v>0</v>
      </c>
      <c r="U403" s="39">
        <f t="shared" si="46"/>
        <v>0</v>
      </c>
      <c r="V403" s="40"/>
    </row>
    <row r="404" spans="2:22" x14ac:dyDescent="0.35">
      <c r="B404" s="40">
        <v>33721</v>
      </c>
      <c r="C404" s="39">
        <v>1742.2</v>
      </c>
      <c r="D404" s="219">
        <f t="shared" si="47"/>
        <v>-2.0069389459423494E-3</v>
      </c>
      <c r="F404" s="40">
        <v>33721</v>
      </c>
      <c r="G404" s="39">
        <v>1742.2</v>
      </c>
      <c r="H404" s="39">
        <f t="shared" si="42"/>
        <v>1</v>
      </c>
      <c r="I404" s="39">
        <f t="shared" si="43"/>
        <v>0</v>
      </c>
      <c r="K404" s="40">
        <v>35657</v>
      </c>
      <c r="L404" s="39">
        <v>4077.6</v>
      </c>
      <c r="M404" s="39">
        <v>5</v>
      </c>
      <c r="N404" s="39">
        <v>4077.6</v>
      </c>
      <c r="O404" s="219">
        <f t="shared" si="48"/>
        <v>-6.2895581609685294E-2</v>
      </c>
      <c r="Q404" s="40">
        <v>33721</v>
      </c>
      <c r="R404" s="39">
        <v>1742.2</v>
      </c>
      <c r="S404" s="39">
        <f t="shared" si="44"/>
        <v>4</v>
      </c>
      <c r="T404" s="39">
        <f t="shared" si="45"/>
        <v>0</v>
      </c>
      <c r="U404" s="39">
        <f t="shared" si="46"/>
        <v>0</v>
      </c>
      <c r="V404" s="40"/>
    </row>
    <row r="405" spans="2:22" x14ac:dyDescent="0.35">
      <c r="B405" s="40">
        <v>33722</v>
      </c>
      <c r="C405" s="39">
        <v>1735.9</v>
      </c>
      <c r="D405" s="219">
        <f t="shared" si="47"/>
        <v>-3.6226715102881542E-3</v>
      </c>
      <c r="F405" s="40">
        <v>33722</v>
      </c>
      <c r="G405" s="39">
        <v>1735.9</v>
      </c>
      <c r="H405" s="39">
        <f t="shared" si="42"/>
        <v>2</v>
      </c>
      <c r="I405" s="39">
        <f t="shared" si="43"/>
        <v>0</v>
      </c>
      <c r="K405" s="40">
        <v>35664</v>
      </c>
      <c r="L405" s="39">
        <v>4090.1</v>
      </c>
      <c r="M405" s="39">
        <v>5</v>
      </c>
      <c r="N405" s="39">
        <v>4090.1</v>
      </c>
      <c r="O405" s="219">
        <f t="shared" si="48"/>
        <v>3.0608395898727202E-3</v>
      </c>
      <c r="Q405" s="40">
        <v>33722</v>
      </c>
      <c r="R405" s="39">
        <v>1735.9</v>
      </c>
      <c r="S405" s="39">
        <f t="shared" si="44"/>
        <v>4</v>
      </c>
      <c r="T405" s="39">
        <f t="shared" si="45"/>
        <v>0</v>
      </c>
      <c r="U405" s="39">
        <f t="shared" si="46"/>
        <v>0</v>
      </c>
      <c r="V405" s="40"/>
    </row>
    <row r="406" spans="2:22" x14ac:dyDescent="0.35">
      <c r="B406" s="40">
        <v>33723</v>
      </c>
      <c r="C406" s="39">
        <v>1735.9</v>
      </c>
      <c r="D406" s="219">
        <f t="shared" si="47"/>
        <v>0</v>
      </c>
      <c r="F406" s="40">
        <v>33723</v>
      </c>
      <c r="G406" s="39">
        <v>1735.9</v>
      </c>
      <c r="H406" s="39">
        <f t="shared" si="42"/>
        <v>3</v>
      </c>
      <c r="I406" s="39">
        <f t="shared" si="43"/>
        <v>0</v>
      </c>
      <c r="K406" s="40">
        <v>35671</v>
      </c>
      <c r="L406" s="39">
        <v>3919.8</v>
      </c>
      <c r="M406" s="39">
        <v>5</v>
      </c>
      <c r="N406" s="39">
        <v>3919.8</v>
      </c>
      <c r="O406" s="219">
        <f t="shared" si="48"/>
        <v>-4.2528787540944871E-2</v>
      </c>
      <c r="Q406" s="40">
        <v>33723</v>
      </c>
      <c r="R406" s="39">
        <v>1735.9</v>
      </c>
      <c r="S406" s="39">
        <f t="shared" si="44"/>
        <v>4</v>
      </c>
      <c r="T406" s="39">
        <f t="shared" si="45"/>
        <v>0</v>
      </c>
      <c r="U406" s="39">
        <f t="shared" si="46"/>
        <v>0</v>
      </c>
      <c r="V406" s="40"/>
    </row>
    <row r="407" spans="2:22" x14ac:dyDescent="0.35">
      <c r="B407" s="40">
        <v>33724</v>
      </c>
      <c r="C407" s="39">
        <v>1734</v>
      </c>
      <c r="D407" s="219">
        <f t="shared" si="47"/>
        <v>-1.0951325340163691E-3</v>
      </c>
      <c r="F407" s="40">
        <v>33724</v>
      </c>
      <c r="G407" s="39">
        <v>1734</v>
      </c>
      <c r="H407" s="39">
        <f t="shared" si="42"/>
        <v>4</v>
      </c>
      <c r="I407" s="39">
        <f t="shared" si="43"/>
        <v>1734</v>
      </c>
      <c r="K407" s="40">
        <v>35678</v>
      </c>
      <c r="L407" s="39">
        <v>4073.7</v>
      </c>
      <c r="M407" s="39">
        <v>5</v>
      </c>
      <c r="N407" s="39">
        <v>4073.7</v>
      </c>
      <c r="O407" s="219">
        <f t="shared" si="48"/>
        <v>3.851104529809888E-2</v>
      </c>
      <c r="Q407" s="40">
        <v>33724</v>
      </c>
      <c r="R407" s="39">
        <v>1734</v>
      </c>
      <c r="S407" s="39">
        <f t="shared" si="44"/>
        <v>4</v>
      </c>
      <c r="T407" s="39">
        <f t="shared" si="45"/>
        <v>1734</v>
      </c>
      <c r="U407" s="39">
        <f t="shared" si="46"/>
        <v>1734</v>
      </c>
      <c r="V407" s="40"/>
    </row>
    <row r="408" spans="2:22" x14ac:dyDescent="0.35">
      <c r="B408" s="40">
        <v>33728</v>
      </c>
      <c r="C408" s="39">
        <v>1728.3</v>
      </c>
      <c r="D408" s="219">
        <f t="shared" si="47"/>
        <v>-3.2926119340400319E-3</v>
      </c>
      <c r="F408" s="40">
        <v>33728</v>
      </c>
      <c r="G408" s="39">
        <v>1728.3</v>
      </c>
      <c r="H408" s="39">
        <f t="shared" si="42"/>
        <v>1</v>
      </c>
      <c r="I408" s="39">
        <f t="shared" si="43"/>
        <v>0</v>
      </c>
      <c r="K408" s="40">
        <v>35685</v>
      </c>
      <c r="L408" s="39">
        <v>3796.6</v>
      </c>
      <c r="M408" s="39">
        <v>5</v>
      </c>
      <c r="N408" s="39">
        <v>3796.6</v>
      </c>
      <c r="O408" s="219">
        <f t="shared" si="48"/>
        <v>-7.0445748016417148E-2</v>
      </c>
      <c r="Q408" s="40">
        <v>33728</v>
      </c>
      <c r="R408" s="39">
        <v>1728.3</v>
      </c>
      <c r="S408" s="39">
        <f t="shared" si="44"/>
        <v>5</v>
      </c>
      <c r="T408" s="39">
        <f t="shared" si="45"/>
        <v>0</v>
      </c>
      <c r="U408" s="39">
        <f t="shared" si="46"/>
        <v>0</v>
      </c>
      <c r="V408" s="40"/>
    </row>
    <row r="409" spans="2:22" x14ac:dyDescent="0.35">
      <c r="B409" s="40">
        <v>33729</v>
      </c>
      <c r="C409" s="39">
        <v>1732.6</v>
      </c>
      <c r="D409" s="219">
        <f t="shared" si="47"/>
        <v>2.4849040495928077E-3</v>
      </c>
      <c r="F409" s="40">
        <v>33729</v>
      </c>
      <c r="G409" s="39">
        <v>1732.6</v>
      </c>
      <c r="H409" s="39">
        <f t="shared" si="42"/>
        <v>2</v>
      </c>
      <c r="I409" s="39">
        <f t="shared" si="43"/>
        <v>0</v>
      </c>
      <c r="K409" s="40">
        <v>35692</v>
      </c>
      <c r="L409" s="39">
        <v>3983.1</v>
      </c>
      <c r="M409" s="39">
        <v>5</v>
      </c>
      <c r="N409" s="39">
        <v>3983.1</v>
      </c>
      <c r="O409" s="219">
        <f t="shared" si="48"/>
        <v>4.7954481213524518E-2</v>
      </c>
      <c r="Q409" s="40">
        <v>33729</v>
      </c>
      <c r="R409" s="39">
        <v>1732.6</v>
      </c>
      <c r="S409" s="39">
        <f t="shared" si="44"/>
        <v>5</v>
      </c>
      <c r="T409" s="39">
        <f t="shared" si="45"/>
        <v>0</v>
      </c>
      <c r="U409" s="39">
        <f t="shared" si="46"/>
        <v>0</v>
      </c>
      <c r="V409" s="40"/>
    </row>
    <row r="410" spans="2:22" x14ac:dyDescent="0.35">
      <c r="B410" s="40">
        <v>33730</v>
      </c>
      <c r="C410" s="39">
        <v>1743.5</v>
      </c>
      <c r="D410" s="219">
        <f t="shared" si="47"/>
        <v>6.2714166596660164E-3</v>
      </c>
      <c r="F410" s="40">
        <v>33730</v>
      </c>
      <c r="G410" s="39">
        <v>1743.5</v>
      </c>
      <c r="H410" s="39">
        <f t="shared" si="42"/>
        <v>3</v>
      </c>
      <c r="I410" s="39">
        <f t="shared" si="43"/>
        <v>0</v>
      </c>
      <c r="K410" s="40">
        <v>35699</v>
      </c>
      <c r="L410" s="39">
        <v>4135.1000000000004</v>
      </c>
      <c r="M410" s="39">
        <v>5</v>
      </c>
      <c r="N410" s="39">
        <v>4135.1000000000004</v>
      </c>
      <c r="O410" s="219">
        <f t="shared" si="48"/>
        <v>3.7451101392258511E-2</v>
      </c>
      <c r="Q410" s="40">
        <v>33730</v>
      </c>
      <c r="R410" s="39">
        <v>1743.5</v>
      </c>
      <c r="S410" s="39">
        <f t="shared" si="44"/>
        <v>5</v>
      </c>
      <c r="T410" s="39">
        <f t="shared" si="45"/>
        <v>0</v>
      </c>
      <c r="U410" s="39">
        <f t="shared" si="46"/>
        <v>0</v>
      </c>
      <c r="V410" s="40"/>
    </row>
    <row r="411" spans="2:22" x14ac:dyDescent="0.35">
      <c r="B411" s="40">
        <v>33731</v>
      </c>
      <c r="C411" s="39">
        <v>1750.8</v>
      </c>
      <c r="D411" s="219">
        <f t="shared" si="47"/>
        <v>4.1782392010343691E-3</v>
      </c>
      <c r="F411" s="40">
        <v>33731</v>
      </c>
      <c r="G411" s="39">
        <v>1750.8</v>
      </c>
      <c r="H411" s="39">
        <f t="shared" si="42"/>
        <v>4</v>
      </c>
      <c r="I411" s="39">
        <f t="shared" si="43"/>
        <v>0</v>
      </c>
      <c r="K411" s="40">
        <v>35705</v>
      </c>
      <c r="L411" s="39">
        <v>4266.2</v>
      </c>
      <c r="M411" s="39">
        <v>4</v>
      </c>
      <c r="N411" s="39">
        <v>4266.2</v>
      </c>
      <c r="O411" s="219">
        <f t="shared" si="48"/>
        <v>3.1211989295492713E-2</v>
      </c>
      <c r="Q411" s="40">
        <v>33731</v>
      </c>
      <c r="R411" s="39">
        <v>1750.8</v>
      </c>
      <c r="S411" s="39">
        <f t="shared" si="44"/>
        <v>5</v>
      </c>
      <c r="T411" s="39">
        <f t="shared" si="45"/>
        <v>0</v>
      </c>
      <c r="U411" s="39">
        <f t="shared" si="46"/>
        <v>0</v>
      </c>
      <c r="V411" s="40"/>
    </row>
    <row r="412" spans="2:22" x14ac:dyDescent="0.35">
      <c r="B412" s="40">
        <v>33732</v>
      </c>
      <c r="C412" s="39">
        <v>1748.2</v>
      </c>
      <c r="D412" s="219">
        <f t="shared" si="47"/>
        <v>-1.4861391703526747E-3</v>
      </c>
      <c r="F412" s="40">
        <v>33732</v>
      </c>
      <c r="G412" s="39">
        <v>1748.2</v>
      </c>
      <c r="H412" s="39">
        <f t="shared" si="42"/>
        <v>5</v>
      </c>
      <c r="I412" s="39">
        <f t="shared" si="43"/>
        <v>1748.2</v>
      </c>
      <c r="K412" s="40">
        <v>35713</v>
      </c>
      <c r="L412" s="39">
        <v>4164.6000000000004</v>
      </c>
      <c r="M412" s="39">
        <v>5</v>
      </c>
      <c r="N412" s="39">
        <v>4164.6000000000004</v>
      </c>
      <c r="O412" s="219">
        <f t="shared" si="48"/>
        <v>-2.4103268684124147E-2</v>
      </c>
      <c r="Q412" s="40">
        <v>33732</v>
      </c>
      <c r="R412" s="39">
        <v>1748.2</v>
      </c>
      <c r="S412" s="39">
        <f t="shared" si="44"/>
        <v>5</v>
      </c>
      <c r="T412" s="39">
        <f t="shared" si="45"/>
        <v>0</v>
      </c>
      <c r="U412" s="39">
        <f t="shared" si="46"/>
        <v>0</v>
      </c>
      <c r="V412" s="40"/>
    </row>
    <row r="413" spans="2:22" x14ac:dyDescent="0.35">
      <c r="B413" s="40">
        <v>33735</v>
      </c>
      <c r="C413" s="39">
        <v>1753</v>
      </c>
      <c r="D413" s="219">
        <f t="shared" si="47"/>
        <v>2.7419187748468502E-3</v>
      </c>
      <c r="F413" s="40">
        <v>33735</v>
      </c>
      <c r="G413" s="39">
        <v>1753</v>
      </c>
      <c r="H413" s="39">
        <f t="shared" si="42"/>
        <v>1</v>
      </c>
      <c r="I413" s="39">
        <f t="shared" si="43"/>
        <v>0</v>
      </c>
      <c r="K413" s="40">
        <v>35720</v>
      </c>
      <c r="L413" s="39">
        <v>4049.2</v>
      </c>
      <c r="M413" s="39">
        <v>5</v>
      </c>
      <c r="N413" s="39">
        <v>4049.2</v>
      </c>
      <c r="O413" s="219">
        <f t="shared" si="48"/>
        <v>-2.8100901848996485E-2</v>
      </c>
      <c r="Q413" s="40">
        <v>33735</v>
      </c>
      <c r="R413" s="39">
        <v>1753</v>
      </c>
      <c r="S413" s="39">
        <f t="shared" si="44"/>
        <v>5</v>
      </c>
      <c r="T413" s="39">
        <f t="shared" si="45"/>
        <v>0</v>
      </c>
      <c r="U413" s="39">
        <f t="shared" si="46"/>
        <v>0</v>
      </c>
      <c r="V413" s="40"/>
    </row>
    <row r="414" spans="2:22" x14ac:dyDescent="0.35">
      <c r="B414" s="40">
        <v>33736</v>
      </c>
      <c r="C414" s="39">
        <v>1751.2</v>
      </c>
      <c r="D414" s="219">
        <f t="shared" si="47"/>
        <v>-1.0273387125812664E-3</v>
      </c>
      <c r="F414" s="40">
        <v>33736</v>
      </c>
      <c r="G414" s="39">
        <v>1751.2</v>
      </c>
      <c r="H414" s="39">
        <f t="shared" si="42"/>
        <v>2</v>
      </c>
      <c r="I414" s="39">
        <f t="shared" si="43"/>
        <v>0</v>
      </c>
      <c r="K414" s="40">
        <v>35727</v>
      </c>
      <c r="L414" s="39">
        <v>3981.4</v>
      </c>
      <c r="M414" s="39">
        <v>5</v>
      </c>
      <c r="N414" s="39">
        <v>3981.4</v>
      </c>
      <c r="O414" s="219">
        <f t="shared" si="48"/>
        <v>-1.6885814504763567E-2</v>
      </c>
      <c r="Q414" s="40">
        <v>33736</v>
      </c>
      <c r="R414" s="39">
        <v>1751.2</v>
      </c>
      <c r="S414" s="39">
        <f t="shared" si="44"/>
        <v>5</v>
      </c>
      <c r="T414" s="39">
        <f t="shared" si="45"/>
        <v>0</v>
      </c>
      <c r="U414" s="39">
        <f t="shared" si="46"/>
        <v>0</v>
      </c>
      <c r="V414" s="40"/>
    </row>
    <row r="415" spans="2:22" x14ac:dyDescent="0.35">
      <c r="B415" s="40">
        <v>33737</v>
      </c>
      <c r="C415" s="39">
        <v>1749.4</v>
      </c>
      <c r="D415" s="219">
        <f t="shared" si="47"/>
        <v>-1.0283952228986419E-3</v>
      </c>
      <c r="F415" s="40">
        <v>33737</v>
      </c>
      <c r="G415" s="39">
        <v>1749.4</v>
      </c>
      <c r="H415" s="39">
        <f t="shared" si="42"/>
        <v>3</v>
      </c>
      <c r="I415" s="39">
        <f t="shared" si="43"/>
        <v>0</v>
      </c>
      <c r="K415" s="40">
        <v>35734</v>
      </c>
      <c r="L415" s="39">
        <v>3753.7</v>
      </c>
      <c r="M415" s="39">
        <v>5</v>
      </c>
      <c r="N415" s="39">
        <v>3753.7</v>
      </c>
      <c r="O415" s="219">
        <f t="shared" si="48"/>
        <v>-5.88914960243253E-2</v>
      </c>
      <c r="Q415" s="40">
        <v>33737</v>
      </c>
      <c r="R415" s="39">
        <v>1749.4</v>
      </c>
      <c r="S415" s="39">
        <f t="shared" si="44"/>
        <v>5</v>
      </c>
      <c r="T415" s="39">
        <f t="shared" si="45"/>
        <v>0</v>
      </c>
      <c r="U415" s="39">
        <f t="shared" si="46"/>
        <v>0</v>
      </c>
      <c r="V415" s="40"/>
    </row>
    <row r="416" spans="2:22" x14ac:dyDescent="0.35">
      <c r="B416" s="40">
        <v>33738</v>
      </c>
      <c r="C416" s="39">
        <v>1742.3</v>
      </c>
      <c r="D416" s="219">
        <f t="shared" si="47"/>
        <v>-4.0667925568950236E-3</v>
      </c>
      <c r="F416" s="40">
        <v>33738</v>
      </c>
      <c r="G416" s="39">
        <v>1742.3</v>
      </c>
      <c r="H416" s="39">
        <f t="shared" si="42"/>
        <v>4</v>
      </c>
      <c r="I416" s="39">
        <f t="shared" si="43"/>
        <v>0</v>
      </c>
      <c r="K416" s="40">
        <v>35741</v>
      </c>
      <c r="L416" s="39">
        <v>3715.4</v>
      </c>
      <c r="M416" s="39">
        <v>5</v>
      </c>
      <c r="N416" s="39">
        <v>3715.4</v>
      </c>
      <c r="O416" s="219">
        <f t="shared" si="48"/>
        <v>-1.0255676238203983E-2</v>
      </c>
      <c r="Q416" s="40">
        <v>33738</v>
      </c>
      <c r="R416" s="39">
        <v>1742.3</v>
      </c>
      <c r="S416" s="39">
        <f t="shared" si="44"/>
        <v>5</v>
      </c>
      <c r="T416" s="39">
        <f t="shared" si="45"/>
        <v>0</v>
      </c>
      <c r="U416" s="39">
        <f t="shared" si="46"/>
        <v>0</v>
      </c>
      <c r="V416" s="40"/>
    </row>
    <row r="417" spans="2:22" x14ac:dyDescent="0.35">
      <c r="B417" s="40">
        <v>33739</v>
      </c>
      <c r="C417" s="39">
        <v>1724.1</v>
      </c>
      <c r="D417" s="219">
        <f t="shared" si="47"/>
        <v>-1.050090424705412E-2</v>
      </c>
      <c r="F417" s="40">
        <v>33739</v>
      </c>
      <c r="G417" s="39">
        <v>1724.1</v>
      </c>
      <c r="H417" s="39">
        <f t="shared" si="42"/>
        <v>5</v>
      </c>
      <c r="I417" s="39">
        <f t="shared" si="43"/>
        <v>1724.1</v>
      </c>
      <c r="K417" s="40">
        <v>35748</v>
      </c>
      <c r="L417" s="39">
        <v>3676.7</v>
      </c>
      <c r="M417" s="39">
        <v>5</v>
      </c>
      <c r="N417" s="39">
        <v>3676.7</v>
      </c>
      <c r="O417" s="219">
        <f t="shared" si="48"/>
        <v>-1.0470733235826032E-2</v>
      </c>
      <c r="Q417" s="40">
        <v>33739</v>
      </c>
      <c r="R417" s="39">
        <v>1724.1</v>
      </c>
      <c r="S417" s="39">
        <f t="shared" si="44"/>
        <v>5</v>
      </c>
      <c r="T417" s="39">
        <f t="shared" si="45"/>
        <v>0</v>
      </c>
      <c r="U417" s="39">
        <f t="shared" si="46"/>
        <v>0</v>
      </c>
      <c r="V417" s="40"/>
    </row>
    <row r="418" spans="2:22" x14ac:dyDescent="0.35">
      <c r="B418" s="40">
        <v>33742</v>
      </c>
      <c r="C418" s="39">
        <v>1758.4</v>
      </c>
      <c r="D418" s="219">
        <f t="shared" si="47"/>
        <v>1.9699129467551577E-2</v>
      </c>
      <c r="F418" s="40">
        <v>33742</v>
      </c>
      <c r="G418" s="39">
        <v>1758.4</v>
      </c>
      <c r="H418" s="39">
        <f t="shared" si="42"/>
        <v>1</v>
      </c>
      <c r="I418" s="39">
        <f t="shared" si="43"/>
        <v>0</v>
      </c>
      <c r="K418" s="40">
        <v>35755</v>
      </c>
      <c r="L418" s="39">
        <v>3941.9</v>
      </c>
      <c r="M418" s="39">
        <v>5</v>
      </c>
      <c r="N418" s="39">
        <v>3941.9</v>
      </c>
      <c r="O418" s="219">
        <f t="shared" si="48"/>
        <v>6.964722983583195E-2</v>
      </c>
      <c r="Q418" s="40">
        <v>33742</v>
      </c>
      <c r="R418" s="39">
        <v>1758.4</v>
      </c>
      <c r="S418" s="39">
        <f t="shared" si="44"/>
        <v>5</v>
      </c>
      <c r="T418" s="39">
        <f t="shared" si="45"/>
        <v>0</v>
      </c>
      <c r="U418" s="39">
        <f t="shared" si="46"/>
        <v>0</v>
      </c>
      <c r="V418" s="40"/>
    </row>
    <row r="419" spans="2:22" x14ac:dyDescent="0.35">
      <c r="B419" s="40">
        <v>33743</v>
      </c>
      <c r="C419" s="39">
        <v>1763.3</v>
      </c>
      <c r="D419" s="219">
        <f t="shared" si="47"/>
        <v>2.782748764520717E-3</v>
      </c>
      <c r="F419" s="40">
        <v>33743</v>
      </c>
      <c r="G419" s="39">
        <v>1763.3</v>
      </c>
      <c r="H419" s="39">
        <f t="shared" si="42"/>
        <v>2</v>
      </c>
      <c r="I419" s="39">
        <f t="shared" si="43"/>
        <v>0</v>
      </c>
      <c r="K419" s="40">
        <v>35762</v>
      </c>
      <c r="L419" s="39">
        <v>3972.1</v>
      </c>
      <c r="M419" s="39">
        <v>5</v>
      </c>
      <c r="N419" s="39">
        <v>3972.1</v>
      </c>
      <c r="O419" s="219">
        <f t="shared" si="48"/>
        <v>7.6320815244730255E-3</v>
      </c>
      <c r="Q419" s="40">
        <v>33743</v>
      </c>
      <c r="R419" s="39">
        <v>1763.3</v>
      </c>
      <c r="S419" s="39">
        <f t="shared" si="44"/>
        <v>5</v>
      </c>
      <c r="T419" s="39">
        <f t="shared" si="45"/>
        <v>0</v>
      </c>
      <c r="U419" s="39">
        <f t="shared" si="46"/>
        <v>0</v>
      </c>
      <c r="V419" s="40"/>
    </row>
    <row r="420" spans="2:22" x14ac:dyDescent="0.35">
      <c r="B420" s="40">
        <v>33744</v>
      </c>
      <c r="C420" s="39">
        <v>1787.5</v>
      </c>
      <c r="D420" s="219">
        <f t="shared" si="47"/>
        <v>1.3630942154284969E-2</v>
      </c>
      <c r="F420" s="40">
        <v>33744</v>
      </c>
      <c r="G420" s="39">
        <v>1787.5</v>
      </c>
      <c r="H420" s="39">
        <f t="shared" si="42"/>
        <v>3</v>
      </c>
      <c r="I420" s="39">
        <f t="shared" si="43"/>
        <v>0</v>
      </c>
      <c r="K420" s="40">
        <v>35769</v>
      </c>
      <c r="L420" s="39">
        <v>4191.8</v>
      </c>
      <c r="M420" s="39">
        <v>5</v>
      </c>
      <c r="N420" s="39">
        <v>4191.8</v>
      </c>
      <c r="O420" s="219">
        <f t="shared" si="48"/>
        <v>5.3835313857276898E-2</v>
      </c>
      <c r="Q420" s="40">
        <v>33744</v>
      </c>
      <c r="R420" s="39">
        <v>1787.5</v>
      </c>
      <c r="S420" s="39">
        <f t="shared" si="44"/>
        <v>5</v>
      </c>
      <c r="T420" s="39">
        <f t="shared" si="45"/>
        <v>0</v>
      </c>
      <c r="U420" s="39">
        <f t="shared" si="46"/>
        <v>0</v>
      </c>
      <c r="V420" s="40"/>
    </row>
    <row r="421" spans="2:22" x14ac:dyDescent="0.35">
      <c r="B421" s="40">
        <v>33745</v>
      </c>
      <c r="C421" s="39">
        <v>1785.5</v>
      </c>
      <c r="D421" s="219">
        <f t="shared" si="47"/>
        <v>-1.1195075336596094E-3</v>
      </c>
      <c r="F421" s="40">
        <v>33745</v>
      </c>
      <c r="G421" s="39">
        <v>1785.5</v>
      </c>
      <c r="H421" s="39">
        <f t="shared" si="42"/>
        <v>4</v>
      </c>
      <c r="I421" s="39">
        <f t="shared" si="43"/>
        <v>0</v>
      </c>
      <c r="K421" s="40">
        <v>35776</v>
      </c>
      <c r="L421" s="39">
        <v>4061.9</v>
      </c>
      <c r="M421" s="39">
        <v>5</v>
      </c>
      <c r="N421" s="39">
        <v>4061.9</v>
      </c>
      <c r="O421" s="219">
        <f t="shared" si="48"/>
        <v>-3.1479391516341666E-2</v>
      </c>
      <c r="Q421" s="40">
        <v>33745</v>
      </c>
      <c r="R421" s="39">
        <v>1785.5</v>
      </c>
      <c r="S421" s="39">
        <f t="shared" si="44"/>
        <v>5</v>
      </c>
      <c r="T421" s="39">
        <f t="shared" si="45"/>
        <v>0</v>
      </c>
      <c r="U421" s="39">
        <f t="shared" si="46"/>
        <v>0</v>
      </c>
      <c r="V421" s="40"/>
    </row>
    <row r="422" spans="2:22" x14ac:dyDescent="0.35">
      <c r="B422" s="40">
        <v>33746</v>
      </c>
      <c r="C422" s="39">
        <v>1803</v>
      </c>
      <c r="D422" s="219">
        <f t="shared" si="47"/>
        <v>9.7534561688141577E-3</v>
      </c>
      <c r="F422" s="40">
        <v>33746</v>
      </c>
      <c r="G422" s="39">
        <v>1803</v>
      </c>
      <c r="H422" s="39">
        <f t="shared" si="42"/>
        <v>5</v>
      </c>
      <c r="I422" s="39">
        <f t="shared" si="43"/>
        <v>1803</v>
      </c>
      <c r="K422" s="40">
        <v>35783</v>
      </c>
      <c r="L422" s="39">
        <v>4055.4</v>
      </c>
      <c r="M422" s="39">
        <v>5</v>
      </c>
      <c r="N422" s="39">
        <v>4055.4</v>
      </c>
      <c r="O422" s="219">
        <f t="shared" si="48"/>
        <v>-1.6015180883543316E-3</v>
      </c>
      <c r="Q422" s="40">
        <v>33746</v>
      </c>
      <c r="R422" s="39">
        <v>1803</v>
      </c>
      <c r="S422" s="39">
        <f t="shared" si="44"/>
        <v>5</v>
      </c>
      <c r="T422" s="39">
        <f t="shared" si="45"/>
        <v>0</v>
      </c>
      <c r="U422" s="39">
        <f t="shared" si="46"/>
        <v>0</v>
      </c>
      <c r="V422" s="40"/>
    </row>
    <row r="423" spans="2:22" x14ac:dyDescent="0.35">
      <c r="B423" s="40">
        <v>33749</v>
      </c>
      <c r="C423" s="39">
        <v>1811.6</v>
      </c>
      <c r="D423" s="219">
        <f t="shared" si="47"/>
        <v>4.7584884787414414E-3</v>
      </c>
      <c r="F423" s="40">
        <v>33749</v>
      </c>
      <c r="G423" s="39">
        <v>1811.6</v>
      </c>
      <c r="H423" s="39">
        <f t="shared" si="42"/>
        <v>1</v>
      </c>
      <c r="I423" s="39">
        <f t="shared" si="43"/>
        <v>0</v>
      </c>
      <c r="K423" s="40">
        <v>35787</v>
      </c>
      <c r="L423" s="39">
        <v>4132.8</v>
      </c>
      <c r="M423" s="39">
        <v>2</v>
      </c>
      <c r="N423" s="39">
        <v>4132.8</v>
      </c>
      <c r="O423" s="219">
        <f t="shared" si="48"/>
        <v>1.8905817007212521E-2</v>
      </c>
      <c r="Q423" s="40">
        <v>33749</v>
      </c>
      <c r="R423" s="39">
        <v>1811.6</v>
      </c>
      <c r="S423" s="39">
        <f t="shared" si="44"/>
        <v>5</v>
      </c>
      <c r="T423" s="39">
        <f t="shared" si="45"/>
        <v>0</v>
      </c>
      <c r="U423" s="39">
        <f t="shared" si="46"/>
        <v>0</v>
      </c>
      <c r="V423" s="40"/>
    </row>
    <row r="424" spans="2:22" x14ac:dyDescent="0.35">
      <c r="B424" s="40">
        <v>33750</v>
      </c>
      <c r="C424" s="39">
        <v>1806.7</v>
      </c>
      <c r="D424" s="219">
        <f t="shared" si="47"/>
        <v>-2.7084559021772325E-3</v>
      </c>
      <c r="F424" s="40">
        <v>33750</v>
      </c>
      <c r="G424" s="39">
        <v>1806.7</v>
      </c>
      <c r="H424" s="39">
        <f t="shared" si="42"/>
        <v>2</v>
      </c>
      <c r="I424" s="39">
        <f t="shared" si="43"/>
        <v>0</v>
      </c>
      <c r="K424" s="40">
        <v>35797</v>
      </c>
      <c r="L424" s="39">
        <v>4364.3</v>
      </c>
      <c r="M424" s="39">
        <v>5</v>
      </c>
      <c r="N424" s="39">
        <v>4364.3</v>
      </c>
      <c r="O424" s="219">
        <f t="shared" si="48"/>
        <v>5.4502666519917052E-2</v>
      </c>
      <c r="Q424" s="40">
        <v>33750</v>
      </c>
      <c r="R424" s="39">
        <v>1806.7</v>
      </c>
      <c r="S424" s="39">
        <f t="shared" si="44"/>
        <v>5</v>
      </c>
      <c r="T424" s="39">
        <f t="shared" si="45"/>
        <v>0</v>
      </c>
      <c r="U424" s="39">
        <f t="shared" si="46"/>
        <v>0</v>
      </c>
      <c r="V424" s="40"/>
    </row>
    <row r="425" spans="2:22" x14ac:dyDescent="0.35">
      <c r="B425" s="40">
        <v>33751</v>
      </c>
      <c r="C425" s="39">
        <v>1794.1</v>
      </c>
      <c r="D425" s="219">
        <f t="shared" si="47"/>
        <v>-6.9984733545428585E-3</v>
      </c>
      <c r="F425" s="40">
        <v>33751</v>
      </c>
      <c r="G425" s="39">
        <v>1794.1</v>
      </c>
      <c r="H425" s="39">
        <f t="shared" si="42"/>
        <v>3</v>
      </c>
      <c r="I425" s="39">
        <f t="shared" si="43"/>
        <v>0</v>
      </c>
      <c r="K425" s="40">
        <v>35804</v>
      </c>
      <c r="L425" s="39">
        <v>4237.8</v>
      </c>
      <c r="M425" s="39">
        <v>5</v>
      </c>
      <c r="N425" s="39">
        <v>4237.8</v>
      </c>
      <c r="O425" s="219">
        <f t="shared" si="48"/>
        <v>-2.9413543218561492E-2</v>
      </c>
      <c r="Q425" s="40">
        <v>33751</v>
      </c>
      <c r="R425" s="39">
        <v>1794.1</v>
      </c>
      <c r="S425" s="39">
        <f t="shared" si="44"/>
        <v>5</v>
      </c>
      <c r="T425" s="39">
        <f t="shared" si="45"/>
        <v>0</v>
      </c>
      <c r="U425" s="39">
        <f t="shared" si="46"/>
        <v>0</v>
      </c>
      <c r="V425" s="40"/>
    </row>
    <row r="426" spans="2:22" x14ac:dyDescent="0.35">
      <c r="B426" s="40">
        <v>33753</v>
      </c>
      <c r="C426" s="39">
        <v>1803.2</v>
      </c>
      <c r="D426" s="219">
        <f t="shared" si="47"/>
        <v>5.0593608601733064E-3</v>
      </c>
      <c r="F426" s="40">
        <v>33753</v>
      </c>
      <c r="G426" s="39">
        <v>1803.2</v>
      </c>
      <c r="H426" s="39">
        <f t="shared" si="42"/>
        <v>5</v>
      </c>
      <c r="I426" s="39">
        <f t="shared" si="43"/>
        <v>1803.2</v>
      </c>
      <c r="K426" s="40">
        <v>35811</v>
      </c>
      <c r="L426" s="39">
        <v>4216.2</v>
      </c>
      <c r="M426" s="39">
        <v>5</v>
      </c>
      <c r="N426" s="39">
        <v>4216.2</v>
      </c>
      <c r="O426" s="219">
        <f t="shared" si="48"/>
        <v>-5.1100182167245906E-3</v>
      </c>
      <c r="Q426" s="40">
        <v>33753</v>
      </c>
      <c r="R426" s="39">
        <v>1803.2</v>
      </c>
      <c r="S426" s="39">
        <f t="shared" si="44"/>
        <v>5</v>
      </c>
      <c r="T426" s="39">
        <f t="shared" si="45"/>
        <v>1803.2</v>
      </c>
      <c r="U426" s="39">
        <f t="shared" si="46"/>
        <v>1803.2</v>
      </c>
      <c r="V426" s="40"/>
    </row>
    <row r="427" spans="2:22" x14ac:dyDescent="0.35">
      <c r="B427" s="40">
        <v>33756</v>
      </c>
      <c r="C427" s="39">
        <v>1798.1</v>
      </c>
      <c r="D427" s="219">
        <f t="shared" si="47"/>
        <v>-2.8323124479199976E-3</v>
      </c>
      <c r="F427" s="40">
        <v>33756</v>
      </c>
      <c r="G427" s="39">
        <v>1798.1</v>
      </c>
      <c r="H427" s="39">
        <f t="shared" si="42"/>
        <v>1</v>
      </c>
      <c r="I427" s="39">
        <f t="shared" si="43"/>
        <v>0</v>
      </c>
      <c r="K427" s="40">
        <v>35818</v>
      </c>
      <c r="L427" s="39">
        <v>4222.2</v>
      </c>
      <c r="M427" s="39">
        <v>5</v>
      </c>
      <c r="N427" s="39">
        <v>4222.2</v>
      </c>
      <c r="O427" s="219">
        <f t="shared" si="48"/>
        <v>1.4220707743511603E-3</v>
      </c>
      <c r="Q427" s="40">
        <v>33756</v>
      </c>
      <c r="R427" s="39">
        <v>1798.1</v>
      </c>
      <c r="S427" s="39">
        <f t="shared" si="44"/>
        <v>6</v>
      </c>
      <c r="T427" s="39">
        <f t="shared" si="45"/>
        <v>0</v>
      </c>
      <c r="U427" s="39">
        <f t="shared" si="46"/>
        <v>0</v>
      </c>
      <c r="V427" s="40"/>
    </row>
    <row r="428" spans="2:22" x14ac:dyDescent="0.35">
      <c r="B428" s="40">
        <v>33757</v>
      </c>
      <c r="C428" s="39">
        <v>1801.4</v>
      </c>
      <c r="D428" s="219">
        <f t="shared" si="47"/>
        <v>1.8335885120506436E-3</v>
      </c>
      <c r="F428" s="40">
        <v>33757</v>
      </c>
      <c r="G428" s="39">
        <v>1801.4</v>
      </c>
      <c r="H428" s="39">
        <f t="shared" si="42"/>
        <v>2</v>
      </c>
      <c r="I428" s="39">
        <f t="shared" si="43"/>
        <v>0</v>
      </c>
      <c r="K428" s="40">
        <v>35825</v>
      </c>
      <c r="L428" s="39">
        <v>4442.5</v>
      </c>
      <c r="M428" s="39">
        <v>5</v>
      </c>
      <c r="N428" s="39">
        <v>4442.5</v>
      </c>
      <c r="O428" s="219">
        <f t="shared" si="48"/>
        <v>5.0860961828248286E-2</v>
      </c>
      <c r="Q428" s="40">
        <v>33757</v>
      </c>
      <c r="R428" s="39">
        <v>1801.4</v>
      </c>
      <c r="S428" s="39">
        <f t="shared" si="44"/>
        <v>6</v>
      </c>
      <c r="T428" s="39">
        <f t="shared" si="45"/>
        <v>0</v>
      </c>
      <c r="U428" s="39">
        <f t="shared" si="46"/>
        <v>0</v>
      </c>
      <c r="V428" s="40"/>
    </row>
    <row r="429" spans="2:22" x14ac:dyDescent="0.35">
      <c r="B429" s="40">
        <v>33758</v>
      </c>
      <c r="C429" s="39">
        <v>1788.6</v>
      </c>
      <c r="D429" s="219">
        <f t="shared" si="47"/>
        <v>-7.1309494375617838E-3</v>
      </c>
      <c r="F429" s="40">
        <v>33758</v>
      </c>
      <c r="G429" s="39">
        <v>1788.6</v>
      </c>
      <c r="H429" s="39">
        <f t="shared" si="42"/>
        <v>3</v>
      </c>
      <c r="I429" s="39">
        <f t="shared" si="43"/>
        <v>0</v>
      </c>
      <c r="K429" s="40">
        <v>35832</v>
      </c>
      <c r="L429" s="39">
        <v>4536.8999999999996</v>
      </c>
      <c r="M429" s="39">
        <v>5</v>
      </c>
      <c r="N429" s="39">
        <v>4536.8999999999996</v>
      </c>
      <c r="O429" s="219">
        <f t="shared" si="48"/>
        <v>2.1026678395998137E-2</v>
      </c>
      <c r="Q429" s="40">
        <v>33758</v>
      </c>
      <c r="R429" s="39">
        <v>1788.6</v>
      </c>
      <c r="S429" s="39">
        <f t="shared" si="44"/>
        <v>6</v>
      </c>
      <c r="T429" s="39">
        <f t="shared" si="45"/>
        <v>0</v>
      </c>
      <c r="U429" s="39">
        <f t="shared" si="46"/>
        <v>0</v>
      </c>
      <c r="V429" s="40"/>
    </row>
    <row r="430" spans="2:22" x14ac:dyDescent="0.35">
      <c r="B430" s="40">
        <v>33759</v>
      </c>
      <c r="C430" s="39">
        <v>1792.3</v>
      </c>
      <c r="D430" s="219">
        <f t="shared" si="47"/>
        <v>2.0665203254708812E-3</v>
      </c>
      <c r="F430" s="40">
        <v>33759</v>
      </c>
      <c r="G430" s="39">
        <v>1792.3</v>
      </c>
      <c r="H430" s="39">
        <f t="shared" si="42"/>
        <v>4</v>
      </c>
      <c r="I430" s="39">
        <f t="shared" si="43"/>
        <v>0</v>
      </c>
      <c r="K430" s="40">
        <v>35839</v>
      </c>
      <c r="L430" s="39">
        <v>4522.3999999999996</v>
      </c>
      <c r="M430" s="39">
        <v>5</v>
      </c>
      <c r="N430" s="39">
        <v>4522.3999999999996</v>
      </c>
      <c r="O430" s="219">
        <f t="shared" si="48"/>
        <v>-3.2011330637234598E-3</v>
      </c>
      <c r="Q430" s="40">
        <v>33759</v>
      </c>
      <c r="R430" s="39">
        <v>1792.3</v>
      </c>
      <c r="S430" s="39">
        <f t="shared" si="44"/>
        <v>6</v>
      </c>
      <c r="T430" s="39">
        <f t="shared" si="45"/>
        <v>0</v>
      </c>
      <c r="U430" s="39">
        <f t="shared" si="46"/>
        <v>0</v>
      </c>
      <c r="V430" s="40"/>
    </row>
    <row r="431" spans="2:22" x14ac:dyDescent="0.35">
      <c r="B431" s="40">
        <v>33760</v>
      </c>
      <c r="C431" s="39">
        <v>1789.1</v>
      </c>
      <c r="D431" s="219">
        <f t="shared" si="47"/>
        <v>-1.7870111417745316E-3</v>
      </c>
      <c r="F431" s="40">
        <v>33760</v>
      </c>
      <c r="G431" s="39">
        <v>1789.1</v>
      </c>
      <c r="H431" s="39">
        <f t="shared" si="42"/>
        <v>5</v>
      </c>
      <c r="I431" s="39">
        <f t="shared" si="43"/>
        <v>1789.1</v>
      </c>
      <c r="K431" s="40">
        <v>35846</v>
      </c>
      <c r="L431" s="39">
        <v>4583</v>
      </c>
      <c r="M431" s="39">
        <v>5</v>
      </c>
      <c r="N431" s="39">
        <v>4583</v>
      </c>
      <c r="O431" s="219">
        <f t="shared" si="48"/>
        <v>1.3310979148043144E-2</v>
      </c>
      <c r="Q431" s="40">
        <v>33760</v>
      </c>
      <c r="R431" s="39">
        <v>1789.1</v>
      </c>
      <c r="S431" s="39">
        <f t="shared" si="44"/>
        <v>6</v>
      </c>
      <c r="T431" s="39">
        <f t="shared" si="45"/>
        <v>0</v>
      </c>
      <c r="U431" s="39">
        <f t="shared" si="46"/>
        <v>0</v>
      </c>
      <c r="V431" s="40"/>
    </row>
    <row r="432" spans="2:22" x14ac:dyDescent="0.35">
      <c r="B432" s="40">
        <v>33764</v>
      </c>
      <c r="C432" s="39">
        <v>1786.3</v>
      </c>
      <c r="D432" s="219">
        <f t="shared" si="47"/>
        <v>-1.566258640938286E-3</v>
      </c>
      <c r="F432" s="40">
        <v>33764</v>
      </c>
      <c r="G432" s="39">
        <v>1786.3</v>
      </c>
      <c r="H432" s="39">
        <f t="shared" si="42"/>
        <v>2</v>
      </c>
      <c r="I432" s="39">
        <f t="shared" si="43"/>
        <v>0</v>
      </c>
      <c r="K432" s="40">
        <v>35853</v>
      </c>
      <c r="L432" s="39">
        <v>4693.8999999999996</v>
      </c>
      <c r="M432" s="39">
        <v>5</v>
      </c>
      <c r="N432" s="39">
        <v>4693.8999999999996</v>
      </c>
      <c r="O432" s="219">
        <f t="shared" si="48"/>
        <v>2.3909987882840794E-2</v>
      </c>
      <c r="Q432" s="40">
        <v>33764</v>
      </c>
      <c r="R432" s="39">
        <v>1786.3</v>
      </c>
      <c r="S432" s="39">
        <f t="shared" si="44"/>
        <v>6</v>
      </c>
      <c r="T432" s="39">
        <f t="shared" si="45"/>
        <v>0</v>
      </c>
      <c r="U432" s="39">
        <f t="shared" si="46"/>
        <v>0</v>
      </c>
      <c r="V432" s="40"/>
    </row>
    <row r="433" spans="2:22" x14ac:dyDescent="0.35">
      <c r="B433" s="40">
        <v>33765</v>
      </c>
      <c r="C433" s="39">
        <v>1789.8</v>
      </c>
      <c r="D433" s="219">
        <f t="shared" si="47"/>
        <v>1.9574402939189655E-3</v>
      </c>
      <c r="F433" s="40">
        <v>33765</v>
      </c>
      <c r="G433" s="39">
        <v>1789.8</v>
      </c>
      <c r="H433" s="39">
        <f t="shared" si="42"/>
        <v>3</v>
      </c>
      <c r="I433" s="39">
        <f t="shared" si="43"/>
        <v>0</v>
      </c>
      <c r="K433" s="40">
        <v>35860</v>
      </c>
      <c r="L433" s="39">
        <v>4762.7</v>
      </c>
      <c r="M433" s="39">
        <v>5</v>
      </c>
      <c r="N433" s="39">
        <v>4762.7</v>
      </c>
      <c r="O433" s="219">
        <f t="shared" si="48"/>
        <v>1.4550940911893016E-2</v>
      </c>
      <c r="Q433" s="40">
        <v>33765</v>
      </c>
      <c r="R433" s="39">
        <v>1789.8</v>
      </c>
      <c r="S433" s="39">
        <f t="shared" si="44"/>
        <v>6</v>
      </c>
      <c r="T433" s="39">
        <f t="shared" si="45"/>
        <v>0</v>
      </c>
      <c r="U433" s="39">
        <f t="shared" si="46"/>
        <v>0</v>
      </c>
      <c r="V433" s="40"/>
    </row>
    <row r="434" spans="2:22" x14ac:dyDescent="0.35">
      <c r="B434" s="40">
        <v>33766</v>
      </c>
      <c r="C434" s="39">
        <v>1781.8</v>
      </c>
      <c r="D434" s="219">
        <f t="shared" si="47"/>
        <v>-4.4797924622144523E-3</v>
      </c>
      <c r="F434" s="40">
        <v>33766</v>
      </c>
      <c r="G434" s="39">
        <v>1781.8</v>
      </c>
      <c r="H434" s="39">
        <f t="shared" si="42"/>
        <v>4</v>
      </c>
      <c r="I434" s="39">
        <f t="shared" si="43"/>
        <v>0</v>
      </c>
      <c r="K434" s="40">
        <v>35867</v>
      </c>
      <c r="L434" s="39">
        <v>4872.2</v>
      </c>
      <c r="M434" s="39">
        <v>5</v>
      </c>
      <c r="N434" s="39">
        <v>4872.2</v>
      </c>
      <c r="O434" s="219">
        <f t="shared" si="48"/>
        <v>2.2730846146429898E-2</v>
      </c>
      <c r="Q434" s="40">
        <v>33766</v>
      </c>
      <c r="R434" s="39">
        <v>1781.8</v>
      </c>
      <c r="S434" s="39">
        <f t="shared" si="44"/>
        <v>6</v>
      </c>
      <c r="T434" s="39">
        <f t="shared" si="45"/>
        <v>0</v>
      </c>
      <c r="U434" s="39">
        <f t="shared" si="46"/>
        <v>0</v>
      </c>
      <c r="V434" s="40"/>
    </row>
    <row r="435" spans="2:22" x14ac:dyDescent="0.35">
      <c r="B435" s="40">
        <v>33767</v>
      </c>
      <c r="C435" s="39">
        <v>1782.3</v>
      </c>
      <c r="D435" s="219">
        <f t="shared" si="47"/>
        <v>2.8057574326205615E-4</v>
      </c>
      <c r="F435" s="40">
        <v>33767</v>
      </c>
      <c r="G435" s="39">
        <v>1782.3</v>
      </c>
      <c r="H435" s="39">
        <f t="shared" si="42"/>
        <v>5</v>
      </c>
      <c r="I435" s="39">
        <f t="shared" si="43"/>
        <v>1782.3</v>
      </c>
      <c r="K435" s="40">
        <v>35874</v>
      </c>
      <c r="L435" s="39">
        <v>5045.2</v>
      </c>
      <c r="M435" s="39">
        <v>5</v>
      </c>
      <c r="N435" s="39">
        <v>5045.2</v>
      </c>
      <c r="O435" s="219">
        <f t="shared" si="48"/>
        <v>3.4891715762750575E-2</v>
      </c>
      <c r="Q435" s="40">
        <v>33767</v>
      </c>
      <c r="R435" s="39">
        <v>1782.3</v>
      </c>
      <c r="S435" s="39">
        <f t="shared" si="44"/>
        <v>6</v>
      </c>
      <c r="T435" s="39">
        <f t="shared" si="45"/>
        <v>0</v>
      </c>
      <c r="U435" s="39">
        <f t="shared" si="46"/>
        <v>0</v>
      </c>
      <c r="V435" s="40"/>
    </row>
    <row r="436" spans="2:22" x14ac:dyDescent="0.35">
      <c r="B436" s="40">
        <v>33770</v>
      </c>
      <c r="C436" s="39">
        <v>1773.9</v>
      </c>
      <c r="D436" s="219">
        <f t="shared" si="47"/>
        <v>-4.724152534911469E-3</v>
      </c>
      <c r="F436" s="40">
        <v>33770</v>
      </c>
      <c r="G436" s="39">
        <v>1773.9</v>
      </c>
      <c r="H436" s="39">
        <f t="shared" si="42"/>
        <v>1</v>
      </c>
      <c r="I436" s="39">
        <f t="shared" si="43"/>
        <v>0</v>
      </c>
      <c r="K436" s="40">
        <v>35881</v>
      </c>
      <c r="L436" s="39">
        <v>5066.8999999999996</v>
      </c>
      <c r="M436" s="39">
        <v>5</v>
      </c>
      <c r="N436" s="39">
        <v>5066.8999999999996</v>
      </c>
      <c r="O436" s="219">
        <f t="shared" si="48"/>
        <v>4.2918945244089608E-3</v>
      </c>
      <c r="Q436" s="40">
        <v>33770</v>
      </c>
      <c r="R436" s="39">
        <v>1773.9</v>
      </c>
      <c r="S436" s="39">
        <f t="shared" si="44"/>
        <v>6</v>
      </c>
      <c r="T436" s="39">
        <f t="shared" si="45"/>
        <v>0</v>
      </c>
      <c r="U436" s="39">
        <f t="shared" si="46"/>
        <v>0</v>
      </c>
      <c r="V436" s="40"/>
    </row>
    <row r="437" spans="2:22" x14ac:dyDescent="0.35">
      <c r="B437" s="40">
        <v>33771</v>
      </c>
      <c r="C437" s="39">
        <v>1779.1</v>
      </c>
      <c r="D437" s="219">
        <f t="shared" si="47"/>
        <v>2.9271059458358191E-3</v>
      </c>
      <c r="F437" s="40">
        <v>33771</v>
      </c>
      <c r="G437" s="39">
        <v>1779.1</v>
      </c>
      <c r="H437" s="39">
        <f t="shared" si="42"/>
        <v>2</v>
      </c>
      <c r="I437" s="39">
        <f t="shared" si="43"/>
        <v>0</v>
      </c>
      <c r="K437" s="40">
        <v>35888</v>
      </c>
      <c r="L437" s="39">
        <v>5254.3</v>
      </c>
      <c r="M437" s="39">
        <v>5</v>
      </c>
      <c r="N437" s="39">
        <v>5254.3</v>
      </c>
      <c r="O437" s="219">
        <f t="shared" si="48"/>
        <v>3.6317598230806263E-2</v>
      </c>
      <c r="Q437" s="40">
        <v>33771</v>
      </c>
      <c r="R437" s="39">
        <v>1779.1</v>
      </c>
      <c r="S437" s="39">
        <f t="shared" si="44"/>
        <v>6</v>
      </c>
      <c r="T437" s="39">
        <f t="shared" si="45"/>
        <v>0</v>
      </c>
      <c r="U437" s="39">
        <f t="shared" si="46"/>
        <v>0</v>
      </c>
      <c r="V437" s="40"/>
    </row>
    <row r="438" spans="2:22" x14ac:dyDescent="0.35">
      <c r="B438" s="40">
        <v>33772</v>
      </c>
      <c r="C438" s="39">
        <v>1771.8</v>
      </c>
      <c r="D438" s="219">
        <f t="shared" si="47"/>
        <v>-4.1116394627978394E-3</v>
      </c>
      <c r="F438" s="40">
        <v>33772</v>
      </c>
      <c r="G438" s="39">
        <v>1771.8</v>
      </c>
      <c r="H438" s="39">
        <f t="shared" si="42"/>
        <v>3</v>
      </c>
      <c r="I438" s="39">
        <f t="shared" si="43"/>
        <v>0</v>
      </c>
      <c r="K438" s="40">
        <v>35894</v>
      </c>
      <c r="L438" s="39">
        <v>5312.3</v>
      </c>
      <c r="M438" s="39">
        <v>4</v>
      </c>
      <c r="N438" s="39">
        <v>5312.3</v>
      </c>
      <c r="O438" s="219">
        <f t="shared" si="48"/>
        <v>1.0978097496927342E-2</v>
      </c>
      <c r="Q438" s="40">
        <v>33772</v>
      </c>
      <c r="R438" s="39">
        <v>1771.8</v>
      </c>
      <c r="S438" s="39">
        <f t="shared" si="44"/>
        <v>6</v>
      </c>
      <c r="T438" s="39">
        <f t="shared" si="45"/>
        <v>0</v>
      </c>
      <c r="U438" s="39">
        <f t="shared" si="46"/>
        <v>0</v>
      </c>
      <c r="V438" s="40"/>
    </row>
    <row r="439" spans="2:22" x14ac:dyDescent="0.35">
      <c r="B439" s="40">
        <v>33774</v>
      </c>
      <c r="C439" s="39">
        <v>1772.9</v>
      </c>
      <c r="D439" s="219">
        <f t="shared" si="47"/>
        <v>6.2064492640287678E-4</v>
      </c>
      <c r="F439" s="40">
        <v>33774</v>
      </c>
      <c r="G439" s="39">
        <v>1772.9</v>
      </c>
      <c r="H439" s="39">
        <f t="shared" ref="H439:H502" si="49">WEEKDAY(F439,2)</f>
        <v>5</v>
      </c>
      <c r="I439" s="39">
        <f t="shared" ref="I439:I502" si="50">IF(H439&gt;H440,G439,0)</f>
        <v>1772.9</v>
      </c>
      <c r="K439" s="40">
        <v>35902</v>
      </c>
      <c r="L439" s="39">
        <v>5326.6</v>
      </c>
      <c r="M439" s="39">
        <v>5</v>
      </c>
      <c r="N439" s="39">
        <v>5326.6</v>
      </c>
      <c r="O439" s="219">
        <f t="shared" si="48"/>
        <v>2.6882494640986391E-3</v>
      </c>
      <c r="Q439" s="40">
        <v>33774</v>
      </c>
      <c r="R439" s="39">
        <v>1772.9</v>
      </c>
      <c r="S439" s="39">
        <f t="shared" ref="S439:S502" si="51">MONTH(Q439)</f>
        <v>6</v>
      </c>
      <c r="T439" s="39">
        <f t="shared" ref="T439:T502" si="52">IF(S440&lt;&gt;S439,R439,0)</f>
        <v>0</v>
      </c>
      <c r="U439" s="39">
        <f t="shared" ref="U439:U502" si="53">IF(S440=S439,0,R439)</f>
        <v>0</v>
      </c>
      <c r="V439" s="40"/>
    </row>
    <row r="440" spans="2:22" x14ac:dyDescent="0.35">
      <c r="B440" s="40">
        <v>33777</v>
      </c>
      <c r="C440" s="39">
        <v>1770.6</v>
      </c>
      <c r="D440" s="219">
        <f t="shared" ref="D440:D503" si="54">LN(C440/C439)</f>
        <v>-1.2981517273861437E-3</v>
      </c>
      <c r="F440" s="40">
        <v>33777</v>
      </c>
      <c r="G440" s="39">
        <v>1770.6</v>
      </c>
      <c r="H440" s="39">
        <f t="shared" si="49"/>
        <v>1</v>
      </c>
      <c r="I440" s="39">
        <f t="shared" si="50"/>
        <v>0</v>
      </c>
      <c r="K440" s="40">
        <v>35909</v>
      </c>
      <c r="L440" s="39">
        <v>5144.3999999999996</v>
      </c>
      <c r="M440" s="39">
        <v>5</v>
      </c>
      <c r="N440" s="39">
        <v>5144.3999999999996</v>
      </c>
      <c r="O440" s="219">
        <f t="shared" ref="O440:O503" si="55">LN(N440/N439)</f>
        <v>-3.48043915373474E-2</v>
      </c>
      <c r="Q440" s="40">
        <v>33777</v>
      </c>
      <c r="R440" s="39">
        <v>1770.6</v>
      </c>
      <c r="S440" s="39">
        <f t="shared" si="51"/>
        <v>6</v>
      </c>
      <c r="T440" s="39">
        <f t="shared" si="52"/>
        <v>0</v>
      </c>
      <c r="U440" s="39">
        <f t="shared" si="53"/>
        <v>0</v>
      </c>
      <c r="V440" s="40"/>
    </row>
    <row r="441" spans="2:22" x14ac:dyDescent="0.35">
      <c r="B441" s="40">
        <v>33778</v>
      </c>
      <c r="C441" s="39">
        <v>1771.1</v>
      </c>
      <c r="D441" s="219">
        <f t="shared" si="54"/>
        <v>2.8235028563783257E-4</v>
      </c>
      <c r="F441" s="40">
        <v>33778</v>
      </c>
      <c r="G441" s="39">
        <v>1771.1</v>
      </c>
      <c r="H441" s="39">
        <f t="shared" si="49"/>
        <v>2</v>
      </c>
      <c r="I441" s="39">
        <f t="shared" si="50"/>
        <v>0</v>
      </c>
      <c r="K441" s="40">
        <v>35915</v>
      </c>
      <c r="L441" s="39">
        <v>5107.4399999999996</v>
      </c>
      <c r="M441" s="39">
        <v>4</v>
      </c>
      <c r="N441" s="39">
        <v>5107.4399999999996</v>
      </c>
      <c r="O441" s="219">
        <f t="shared" si="55"/>
        <v>-7.2104441994058381E-3</v>
      </c>
      <c r="Q441" s="40">
        <v>33778</v>
      </c>
      <c r="R441" s="39">
        <v>1771.1</v>
      </c>
      <c r="S441" s="39">
        <f t="shared" si="51"/>
        <v>6</v>
      </c>
      <c r="T441" s="39">
        <f t="shared" si="52"/>
        <v>0</v>
      </c>
      <c r="U441" s="39">
        <f t="shared" si="53"/>
        <v>0</v>
      </c>
      <c r="V441" s="40"/>
    </row>
    <row r="442" spans="2:22" x14ac:dyDescent="0.35">
      <c r="B442" s="40">
        <v>33779</v>
      </c>
      <c r="C442" s="39">
        <v>1768.5</v>
      </c>
      <c r="D442" s="219">
        <f t="shared" si="54"/>
        <v>-1.4690928170511997E-3</v>
      </c>
      <c r="F442" s="40">
        <v>33779</v>
      </c>
      <c r="G442" s="39">
        <v>1768.5</v>
      </c>
      <c r="H442" s="39">
        <f t="shared" si="49"/>
        <v>3</v>
      </c>
      <c r="I442" s="39">
        <f t="shared" si="50"/>
        <v>0</v>
      </c>
      <c r="K442" s="40">
        <v>35923</v>
      </c>
      <c r="L442" s="39">
        <v>5257.58</v>
      </c>
      <c r="M442" s="39">
        <v>5</v>
      </c>
      <c r="N442" s="39">
        <v>5257.58</v>
      </c>
      <c r="O442" s="219">
        <f t="shared" si="55"/>
        <v>2.897254462614586E-2</v>
      </c>
      <c r="Q442" s="40">
        <v>33779</v>
      </c>
      <c r="R442" s="39">
        <v>1768.5</v>
      </c>
      <c r="S442" s="39">
        <f t="shared" si="51"/>
        <v>6</v>
      </c>
      <c r="T442" s="39">
        <f t="shared" si="52"/>
        <v>0</v>
      </c>
      <c r="U442" s="39">
        <f t="shared" si="53"/>
        <v>0</v>
      </c>
      <c r="V442" s="40"/>
    </row>
    <row r="443" spans="2:22" x14ac:dyDescent="0.35">
      <c r="B443" s="40">
        <v>33780</v>
      </c>
      <c r="C443" s="39">
        <v>1764.9</v>
      </c>
      <c r="D443" s="219">
        <f t="shared" si="54"/>
        <v>-2.0376981070152388E-3</v>
      </c>
      <c r="F443" s="40">
        <v>33780</v>
      </c>
      <c r="G443" s="39">
        <v>1764.9</v>
      </c>
      <c r="H443" s="39">
        <f t="shared" si="49"/>
        <v>4</v>
      </c>
      <c r="I443" s="39">
        <f t="shared" si="50"/>
        <v>0</v>
      </c>
      <c r="K443" s="40">
        <v>35930</v>
      </c>
      <c r="L443" s="39">
        <v>5393.14</v>
      </c>
      <c r="M443" s="39">
        <v>5</v>
      </c>
      <c r="N443" s="39">
        <v>5393.14</v>
      </c>
      <c r="O443" s="219">
        <f t="shared" si="55"/>
        <v>2.5456930758841253E-2</v>
      </c>
      <c r="Q443" s="40">
        <v>33780</v>
      </c>
      <c r="R443" s="39">
        <v>1764.9</v>
      </c>
      <c r="S443" s="39">
        <f t="shared" si="51"/>
        <v>6</v>
      </c>
      <c r="T443" s="39">
        <f t="shared" si="52"/>
        <v>0</v>
      </c>
      <c r="U443" s="39">
        <f t="shared" si="53"/>
        <v>0</v>
      </c>
      <c r="V443" s="40"/>
    </row>
    <row r="444" spans="2:22" x14ac:dyDescent="0.35">
      <c r="B444" s="40">
        <v>33781</v>
      </c>
      <c r="C444" s="39">
        <v>1754.1</v>
      </c>
      <c r="D444" s="219">
        <f t="shared" si="54"/>
        <v>-6.1381266887855414E-3</v>
      </c>
      <c r="F444" s="40">
        <v>33781</v>
      </c>
      <c r="G444" s="39">
        <v>1754.1</v>
      </c>
      <c r="H444" s="39">
        <f t="shared" si="49"/>
        <v>5</v>
      </c>
      <c r="I444" s="39">
        <f t="shared" si="50"/>
        <v>1754.1</v>
      </c>
      <c r="K444" s="40">
        <v>35937</v>
      </c>
      <c r="L444" s="39">
        <v>5564.21</v>
      </c>
      <c r="M444" s="39">
        <v>5</v>
      </c>
      <c r="N444" s="39">
        <v>5564.21</v>
      </c>
      <c r="O444" s="219">
        <f t="shared" si="55"/>
        <v>3.122724038478604E-2</v>
      </c>
      <c r="Q444" s="40">
        <v>33781</v>
      </c>
      <c r="R444" s="39">
        <v>1754.1</v>
      </c>
      <c r="S444" s="39">
        <f t="shared" si="51"/>
        <v>6</v>
      </c>
      <c r="T444" s="39">
        <f t="shared" si="52"/>
        <v>0</v>
      </c>
      <c r="U444" s="39">
        <f t="shared" si="53"/>
        <v>0</v>
      </c>
      <c r="V444" s="40"/>
    </row>
    <row r="445" spans="2:22" x14ac:dyDescent="0.35">
      <c r="B445" s="40">
        <v>33784</v>
      </c>
      <c r="C445" s="39">
        <v>1757.1</v>
      </c>
      <c r="D445" s="219">
        <f t="shared" si="54"/>
        <v>1.7088179141117653E-3</v>
      </c>
      <c r="F445" s="40">
        <v>33784</v>
      </c>
      <c r="G445" s="39">
        <v>1757.1</v>
      </c>
      <c r="H445" s="39">
        <f t="shared" si="49"/>
        <v>1</v>
      </c>
      <c r="I445" s="39">
        <f t="shared" si="50"/>
        <v>0</v>
      </c>
      <c r="K445" s="40">
        <v>35944</v>
      </c>
      <c r="L445" s="39">
        <v>5569.08</v>
      </c>
      <c r="M445" s="39">
        <v>5</v>
      </c>
      <c r="N445" s="39">
        <v>5569.08</v>
      </c>
      <c r="O445" s="219">
        <f t="shared" si="55"/>
        <v>8.7485376031929622E-4</v>
      </c>
      <c r="Q445" s="40">
        <v>33784</v>
      </c>
      <c r="R445" s="39">
        <v>1757.1</v>
      </c>
      <c r="S445" s="39">
        <f t="shared" si="51"/>
        <v>6</v>
      </c>
      <c r="T445" s="39">
        <f t="shared" si="52"/>
        <v>0</v>
      </c>
      <c r="U445" s="39">
        <f t="shared" si="53"/>
        <v>0</v>
      </c>
      <c r="V445" s="40"/>
    </row>
    <row r="446" spans="2:22" x14ac:dyDescent="0.35">
      <c r="B446" s="40">
        <v>33785</v>
      </c>
      <c r="C446" s="39">
        <v>1752.6</v>
      </c>
      <c r="D446" s="219">
        <f t="shared" si="54"/>
        <v>-2.5643231420959881E-3</v>
      </c>
      <c r="F446" s="40">
        <v>33785</v>
      </c>
      <c r="G446" s="39">
        <v>1752.6</v>
      </c>
      <c r="H446" s="39">
        <f t="shared" si="49"/>
        <v>2</v>
      </c>
      <c r="I446" s="39">
        <f t="shared" si="50"/>
        <v>0</v>
      </c>
      <c r="K446" s="40">
        <v>35951</v>
      </c>
      <c r="L446" s="39">
        <v>5688.5</v>
      </c>
      <c r="M446" s="39">
        <v>5</v>
      </c>
      <c r="N446" s="39">
        <v>5688.5</v>
      </c>
      <c r="O446" s="219">
        <f t="shared" si="55"/>
        <v>2.1216723257153104E-2</v>
      </c>
      <c r="Q446" s="40">
        <v>33785</v>
      </c>
      <c r="R446" s="39">
        <v>1752.6</v>
      </c>
      <c r="S446" s="39">
        <f t="shared" si="51"/>
        <v>6</v>
      </c>
      <c r="T446" s="39">
        <f t="shared" si="52"/>
        <v>1752.6</v>
      </c>
      <c r="U446" s="39">
        <f t="shared" si="53"/>
        <v>1752.6</v>
      </c>
      <c r="V446" s="40"/>
    </row>
    <row r="447" spans="2:22" x14ac:dyDescent="0.35">
      <c r="B447" s="40">
        <v>33786</v>
      </c>
      <c r="C447" s="39">
        <v>1756.3</v>
      </c>
      <c r="D447" s="219">
        <f t="shared" si="54"/>
        <v>2.1089238059395538E-3</v>
      </c>
      <c r="F447" s="40">
        <v>33786</v>
      </c>
      <c r="G447" s="39">
        <v>1756.3</v>
      </c>
      <c r="H447" s="39">
        <f t="shared" si="49"/>
        <v>3</v>
      </c>
      <c r="I447" s="39">
        <f t="shared" si="50"/>
        <v>0</v>
      </c>
      <c r="K447" s="40">
        <v>35958</v>
      </c>
      <c r="L447" s="39">
        <v>5670.83</v>
      </c>
      <c r="M447" s="39">
        <v>5</v>
      </c>
      <c r="N447" s="39">
        <v>5670.83</v>
      </c>
      <c r="O447" s="219">
        <f t="shared" si="55"/>
        <v>-3.1111014914181009E-3</v>
      </c>
      <c r="Q447" s="40">
        <v>33786</v>
      </c>
      <c r="R447" s="39">
        <v>1756.3</v>
      </c>
      <c r="S447" s="39">
        <f t="shared" si="51"/>
        <v>7</v>
      </c>
      <c r="T447" s="39">
        <f t="shared" si="52"/>
        <v>0</v>
      </c>
      <c r="U447" s="39">
        <f t="shared" si="53"/>
        <v>0</v>
      </c>
      <c r="V447" s="40"/>
    </row>
    <row r="448" spans="2:22" x14ac:dyDescent="0.35">
      <c r="B448" s="40">
        <v>33787</v>
      </c>
      <c r="C448" s="39">
        <v>1768.6</v>
      </c>
      <c r="D448" s="219">
        <f t="shared" si="54"/>
        <v>6.9789497139447071E-3</v>
      </c>
      <c r="F448" s="40">
        <v>33787</v>
      </c>
      <c r="G448" s="39">
        <v>1768.6</v>
      </c>
      <c r="H448" s="39">
        <f t="shared" si="49"/>
        <v>4</v>
      </c>
      <c r="I448" s="39">
        <f t="shared" si="50"/>
        <v>0</v>
      </c>
      <c r="K448" s="40">
        <v>35965</v>
      </c>
      <c r="L448" s="39">
        <v>5702.61</v>
      </c>
      <c r="M448" s="39">
        <v>5</v>
      </c>
      <c r="N448" s="39">
        <v>5702.61</v>
      </c>
      <c r="O448" s="219">
        <f t="shared" si="55"/>
        <v>5.5884732693264293E-3</v>
      </c>
      <c r="Q448" s="40">
        <v>33787</v>
      </c>
      <c r="R448" s="39">
        <v>1768.6</v>
      </c>
      <c r="S448" s="39">
        <f t="shared" si="51"/>
        <v>7</v>
      </c>
      <c r="T448" s="39">
        <f t="shared" si="52"/>
        <v>0</v>
      </c>
      <c r="U448" s="39">
        <f t="shared" si="53"/>
        <v>0</v>
      </c>
      <c r="V448" s="40"/>
    </row>
    <row r="449" spans="2:22" x14ac:dyDescent="0.35">
      <c r="B449" s="40">
        <v>33788</v>
      </c>
      <c r="C449" s="39">
        <v>1777</v>
      </c>
      <c r="D449" s="219">
        <f t="shared" si="54"/>
        <v>4.7382760130166533E-3</v>
      </c>
      <c r="F449" s="40">
        <v>33788</v>
      </c>
      <c r="G449" s="39">
        <v>1777</v>
      </c>
      <c r="H449" s="39">
        <f t="shared" si="49"/>
        <v>5</v>
      </c>
      <c r="I449" s="39">
        <f t="shared" si="50"/>
        <v>1777</v>
      </c>
      <c r="K449" s="40">
        <v>35972</v>
      </c>
      <c r="L449" s="39">
        <v>5870.42</v>
      </c>
      <c r="M449" s="39">
        <v>5</v>
      </c>
      <c r="N449" s="39">
        <v>5870.42</v>
      </c>
      <c r="O449" s="219">
        <f t="shared" si="55"/>
        <v>2.9002216760401812E-2</v>
      </c>
      <c r="Q449" s="40">
        <v>33788</v>
      </c>
      <c r="R449" s="39">
        <v>1777</v>
      </c>
      <c r="S449" s="39">
        <f t="shared" si="51"/>
        <v>7</v>
      </c>
      <c r="T449" s="39">
        <f t="shared" si="52"/>
        <v>0</v>
      </c>
      <c r="U449" s="39">
        <f t="shared" si="53"/>
        <v>0</v>
      </c>
      <c r="V449" s="40"/>
    </row>
    <row r="450" spans="2:22" x14ac:dyDescent="0.35">
      <c r="B450" s="40">
        <v>33791</v>
      </c>
      <c r="C450" s="39">
        <v>1772.4</v>
      </c>
      <c r="D450" s="219">
        <f t="shared" si="54"/>
        <v>-2.5919888293168226E-3</v>
      </c>
      <c r="F450" s="40">
        <v>33791</v>
      </c>
      <c r="G450" s="39">
        <v>1772.4</v>
      </c>
      <c r="H450" s="39">
        <f t="shared" si="49"/>
        <v>1</v>
      </c>
      <c r="I450" s="39">
        <f t="shared" si="50"/>
        <v>0</v>
      </c>
      <c r="K450" s="40">
        <v>35979</v>
      </c>
      <c r="L450" s="39">
        <v>5953.16</v>
      </c>
      <c r="M450" s="39">
        <v>5</v>
      </c>
      <c r="N450" s="39">
        <v>5953.16</v>
      </c>
      <c r="O450" s="219">
        <f t="shared" si="55"/>
        <v>1.3995989478893751E-2</v>
      </c>
      <c r="Q450" s="40">
        <v>33791</v>
      </c>
      <c r="R450" s="39">
        <v>1772.4</v>
      </c>
      <c r="S450" s="39">
        <f t="shared" si="51"/>
        <v>7</v>
      </c>
      <c r="T450" s="39">
        <f t="shared" si="52"/>
        <v>0</v>
      </c>
      <c r="U450" s="39">
        <f t="shared" si="53"/>
        <v>0</v>
      </c>
      <c r="V450" s="40"/>
    </row>
    <row r="451" spans="2:22" x14ac:dyDescent="0.35">
      <c r="B451" s="40">
        <v>33792</v>
      </c>
      <c r="C451" s="39">
        <v>1767.5</v>
      </c>
      <c r="D451" s="219">
        <f t="shared" si="54"/>
        <v>-2.7684415546066995E-3</v>
      </c>
      <c r="F451" s="40">
        <v>33792</v>
      </c>
      <c r="G451" s="39">
        <v>1767.5</v>
      </c>
      <c r="H451" s="39">
        <f t="shared" si="49"/>
        <v>2</v>
      </c>
      <c r="I451" s="39">
        <f t="shared" si="50"/>
        <v>0</v>
      </c>
      <c r="K451" s="40">
        <v>35986</v>
      </c>
      <c r="L451" s="39">
        <v>5982.42</v>
      </c>
      <c r="M451" s="39">
        <v>5</v>
      </c>
      <c r="N451" s="39">
        <v>5982.42</v>
      </c>
      <c r="O451" s="219">
        <f t="shared" si="55"/>
        <v>4.9029973601628241E-3</v>
      </c>
      <c r="Q451" s="40">
        <v>33792</v>
      </c>
      <c r="R451" s="39">
        <v>1767.5</v>
      </c>
      <c r="S451" s="39">
        <f t="shared" si="51"/>
        <v>7</v>
      </c>
      <c r="T451" s="39">
        <f t="shared" si="52"/>
        <v>0</v>
      </c>
      <c r="U451" s="39">
        <f t="shared" si="53"/>
        <v>0</v>
      </c>
      <c r="V451" s="40"/>
    </row>
    <row r="452" spans="2:22" x14ac:dyDescent="0.35">
      <c r="B452" s="40">
        <v>33793</v>
      </c>
      <c r="C452" s="39">
        <v>1751.2</v>
      </c>
      <c r="D452" s="219">
        <f t="shared" si="54"/>
        <v>-9.2648515620746136E-3</v>
      </c>
      <c r="F452" s="40">
        <v>33793</v>
      </c>
      <c r="G452" s="39">
        <v>1751.2</v>
      </c>
      <c r="H452" s="39">
        <f t="shared" si="49"/>
        <v>3</v>
      </c>
      <c r="I452" s="39">
        <f t="shared" si="50"/>
        <v>0</v>
      </c>
      <c r="K452" s="40">
        <v>35993</v>
      </c>
      <c r="L452" s="39">
        <v>6147.87</v>
      </c>
      <c r="M452" s="39">
        <v>5</v>
      </c>
      <c r="N452" s="39">
        <v>6147.87</v>
      </c>
      <c r="O452" s="219">
        <f t="shared" si="55"/>
        <v>2.7280511989954428E-2</v>
      </c>
      <c r="Q452" s="40">
        <v>33793</v>
      </c>
      <c r="R452" s="39">
        <v>1751.2</v>
      </c>
      <c r="S452" s="39">
        <f t="shared" si="51"/>
        <v>7</v>
      </c>
      <c r="T452" s="39">
        <f t="shared" si="52"/>
        <v>0</v>
      </c>
      <c r="U452" s="39">
        <f t="shared" si="53"/>
        <v>0</v>
      </c>
      <c r="V452" s="40"/>
    </row>
    <row r="453" spans="2:22" x14ac:dyDescent="0.35">
      <c r="B453" s="40">
        <v>33794</v>
      </c>
      <c r="C453" s="39">
        <v>1757.6</v>
      </c>
      <c r="D453" s="219">
        <f t="shared" si="54"/>
        <v>3.6479748617472643E-3</v>
      </c>
      <c r="F453" s="40">
        <v>33794</v>
      </c>
      <c r="G453" s="39">
        <v>1757.6</v>
      </c>
      <c r="H453" s="39">
        <f t="shared" si="49"/>
        <v>4</v>
      </c>
      <c r="I453" s="39">
        <f t="shared" si="50"/>
        <v>0</v>
      </c>
      <c r="K453" s="40">
        <v>36000</v>
      </c>
      <c r="L453" s="39">
        <v>6035.28</v>
      </c>
      <c r="M453" s="39">
        <v>5</v>
      </c>
      <c r="N453" s="39">
        <v>6035.28</v>
      </c>
      <c r="O453" s="219">
        <f t="shared" si="55"/>
        <v>-1.848343086852481E-2</v>
      </c>
      <c r="Q453" s="40">
        <v>33794</v>
      </c>
      <c r="R453" s="39">
        <v>1757.6</v>
      </c>
      <c r="S453" s="39">
        <f t="shared" si="51"/>
        <v>7</v>
      </c>
      <c r="T453" s="39">
        <f t="shared" si="52"/>
        <v>0</v>
      </c>
      <c r="U453" s="39">
        <f t="shared" si="53"/>
        <v>0</v>
      </c>
      <c r="V453" s="40"/>
    </row>
    <row r="454" spans="2:22" x14ac:dyDescent="0.35">
      <c r="B454" s="40">
        <v>33795</v>
      </c>
      <c r="C454" s="39">
        <v>1754.5</v>
      </c>
      <c r="D454" s="219">
        <f t="shared" si="54"/>
        <v>-1.7653260471305764E-3</v>
      </c>
      <c r="F454" s="40">
        <v>33795</v>
      </c>
      <c r="G454" s="39">
        <v>1754.5</v>
      </c>
      <c r="H454" s="39">
        <f t="shared" si="49"/>
        <v>5</v>
      </c>
      <c r="I454" s="39">
        <f t="shared" si="50"/>
        <v>1754.5</v>
      </c>
      <c r="K454" s="40">
        <v>36007</v>
      </c>
      <c r="L454" s="39">
        <v>5873.92</v>
      </c>
      <c r="M454" s="39">
        <v>5</v>
      </c>
      <c r="N454" s="39">
        <v>5873.92</v>
      </c>
      <c r="O454" s="219">
        <f t="shared" si="55"/>
        <v>-2.7100036152208386E-2</v>
      </c>
      <c r="Q454" s="40">
        <v>33795</v>
      </c>
      <c r="R454" s="39">
        <v>1754.5</v>
      </c>
      <c r="S454" s="39">
        <f t="shared" si="51"/>
        <v>7</v>
      </c>
      <c r="T454" s="39">
        <f t="shared" si="52"/>
        <v>0</v>
      </c>
      <c r="U454" s="39">
        <f t="shared" si="53"/>
        <v>0</v>
      </c>
      <c r="V454" s="40"/>
    </row>
    <row r="455" spans="2:22" x14ac:dyDescent="0.35">
      <c r="B455" s="40">
        <v>33798</v>
      </c>
      <c r="C455" s="39">
        <v>1736.5</v>
      </c>
      <c r="D455" s="219">
        <f t="shared" si="54"/>
        <v>-1.031232283914112E-2</v>
      </c>
      <c r="F455" s="40">
        <v>33798</v>
      </c>
      <c r="G455" s="39">
        <v>1736.5</v>
      </c>
      <c r="H455" s="39">
        <f t="shared" si="49"/>
        <v>1</v>
      </c>
      <c r="I455" s="39">
        <f t="shared" si="50"/>
        <v>0</v>
      </c>
      <c r="K455" s="40">
        <v>36014</v>
      </c>
      <c r="L455" s="39">
        <v>5581.22</v>
      </c>
      <c r="M455" s="39">
        <v>5</v>
      </c>
      <c r="N455" s="39">
        <v>5581.22</v>
      </c>
      <c r="O455" s="219">
        <f t="shared" si="55"/>
        <v>-5.1114822855973817E-2</v>
      </c>
      <c r="Q455" s="40">
        <v>33798</v>
      </c>
      <c r="R455" s="39">
        <v>1736.5</v>
      </c>
      <c r="S455" s="39">
        <f t="shared" si="51"/>
        <v>7</v>
      </c>
      <c r="T455" s="39">
        <f t="shared" si="52"/>
        <v>0</v>
      </c>
      <c r="U455" s="39">
        <f t="shared" si="53"/>
        <v>0</v>
      </c>
      <c r="V455" s="40"/>
    </row>
    <row r="456" spans="2:22" x14ac:dyDescent="0.35">
      <c r="B456" s="40">
        <v>33799</v>
      </c>
      <c r="C456" s="39">
        <v>1734.1</v>
      </c>
      <c r="D456" s="219">
        <f t="shared" si="54"/>
        <v>-1.3830463796251976E-3</v>
      </c>
      <c r="F456" s="40">
        <v>33799</v>
      </c>
      <c r="G456" s="39">
        <v>1734.1</v>
      </c>
      <c r="H456" s="39">
        <f t="shared" si="49"/>
        <v>2</v>
      </c>
      <c r="I456" s="39">
        <f t="shared" si="50"/>
        <v>0</v>
      </c>
      <c r="K456" s="40">
        <v>36021</v>
      </c>
      <c r="L456" s="39">
        <v>5447.9</v>
      </c>
      <c r="M456" s="39">
        <v>5</v>
      </c>
      <c r="N456" s="39">
        <v>5447.9</v>
      </c>
      <c r="O456" s="219">
        <f t="shared" si="55"/>
        <v>-2.4177177169263958E-2</v>
      </c>
      <c r="Q456" s="40">
        <v>33799</v>
      </c>
      <c r="R456" s="39">
        <v>1734.1</v>
      </c>
      <c r="S456" s="39">
        <f t="shared" si="51"/>
        <v>7</v>
      </c>
      <c r="T456" s="39">
        <f t="shared" si="52"/>
        <v>0</v>
      </c>
      <c r="U456" s="39">
        <f t="shared" si="53"/>
        <v>0</v>
      </c>
      <c r="V456" s="40"/>
    </row>
    <row r="457" spans="2:22" x14ac:dyDescent="0.35">
      <c r="B457" s="40">
        <v>33800</v>
      </c>
      <c r="C457" s="39">
        <v>1734.6</v>
      </c>
      <c r="D457" s="219">
        <f t="shared" si="54"/>
        <v>2.8829244585170359E-4</v>
      </c>
      <c r="F457" s="40">
        <v>33800</v>
      </c>
      <c r="G457" s="39">
        <v>1734.6</v>
      </c>
      <c r="H457" s="39">
        <f t="shared" si="49"/>
        <v>3</v>
      </c>
      <c r="I457" s="39">
        <f t="shared" si="50"/>
        <v>0</v>
      </c>
      <c r="K457" s="40">
        <v>36028</v>
      </c>
      <c r="L457" s="39">
        <v>5163.51</v>
      </c>
      <c r="M457" s="39">
        <v>5</v>
      </c>
      <c r="N457" s="39">
        <v>5163.51</v>
      </c>
      <c r="O457" s="219">
        <f t="shared" si="55"/>
        <v>-5.3613632520675317E-2</v>
      </c>
      <c r="Q457" s="40">
        <v>33800</v>
      </c>
      <c r="R457" s="39">
        <v>1734.6</v>
      </c>
      <c r="S457" s="39">
        <f t="shared" si="51"/>
        <v>7</v>
      </c>
      <c r="T457" s="39">
        <f t="shared" si="52"/>
        <v>0</v>
      </c>
      <c r="U457" s="39">
        <f t="shared" si="53"/>
        <v>0</v>
      </c>
      <c r="V457" s="40"/>
    </row>
    <row r="458" spans="2:22" x14ac:dyDescent="0.35">
      <c r="B458" s="40">
        <v>33801</v>
      </c>
      <c r="C458" s="39">
        <v>1740.5</v>
      </c>
      <c r="D458" s="219">
        <f t="shared" si="54"/>
        <v>3.3955890011383287E-3</v>
      </c>
      <c r="F458" s="40">
        <v>33801</v>
      </c>
      <c r="G458" s="39">
        <v>1740.5</v>
      </c>
      <c r="H458" s="39">
        <f t="shared" si="49"/>
        <v>4</v>
      </c>
      <c r="I458" s="39">
        <f t="shared" si="50"/>
        <v>0</v>
      </c>
      <c r="K458" s="40">
        <v>36035</v>
      </c>
      <c r="L458" s="39">
        <v>4993.54</v>
      </c>
      <c r="M458" s="39">
        <v>5</v>
      </c>
      <c r="N458" s="39">
        <v>4993.54</v>
      </c>
      <c r="O458" s="219">
        <f t="shared" si="55"/>
        <v>-3.3471503715802389E-2</v>
      </c>
      <c r="Q458" s="40">
        <v>33801</v>
      </c>
      <c r="R458" s="39">
        <v>1740.5</v>
      </c>
      <c r="S458" s="39">
        <f t="shared" si="51"/>
        <v>7</v>
      </c>
      <c r="T458" s="39">
        <f t="shared" si="52"/>
        <v>0</v>
      </c>
      <c r="U458" s="39">
        <f t="shared" si="53"/>
        <v>0</v>
      </c>
      <c r="V458" s="40"/>
    </row>
    <row r="459" spans="2:22" x14ac:dyDescent="0.35">
      <c r="B459" s="40">
        <v>33802</v>
      </c>
      <c r="C459" s="39">
        <v>1702.7</v>
      </c>
      <c r="D459" s="219">
        <f t="shared" si="54"/>
        <v>-2.19572018248953E-2</v>
      </c>
      <c r="F459" s="40">
        <v>33802</v>
      </c>
      <c r="G459" s="39">
        <v>1702.7</v>
      </c>
      <c r="H459" s="39">
        <f t="shared" si="49"/>
        <v>5</v>
      </c>
      <c r="I459" s="39">
        <f t="shared" si="50"/>
        <v>1702.7</v>
      </c>
      <c r="K459" s="40">
        <v>36042</v>
      </c>
      <c r="L459" s="39">
        <v>4820.25</v>
      </c>
      <c r="M459" s="39">
        <v>5</v>
      </c>
      <c r="N459" s="39">
        <v>4820.25</v>
      </c>
      <c r="O459" s="219">
        <f t="shared" si="55"/>
        <v>-3.5319283145138415E-2</v>
      </c>
      <c r="Q459" s="40">
        <v>33802</v>
      </c>
      <c r="R459" s="39">
        <v>1702.7</v>
      </c>
      <c r="S459" s="39">
        <f t="shared" si="51"/>
        <v>7</v>
      </c>
      <c r="T459" s="39">
        <f t="shared" si="52"/>
        <v>0</v>
      </c>
      <c r="U459" s="39">
        <f t="shared" si="53"/>
        <v>0</v>
      </c>
      <c r="V459" s="40"/>
    </row>
    <row r="460" spans="2:22" x14ac:dyDescent="0.35">
      <c r="B460" s="40">
        <v>33805</v>
      </c>
      <c r="C460" s="39">
        <v>1649.7</v>
      </c>
      <c r="D460" s="219">
        <f t="shared" si="54"/>
        <v>-3.1621773244719466E-2</v>
      </c>
      <c r="F460" s="40">
        <v>33805</v>
      </c>
      <c r="G460" s="39">
        <v>1649.7</v>
      </c>
      <c r="H460" s="39">
        <f t="shared" si="49"/>
        <v>1</v>
      </c>
      <c r="I460" s="39">
        <f t="shared" si="50"/>
        <v>0</v>
      </c>
      <c r="K460" s="40">
        <v>36049</v>
      </c>
      <c r="L460" s="39">
        <v>4737.1499999999996</v>
      </c>
      <c r="M460" s="39">
        <v>5</v>
      </c>
      <c r="N460" s="39">
        <v>4737.1499999999996</v>
      </c>
      <c r="O460" s="219">
        <f t="shared" si="55"/>
        <v>-1.7390104885952141E-2</v>
      </c>
      <c r="Q460" s="40">
        <v>33805</v>
      </c>
      <c r="R460" s="39">
        <v>1649.7</v>
      </c>
      <c r="S460" s="39">
        <f t="shared" si="51"/>
        <v>7</v>
      </c>
      <c r="T460" s="39">
        <f t="shared" si="52"/>
        <v>0</v>
      </c>
      <c r="U460" s="39">
        <f t="shared" si="53"/>
        <v>0</v>
      </c>
      <c r="V460" s="40"/>
    </row>
    <row r="461" spans="2:22" x14ac:dyDescent="0.35">
      <c r="B461" s="40">
        <v>33806</v>
      </c>
      <c r="C461" s="39">
        <v>1659.8</v>
      </c>
      <c r="D461" s="219">
        <f t="shared" si="54"/>
        <v>6.1036599824688884E-3</v>
      </c>
      <c r="F461" s="40">
        <v>33806</v>
      </c>
      <c r="G461" s="39">
        <v>1659.8</v>
      </c>
      <c r="H461" s="39">
        <f t="shared" si="49"/>
        <v>2</v>
      </c>
      <c r="I461" s="39">
        <f t="shared" si="50"/>
        <v>0</v>
      </c>
      <c r="K461" s="40">
        <v>36056</v>
      </c>
      <c r="L461" s="39">
        <v>4598.58</v>
      </c>
      <c r="M461" s="39">
        <v>5</v>
      </c>
      <c r="N461" s="39">
        <v>4598.58</v>
      </c>
      <c r="O461" s="219">
        <f t="shared" si="55"/>
        <v>-2.9688128864851289E-2</v>
      </c>
      <c r="Q461" s="40">
        <v>33806</v>
      </c>
      <c r="R461" s="39">
        <v>1659.8</v>
      </c>
      <c r="S461" s="39">
        <f t="shared" si="51"/>
        <v>7</v>
      </c>
      <c r="T461" s="39">
        <f t="shared" si="52"/>
        <v>0</v>
      </c>
      <c r="U461" s="39">
        <f t="shared" si="53"/>
        <v>0</v>
      </c>
      <c r="V461" s="40"/>
    </row>
    <row r="462" spans="2:22" x14ac:dyDescent="0.35">
      <c r="B462" s="40">
        <v>33807</v>
      </c>
      <c r="C462" s="39">
        <v>1628.2</v>
      </c>
      <c r="D462" s="219">
        <f t="shared" si="54"/>
        <v>-1.9222003024470153E-2</v>
      </c>
      <c r="F462" s="40">
        <v>33807</v>
      </c>
      <c r="G462" s="39">
        <v>1628.2</v>
      </c>
      <c r="H462" s="39">
        <f t="shared" si="49"/>
        <v>3</v>
      </c>
      <c r="I462" s="39">
        <f t="shared" si="50"/>
        <v>0</v>
      </c>
      <c r="K462" s="40">
        <v>36063</v>
      </c>
      <c r="L462" s="39">
        <v>4561.58</v>
      </c>
      <c r="M462" s="39">
        <v>5</v>
      </c>
      <c r="N462" s="39">
        <v>4561.58</v>
      </c>
      <c r="O462" s="219">
        <f t="shared" si="55"/>
        <v>-8.0785054464228914E-3</v>
      </c>
      <c r="Q462" s="40">
        <v>33807</v>
      </c>
      <c r="R462" s="39">
        <v>1628.2</v>
      </c>
      <c r="S462" s="39">
        <f t="shared" si="51"/>
        <v>7</v>
      </c>
      <c r="T462" s="39">
        <f t="shared" si="52"/>
        <v>0</v>
      </c>
      <c r="U462" s="39">
        <f t="shared" si="53"/>
        <v>0</v>
      </c>
      <c r="V462" s="40"/>
    </row>
    <row r="463" spans="2:22" x14ac:dyDescent="0.35">
      <c r="B463" s="40">
        <v>33808</v>
      </c>
      <c r="C463" s="39">
        <v>1623.4</v>
      </c>
      <c r="D463" s="219">
        <f t="shared" si="54"/>
        <v>-2.9523948128020137E-3</v>
      </c>
      <c r="F463" s="40">
        <v>33808</v>
      </c>
      <c r="G463" s="39">
        <v>1623.4</v>
      </c>
      <c r="H463" s="39">
        <f t="shared" si="49"/>
        <v>4</v>
      </c>
      <c r="I463" s="39">
        <f t="shared" si="50"/>
        <v>0</v>
      </c>
      <c r="K463" s="40">
        <v>36070</v>
      </c>
      <c r="L463" s="39">
        <v>3962.5</v>
      </c>
      <c r="M463" s="39">
        <v>5</v>
      </c>
      <c r="N463" s="39">
        <v>3962.5</v>
      </c>
      <c r="O463" s="219">
        <f t="shared" si="55"/>
        <v>-0.14079391553674286</v>
      </c>
      <c r="Q463" s="40">
        <v>33808</v>
      </c>
      <c r="R463" s="39">
        <v>1623.4</v>
      </c>
      <c r="S463" s="39">
        <f t="shared" si="51"/>
        <v>7</v>
      </c>
      <c r="T463" s="39">
        <f t="shared" si="52"/>
        <v>0</v>
      </c>
      <c r="U463" s="39">
        <f t="shared" si="53"/>
        <v>0</v>
      </c>
      <c r="V463" s="40"/>
    </row>
    <row r="464" spans="2:22" x14ac:dyDescent="0.35">
      <c r="B464" s="40">
        <v>33809</v>
      </c>
      <c r="C464" s="39">
        <v>1610.4</v>
      </c>
      <c r="D464" s="219">
        <f t="shared" si="54"/>
        <v>-8.0401200014935982E-3</v>
      </c>
      <c r="F464" s="40">
        <v>33809</v>
      </c>
      <c r="G464" s="39">
        <v>1610.4</v>
      </c>
      <c r="H464" s="39">
        <f t="shared" si="49"/>
        <v>5</v>
      </c>
      <c r="I464" s="39">
        <f t="shared" si="50"/>
        <v>1610.4</v>
      </c>
      <c r="K464" s="40">
        <v>36077</v>
      </c>
      <c r="L464" s="39">
        <v>3983.65</v>
      </c>
      <c r="M464" s="39">
        <v>5</v>
      </c>
      <c r="N464" s="39">
        <v>3983.65</v>
      </c>
      <c r="O464" s="219">
        <f t="shared" si="55"/>
        <v>5.3233452541695241E-3</v>
      </c>
      <c r="Q464" s="40">
        <v>33809</v>
      </c>
      <c r="R464" s="39">
        <v>1610.4</v>
      </c>
      <c r="S464" s="39">
        <f t="shared" si="51"/>
        <v>7</v>
      </c>
      <c r="T464" s="39">
        <f t="shared" si="52"/>
        <v>0</v>
      </c>
      <c r="U464" s="39">
        <f t="shared" si="53"/>
        <v>0</v>
      </c>
      <c r="V464" s="40"/>
    </row>
    <row r="465" spans="2:22" x14ac:dyDescent="0.35">
      <c r="B465" s="40">
        <v>33812</v>
      </c>
      <c r="C465" s="39">
        <v>1618.1</v>
      </c>
      <c r="D465" s="219">
        <f t="shared" si="54"/>
        <v>4.7700260801805169E-3</v>
      </c>
      <c r="F465" s="40">
        <v>33812</v>
      </c>
      <c r="G465" s="39">
        <v>1618.1</v>
      </c>
      <c r="H465" s="39">
        <f t="shared" si="49"/>
        <v>1</v>
      </c>
      <c r="I465" s="39">
        <f t="shared" si="50"/>
        <v>0</v>
      </c>
      <c r="K465" s="40">
        <v>36084</v>
      </c>
      <c r="L465" s="39">
        <v>4489.1000000000004</v>
      </c>
      <c r="M465" s="39">
        <v>5</v>
      </c>
      <c r="N465" s="39">
        <v>4489.1000000000004</v>
      </c>
      <c r="O465" s="219">
        <f t="shared" si="55"/>
        <v>0.11945375177042505</v>
      </c>
      <c r="Q465" s="40">
        <v>33812</v>
      </c>
      <c r="R465" s="39">
        <v>1618.1</v>
      </c>
      <c r="S465" s="39">
        <f t="shared" si="51"/>
        <v>7</v>
      </c>
      <c r="T465" s="39">
        <f t="shared" si="52"/>
        <v>0</v>
      </c>
      <c r="U465" s="39">
        <f t="shared" si="53"/>
        <v>0</v>
      </c>
      <c r="V465" s="40"/>
    </row>
    <row r="466" spans="2:22" x14ac:dyDescent="0.35">
      <c r="B466" s="40">
        <v>33813</v>
      </c>
      <c r="C466" s="39">
        <v>1610.6</v>
      </c>
      <c r="D466" s="219">
        <f t="shared" si="54"/>
        <v>-4.6458410443178423E-3</v>
      </c>
      <c r="F466" s="40">
        <v>33813</v>
      </c>
      <c r="G466" s="39">
        <v>1610.6</v>
      </c>
      <c r="H466" s="39">
        <f t="shared" si="49"/>
        <v>2</v>
      </c>
      <c r="I466" s="39">
        <f t="shared" si="50"/>
        <v>0</v>
      </c>
      <c r="K466" s="40">
        <v>36091</v>
      </c>
      <c r="L466" s="39">
        <v>4451.09</v>
      </c>
      <c r="M466" s="39">
        <v>5</v>
      </c>
      <c r="N466" s="39">
        <v>4451.09</v>
      </c>
      <c r="O466" s="219">
        <f t="shared" si="55"/>
        <v>-8.5032262234597273E-3</v>
      </c>
      <c r="Q466" s="40">
        <v>33813</v>
      </c>
      <c r="R466" s="39">
        <v>1610.6</v>
      </c>
      <c r="S466" s="39">
        <f t="shared" si="51"/>
        <v>7</v>
      </c>
      <c r="T466" s="39">
        <f t="shared" si="52"/>
        <v>0</v>
      </c>
      <c r="U466" s="39">
        <f t="shared" si="53"/>
        <v>0</v>
      </c>
      <c r="V466" s="40"/>
    </row>
    <row r="467" spans="2:22" x14ac:dyDescent="0.35">
      <c r="B467" s="40">
        <v>33814</v>
      </c>
      <c r="C467" s="39">
        <v>1628.2</v>
      </c>
      <c r="D467" s="219">
        <f t="shared" si="54"/>
        <v>1.0868329778433012E-2</v>
      </c>
      <c r="F467" s="40">
        <v>33814</v>
      </c>
      <c r="G467" s="39">
        <v>1628.2</v>
      </c>
      <c r="H467" s="39">
        <f t="shared" si="49"/>
        <v>3</v>
      </c>
      <c r="I467" s="39">
        <f t="shared" si="50"/>
        <v>0</v>
      </c>
      <c r="K467" s="40">
        <v>36098</v>
      </c>
      <c r="L467" s="39">
        <v>4671.12</v>
      </c>
      <c r="M467" s="39">
        <v>5</v>
      </c>
      <c r="N467" s="39">
        <v>4671.12</v>
      </c>
      <c r="O467" s="219">
        <f t="shared" si="55"/>
        <v>4.8249861615758394E-2</v>
      </c>
      <c r="Q467" s="40">
        <v>33814</v>
      </c>
      <c r="R467" s="39">
        <v>1628.2</v>
      </c>
      <c r="S467" s="39">
        <f t="shared" si="51"/>
        <v>7</v>
      </c>
      <c r="T467" s="39">
        <f t="shared" si="52"/>
        <v>0</v>
      </c>
      <c r="U467" s="39">
        <f t="shared" si="53"/>
        <v>0</v>
      </c>
      <c r="V467" s="40"/>
    </row>
    <row r="468" spans="2:22" x14ac:dyDescent="0.35">
      <c r="B468" s="40">
        <v>33815</v>
      </c>
      <c r="C468" s="39">
        <v>1624</v>
      </c>
      <c r="D468" s="219">
        <f t="shared" si="54"/>
        <v>-2.5828684182540775E-3</v>
      </c>
      <c r="F468" s="40">
        <v>33815</v>
      </c>
      <c r="G468" s="39">
        <v>1624</v>
      </c>
      <c r="H468" s="39">
        <f t="shared" si="49"/>
        <v>4</v>
      </c>
      <c r="I468" s="39">
        <f t="shared" si="50"/>
        <v>0</v>
      </c>
      <c r="K468" s="40">
        <v>36105</v>
      </c>
      <c r="L468" s="39">
        <v>4836.22</v>
      </c>
      <c r="M468" s="39">
        <v>5</v>
      </c>
      <c r="N468" s="39">
        <v>4836.22</v>
      </c>
      <c r="O468" s="219">
        <f t="shared" si="55"/>
        <v>3.4734552239784278E-2</v>
      </c>
      <c r="Q468" s="40">
        <v>33815</v>
      </c>
      <c r="R468" s="39">
        <v>1624</v>
      </c>
      <c r="S468" s="39">
        <f t="shared" si="51"/>
        <v>7</v>
      </c>
      <c r="T468" s="39">
        <f t="shared" si="52"/>
        <v>0</v>
      </c>
      <c r="U468" s="39">
        <f t="shared" si="53"/>
        <v>0</v>
      </c>
      <c r="V468" s="40"/>
    </row>
    <row r="469" spans="2:22" x14ac:dyDescent="0.35">
      <c r="B469" s="40">
        <v>33816</v>
      </c>
      <c r="C469" s="39">
        <v>1615.4</v>
      </c>
      <c r="D469" s="219">
        <f t="shared" si="54"/>
        <v>-5.309637713427259E-3</v>
      </c>
      <c r="F469" s="40">
        <v>33816</v>
      </c>
      <c r="G469" s="39">
        <v>1615.4</v>
      </c>
      <c r="H469" s="39">
        <f t="shared" si="49"/>
        <v>5</v>
      </c>
      <c r="I469" s="39">
        <f t="shared" si="50"/>
        <v>1615.4</v>
      </c>
      <c r="K469" s="40">
        <v>36112</v>
      </c>
      <c r="L469" s="39">
        <v>4639.6499999999996</v>
      </c>
      <c r="M469" s="39">
        <v>5</v>
      </c>
      <c r="N469" s="39">
        <v>4639.6499999999996</v>
      </c>
      <c r="O469" s="219">
        <f t="shared" si="55"/>
        <v>-4.1494491501458952E-2</v>
      </c>
      <c r="Q469" s="40">
        <v>33816</v>
      </c>
      <c r="R469" s="39">
        <v>1615.4</v>
      </c>
      <c r="S469" s="39">
        <f t="shared" si="51"/>
        <v>7</v>
      </c>
      <c r="T469" s="39">
        <f t="shared" si="52"/>
        <v>1615.4</v>
      </c>
      <c r="U469" s="39">
        <f t="shared" si="53"/>
        <v>1615.4</v>
      </c>
      <c r="V469" s="40"/>
    </row>
    <row r="470" spans="2:22" x14ac:dyDescent="0.35">
      <c r="B470" s="40">
        <v>33819</v>
      </c>
      <c r="C470" s="39">
        <v>1594.7</v>
      </c>
      <c r="D470" s="219">
        <f t="shared" si="54"/>
        <v>-1.2896973254269447E-2</v>
      </c>
      <c r="F470" s="40">
        <v>33819</v>
      </c>
      <c r="G470" s="39">
        <v>1594.7</v>
      </c>
      <c r="H470" s="39">
        <f t="shared" si="49"/>
        <v>1</v>
      </c>
      <c r="I470" s="39">
        <f t="shared" si="50"/>
        <v>0</v>
      </c>
      <c r="K470" s="40">
        <v>36119</v>
      </c>
      <c r="L470" s="39">
        <v>4911.88</v>
      </c>
      <c r="M470" s="39">
        <v>5</v>
      </c>
      <c r="N470" s="39">
        <v>4911.88</v>
      </c>
      <c r="O470" s="219">
        <f t="shared" si="55"/>
        <v>5.7017828220380637E-2</v>
      </c>
      <c r="Q470" s="40">
        <v>33819</v>
      </c>
      <c r="R470" s="39">
        <v>1594.7</v>
      </c>
      <c r="S470" s="39">
        <f t="shared" si="51"/>
        <v>8</v>
      </c>
      <c r="T470" s="39">
        <f t="shared" si="52"/>
        <v>0</v>
      </c>
      <c r="U470" s="39">
        <f t="shared" si="53"/>
        <v>0</v>
      </c>
      <c r="V470" s="40"/>
    </row>
    <row r="471" spans="2:22" x14ac:dyDescent="0.35">
      <c r="B471" s="40">
        <v>33820</v>
      </c>
      <c r="C471" s="39">
        <v>1611.5</v>
      </c>
      <c r="D471" s="219">
        <f t="shared" si="54"/>
        <v>1.0479791501565942E-2</v>
      </c>
      <c r="F471" s="40">
        <v>33820</v>
      </c>
      <c r="G471" s="39">
        <v>1611.5</v>
      </c>
      <c r="H471" s="39">
        <f t="shared" si="49"/>
        <v>2</v>
      </c>
      <c r="I471" s="39">
        <f t="shared" si="50"/>
        <v>0</v>
      </c>
      <c r="K471" s="40">
        <v>36126</v>
      </c>
      <c r="L471" s="39">
        <v>5121.4799999999996</v>
      </c>
      <c r="M471" s="39">
        <v>5</v>
      </c>
      <c r="N471" s="39">
        <v>5121.4799999999996</v>
      </c>
      <c r="O471" s="219">
        <f t="shared" si="55"/>
        <v>4.1786699201903046E-2</v>
      </c>
      <c r="Q471" s="40">
        <v>33820</v>
      </c>
      <c r="R471" s="39">
        <v>1611.5</v>
      </c>
      <c r="S471" s="39">
        <f t="shared" si="51"/>
        <v>8</v>
      </c>
      <c r="T471" s="39">
        <f t="shared" si="52"/>
        <v>0</v>
      </c>
      <c r="U471" s="39">
        <f t="shared" si="53"/>
        <v>0</v>
      </c>
      <c r="V471" s="40"/>
    </row>
    <row r="472" spans="2:22" x14ac:dyDescent="0.35">
      <c r="B472" s="40">
        <v>33821</v>
      </c>
      <c r="C472" s="39">
        <v>1628.8</v>
      </c>
      <c r="D472" s="219">
        <f t="shared" si="54"/>
        <v>1.0678125100711132E-2</v>
      </c>
      <c r="F472" s="40">
        <v>33821</v>
      </c>
      <c r="G472" s="39">
        <v>1628.8</v>
      </c>
      <c r="H472" s="39">
        <f t="shared" si="49"/>
        <v>3</v>
      </c>
      <c r="I472" s="39">
        <f t="shared" si="50"/>
        <v>0</v>
      </c>
      <c r="K472" s="40">
        <v>36133</v>
      </c>
      <c r="L472" s="39">
        <v>4775.2299999999996</v>
      </c>
      <c r="M472" s="39">
        <v>5</v>
      </c>
      <c r="N472" s="39">
        <v>4775.2299999999996</v>
      </c>
      <c r="O472" s="219">
        <f t="shared" si="55"/>
        <v>-7.000131946895935E-2</v>
      </c>
      <c r="Q472" s="40">
        <v>33821</v>
      </c>
      <c r="R472" s="39">
        <v>1628.8</v>
      </c>
      <c r="S472" s="39">
        <f t="shared" si="51"/>
        <v>8</v>
      </c>
      <c r="T472" s="39">
        <f t="shared" si="52"/>
        <v>0</v>
      </c>
      <c r="U472" s="39">
        <f t="shared" si="53"/>
        <v>0</v>
      </c>
      <c r="V472" s="40"/>
    </row>
    <row r="473" spans="2:22" x14ac:dyDescent="0.35">
      <c r="B473" s="40">
        <v>33822</v>
      </c>
      <c r="C473" s="39">
        <v>1621.2</v>
      </c>
      <c r="D473" s="219">
        <f t="shared" si="54"/>
        <v>-4.6769316020500934E-3</v>
      </c>
      <c r="F473" s="40">
        <v>33822</v>
      </c>
      <c r="G473" s="39">
        <v>1621.2</v>
      </c>
      <c r="H473" s="39">
        <f t="shared" si="49"/>
        <v>4</v>
      </c>
      <c r="I473" s="39">
        <f t="shared" si="50"/>
        <v>0</v>
      </c>
      <c r="K473" s="40">
        <v>36140</v>
      </c>
      <c r="L473" s="39">
        <v>4536.2</v>
      </c>
      <c r="M473" s="39">
        <v>5</v>
      </c>
      <c r="N473" s="39">
        <v>4536.2</v>
      </c>
      <c r="O473" s="219">
        <f t="shared" si="55"/>
        <v>-5.1352483147743495E-2</v>
      </c>
      <c r="Q473" s="40">
        <v>33822</v>
      </c>
      <c r="R473" s="39">
        <v>1621.2</v>
      </c>
      <c r="S473" s="39">
        <f t="shared" si="51"/>
        <v>8</v>
      </c>
      <c r="T473" s="39">
        <f t="shared" si="52"/>
        <v>0</v>
      </c>
      <c r="U473" s="39">
        <f t="shared" si="53"/>
        <v>0</v>
      </c>
      <c r="V473" s="40"/>
    </row>
    <row r="474" spans="2:22" x14ac:dyDescent="0.35">
      <c r="B474" s="40">
        <v>33823</v>
      </c>
      <c r="C474" s="39">
        <v>1609.5</v>
      </c>
      <c r="D474" s="219">
        <f t="shared" si="54"/>
        <v>-7.2430440152906235E-3</v>
      </c>
      <c r="F474" s="40">
        <v>33823</v>
      </c>
      <c r="G474" s="39">
        <v>1609.5</v>
      </c>
      <c r="H474" s="39">
        <f t="shared" si="49"/>
        <v>5</v>
      </c>
      <c r="I474" s="39">
        <f t="shared" si="50"/>
        <v>1609.5</v>
      </c>
      <c r="K474" s="40">
        <v>36147</v>
      </c>
      <c r="L474" s="39">
        <v>4629.2299999999996</v>
      </c>
      <c r="M474" s="39">
        <v>5</v>
      </c>
      <c r="N474" s="39">
        <v>4629.2299999999996</v>
      </c>
      <c r="O474" s="219">
        <f t="shared" si="55"/>
        <v>2.0300890407987871E-2</v>
      </c>
      <c r="Q474" s="40">
        <v>33823</v>
      </c>
      <c r="R474" s="39">
        <v>1609.5</v>
      </c>
      <c r="S474" s="39">
        <f t="shared" si="51"/>
        <v>8</v>
      </c>
      <c r="T474" s="39">
        <f t="shared" si="52"/>
        <v>0</v>
      </c>
      <c r="U474" s="39">
        <f t="shared" si="53"/>
        <v>0</v>
      </c>
      <c r="V474" s="40"/>
    </row>
    <row r="475" spans="2:22" x14ac:dyDescent="0.35">
      <c r="B475" s="40">
        <v>33826</v>
      </c>
      <c r="C475" s="39">
        <v>1582.6</v>
      </c>
      <c r="D475" s="219">
        <f t="shared" si="54"/>
        <v>-1.6854507563769879E-2</v>
      </c>
      <c r="F475" s="40">
        <v>33826</v>
      </c>
      <c r="G475" s="39">
        <v>1582.6</v>
      </c>
      <c r="H475" s="39">
        <f t="shared" si="49"/>
        <v>1</v>
      </c>
      <c r="I475" s="39">
        <f t="shared" si="50"/>
        <v>0</v>
      </c>
      <c r="K475" s="40">
        <v>36152</v>
      </c>
      <c r="L475" s="39">
        <v>4951.7700000000004</v>
      </c>
      <c r="M475" s="39">
        <v>3</v>
      </c>
      <c r="N475" s="39">
        <v>4951.7700000000004</v>
      </c>
      <c r="O475" s="219">
        <f t="shared" si="55"/>
        <v>6.7354540851013125E-2</v>
      </c>
      <c r="Q475" s="40">
        <v>33826</v>
      </c>
      <c r="R475" s="39">
        <v>1582.6</v>
      </c>
      <c r="S475" s="39">
        <f t="shared" si="51"/>
        <v>8</v>
      </c>
      <c r="T475" s="39">
        <f t="shared" si="52"/>
        <v>0</v>
      </c>
      <c r="U475" s="39">
        <f t="shared" si="53"/>
        <v>0</v>
      </c>
      <c r="V475" s="40"/>
    </row>
    <row r="476" spans="2:22" x14ac:dyDescent="0.35">
      <c r="B476" s="40">
        <v>33827</v>
      </c>
      <c r="C476" s="39">
        <v>1564.6</v>
      </c>
      <c r="D476" s="219">
        <f t="shared" si="54"/>
        <v>-1.1438863924112698E-2</v>
      </c>
      <c r="F476" s="40">
        <v>33827</v>
      </c>
      <c r="G476" s="39">
        <v>1564.6</v>
      </c>
      <c r="H476" s="39">
        <f t="shared" si="49"/>
        <v>2</v>
      </c>
      <c r="I476" s="39">
        <f t="shared" si="50"/>
        <v>0</v>
      </c>
      <c r="K476" s="40">
        <v>36159</v>
      </c>
      <c r="L476" s="39">
        <v>5002.3900000000003</v>
      </c>
      <c r="M476" s="39">
        <v>3</v>
      </c>
      <c r="N476" s="39">
        <v>5002.3900000000003</v>
      </c>
      <c r="O476" s="219">
        <f t="shared" si="55"/>
        <v>1.0170709805293152E-2</v>
      </c>
      <c r="Q476" s="40">
        <v>33827</v>
      </c>
      <c r="R476" s="39">
        <v>1564.6</v>
      </c>
      <c r="S476" s="39">
        <f t="shared" si="51"/>
        <v>8</v>
      </c>
      <c r="T476" s="39">
        <f t="shared" si="52"/>
        <v>0</v>
      </c>
      <c r="U476" s="39">
        <f t="shared" si="53"/>
        <v>0</v>
      </c>
      <c r="V476" s="40"/>
    </row>
    <row r="477" spans="2:22" x14ac:dyDescent="0.35">
      <c r="B477" s="40">
        <v>33828</v>
      </c>
      <c r="C477" s="39">
        <v>1553</v>
      </c>
      <c r="D477" s="219">
        <f t="shared" si="54"/>
        <v>-7.4416561022930955E-3</v>
      </c>
      <c r="F477" s="40">
        <v>33828</v>
      </c>
      <c r="G477" s="39">
        <v>1553</v>
      </c>
      <c r="H477" s="39">
        <f t="shared" si="49"/>
        <v>3</v>
      </c>
      <c r="I477" s="39">
        <f t="shared" si="50"/>
        <v>0</v>
      </c>
      <c r="K477" s="40">
        <v>36168</v>
      </c>
      <c r="L477" s="39">
        <v>5392.84</v>
      </c>
      <c r="M477" s="39">
        <v>5</v>
      </c>
      <c r="N477" s="39">
        <v>5392.84</v>
      </c>
      <c r="O477" s="219">
        <f t="shared" si="55"/>
        <v>7.5156349598228575E-2</v>
      </c>
      <c r="Q477" s="40">
        <v>33828</v>
      </c>
      <c r="R477" s="39">
        <v>1553</v>
      </c>
      <c r="S477" s="39">
        <f t="shared" si="51"/>
        <v>8</v>
      </c>
      <c r="T477" s="39">
        <f t="shared" si="52"/>
        <v>0</v>
      </c>
      <c r="U477" s="39">
        <f t="shared" si="53"/>
        <v>0</v>
      </c>
      <c r="V477" s="40"/>
    </row>
    <row r="478" spans="2:22" x14ac:dyDescent="0.35">
      <c r="B478" s="40">
        <v>33829</v>
      </c>
      <c r="C478" s="39">
        <v>1541</v>
      </c>
      <c r="D478" s="219">
        <f t="shared" si="54"/>
        <v>-7.7569878285713417E-3</v>
      </c>
      <c r="F478" s="40">
        <v>33829</v>
      </c>
      <c r="G478" s="39">
        <v>1541</v>
      </c>
      <c r="H478" s="39">
        <f t="shared" si="49"/>
        <v>4</v>
      </c>
      <c r="I478" s="39">
        <f t="shared" si="50"/>
        <v>0</v>
      </c>
      <c r="K478" s="40">
        <v>36175</v>
      </c>
      <c r="L478" s="39">
        <v>4960.22</v>
      </c>
      <c r="M478" s="39">
        <v>5</v>
      </c>
      <c r="N478" s="39">
        <v>4960.22</v>
      </c>
      <c r="O478" s="219">
        <f t="shared" si="55"/>
        <v>-8.3622053234821941E-2</v>
      </c>
      <c r="Q478" s="40">
        <v>33829</v>
      </c>
      <c r="R478" s="39">
        <v>1541</v>
      </c>
      <c r="S478" s="39">
        <f t="shared" si="51"/>
        <v>8</v>
      </c>
      <c r="T478" s="39">
        <f t="shared" si="52"/>
        <v>0</v>
      </c>
      <c r="U478" s="39">
        <f t="shared" si="53"/>
        <v>0</v>
      </c>
      <c r="V478" s="40"/>
    </row>
    <row r="479" spans="2:22" x14ac:dyDescent="0.35">
      <c r="B479" s="40">
        <v>33830</v>
      </c>
      <c r="C479" s="39">
        <v>1547.8</v>
      </c>
      <c r="D479" s="219">
        <f t="shared" si="54"/>
        <v>4.4030115162428688E-3</v>
      </c>
      <c r="F479" s="40">
        <v>33830</v>
      </c>
      <c r="G479" s="39">
        <v>1547.8</v>
      </c>
      <c r="H479" s="39">
        <f t="shared" si="49"/>
        <v>5</v>
      </c>
      <c r="I479" s="39">
        <f t="shared" si="50"/>
        <v>1547.8</v>
      </c>
      <c r="K479" s="40">
        <v>36182</v>
      </c>
      <c r="L479" s="39">
        <v>5019.28</v>
      </c>
      <c r="M479" s="39">
        <v>5</v>
      </c>
      <c r="N479" s="39">
        <v>5019.28</v>
      </c>
      <c r="O479" s="219">
        <f t="shared" si="55"/>
        <v>1.1836402530383448E-2</v>
      </c>
      <c r="Q479" s="40">
        <v>33830</v>
      </c>
      <c r="R479" s="39">
        <v>1547.8</v>
      </c>
      <c r="S479" s="39">
        <f t="shared" si="51"/>
        <v>8</v>
      </c>
      <c r="T479" s="39">
        <f t="shared" si="52"/>
        <v>0</v>
      </c>
      <c r="U479" s="39">
        <f t="shared" si="53"/>
        <v>0</v>
      </c>
      <c r="V479" s="40"/>
    </row>
    <row r="480" spans="2:22" x14ac:dyDescent="0.35">
      <c r="B480" s="40">
        <v>33833</v>
      </c>
      <c r="C480" s="39">
        <v>1555.4</v>
      </c>
      <c r="D480" s="219">
        <f t="shared" si="54"/>
        <v>4.8981794244842142E-3</v>
      </c>
      <c r="F480" s="40">
        <v>33833</v>
      </c>
      <c r="G480" s="39">
        <v>1555.4</v>
      </c>
      <c r="H480" s="39">
        <f t="shared" si="49"/>
        <v>1</v>
      </c>
      <c r="I480" s="39">
        <f t="shared" si="50"/>
        <v>0</v>
      </c>
      <c r="K480" s="40">
        <v>36189</v>
      </c>
      <c r="L480" s="39">
        <v>5159.96</v>
      </c>
      <c r="M480" s="39">
        <v>5</v>
      </c>
      <c r="N480" s="39">
        <v>5159.96</v>
      </c>
      <c r="O480" s="219">
        <f t="shared" si="55"/>
        <v>2.7642330403158055E-2</v>
      </c>
      <c r="Q480" s="40">
        <v>33833</v>
      </c>
      <c r="R480" s="39">
        <v>1555.4</v>
      </c>
      <c r="S480" s="39">
        <f t="shared" si="51"/>
        <v>8</v>
      </c>
      <c r="T480" s="39">
        <f t="shared" si="52"/>
        <v>0</v>
      </c>
      <c r="U480" s="39">
        <f t="shared" si="53"/>
        <v>0</v>
      </c>
      <c r="V480" s="40"/>
    </row>
    <row r="481" spans="2:22" x14ac:dyDescent="0.35">
      <c r="B481" s="40">
        <v>33834</v>
      </c>
      <c r="C481" s="39">
        <v>1533.2</v>
      </c>
      <c r="D481" s="219">
        <f t="shared" si="54"/>
        <v>-1.4375692754442951E-2</v>
      </c>
      <c r="F481" s="40">
        <v>33834</v>
      </c>
      <c r="G481" s="39">
        <v>1533.2</v>
      </c>
      <c r="H481" s="39">
        <f t="shared" si="49"/>
        <v>2</v>
      </c>
      <c r="I481" s="39">
        <f t="shared" si="50"/>
        <v>0</v>
      </c>
      <c r="K481" s="40">
        <v>36196</v>
      </c>
      <c r="L481" s="39">
        <v>5080.7700000000004</v>
      </c>
      <c r="M481" s="39">
        <v>5</v>
      </c>
      <c r="N481" s="39">
        <v>5080.7700000000004</v>
      </c>
      <c r="O481" s="219">
        <f t="shared" si="55"/>
        <v>-1.5466002618200091E-2</v>
      </c>
      <c r="Q481" s="40">
        <v>33834</v>
      </c>
      <c r="R481" s="39">
        <v>1533.2</v>
      </c>
      <c r="S481" s="39">
        <f t="shared" si="51"/>
        <v>8</v>
      </c>
      <c r="T481" s="39">
        <f t="shared" si="52"/>
        <v>0</v>
      </c>
      <c r="U481" s="39">
        <f t="shared" si="53"/>
        <v>0</v>
      </c>
      <c r="V481" s="40"/>
    </row>
    <row r="482" spans="2:22" x14ac:dyDescent="0.35">
      <c r="B482" s="40">
        <v>33835</v>
      </c>
      <c r="C482" s="39">
        <v>1524.7</v>
      </c>
      <c r="D482" s="219">
        <f t="shared" si="54"/>
        <v>-5.5593851285386528E-3</v>
      </c>
      <c r="F482" s="40">
        <v>33835</v>
      </c>
      <c r="G482" s="39">
        <v>1524.7</v>
      </c>
      <c r="H482" s="39">
        <f t="shared" si="49"/>
        <v>3</v>
      </c>
      <c r="I482" s="39">
        <f t="shared" si="50"/>
        <v>0</v>
      </c>
      <c r="K482" s="40">
        <v>36203</v>
      </c>
      <c r="L482" s="39">
        <v>4888.74</v>
      </c>
      <c r="M482" s="39">
        <v>5</v>
      </c>
      <c r="N482" s="39">
        <v>4888.74</v>
      </c>
      <c r="O482" s="219">
        <f t="shared" si="55"/>
        <v>-3.8528223334402256E-2</v>
      </c>
      <c r="Q482" s="40">
        <v>33835</v>
      </c>
      <c r="R482" s="39">
        <v>1524.7</v>
      </c>
      <c r="S482" s="39">
        <f t="shared" si="51"/>
        <v>8</v>
      </c>
      <c r="T482" s="39">
        <f t="shared" si="52"/>
        <v>0</v>
      </c>
      <c r="U482" s="39">
        <f t="shared" si="53"/>
        <v>0</v>
      </c>
      <c r="V482" s="40"/>
    </row>
    <row r="483" spans="2:22" x14ac:dyDescent="0.35">
      <c r="B483" s="40">
        <v>33836</v>
      </c>
      <c r="C483" s="39">
        <v>1513.1</v>
      </c>
      <c r="D483" s="219">
        <f t="shared" si="54"/>
        <v>-7.6371429203363709E-3</v>
      </c>
      <c r="F483" s="40">
        <v>33836</v>
      </c>
      <c r="G483" s="39">
        <v>1513.1</v>
      </c>
      <c r="H483" s="39">
        <f t="shared" si="49"/>
        <v>4</v>
      </c>
      <c r="I483" s="39">
        <f t="shared" si="50"/>
        <v>0</v>
      </c>
      <c r="K483" s="40">
        <v>36210</v>
      </c>
      <c r="L483" s="39">
        <v>4802.38</v>
      </c>
      <c r="M483" s="39">
        <v>5</v>
      </c>
      <c r="N483" s="39">
        <v>4802.38</v>
      </c>
      <c r="O483" s="219">
        <f t="shared" si="55"/>
        <v>-1.7822973210388175E-2</v>
      </c>
      <c r="Q483" s="40">
        <v>33836</v>
      </c>
      <c r="R483" s="39">
        <v>1513.1</v>
      </c>
      <c r="S483" s="39">
        <f t="shared" si="51"/>
        <v>8</v>
      </c>
      <c r="T483" s="39">
        <f t="shared" si="52"/>
        <v>0</v>
      </c>
      <c r="U483" s="39">
        <f t="shared" si="53"/>
        <v>0</v>
      </c>
      <c r="V483" s="40"/>
    </row>
    <row r="484" spans="2:22" x14ac:dyDescent="0.35">
      <c r="B484" s="40">
        <v>33837</v>
      </c>
      <c r="C484" s="39">
        <v>1520</v>
      </c>
      <c r="D484" s="219">
        <f t="shared" si="54"/>
        <v>4.549808382797069E-3</v>
      </c>
      <c r="F484" s="40">
        <v>33837</v>
      </c>
      <c r="G484" s="39">
        <v>1520</v>
      </c>
      <c r="H484" s="39">
        <f t="shared" si="49"/>
        <v>5</v>
      </c>
      <c r="I484" s="39">
        <f t="shared" si="50"/>
        <v>1520</v>
      </c>
      <c r="K484" s="40">
        <v>36217</v>
      </c>
      <c r="L484" s="39">
        <v>4911.8100000000004</v>
      </c>
      <c r="M484" s="39">
        <v>5</v>
      </c>
      <c r="N484" s="39">
        <v>4911.8100000000004</v>
      </c>
      <c r="O484" s="219">
        <f t="shared" si="55"/>
        <v>2.2530880952511906E-2</v>
      </c>
      <c r="Q484" s="40">
        <v>33837</v>
      </c>
      <c r="R484" s="39">
        <v>1520</v>
      </c>
      <c r="S484" s="39">
        <f t="shared" si="51"/>
        <v>8</v>
      </c>
      <c r="T484" s="39">
        <f t="shared" si="52"/>
        <v>0</v>
      </c>
      <c r="U484" s="39">
        <f t="shared" si="53"/>
        <v>0</v>
      </c>
      <c r="V484" s="40"/>
    </row>
    <row r="485" spans="2:22" x14ac:dyDescent="0.35">
      <c r="B485" s="40">
        <v>33840</v>
      </c>
      <c r="C485" s="39">
        <v>1498.7</v>
      </c>
      <c r="D485" s="219">
        <f t="shared" si="54"/>
        <v>-1.4112269189371595E-2</v>
      </c>
      <c r="F485" s="40">
        <v>33840</v>
      </c>
      <c r="G485" s="39">
        <v>1498.7</v>
      </c>
      <c r="H485" s="39">
        <f t="shared" si="49"/>
        <v>1</v>
      </c>
      <c r="I485" s="39">
        <f t="shared" si="50"/>
        <v>0</v>
      </c>
      <c r="K485" s="40">
        <v>36224</v>
      </c>
      <c r="L485" s="39">
        <v>4839.09</v>
      </c>
      <c r="M485" s="39">
        <v>5</v>
      </c>
      <c r="N485" s="39">
        <v>4839.09</v>
      </c>
      <c r="O485" s="219">
        <f t="shared" si="55"/>
        <v>-1.4915822792670329E-2</v>
      </c>
      <c r="Q485" s="40">
        <v>33840</v>
      </c>
      <c r="R485" s="39">
        <v>1498.7</v>
      </c>
      <c r="S485" s="39">
        <f t="shared" si="51"/>
        <v>8</v>
      </c>
      <c r="T485" s="39">
        <f t="shared" si="52"/>
        <v>0</v>
      </c>
      <c r="U485" s="39">
        <f t="shared" si="53"/>
        <v>0</v>
      </c>
      <c r="V485" s="40"/>
    </row>
    <row r="486" spans="2:22" x14ac:dyDescent="0.35">
      <c r="B486" s="40">
        <v>33841</v>
      </c>
      <c r="C486" s="39">
        <v>1468.9</v>
      </c>
      <c r="D486" s="219">
        <f t="shared" si="54"/>
        <v>-2.0084244313581266E-2</v>
      </c>
      <c r="F486" s="40">
        <v>33841</v>
      </c>
      <c r="G486" s="39">
        <v>1468.9</v>
      </c>
      <c r="H486" s="39">
        <f t="shared" si="49"/>
        <v>2</v>
      </c>
      <c r="I486" s="39">
        <f t="shared" si="50"/>
        <v>0</v>
      </c>
      <c r="K486" s="40">
        <v>36231</v>
      </c>
      <c r="L486" s="39">
        <v>5008.16</v>
      </c>
      <c r="M486" s="39">
        <v>5</v>
      </c>
      <c r="N486" s="39">
        <v>5008.16</v>
      </c>
      <c r="O486" s="219">
        <f t="shared" si="55"/>
        <v>3.4341895646940554E-2</v>
      </c>
      <c r="Q486" s="40">
        <v>33841</v>
      </c>
      <c r="R486" s="39">
        <v>1468.9</v>
      </c>
      <c r="S486" s="39">
        <f t="shared" si="51"/>
        <v>8</v>
      </c>
      <c r="T486" s="39">
        <f t="shared" si="52"/>
        <v>0</v>
      </c>
      <c r="U486" s="39">
        <f t="shared" si="53"/>
        <v>0</v>
      </c>
      <c r="V486" s="40"/>
    </row>
    <row r="487" spans="2:22" x14ac:dyDescent="0.35">
      <c r="B487" s="40">
        <v>33842</v>
      </c>
      <c r="C487" s="39">
        <v>1473.3</v>
      </c>
      <c r="D487" s="219">
        <f t="shared" si="54"/>
        <v>2.9909613759392648E-3</v>
      </c>
      <c r="F487" s="40">
        <v>33842</v>
      </c>
      <c r="G487" s="39">
        <v>1473.3</v>
      </c>
      <c r="H487" s="39">
        <f t="shared" si="49"/>
        <v>3</v>
      </c>
      <c r="I487" s="39">
        <f t="shared" si="50"/>
        <v>0</v>
      </c>
      <c r="K487" s="40">
        <v>36238</v>
      </c>
      <c r="L487" s="39">
        <v>5099.4799999999996</v>
      </c>
      <c r="M487" s="39">
        <v>5</v>
      </c>
      <c r="N487" s="39">
        <v>5099.4799999999996</v>
      </c>
      <c r="O487" s="219">
        <f t="shared" si="55"/>
        <v>1.8069991578380316E-2</v>
      </c>
      <c r="Q487" s="40">
        <v>33842</v>
      </c>
      <c r="R487" s="39">
        <v>1473.3</v>
      </c>
      <c r="S487" s="39">
        <f t="shared" si="51"/>
        <v>8</v>
      </c>
      <c r="T487" s="39">
        <f t="shared" si="52"/>
        <v>0</v>
      </c>
      <c r="U487" s="39">
        <f t="shared" si="53"/>
        <v>0</v>
      </c>
      <c r="V487" s="40"/>
    </row>
    <row r="488" spans="2:22" x14ac:dyDescent="0.35">
      <c r="B488" s="40">
        <v>33843</v>
      </c>
      <c r="C488" s="39">
        <v>1513.4</v>
      </c>
      <c r="D488" s="219">
        <f t="shared" si="54"/>
        <v>2.6853992547112748E-2</v>
      </c>
      <c r="F488" s="40">
        <v>33843</v>
      </c>
      <c r="G488" s="39">
        <v>1513.4</v>
      </c>
      <c r="H488" s="39">
        <f t="shared" si="49"/>
        <v>4</v>
      </c>
      <c r="I488" s="39">
        <f t="shared" si="50"/>
        <v>0</v>
      </c>
      <c r="K488" s="40">
        <v>36245</v>
      </c>
      <c r="L488" s="39">
        <v>4775.17</v>
      </c>
      <c r="M488" s="39">
        <v>5</v>
      </c>
      <c r="N488" s="39">
        <v>4775.17</v>
      </c>
      <c r="O488" s="219">
        <f t="shared" si="55"/>
        <v>-6.5708998354417278E-2</v>
      </c>
      <c r="Q488" s="40">
        <v>33843</v>
      </c>
      <c r="R488" s="39">
        <v>1513.4</v>
      </c>
      <c r="S488" s="39">
        <f t="shared" si="51"/>
        <v>8</v>
      </c>
      <c r="T488" s="39">
        <f t="shared" si="52"/>
        <v>0</v>
      </c>
      <c r="U488" s="39">
        <f t="shared" si="53"/>
        <v>0</v>
      </c>
      <c r="V488" s="40"/>
    </row>
    <row r="489" spans="2:22" x14ac:dyDescent="0.35">
      <c r="B489" s="40">
        <v>33844</v>
      </c>
      <c r="C489" s="39">
        <v>1516.5</v>
      </c>
      <c r="D489" s="219">
        <f t="shared" si="54"/>
        <v>2.0462728682144535E-3</v>
      </c>
      <c r="F489" s="40">
        <v>33844</v>
      </c>
      <c r="G489" s="39">
        <v>1516.5</v>
      </c>
      <c r="H489" s="39">
        <f t="shared" si="49"/>
        <v>5</v>
      </c>
      <c r="I489" s="39">
        <f t="shared" si="50"/>
        <v>1516.5</v>
      </c>
      <c r="K489" s="40">
        <v>36251</v>
      </c>
      <c r="L489" s="39">
        <v>4914.59</v>
      </c>
      <c r="M489" s="39">
        <v>4</v>
      </c>
      <c r="N489" s="39">
        <v>4914.59</v>
      </c>
      <c r="O489" s="219">
        <f t="shared" si="55"/>
        <v>2.8778756618618017E-2</v>
      </c>
      <c r="Q489" s="40">
        <v>33844</v>
      </c>
      <c r="R489" s="39">
        <v>1516.5</v>
      </c>
      <c r="S489" s="39">
        <f t="shared" si="51"/>
        <v>8</v>
      </c>
      <c r="T489" s="39">
        <f t="shared" si="52"/>
        <v>0</v>
      </c>
      <c r="U489" s="39">
        <f t="shared" si="53"/>
        <v>0</v>
      </c>
      <c r="V489" s="40"/>
    </row>
    <row r="490" spans="2:22" x14ac:dyDescent="0.35">
      <c r="B490" s="40">
        <v>33847</v>
      </c>
      <c r="C490" s="39">
        <v>1541.3</v>
      </c>
      <c r="D490" s="219">
        <f t="shared" si="54"/>
        <v>1.6221168024038276E-2</v>
      </c>
      <c r="F490" s="40">
        <v>33847</v>
      </c>
      <c r="G490" s="39">
        <v>1541.3</v>
      </c>
      <c r="H490" s="39">
        <f t="shared" si="49"/>
        <v>1</v>
      </c>
      <c r="I490" s="39">
        <f t="shared" si="50"/>
        <v>0</v>
      </c>
      <c r="K490" s="40">
        <v>36259</v>
      </c>
      <c r="L490" s="39">
        <v>5124.18</v>
      </c>
      <c r="M490" s="39">
        <v>5</v>
      </c>
      <c r="N490" s="39">
        <v>5124.18</v>
      </c>
      <c r="O490" s="219">
        <f t="shared" si="55"/>
        <v>4.1762180211293611E-2</v>
      </c>
      <c r="Q490" s="40">
        <v>33847</v>
      </c>
      <c r="R490" s="39">
        <v>1541.3</v>
      </c>
      <c r="S490" s="39">
        <f t="shared" si="51"/>
        <v>8</v>
      </c>
      <c r="T490" s="39">
        <f t="shared" si="52"/>
        <v>1541.3</v>
      </c>
      <c r="U490" s="39">
        <f t="shared" si="53"/>
        <v>1541.3</v>
      </c>
      <c r="V490" s="40"/>
    </row>
    <row r="491" spans="2:22" x14ac:dyDescent="0.35">
      <c r="B491" s="40">
        <v>33848</v>
      </c>
      <c r="C491" s="39">
        <v>1518.7</v>
      </c>
      <c r="D491" s="219">
        <f t="shared" si="54"/>
        <v>-1.4771510416449711E-2</v>
      </c>
      <c r="F491" s="40">
        <v>33848</v>
      </c>
      <c r="G491" s="39">
        <v>1518.7</v>
      </c>
      <c r="H491" s="39">
        <f t="shared" si="49"/>
        <v>2</v>
      </c>
      <c r="I491" s="39">
        <f t="shared" si="50"/>
        <v>0</v>
      </c>
      <c r="K491" s="40">
        <v>36266</v>
      </c>
      <c r="L491" s="39">
        <v>5155.3500000000004</v>
      </c>
      <c r="M491" s="39">
        <v>5</v>
      </c>
      <c r="N491" s="39">
        <v>5155.3500000000004</v>
      </c>
      <c r="O491" s="219">
        <f t="shared" si="55"/>
        <v>6.0644981883716956E-3</v>
      </c>
      <c r="Q491" s="40">
        <v>33848</v>
      </c>
      <c r="R491" s="39">
        <v>1518.7</v>
      </c>
      <c r="S491" s="39">
        <f t="shared" si="51"/>
        <v>9</v>
      </c>
      <c r="T491" s="39">
        <f t="shared" si="52"/>
        <v>0</v>
      </c>
      <c r="U491" s="39">
        <f t="shared" si="53"/>
        <v>0</v>
      </c>
      <c r="V491" s="40"/>
    </row>
    <row r="492" spans="2:22" x14ac:dyDescent="0.35">
      <c r="B492" s="40">
        <v>33849</v>
      </c>
      <c r="C492" s="39">
        <v>1506.7</v>
      </c>
      <c r="D492" s="219">
        <f t="shared" si="54"/>
        <v>-7.9328769289814857E-3</v>
      </c>
      <c r="F492" s="40">
        <v>33849</v>
      </c>
      <c r="G492" s="39">
        <v>1506.7</v>
      </c>
      <c r="H492" s="39">
        <f t="shared" si="49"/>
        <v>3</v>
      </c>
      <c r="I492" s="39">
        <f t="shared" si="50"/>
        <v>0</v>
      </c>
      <c r="K492" s="40">
        <v>36273</v>
      </c>
      <c r="L492" s="39">
        <v>5195.42</v>
      </c>
      <c r="M492" s="39">
        <v>5</v>
      </c>
      <c r="N492" s="39">
        <v>5195.42</v>
      </c>
      <c r="O492" s="219">
        <f t="shared" si="55"/>
        <v>7.742457840011323E-3</v>
      </c>
      <c r="Q492" s="40">
        <v>33849</v>
      </c>
      <c r="R492" s="39">
        <v>1506.7</v>
      </c>
      <c r="S492" s="39">
        <f t="shared" si="51"/>
        <v>9</v>
      </c>
      <c r="T492" s="39">
        <f t="shared" si="52"/>
        <v>0</v>
      </c>
      <c r="U492" s="39">
        <f t="shared" si="53"/>
        <v>0</v>
      </c>
      <c r="V492" s="40"/>
    </row>
    <row r="493" spans="2:22" x14ac:dyDescent="0.35">
      <c r="B493" s="40">
        <v>33850</v>
      </c>
      <c r="C493" s="39">
        <v>1530.8</v>
      </c>
      <c r="D493" s="219">
        <f t="shared" si="54"/>
        <v>1.5868645744304282E-2</v>
      </c>
      <c r="F493" s="40">
        <v>33850</v>
      </c>
      <c r="G493" s="39">
        <v>1530.8</v>
      </c>
      <c r="H493" s="39">
        <f t="shared" si="49"/>
        <v>4</v>
      </c>
      <c r="I493" s="39">
        <f t="shared" si="50"/>
        <v>0</v>
      </c>
      <c r="K493" s="40">
        <v>36280</v>
      </c>
      <c r="L493" s="39">
        <v>5393.11</v>
      </c>
      <c r="M493" s="39">
        <v>5</v>
      </c>
      <c r="N493" s="39">
        <v>5393.11</v>
      </c>
      <c r="O493" s="219">
        <f t="shared" si="55"/>
        <v>3.7344744706268938E-2</v>
      </c>
      <c r="Q493" s="40">
        <v>33850</v>
      </c>
      <c r="R493" s="39">
        <v>1530.8</v>
      </c>
      <c r="S493" s="39">
        <f t="shared" si="51"/>
        <v>9</v>
      </c>
      <c r="T493" s="39">
        <f t="shared" si="52"/>
        <v>0</v>
      </c>
      <c r="U493" s="39">
        <f t="shared" si="53"/>
        <v>0</v>
      </c>
      <c r="V493" s="40"/>
    </row>
    <row r="494" spans="2:22" x14ac:dyDescent="0.35">
      <c r="B494" s="40">
        <v>33851</v>
      </c>
      <c r="C494" s="39">
        <v>1536.5</v>
      </c>
      <c r="D494" s="219">
        <f t="shared" si="54"/>
        <v>3.7166280189921954E-3</v>
      </c>
      <c r="F494" s="40">
        <v>33851</v>
      </c>
      <c r="G494" s="39">
        <v>1536.5</v>
      </c>
      <c r="H494" s="39">
        <f t="shared" si="49"/>
        <v>5</v>
      </c>
      <c r="I494" s="39">
        <f t="shared" si="50"/>
        <v>1536.5</v>
      </c>
      <c r="K494" s="40">
        <v>36287</v>
      </c>
      <c r="L494" s="39">
        <v>5297.38</v>
      </c>
      <c r="M494" s="39">
        <v>5</v>
      </c>
      <c r="N494" s="39">
        <v>5297.38</v>
      </c>
      <c r="O494" s="219">
        <f t="shared" si="55"/>
        <v>-1.7909854248437385E-2</v>
      </c>
      <c r="Q494" s="40">
        <v>33851</v>
      </c>
      <c r="R494" s="39">
        <v>1536.5</v>
      </c>
      <c r="S494" s="39">
        <f t="shared" si="51"/>
        <v>9</v>
      </c>
      <c r="T494" s="39">
        <f t="shared" si="52"/>
        <v>0</v>
      </c>
      <c r="U494" s="39">
        <f t="shared" si="53"/>
        <v>0</v>
      </c>
      <c r="V494" s="40"/>
    </row>
    <row r="495" spans="2:22" x14ac:dyDescent="0.35">
      <c r="B495" s="40">
        <v>33854</v>
      </c>
      <c r="C495" s="39">
        <v>1540.6</v>
      </c>
      <c r="D495" s="219">
        <f t="shared" si="54"/>
        <v>2.6648483483261197E-3</v>
      </c>
      <c r="F495" s="40">
        <v>33854</v>
      </c>
      <c r="G495" s="39">
        <v>1540.6</v>
      </c>
      <c r="H495" s="39">
        <f t="shared" si="49"/>
        <v>1</v>
      </c>
      <c r="I495" s="39">
        <f t="shared" si="50"/>
        <v>0</v>
      </c>
      <c r="K495" s="40">
        <v>36294</v>
      </c>
      <c r="L495" s="39">
        <v>5173.25</v>
      </c>
      <c r="M495" s="39">
        <v>5</v>
      </c>
      <c r="N495" s="39">
        <v>5173.25</v>
      </c>
      <c r="O495" s="219">
        <f t="shared" si="55"/>
        <v>-2.371124099951984E-2</v>
      </c>
      <c r="Q495" s="40">
        <v>33854</v>
      </c>
      <c r="R495" s="39">
        <v>1540.6</v>
      </c>
      <c r="S495" s="39">
        <f t="shared" si="51"/>
        <v>9</v>
      </c>
      <c r="T495" s="39">
        <f t="shared" si="52"/>
        <v>0</v>
      </c>
      <c r="U495" s="39">
        <f t="shared" si="53"/>
        <v>0</v>
      </c>
      <c r="V495" s="40"/>
    </row>
    <row r="496" spans="2:22" x14ac:dyDescent="0.35">
      <c r="B496" s="40">
        <v>33855</v>
      </c>
      <c r="C496" s="39">
        <v>1544.6</v>
      </c>
      <c r="D496" s="219">
        <f t="shared" si="54"/>
        <v>2.593026216297996E-3</v>
      </c>
      <c r="F496" s="40">
        <v>33855</v>
      </c>
      <c r="G496" s="39">
        <v>1544.6</v>
      </c>
      <c r="H496" s="39">
        <f t="shared" si="49"/>
        <v>2</v>
      </c>
      <c r="I496" s="39">
        <f t="shared" si="50"/>
        <v>0</v>
      </c>
      <c r="K496" s="40">
        <v>36301</v>
      </c>
      <c r="L496" s="39">
        <v>5264.68</v>
      </c>
      <c r="M496" s="39">
        <v>5</v>
      </c>
      <c r="N496" s="39">
        <v>5264.68</v>
      </c>
      <c r="O496" s="219">
        <f t="shared" si="55"/>
        <v>1.7519247301590758E-2</v>
      </c>
      <c r="Q496" s="40">
        <v>33855</v>
      </c>
      <c r="R496" s="39">
        <v>1544.6</v>
      </c>
      <c r="S496" s="39">
        <f t="shared" si="51"/>
        <v>9</v>
      </c>
      <c r="T496" s="39">
        <f t="shared" si="52"/>
        <v>0</v>
      </c>
      <c r="U496" s="39">
        <f t="shared" si="53"/>
        <v>0</v>
      </c>
      <c r="V496" s="40"/>
    </row>
    <row r="497" spans="2:22" x14ac:dyDescent="0.35">
      <c r="B497" s="40">
        <v>33856</v>
      </c>
      <c r="C497" s="39">
        <v>1525.3</v>
      </c>
      <c r="D497" s="219">
        <f t="shared" si="54"/>
        <v>-1.2573865129275993E-2</v>
      </c>
      <c r="F497" s="40">
        <v>33856</v>
      </c>
      <c r="G497" s="39">
        <v>1525.3</v>
      </c>
      <c r="H497" s="39">
        <f t="shared" si="49"/>
        <v>3</v>
      </c>
      <c r="I497" s="39">
        <f t="shared" si="50"/>
        <v>0</v>
      </c>
      <c r="K497" s="40">
        <v>36308</v>
      </c>
      <c r="L497" s="39">
        <v>5068.7299999999996</v>
      </c>
      <c r="M497" s="39">
        <v>5</v>
      </c>
      <c r="N497" s="39">
        <v>5068.7299999999996</v>
      </c>
      <c r="O497" s="219">
        <f t="shared" si="55"/>
        <v>-3.7930071883582897E-2</v>
      </c>
      <c r="Q497" s="40">
        <v>33856</v>
      </c>
      <c r="R497" s="39">
        <v>1525.3</v>
      </c>
      <c r="S497" s="39">
        <f t="shared" si="51"/>
        <v>9</v>
      </c>
      <c r="T497" s="39">
        <f t="shared" si="52"/>
        <v>0</v>
      </c>
      <c r="U497" s="39">
        <f t="shared" si="53"/>
        <v>0</v>
      </c>
      <c r="V497" s="40"/>
    </row>
    <row r="498" spans="2:22" x14ac:dyDescent="0.35">
      <c r="B498" s="40">
        <v>33857</v>
      </c>
      <c r="C498" s="39">
        <v>1528.3</v>
      </c>
      <c r="D498" s="219">
        <f t="shared" si="54"/>
        <v>1.9648945279031518E-3</v>
      </c>
      <c r="F498" s="40">
        <v>33857</v>
      </c>
      <c r="G498" s="39">
        <v>1528.3</v>
      </c>
      <c r="H498" s="39">
        <f t="shared" si="49"/>
        <v>4</v>
      </c>
      <c r="I498" s="39">
        <f t="shared" si="50"/>
        <v>0</v>
      </c>
      <c r="K498" s="40">
        <v>36315</v>
      </c>
      <c r="L498" s="39">
        <v>5107.8100000000004</v>
      </c>
      <c r="M498" s="39">
        <v>5</v>
      </c>
      <c r="N498" s="39">
        <v>5107.8100000000004</v>
      </c>
      <c r="O498" s="219">
        <f t="shared" si="55"/>
        <v>7.6804477962507511E-3</v>
      </c>
      <c r="Q498" s="40">
        <v>33857</v>
      </c>
      <c r="R498" s="39">
        <v>1528.3</v>
      </c>
      <c r="S498" s="39">
        <f t="shared" si="51"/>
        <v>9</v>
      </c>
      <c r="T498" s="39">
        <f t="shared" si="52"/>
        <v>0</v>
      </c>
      <c r="U498" s="39">
        <f t="shared" si="53"/>
        <v>0</v>
      </c>
      <c r="V498" s="40"/>
    </row>
    <row r="499" spans="2:22" x14ac:dyDescent="0.35">
      <c r="B499" s="40">
        <v>33858</v>
      </c>
      <c r="C499" s="39">
        <v>1527.8</v>
      </c>
      <c r="D499" s="219">
        <f t="shared" si="54"/>
        <v>-3.2721442653139092E-4</v>
      </c>
      <c r="F499" s="40">
        <v>33858</v>
      </c>
      <c r="G499" s="39">
        <v>1527.8</v>
      </c>
      <c r="H499" s="39">
        <f t="shared" si="49"/>
        <v>5</v>
      </c>
      <c r="I499" s="39">
        <f t="shared" si="50"/>
        <v>1527.8</v>
      </c>
      <c r="K499" s="40">
        <v>36322</v>
      </c>
      <c r="L499" s="39">
        <v>5262.15</v>
      </c>
      <c r="M499" s="39">
        <v>5</v>
      </c>
      <c r="N499" s="39">
        <v>5262.15</v>
      </c>
      <c r="O499" s="219">
        <f t="shared" si="55"/>
        <v>2.9768947559124993E-2</v>
      </c>
      <c r="Q499" s="40">
        <v>33858</v>
      </c>
      <c r="R499" s="39">
        <v>1527.8</v>
      </c>
      <c r="S499" s="39">
        <f t="shared" si="51"/>
        <v>9</v>
      </c>
      <c r="T499" s="39">
        <f t="shared" si="52"/>
        <v>0</v>
      </c>
      <c r="U499" s="39">
        <f t="shared" si="53"/>
        <v>0</v>
      </c>
      <c r="V499" s="40"/>
    </row>
    <row r="500" spans="2:22" x14ac:dyDescent="0.35">
      <c r="B500" s="40">
        <v>33861</v>
      </c>
      <c r="C500" s="39">
        <v>1595</v>
      </c>
      <c r="D500" s="219">
        <f t="shared" si="54"/>
        <v>4.30449441116856E-2</v>
      </c>
      <c r="F500" s="40">
        <v>33861</v>
      </c>
      <c r="G500" s="39">
        <v>1595</v>
      </c>
      <c r="H500" s="39">
        <f t="shared" si="49"/>
        <v>1</v>
      </c>
      <c r="I500" s="39">
        <f t="shared" si="50"/>
        <v>0</v>
      </c>
      <c r="K500" s="40">
        <v>36329</v>
      </c>
      <c r="L500" s="39">
        <v>5430.32</v>
      </c>
      <c r="M500" s="39">
        <v>5</v>
      </c>
      <c r="N500" s="39">
        <v>5430.32</v>
      </c>
      <c r="O500" s="219">
        <f t="shared" si="55"/>
        <v>3.1458375586282436E-2</v>
      </c>
      <c r="Q500" s="40">
        <v>33861</v>
      </c>
      <c r="R500" s="39">
        <v>1595</v>
      </c>
      <c r="S500" s="39">
        <f t="shared" si="51"/>
        <v>9</v>
      </c>
      <c r="T500" s="39">
        <f t="shared" si="52"/>
        <v>0</v>
      </c>
      <c r="U500" s="39">
        <f t="shared" si="53"/>
        <v>0</v>
      </c>
      <c r="V500" s="40"/>
    </row>
    <row r="501" spans="2:22" x14ac:dyDescent="0.35">
      <c r="B501" s="40">
        <v>33862</v>
      </c>
      <c r="C501" s="39">
        <v>1587.6</v>
      </c>
      <c r="D501" s="219">
        <f t="shared" si="54"/>
        <v>-4.6502943100346725E-3</v>
      </c>
      <c r="F501" s="40">
        <v>33862</v>
      </c>
      <c r="G501" s="39">
        <v>1587.6</v>
      </c>
      <c r="H501" s="39">
        <f t="shared" si="49"/>
        <v>2</v>
      </c>
      <c r="I501" s="39">
        <f t="shared" si="50"/>
        <v>0</v>
      </c>
      <c r="K501" s="40">
        <v>36336</v>
      </c>
      <c r="L501" s="39">
        <v>5301.21</v>
      </c>
      <c r="M501" s="39">
        <v>5</v>
      </c>
      <c r="N501" s="39">
        <v>5301.21</v>
      </c>
      <c r="O501" s="219">
        <f t="shared" si="55"/>
        <v>-2.4062967681508386E-2</v>
      </c>
      <c r="Q501" s="40">
        <v>33862</v>
      </c>
      <c r="R501" s="39">
        <v>1587.6</v>
      </c>
      <c r="S501" s="39">
        <f t="shared" si="51"/>
        <v>9</v>
      </c>
      <c r="T501" s="39">
        <f t="shared" si="52"/>
        <v>0</v>
      </c>
      <c r="U501" s="39">
        <f t="shared" si="53"/>
        <v>0</v>
      </c>
      <c r="V501" s="40"/>
    </row>
    <row r="502" spans="2:22" x14ac:dyDescent="0.35">
      <c r="B502" s="40">
        <v>33863</v>
      </c>
      <c r="C502" s="39">
        <v>1584.6</v>
      </c>
      <c r="D502" s="219">
        <f t="shared" si="54"/>
        <v>-1.8914323777688281E-3</v>
      </c>
      <c r="F502" s="40">
        <v>33863</v>
      </c>
      <c r="G502" s="39">
        <v>1584.6</v>
      </c>
      <c r="H502" s="39">
        <f t="shared" si="49"/>
        <v>3</v>
      </c>
      <c r="I502" s="39">
        <f t="shared" si="50"/>
        <v>0</v>
      </c>
      <c r="K502" s="40">
        <v>36343</v>
      </c>
      <c r="L502" s="39">
        <v>5519.05</v>
      </c>
      <c r="M502" s="39">
        <v>5</v>
      </c>
      <c r="N502" s="39">
        <v>5519.05</v>
      </c>
      <c r="O502" s="219">
        <f t="shared" si="55"/>
        <v>4.0270647640616143E-2</v>
      </c>
      <c r="Q502" s="40">
        <v>33863</v>
      </c>
      <c r="R502" s="39">
        <v>1584.6</v>
      </c>
      <c r="S502" s="39">
        <f t="shared" si="51"/>
        <v>9</v>
      </c>
      <c r="T502" s="39">
        <f t="shared" si="52"/>
        <v>0</v>
      </c>
      <c r="U502" s="39">
        <f t="shared" si="53"/>
        <v>0</v>
      </c>
      <c r="V502" s="40"/>
    </row>
    <row r="503" spans="2:22" x14ac:dyDescent="0.35">
      <c r="B503" s="40">
        <v>33864</v>
      </c>
      <c r="C503" s="39">
        <v>1578.7</v>
      </c>
      <c r="D503" s="219">
        <f t="shared" si="54"/>
        <v>-3.7302859934603013E-3</v>
      </c>
      <c r="F503" s="40">
        <v>33864</v>
      </c>
      <c r="G503" s="39">
        <v>1578.7</v>
      </c>
      <c r="H503" s="39">
        <f t="shared" ref="H503:H566" si="56">WEEKDAY(F503,2)</f>
        <v>4</v>
      </c>
      <c r="I503" s="39">
        <f t="shared" ref="I503:I566" si="57">IF(H503&gt;H504,G503,0)</f>
        <v>0</v>
      </c>
      <c r="K503" s="40">
        <v>36350</v>
      </c>
      <c r="L503" s="39">
        <v>5638.95</v>
      </c>
      <c r="M503" s="39">
        <v>5</v>
      </c>
      <c r="N503" s="39">
        <v>5638.95</v>
      </c>
      <c r="O503" s="219">
        <f t="shared" si="55"/>
        <v>2.1492133936801557E-2</v>
      </c>
      <c r="Q503" s="40">
        <v>33864</v>
      </c>
      <c r="R503" s="39">
        <v>1578.7</v>
      </c>
      <c r="S503" s="39">
        <f t="shared" ref="S503:S566" si="58">MONTH(Q503)</f>
        <v>9</v>
      </c>
      <c r="T503" s="39">
        <f t="shared" ref="T503:T566" si="59">IF(S504&lt;&gt;S503,R503,0)</f>
        <v>0</v>
      </c>
      <c r="U503" s="39">
        <f t="shared" ref="U503:U566" si="60">IF(S504=S503,0,R503)</f>
        <v>0</v>
      </c>
      <c r="V503" s="40"/>
    </row>
    <row r="504" spans="2:22" x14ac:dyDescent="0.35">
      <c r="B504" s="40">
        <v>33865</v>
      </c>
      <c r="C504" s="39">
        <v>1589.3</v>
      </c>
      <c r="D504" s="219">
        <f t="shared" ref="D504:D567" si="61">LN(C504/C503)</f>
        <v>6.6919441650927216E-3</v>
      </c>
      <c r="F504" s="40">
        <v>33865</v>
      </c>
      <c r="G504" s="39">
        <v>1589.3</v>
      </c>
      <c r="H504" s="39">
        <f t="shared" si="56"/>
        <v>5</v>
      </c>
      <c r="I504" s="39">
        <f t="shared" si="57"/>
        <v>1589.3</v>
      </c>
      <c r="K504" s="40">
        <v>36357</v>
      </c>
      <c r="L504" s="39">
        <v>5619.94</v>
      </c>
      <c r="M504" s="39">
        <v>5</v>
      </c>
      <c r="N504" s="39">
        <v>5619.94</v>
      </c>
      <c r="O504" s="219">
        <f t="shared" ref="O504:O567" si="62">LN(N504/N503)</f>
        <v>-3.376890273350865E-3</v>
      </c>
      <c r="Q504" s="40">
        <v>33865</v>
      </c>
      <c r="R504" s="39">
        <v>1589.3</v>
      </c>
      <c r="S504" s="39">
        <f t="shared" si="58"/>
        <v>9</v>
      </c>
      <c r="T504" s="39">
        <f t="shared" si="59"/>
        <v>0</v>
      </c>
      <c r="U504" s="39">
        <f t="shared" si="60"/>
        <v>0</v>
      </c>
      <c r="V504" s="40"/>
    </row>
    <row r="505" spans="2:22" x14ac:dyDescent="0.35">
      <c r="B505" s="40">
        <v>33868</v>
      </c>
      <c r="C505" s="39">
        <v>1573.9</v>
      </c>
      <c r="D505" s="219">
        <f t="shared" si="61"/>
        <v>-9.7370521452185936E-3</v>
      </c>
      <c r="F505" s="40">
        <v>33868</v>
      </c>
      <c r="G505" s="39">
        <v>1573.9</v>
      </c>
      <c r="H505" s="39">
        <f t="shared" si="56"/>
        <v>1</v>
      </c>
      <c r="I505" s="39">
        <f t="shared" si="57"/>
        <v>0</v>
      </c>
      <c r="K505" s="40">
        <v>36364</v>
      </c>
      <c r="L505" s="39">
        <v>5310.63</v>
      </c>
      <c r="M505" s="39">
        <v>5</v>
      </c>
      <c r="N505" s="39">
        <v>5310.63</v>
      </c>
      <c r="O505" s="219">
        <f t="shared" si="62"/>
        <v>-5.6610515408032115E-2</v>
      </c>
      <c r="Q505" s="40">
        <v>33868</v>
      </c>
      <c r="R505" s="39">
        <v>1573.9</v>
      </c>
      <c r="S505" s="39">
        <f t="shared" si="58"/>
        <v>9</v>
      </c>
      <c r="T505" s="39">
        <f t="shared" si="59"/>
        <v>0</v>
      </c>
      <c r="U505" s="39">
        <f t="shared" si="60"/>
        <v>0</v>
      </c>
      <c r="V505" s="40"/>
    </row>
    <row r="506" spans="2:22" x14ac:dyDescent="0.35">
      <c r="B506" s="40">
        <v>33869</v>
      </c>
      <c r="C506" s="39">
        <v>1550.3</v>
      </c>
      <c r="D506" s="219">
        <f t="shared" si="61"/>
        <v>-1.5108154985238884E-2</v>
      </c>
      <c r="F506" s="40">
        <v>33869</v>
      </c>
      <c r="G506" s="39">
        <v>1550.3</v>
      </c>
      <c r="H506" s="39">
        <f t="shared" si="56"/>
        <v>2</v>
      </c>
      <c r="I506" s="39">
        <f t="shared" si="57"/>
        <v>0</v>
      </c>
      <c r="K506" s="40">
        <v>36371</v>
      </c>
      <c r="L506" s="39">
        <v>5101.87</v>
      </c>
      <c r="M506" s="39">
        <v>5</v>
      </c>
      <c r="N506" s="39">
        <v>5101.87</v>
      </c>
      <c r="O506" s="219">
        <f t="shared" si="62"/>
        <v>-4.0103333092841274E-2</v>
      </c>
      <c r="Q506" s="40">
        <v>33869</v>
      </c>
      <c r="R506" s="39">
        <v>1550.3</v>
      </c>
      <c r="S506" s="39">
        <f t="shared" si="58"/>
        <v>9</v>
      </c>
      <c r="T506" s="39">
        <f t="shared" si="59"/>
        <v>0</v>
      </c>
      <c r="U506" s="39">
        <f t="shared" si="60"/>
        <v>0</v>
      </c>
      <c r="V506" s="40"/>
    </row>
    <row r="507" spans="2:22" x14ac:dyDescent="0.35">
      <c r="B507" s="40">
        <v>33870</v>
      </c>
      <c r="C507" s="39">
        <v>1557.8</v>
      </c>
      <c r="D507" s="219">
        <f t="shared" si="61"/>
        <v>4.8261089135316088E-3</v>
      </c>
      <c r="F507" s="40">
        <v>33870</v>
      </c>
      <c r="G507" s="39">
        <v>1557.8</v>
      </c>
      <c r="H507" s="39">
        <f t="shared" si="56"/>
        <v>3</v>
      </c>
      <c r="I507" s="39">
        <f t="shared" si="57"/>
        <v>0</v>
      </c>
      <c r="K507" s="40">
        <v>36378</v>
      </c>
      <c r="L507" s="39">
        <v>5010.47</v>
      </c>
      <c r="M507" s="39">
        <v>5</v>
      </c>
      <c r="N507" s="39">
        <v>5010.47</v>
      </c>
      <c r="O507" s="219">
        <f t="shared" si="62"/>
        <v>-1.8077416119234847E-2</v>
      </c>
      <c r="Q507" s="40">
        <v>33870</v>
      </c>
      <c r="R507" s="39">
        <v>1557.8</v>
      </c>
      <c r="S507" s="39">
        <f t="shared" si="58"/>
        <v>9</v>
      </c>
      <c r="T507" s="39">
        <f t="shared" si="59"/>
        <v>0</v>
      </c>
      <c r="U507" s="39">
        <f t="shared" si="60"/>
        <v>0</v>
      </c>
      <c r="V507" s="40"/>
    </row>
    <row r="508" spans="2:22" x14ac:dyDescent="0.35">
      <c r="B508" s="40">
        <v>33871</v>
      </c>
      <c r="C508" s="39">
        <v>1530.9</v>
      </c>
      <c r="D508" s="219">
        <f t="shared" si="61"/>
        <v>-1.7418771747812638E-2</v>
      </c>
      <c r="F508" s="40">
        <v>33871</v>
      </c>
      <c r="G508" s="39">
        <v>1530.9</v>
      </c>
      <c r="H508" s="39">
        <f t="shared" si="56"/>
        <v>4</v>
      </c>
      <c r="I508" s="39">
        <f t="shared" si="57"/>
        <v>0</v>
      </c>
      <c r="K508" s="40">
        <v>36385</v>
      </c>
      <c r="L508" s="39">
        <v>5219.43</v>
      </c>
      <c r="M508" s="39">
        <v>5</v>
      </c>
      <c r="N508" s="39">
        <v>5219.43</v>
      </c>
      <c r="O508" s="219">
        <f t="shared" si="62"/>
        <v>4.0858477458079308E-2</v>
      </c>
      <c r="Q508" s="40">
        <v>33871</v>
      </c>
      <c r="R508" s="39">
        <v>1530.9</v>
      </c>
      <c r="S508" s="39">
        <f t="shared" si="58"/>
        <v>9</v>
      </c>
      <c r="T508" s="39">
        <f t="shared" si="59"/>
        <v>0</v>
      </c>
      <c r="U508" s="39">
        <f t="shared" si="60"/>
        <v>0</v>
      </c>
      <c r="V508" s="40"/>
    </row>
    <row r="509" spans="2:22" x14ac:dyDescent="0.35">
      <c r="B509" s="40">
        <v>33872</v>
      </c>
      <c r="C509" s="39">
        <v>1513.4</v>
      </c>
      <c r="D509" s="219">
        <f t="shared" si="61"/>
        <v>-1.1497022477614263E-2</v>
      </c>
      <c r="F509" s="40">
        <v>33872</v>
      </c>
      <c r="G509" s="39">
        <v>1513.4</v>
      </c>
      <c r="H509" s="39">
        <f t="shared" si="56"/>
        <v>5</v>
      </c>
      <c r="I509" s="39">
        <f t="shared" si="57"/>
        <v>1513.4</v>
      </c>
      <c r="K509" s="40">
        <v>36392</v>
      </c>
      <c r="L509" s="39">
        <v>5254.14</v>
      </c>
      <c r="M509" s="39">
        <v>5</v>
      </c>
      <c r="N509" s="39">
        <v>5254.14</v>
      </c>
      <c r="O509" s="219">
        <f t="shared" si="62"/>
        <v>6.6281367430181589E-3</v>
      </c>
      <c r="Q509" s="40">
        <v>33872</v>
      </c>
      <c r="R509" s="39">
        <v>1513.4</v>
      </c>
      <c r="S509" s="39">
        <f t="shared" si="58"/>
        <v>9</v>
      </c>
      <c r="T509" s="39">
        <f t="shared" si="59"/>
        <v>0</v>
      </c>
      <c r="U509" s="39">
        <f t="shared" si="60"/>
        <v>0</v>
      </c>
      <c r="V509" s="40"/>
    </row>
    <row r="510" spans="2:22" x14ac:dyDescent="0.35">
      <c r="B510" s="40">
        <v>33875</v>
      </c>
      <c r="C510" s="39">
        <v>1475</v>
      </c>
      <c r="D510" s="219">
        <f t="shared" si="61"/>
        <v>-2.57007854865011E-2</v>
      </c>
      <c r="F510" s="40">
        <v>33875</v>
      </c>
      <c r="G510" s="39">
        <v>1475</v>
      </c>
      <c r="H510" s="39">
        <f t="shared" si="56"/>
        <v>1</v>
      </c>
      <c r="I510" s="39">
        <f t="shared" si="57"/>
        <v>0</v>
      </c>
      <c r="K510" s="40">
        <v>36399</v>
      </c>
      <c r="L510" s="39">
        <v>5420.36</v>
      </c>
      <c r="M510" s="39">
        <v>5</v>
      </c>
      <c r="N510" s="39">
        <v>5420.36</v>
      </c>
      <c r="O510" s="219">
        <f t="shared" si="62"/>
        <v>3.114589663699216E-2</v>
      </c>
      <c r="Q510" s="40">
        <v>33875</v>
      </c>
      <c r="R510" s="39">
        <v>1475</v>
      </c>
      <c r="S510" s="39">
        <f t="shared" si="58"/>
        <v>9</v>
      </c>
      <c r="T510" s="39">
        <f t="shared" si="59"/>
        <v>0</v>
      </c>
      <c r="U510" s="39">
        <f t="shared" si="60"/>
        <v>0</v>
      </c>
      <c r="V510" s="40"/>
    </row>
    <row r="511" spans="2:22" x14ac:dyDescent="0.35">
      <c r="B511" s="40">
        <v>33876</v>
      </c>
      <c r="C511" s="39">
        <v>1476.3</v>
      </c>
      <c r="D511" s="219">
        <f t="shared" si="61"/>
        <v>8.8096776612202538E-4</v>
      </c>
      <c r="F511" s="40">
        <v>33876</v>
      </c>
      <c r="G511" s="39">
        <v>1476.3</v>
      </c>
      <c r="H511" s="39">
        <f t="shared" si="56"/>
        <v>2</v>
      </c>
      <c r="I511" s="39">
        <f t="shared" si="57"/>
        <v>0</v>
      </c>
      <c r="K511" s="40">
        <v>36406</v>
      </c>
      <c r="L511" s="39">
        <v>5336.22</v>
      </c>
      <c r="M511" s="39">
        <v>5</v>
      </c>
      <c r="N511" s="39">
        <v>5336.22</v>
      </c>
      <c r="O511" s="219">
        <f t="shared" si="62"/>
        <v>-1.5644696761284542E-2</v>
      </c>
      <c r="Q511" s="40">
        <v>33876</v>
      </c>
      <c r="R511" s="39">
        <v>1476.3</v>
      </c>
      <c r="S511" s="39">
        <f t="shared" si="58"/>
        <v>9</v>
      </c>
      <c r="T511" s="39">
        <f t="shared" si="59"/>
        <v>0</v>
      </c>
      <c r="U511" s="39">
        <f t="shared" si="60"/>
        <v>0</v>
      </c>
      <c r="V511" s="40"/>
    </row>
    <row r="512" spans="2:22" x14ac:dyDescent="0.35">
      <c r="B512" s="40">
        <v>33877</v>
      </c>
      <c r="C512" s="39">
        <v>1466.4</v>
      </c>
      <c r="D512" s="219">
        <f t="shared" si="61"/>
        <v>-6.7285400145468506E-3</v>
      </c>
      <c r="F512" s="40">
        <v>33877</v>
      </c>
      <c r="G512" s="39">
        <v>1466.4</v>
      </c>
      <c r="H512" s="39">
        <f t="shared" si="56"/>
        <v>3</v>
      </c>
      <c r="I512" s="39">
        <f t="shared" si="57"/>
        <v>0</v>
      </c>
      <c r="K512" s="40">
        <v>36413</v>
      </c>
      <c r="L512" s="39">
        <v>5483.95</v>
      </c>
      <c r="M512" s="39">
        <v>5</v>
      </c>
      <c r="N512" s="39">
        <v>5483.95</v>
      </c>
      <c r="O512" s="219">
        <f t="shared" si="62"/>
        <v>2.7308107077250669E-2</v>
      </c>
      <c r="Q512" s="40">
        <v>33877</v>
      </c>
      <c r="R512" s="39">
        <v>1466.4</v>
      </c>
      <c r="S512" s="39">
        <f t="shared" si="58"/>
        <v>9</v>
      </c>
      <c r="T512" s="39">
        <f t="shared" si="59"/>
        <v>1466.4</v>
      </c>
      <c r="U512" s="39">
        <f t="shared" si="60"/>
        <v>1466.4</v>
      </c>
      <c r="V512" s="40"/>
    </row>
    <row r="513" spans="2:22" x14ac:dyDescent="0.35">
      <c r="B513" s="40">
        <v>33878</v>
      </c>
      <c r="C513" s="39">
        <v>1484</v>
      </c>
      <c r="D513" s="219">
        <f t="shared" si="61"/>
        <v>1.1930727201830416E-2</v>
      </c>
      <c r="F513" s="40">
        <v>33878</v>
      </c>
      <c r="G513" s="39">
        <v>1484</v>
      </c>
      <c r="H513" s="39">
        <f t="shared" si="56"/>
        <v>4</v>
      </c>
      <c r="I513" s="39">
        <f t="shared" si="57"/>
        <v>0</v>
      </c>
      <c r="K513" s="40">
        <v>36420</v>
      </c>
      <c r="L513" s="39">
        <v>5303.94</v>
      </c>
      <c r="M513" s="39">
        <v>5</v>
      </c>
      <c r="N513" s="39">
        <v>5303.94</v>
      </c>
      <c r="O513" s="219">
        <f t="shared" si="62"/>
        <v>-3.3375703623589742E-2</v>
      </c>
      <c r="Q513" s="40">
        <v>33878</v>
      </c>
      <c r="R513" s="39">
        <v>1484</v>
      </c>
      <c r="S513" s="39">
        <f t="shared" si="58"/>
        <v>10</v>
      </c>
      <c r="T513" s="39">
        <f t="shared" si="59"/>
        <v>0</v>
      </c>
      <c r="U513" s="39">
        <f t="shared" si="60"/>
        <v>0</v>
      </c>
      <c r="V513" s="40"/>
    </row>
    <row r="514" spans="2:22" x14ac:dyDescent="0.35">
      <c r="B514" s="40">
        <v>33879</v>
      </c>
      <c r="C514" s="39">
        <v>1478</v>
      </c>
      <c r="D514" s="219">
        <f t="shared" si="61"/>
        <v>-4.0513222191786895E-3</v>
      </c>
      <c r="F514" s="40">
        <v>33879</v>
      </c>
      <c r="G514" s="39">
        <v>1478</v>
      </c>
      <c r="H514" s="39">
        <f t="shared" si="56"/>
        <v>5</v>
      </c>
      <c r="I514" s="39">
        <f t="shared" si="57"/>
        <v>1478</v>
      </c>
      <c r="K514" s="40">
        <v>36427</v>
      </c>
      <c r="L514" s="39">
        <v>5186.53</v>
      </c>
      <c r="M514" s="39">
        <v>5</v>
      </c>
      <c r="N514" s="39">
        <v>5186.53</v>
      </c>
      <c r="O514" s="219">
        <f t="shared" si="62"/>
        <v>-2.2385060481800344E-2</v>
      </c>
      <c r="Q514" s="40">
        <v>33879</v>
      </c>
      <c r="R514" s="39">
        <v>1478</v>
      </c>
      <c r="S514" s="39">
        <f t="shared" si="58"/>
        <v>10</v>
      </c>
      <c r="T514" s="39">
        <f t="shared" si="59"/>
        <v>0</v>
      </c>
      <c r="U514" s="39">
        <f t="shared" si="60"/>
        <v>0</v>
      </c>
      <c r="V514" s="40"/>
    </row>
    <row r="515" spans="2:22" x14ac:dyDescent="0.35">
      <c r="B515" s="40">
        <v>33882</v>
      </c>
      <c r="C515" s="39">
        <v>1424.4</v>
      </c>
      <c r="D515" s="219">
        <f t="shared" si="61"/>
        <v>-3.6939150104524386E-2</v>
      </c>
      <c r="F515" s="40">
        <v>33882</v>
      </c>
      <c r="G515" s="39">
        <v>1424.4</v>
      </c>
      <c r="H515" s="39">
        <f t="shared" si="56"/>
        <v>1</v>
      </c>
      <c r="I515" s="39">
        <f t="shared" si="57"/>
        <v>0</v>
      </c>
      <c r="K515" s="40">
        <v>36434</v>
      </c>
      <c r="L515" s="39">
        <v>5124.55</v>
      </c>
      <c r="M515" s="39">
        <v>5</v>
      </c>
      <c r="N515" s="39">
        <v>5124.55</v>
      </c>
      <c r="O515" s="219">
        <f t="shared" si="62"/>
        <v>-1.2022163829233535E-2</v>
      </c>
      <c r="Q515" s="40">
        <v>33882</v>
      </c>
      <c r="R515" s="39">
        <v>1424.4</v>
      </c>
      <c r="S515" s="39">
        <f t="shared" si="58"/>
        <v>10</v>
      </c>
      <c r="T515" s="39">
        <f t="shared" si="59"/>
        <v>0</v>
      </c>
      <c r="U515" s="39">
        <f t="shared" si="60"/>
        <v>0</v>
      </c>
      <c r="V515" s="40"/>
    </row>
    <row r="516" spans="2:22" x14ac:dyDescent="0.35">
      <c r="B516" s="40">
        <v>33883</v>
      </c>
      <c r="C516" s="39">
        <v>1420.3</v>
      </c>
      <c r="D516" s="219">
        <f t="shared" si="61"/>
        <v>-2.8825555165403654E-3</v>
      </c>
      <c r="F516" s="40">
        <v>33883</v>
      </c>
      <c r="G516" s="39">
        <v>1420.3</v>
      </c>
      <c r="H516" s="39">
        <f t="shared" si="56"/>
        <v>2</v>
      </c>
      <c r="I516" s="39">
        <f t="shared" si="57"/>
        <v>0</v>
      </c>
      <c r="K516" s="40">
        <v>36441</v>
      </c>
      <c r="L516" s="39">
        <v>5419.26</v>
      </c>
      <c r="M516" s="39">
        <v>5</v>
      </c>
      <c r="N516" s="39">
        <v>5419.26</v>
      </c>
      <c r="O516" s="219">
        <f t="shared" si="62"/>
        <v>5.5916558473636767E-2</v>
      </c>
      <c r="Q516" s="40">
        <v>33883</v>
      </c>
      <c r="R516" s="39">
        <v>1420.3</v>
      </c>
      <c r="S516" s="39">
        <f t="shared" si="58"/>
        <v>10</v>
      </c>
      <c r="T516" s="39">
        <f t="shared" si="59"/>
        <v>0</v>
      </c>
      <c r="U516" s="39">
        <f t="shared" si="60"/>
        <v>0</v>
      </c>
      <c r="V516" s="40"/>
    </row>
    <row r="517" spans="2:22" x14ac:dyDescent="0.35">
      <c r="B517" s="40">
        <v>33884</v>
      </c>
      <c r="C517" s="39">
        <v>1436.1</v>
      </c>
      <c r="D517" s="219">
        <f t="shared" si="61"/>
        <v>1.106298917949068E-2</v>
      </c>
      <c r="F517" s="40">
        <v>33884</v>
      </c>
      <c r="G517" s="39">
        <v>1436.1</v>
      </c>
      <c r="H517" s="39">
        <f t="shared" si="56"/>
        <v>3</v>
      </c>
      <c r="I517" s="39">
        <f t="shared" si="57"/>
        <v>0</v>
      </c>
      <c r="K517" s="40">
        <v>36448</v>
      </c>
      <c r="L517" s="39">
        <v>5184.2299999999996</v>
      </c>
      <c r="M517" s="39">
        <v>5</v>
      </c>
      <c r="N517" s="39">
        <v>5184.2299999999996</v>
      </c>
      <c r="O517" s="219">
        <f t="shared" si="62"/>
        <v>-4.4337949415260626E-2</v>
      </c>
      <c r="Q517" s="40">
        <v>33884</v>
      </c>
      <c r="R517" s="39">
        <v>1436.1</v>
      </c>
      <c r="S517" s="39">
        <f t="shared" si="58"/>
        <v>10</v>
      </c>
      <c r="T517" s="39">
        <f t="shared" si="59"/>
        <v>0</v>
      </c>
      <c r="U517" s="39">
        <f t="shared" si="60"/>
        <v>0</v>
      </c>
      <c r="V517" s="40"/>
    </row>
    <row r="518" spans="2:22" x14ac:dyDescent="0.35">
      <c r="B518" s="40">
        <v>33885</v>
      </c>
      <c r="C518" s="39">
        <v>1451.1</v>
      </c>
      <c r="D518" s="219">
        <f t="shared" si="61"/>
        <v>1.0390783430474232E-2</v>
      </c>
      <c r="F518" s="40">
        <v>33885</v>
      </c>
      <c r="G518" s="39">
        <v>1451.1</v>
      </c>
      <c r="H518" s="39">
        <f t="shared" si="56"/>
        <v>4</v>
      </c>
      <c r="I518" s="39">
        <f t="shared" si="57"/>
        <v>0</v>
      </c>
      <c r="K518" s="40">
        <v>36455</v>
      </c>
      <c r="L518" s="39">
        <v>5357.75</v>
      </c>
      <c r="M518" s="39">
        <v>5</v>
      </c>
      <c r="N518" s="39">
        <v>5357.75</v>
      </c>
      <c r="O518" s="219">
        <f t="shared" si="62"/>
        <v>3.2922785482922837E-2</v>
      </c>
      <c r="Q518" s="40">
        <v>33885</v>
      </c>
      <c r="R518" s="39">
        <v>1451.1</v>
      </c>
      <c r="S518" s="39">
        <f t="shared" si="58"/>
        <v>10</v>
      </c>
      <c r="T518" s="39">
        <f t="shared" si="59"/>
        <v>0</v>
      </c>
      <c r="U518" s="39">
        <f t="shared" si="60"/>
        <v>0</v>
      </c>
      <c r="V518" s="40"/>
    </row>
    <row r="519" spans="2:22" x14ac:dyDescent="0.35">
      <c r="B519" s="40">
        <v>33886</v>
      </c>
      <c r="C519" s="39">
        <v>1439.7</v>
      </c>
      <c r="D519" s="219">
        <f t="shared" si="61"/>
        <v>-7.8871309647375858E-3</v>
      </c>
      <c r="F519" s="40">
        <v>33886</v>
      </c>
      <c r="G519" s="39">
        <v>1439.7</v>
      </c>
      <c r="H519" s="39">
        <f t="shared" si="56"/>
        <v>5</v>
      </c>
      <c r="I519" s="39">
        <f t="shared" si="57"/>
        <v>1439.7</v>
      </c>
      <c r="K519" s="40">
        <v>36462</v>
      </c>
      <c r="L519" s="39">
        <v>5525.4</v>
      </c>
      <c r="M519" s="39">
        <v>5</v>
      </c>
      <c r="N519" s="39">
        <v>5525.4</v>
      </c>
      <c r="O519" s="219">
        <f t="shared" si="62"/>
        <v>3.0811532140591156E-2</v>
      </c>
      <c r="Q519" s="40">
        <v>33886</v>
      </c>
      <c r="R519" s="39">
        <v>1439.7</v>
      </c>
      <c r="S519" s="39">
        <f t="shared" si="58"/>
        <v>10</v>
      </c>
      <c r="T519" s="39">
        <f t="shared" si="59"/>
        <v>0</v>
      </c>
      <c r="U519" s="39">
        <f t="shared" si="60"/>
        <v>0</v>
      </c>
      <c r="V519" s="40"/>
    </row>
    <row r="520" spans="2:22" x14ac:dyDescent="0.35">
      <c r="B520" s="40">
        <v>33889</v>
      </c>
      <c r="C520" s="39">
        <v>1432.5</v>
      </c>
      <c r="D520" s="219">
        <f t="shared" si="61"/>
        <v>-5.0135889434149783E-3</v>
      </c>
      <c r="F520" s="40">
        <v>33889</v>
      </c>
      <c r="G520" s="39">
        <v>1432.5</v>
      </c>
      <c r="H520" s="39">
        <f t="shared" si="56"/>
        <v>1</v>
      </c>
      <c r="I520" s="39">
        <f t="shared" si="57"/>
        <v>0</v>
      </c>
      <c r="K520" s="40">
        <v>36469</v>
      </c>
      <c r="L520" s="39">
        <v>5658.1</v>
      </c>
      <c r="M520" s="39">
        <v>5</v>
      </c>
      <c r="N520" s="39">
        <v>5658.1</v>
      </c>
      <c r="O520" s="219">
        <f t="shared" si="62"/>
        <v>2.3732503839735831E-2</v>
      </c>
      <c r="Q520" s="40">
        <v>33889</v>
      </c>
      <c r="R520" s="39">
        <v>1432.5</v>
      </c>
      <c r="S520" s="39">
        <f t="shared" si="58"/>
        <v>10</v>
      </c>
      <c r="T520" s="39">
        <f t="shared" si="59"/>
        <v>0</v>
      </c>
      <c r="U520" s="39">
        <f t="shared" si="60"/>
        <v>0</v>
      </c>
      <c r="V520" s="40"/>
    </row>
    <row r="521" spans="2:22" x14ac:dyDescent="0.35">
      <c r="B521" s="40">
        <v>33890</v>
      </c>
      <c r="C521" s="39">
        <v>1465.5</v>
      </c>
      <c r="D521" s="219">
        <f t="shared" si="61"/>
        <v>2.2775311562052453E-2</v>
      </c>
      <c r="F521" s="40">
        <v>33890</v>
      </c>
      <c r="G521" s="39">
        <v>1465.5</v>
      </c>
      <c r="H521" s="39">
        <f t="shared" si="56"/>
        <v>2</v>
      </c>
      <c r="I521" s="39">
        <f t="shared" si="57"/>
        <v>0</v>
      </c>
      <c r="K521" s="40">
        <v>36476</v>
      </c>
      <c r="L521" s="39">
        <v>5791.05</v>
      </c>
      <c r="M521" s="39">
        <v>5</v>
      </c>
      <c r="N521" s="39">
        <v>5791.05</v>
      </c>
      <c r="O521" s="219">
        <f t="shared" si="62"/>
        <v>2.3225475480781309E-2</v>
      </c>
      <c r="Q521" s="40">
        <v>33890</v>
      </c>
      <c r="R521" s="39">
        <v>1465.5</v>
      </c>
      <c r="S521" s="39">
        <f t="shared" si="58"/>
        <v>10</v>
      </c>
      <c r="T521" s="39">
        <f t="shared" si="59"/>
        <v>0</v>
      </c>
      <c r="U521" s="39">
        <f t="shared" si="60"/>
        <v>0</v>
      </c>
      <c r="V521" s="40"/>
    </row>
    <row r="522" spans="2:22" x14ac:dyDescent="0.35">
      <c r="B522" s="40">
        <v>33891</v>
      </c>
      <c r="C522" s="39">
        <v>1458.5</v>
      </c>
      <c r="D522" s="219">
        <f t="shared" si="61"/>
        <v>-4.787970843171026E-3</v>
      </c>
      <c r="F522" s="40">
        <v>33891</v>
      </c>
      <c r="G522" s="39">
        <v>1458.5</v>
      </c>
      <c r="H522" s="39">
        <f t="shared" si="56"/>
        <v>3</v>
      </c>
      <c r="I522" s="39">
        <f t="shared" si="57"/>
        <v>0</v>
      </c>
      <c r="K522" s="40">
        <v>36483</v>
      </c>
      <c r="L522" s="39">
        <v>5955.97</v>
      </c>
      <c r="M522" s="39">
        <v>5</v>
      </c>
      <c r="N522" s="39">
        <v>5955.97</v>
      </c>
      <c r="O522" s="219">
        <f t="shared" si="62"/>
        <v>2.8080455577778923E-2</v>
      </c>
      <c r="Q522" s="40">
        <v>33891</v>
      </c>
      <c r="R522" s="39">
        <v>1458.5</v>
      </c>
      <c r="S522" s="39">
        <f t="shared" si="58"/>
        <v>10</v>
      </c>
      <c r="T522" s="39">
        <f t="shared" si="59"/>
        <v>0</v>
      </c>
      <c r="U522" s="39">
        <f t="shared" si="60"/>
        <v>0</v>
      </c>
      <c r="V522" s="40"/>
    </row>
    <row r="523" spans="2:22" x14ac:dyDescent="0.35">
      <c r="B523" s="40">
        <v>33892</v>
      </c>
      <c r="C523" s="39">
        <v>1453.4</v>
      </c>
      <c r="D523" s="219">
        <f t="shared" si="61"/>
        <v>-3.5028711252404932E-3</v>
      </c>
      <c r="F523" s="40">
        <v>33892</v>
      </c>
      <c r="G523" s="39">
        <v>1453.4</v>
      </c>
      <c r="H523" s="39">
        <f t="shared" si="56"/>
        <v>4</v>
      </c>
      <c r="I523" s="39">
        <f t="shared" si="57"/>
        <v>0</v>
      </c>
      <c r="K523" s="40">
        <v>36490</v>
      </c>
      <c r="L523" s="39">
        <v>5958.07</v>
      </c>
      <c r="M523" s="39">
        <v>5</v>
      </c>
      <c r="N523" s="39">
        <v>5958.07</v>
      </c>
      <c r="O523" s="219">
        <f t="shared" si="62"/>
        <v>3.5252525956717897E-4</v>
      </c>
      <c r="Q523" s="40">
        <v>33892</v>
      </c>
      <c r="R523" s="39">
        <v>1453.4</v>
      </c>
      <c r="S523" s="39">
        <f t="shared" si="58"/>
        <v>10</v>
      </c>
      <c r="T523" s="39">
        <f t="shared" si="59"/>
        <v>0</v>
      </c>
      <c r="U523" s="39">
        <f t="shared" si="60"/>
        <v>0</v>
      </c>
      <c r="V523" s="40"/>
    </row>
    <row r="524" spans="2:22" x14ac:dyDescent="0.35">
      <c r="B524" s="40">
        <v>33893</v>
      </c>
      <c r="C524" s="39">
        <v>1461.6</v>
      </c>
      <c r="D524" s="219">
        <f t="shared" si="61"/>
        <v>5.626086881261416E-3</v>
      </c>
      <c r="F524" s="40">
        <v>33893</v>
      </c>
      <c r="G524" s="39">
        <v>1461.6</v>
      </c>
      <c r="H524" s="39">
        <f t="shared" si="56"/>
        <v>5</v>
      </c>
      <c r="I524" s="39">
        <f t="shared" si="57"/>
        <v>1461.6</v>
      </c>
      <c r="K524" s="40">
        <v>36497</v>
      </c>
      <c r="L524" s="39">
        <v>6119.17</v>
      </c>
      <c r="M524" s="39">
        <v>5</v>
      </c>
      <c r="N524" s="39">
        <v>6119.17</v>
      </c>
      <c r="O524" s="219">
        <f t="shared" si="62"/>
        <v>2.6679863280751687E-2</v>
      </c>
      <c r="Q524" s="40">
        <v>33893</v>
      </c>
      <c r="R524" s="39">
        <v>1461.6</v>
      </c>
      <c r="S524" s="39">
        <f t="shared" si="58"/>
        <v>10</v>
      </c>
      <c r="T524" s="39">
        <f t="shared" si="59"/>
        <v>0</v>
      </c>
      <c r="U524" s="39">
        <f t="shared" si="60"/>
        <v>0</v>
      </c>
      <c r="V524" s="40"/>
    </row>
    <row r="525" spans="2:22" x14ac:dyDescent="0.35">
      <c r="B525" s="40">
        <v>33896</v>
      </c>
      <c r="C525" s="39">
        <v>1479.1</v>
      </c>
      <c r="D525" s="219">
        <f t="shared" si="61"/>
        <v>1.1902068613527297E-2</v>
      </c>
      <c r="F525" s="40">
        <v>33896</v>
      </c>
      <c r="G525" s="39">
        <v>1479.1</v>
      </c>
      <c r="H525" s="39">
        <f t="shared" si="56"/>
        <v>1</v>
      </c>
      <c r="I525" s="39">
        <f t="shared" si="57"/>
        <v>0</v>
      </c>
      <c r="K525" s="40">
        <v>36504</v>
      </c>
      <c r="L525" s="39">
        <v>6097.9</v>
      </c>
      <c r="M525" s="39">
        <v>5</v>
      </c>
      <c r="N525" s="39">
        <v>6097.9</v>
      </c>
      <c r="O525" s="219">
        <f t="shared" si="62"/>
        <v>-3.4820167995382708E-3</v>
      </c>
      <c r="Q525" s="40">
        <v>33896</v>
      </c>
      <c r="R525" s="39">
        <v>1479.1</v>
      </c>
      <c r="S525" s="39">
        <f t="shared" si="58"/>
        <v>10</v>
      </c>
      <c r="T525" s="39">
        <f t="shared" si="59"/>
        <v>0</v>
      </c>
      <c r="U525" s="39">
        <f t="shared" si="60"/>
        <v>0</v>
      </c>
      <c r="V525" s="40"/>
    </row>
    <row r="526" spans="2:22" x14ac:dyDescent="0.35">
      <c r="B526" s="40">
        <v>33897</v>
      </c>
      <c r="C526" s="39">
        <v>1511.6</v>
      </c>
      <c r="D526" s="219">
        <f t="shared" si="61"/>
        <v>2.1734897798009477E-2</v>
      </c>
      <c r="F526" s="40">
        <v>33897</v>
      </c>
      <c r="G526" s="39">
        <v>1511.6</v>
      </c>
      <c r="H526" s="39">
        <f t="shared" si="56"/>
        <v>2</v>
      </c>
      <c r="I526" s="39">
        <f t="shared" si="57"/>
        <v>0</v>
      </c>
      <c r="K526" s="40">
        <v>36511</v>
      </c>
      <c r="L526" s="39">
        <v>6353.9</v>
      </c>
      <c r="M526" s="39">
        <v>5</v>
      </c>
      <c r="N526" s="39">
        <v>6353.9</v>
      </c>
      <c r="O526" s="219">
        <f t="shared" si="62"/>
        <v>4.11243479934418E-2</v>
      </c>
      <c r="Q526" s="40">
        <v>33897</v>
      </c>
      <c r="R526" s="39">
        <v>1511.6</v>
      </c>
      <c r="S526" s="39">
        <f t="shared" si="58"/>
        <v>10</v>
      </c>
      <c r="T526" s="39">
        <f t="shared" si="59"/>
        <v>0</v>
      </c>
      <c r="U526" s="39">
        <f t="shared" si="60"/>
        <v>0</v>
      </c>
      <c r="V526" s="40"/>
    </row>
    <row r="527" spans="2:22" x14ac:dyDescent="0.35">
      <c r="B527" s="40">
        <v>33898</v>
      </c>
      <c r="C527" s="39">
        <v>1503.9</v>
      </c>
      <c r="D527" s="219">
        <f t="shared" si="61"/>
        <v>-5.1069585377663696E-3</v>
      </c>
      <c r="F527" s="40">
        <v>33898</v>
      </c>
      <c r="G527" s="39">
        <v>1503.9</v>
      </c>
      <c r="H527" s="39">
        <f t="shared" si="56"/>
        <v>3</v>
      </c>
      <c r="I527" s="39">
        <f t="shared" si="57"/>
        <v>0</v>
      </c>
      <c r="K527" s="40">
        <v>36517</v>
      </c>
      <c r="L527" s="39">
        <v>6782.39</v>
      </c>
      <c r="M527" s="39">
        <v>4</v>
      </c>
      <c r="N527" s="39">
        <v>6782.39</v>
      </c>
      <c r="O527" s="219">
        <f t="shared" si="62"/>
        <v>6.5260749605050253E-2</v>
      </c>
      <c r="Q527" s="40">
        <v>33898</v>
      </c>
      <c r="R527" s="39">
        <v>1503.9</v>
      </c>
      <c r="S527" s="39">
        <f t="shared" si="58"/>
        <v>10</v>
      </c>
      <c r="T527" s="39">
        <f t="shared" si="59"/>
        <v>0</v>
      </c>
      <c r="U527" s="39">
        <f t="shared" si="60"/>
        <v>0</v>
      </c>
      <c r="V527" s="40"/>
    </row>
    <row r="528" spans="2:22" x14ac:dyDescent="0.35">
      <c r="B528" s="40">
        <v>33899</v>
      </c>
      <c r="C528" s="39">
        <v>1510.1</v>
      </c>
      <c r="D528" s="219">
        <f t="shared" si="61"/>
        <v>4.114139844175981E-3</v>
      </c>
      <c r="F528" s="40">
        <v>33899</v>
      </c>
      <c r="G528" s="39">
        <v>1510.1</v>
      </c>
      <c r="H528" s="39">
        <f t="shared" si="56"/>
        <v>4</v>
      </c>
      <c r="I528" s="39">
        <f t="shared" si="57"/>
        <v>0</v>
      </c>
      <c r="K528" s="40">
        <v>36524</v>
      </c>
      <c r="L528" s="39">
        <v>6958.14</v>
      </c>
      <c r="M528" s="39">
        <v>4</v>
      </c>
      <c r="N528" s="39">
        <v>6958.14</v>
      </c>
      <c r="O528" s="219">
        <f t="shared" si="62"/>
        <v>2.5582650040869234E-2</v>
      </c>
      <c r="Q528" s="40">
        <v>33899</v>
      </c>
      <c r="R528" s="39">
        <v>1510.1</v>
      </c>
      <c r="S528" s="39">
        <f t="shared" si="58"/>
        <v>10</v>
      </c>
      <c r="T528" s="39">
        <f t="shared" si="59"/>
        <v>0</v>
      </c>
      <c r="U528" s="39">
        <f t="shared" si="60"/>
        <v>0</v>
      </c>
      <c r="V528" s="40"/>
    </row>
    <row r="529" spans="2:22" x14ac:dyDescent="0.35">
      <c r="B529" s="40">
        <v>33900</v>
      </c>
      <c r="C529" s="39">
        <v>1526.8</v>
      </c>
      <c r="D529" s="219">
        <f t="shared" si="61"/>
        <v>1.0998168089331337E-2</v>
      </c>
      <c r="F529" s="40">
        <v>33900</v>
      </c>
      <c r="G529" s="39">
        <v>1526.8</v>
      </c>
      <c r="H529" s="39">
        <f t="shared" si="56"/>
        <v>5</v>
      </c>
      <c r="I529" s="39">
        <f t="shared" si="57"/>
        <v>1526.8</v>
      </c>
      <c r="K529" s="40">
        <v>36532</v>
      </c>
      <c r="L529" s="39">
        <v>6780.96</v>
      </c>
      <c r="M529" s="39">
        <v>5</v>
      </c>
      <c r="N529" s="39">
        <v>6780.96</v>
      </c>
      <c r="O529" s="219">
        <f t="shared" si="62"/>
        <v>-2.5793512402350526E-2</v>
      </c>
      <c r="Q529" s="40">
        <v>33900</v>
      </c>
      <c r="R529" s="39">
        <v>1526.8</v>
      </c>
      <c r="S529" s="39">
        <f t="shared" si="58"/>
        <v>10</v>
      </c>
      <c r="T529" s="39">
        <f t="shared" si="59"/>
        <v>0</v>
      </c>
      <c r="U529" s="39">
        <f t="shared" si="60"/>
        <v>0</v>
      </c>
      <c r="V529" s="40"/>
    </row>
    <row r="530" spans="2:22" x14ac:dyDescent="0.35">
      <c r="B530" s="40">
        <v>33903</v>
      </c>
      <c r="C530" s="39">
        <v>1542.5</v>
      </c>
      <c r="D530" s="219">
        <f t="shared" si="61"/>
        <v>1.0230434908468262E-2</v>
      </c>
      <c r="F530" s="40">
        <v>33903</v>
      </c>
      <c r="G530" s="39">
        <v>1542.5</v>
      </c>
      <c r="H530" s="39">
        <f t="shared" si="56"/>
        <v>1</v>
      </c>
      <c r="I530" s="39">
        <f t="shared" si="57"/>
        <v>0</v>
      </c>
      <c r="K530" s="40">
        <v>36539</v>
      </c>
      <c r="L530" s="39">
        <v>7173.22</v>
      </c>
      <c r="M530" s="39">
        <v>5</v>
      </c>
      <c r="N530" s="39">
        <v>7173.22</v>
      </c>
      <c r="O530" s="219">
        <f t="shared" si="62"/>
        <v>5.6235962394832001E-2</v>
      </c>
      <c r="Q530" s="40">
        <v>33903</v>
      </c>
      <c r="R530" s="39">
        <v>1542.5</v>
      </c>
      <c r="S530" s="39">
        <f t="shared" si="58"/>
        <v>10</v>
      </c>
      <c r="T530" s="39">
        <f t="shared" si="59"/>
        <v>0</v>
      </c>
      <c r="U530" s="39">
        <f t="shared" si="60"/>
        <v>0</v>
      </c>
      <c r="V530" s="40"/>
    </row>
    <row r="531" spans="2:22" x14ac:dyDescent="0.35">
      <c r="B531" s="40">
        <v>33904</v>
      </c>
      <c r="C531" s="39">
        <v>1533.8</v>
      </c>
      <c r="D531" s="219">
        <f t="shared" si="61"/>
        <v>-5.6561604487840337E-3</v>
      </c>
      <c r="F531" s="40">
        <v>33904</v>
      </c>
      <c r="G531" s="39">
        <v>1533.8</v>
      </c>
      <c r="H531" s="39">
        <f t="shared" si="56"/>
        <v>2</v>
      </c>
      <c r="I531" s="39">
        <f t="shared" si="57"/>
        <v>0</v>
      </c>
      <c r="K531" s="40">
        <v>36546</v>
      </c>
      <c r="L531" s="39">
        <v>6992.75</v>
      </c>
      <c r="M531" s="39">
        <v>5</v>
      </c>
      <c r="N531" s="39">
        <v>6992.75</v>
      </c>
      <c r="O531" s="219">
        <f t="shared" si="62"/>
        <v>-2.5480749197226926E-2</v>
      </c>
      <c r="Q531" s="40">
        <v>33904</v>
      </c>
      <c r="R531" s="39">
        <v>1533.8</v>
      </c>
      <c r="S531" s="39">
        <f t="shared" si="58"/>
        <v>10</v>
      </c>
      <c r="T531" s="39">
        <f t="shared" si="59"/>
        <v>0</v>
      </c>
      <c r="U531" s="39">
        <f t="shared" si="60"/>
        <v>0</v>
      </c>
      <c r="V531" s="40"/>
    </row>
    <row r="532" spans="2:22" x14ac:dyDescent="0.35">
      <c r="B532" s="40">
        <v>33905</v>
      </c>
      <c r="C532" s="39">
        <v>1510.3</v>
      </c>
      <c r="D532" s="219">
        <f t="shared" si="61"/>
        <v>-1.5440009758462929E-2</v>
      </c>
      <c r="F532" s="40">
        <v>33905</v>
      </c>
      <c r="G532" s="39">
        <v>1510.3</v>
      </c>
      <c r="H532" s="39">
        <f t="shared" si="56"/>
        <v>3</v>
      </c>
      <c r="I532" s="39">
        <f t="shared" si="57"/>
        <v>0</v>
      </c>
      <c r="K532" s="40">
        <v>36553</v>
      </c>
      <c r="L532" s="39">
        <v>7066.6</v>
      </c>
      <c r="M532" s="39">
        <v>5</v>
      </c>
      <c r="N532" s="39">
        <v>7066.6</v>
      </c>
      <c r="O532" s="219">
        <f t="shared" si="62"/>
        <v>1.0505560956160922E-2</v>
      </c>
      <c r="Q532" s="40">
        <v>33905</v>
      </c>
      <c r="R532" s="39">
        <v>1510.3</v>
      </c>
      <c r="S532" s="39">
        <f t="shared" si="58"/>
        <v>10</v>
      </c>
      <c r="T532" s="39">
        <f t="shared" si="59"/>
        <v>0</v>
      </c>
      <c r="U532" s="39">
        <f t="shared" si="60"/>
        <v>0</v>
      </c>
      <c r="V532" s="40"/>
    </row>
    <row r="533" spans="2:22" x14ac:dyDescent="0.35">
      <c r="B533" s="40">
        <v>33906</v>
      </c>
      <c r="C533" s="39">
        <v>1493.6</v>
      </c>
      <c r="D533" s="219">
        <f t="shared" si="61"/>
        <v>-1.1118993344783131E-2</v>
      </c>
      <c r="F533" s="40">
        <v>33906</v>
      </c>
      <c r="G533" s="39">
        <v>1493.6</v>
      </c>
      <c r="H533" s="39">
        <f t="shared" si="56"/>
        <v>4</v>
      </c>
      <c r="I533" s="39">
        <f t="shared" si="57"/>
        <v>0</v>
      </c>
      <c r="K533" s="40">
        <v>36560</v>
      </c>
      <c r="L533" s="39">
        <v>7444.61</v>
      </c>
      <c r="M533" s="39">
        <v>5</v>
      </c>
      <c r="N533" s="39">
        <v>7444.61</v>
      </c>
      <c r="O533" s="219">
        <f t="shared" si="62"/>
        <v>5.2110821610345276E-2</v>
      </c>
      <c r="Q533" s="40">
        <v>33906</v>
      </c>
      <c r="R533" s="39">
        <v>1493.6</v>
      </c>
      <c r="S533" s="39">
        <f t="shared" si="58"/>
        <v>10</v>
      </c>
      <c r="T533" s="39">
        <f t="shared" si="59"/>
        <v>0</v>
      </c>
      <c r="U533" s="39">
        <f t="shared" si="60"/>
        <v>0</v>
      </c>
      <c r="V533" s="40"/>
    </row>
    <row r="534" spans="2:22" x14ac:dyDescent="0.35">
      <c r="B534" s="40">
        <v>33907</v>
      </c>
      <c r="C534" s="39">
        <v>1492.3</v>
      </c>
      <c r="D534" s="219">
        <f t="shared" si="61"/>
        <v>-8.7075929009051479E-4</v>
      </c>
      <c r="F534" s="40">
        <v>33907</v>
      </c>
      <c r="G534" s="39">
        <v>1492.3</v>
      </c>
      <c r="H534" s="39">
        <f t="shared" si="56"/>
        <v>5</v>
      </c>
      <c r="I534" s="39">
        <f t="shared" si="57"/>
        <v>1492.3</v>
      </c>
      <c r="K534" s="40">
        <v>36567</v>
      </c>
      <c r="L534" s="39">
        <v>7611.55</v>
      </c>
      <c r="M534" s="39">
        <v>5</v>
      </c>
      <c r="N534" s="39">
        <v>7611.55</v>
      </c>
      <c r="O534" s="219">
        <f t="shared" si="62"/>
        <v>2.2176549889580746E-2</v>
      </c>
      <c r="Q534" s="40">
        <v>33907</v>
      </c>
      <c r="R534" s="39">
        <v>1492.3</v>
      </c>
      <c r="S534" s="39">
        <f t="shared" si="58"/>
        <v>10</v>
      </c>
      <c r="T534" s="39">
        <f t="shared" si="59"/>
        <v>1492.3</v>
      </c>
      <c r="U534" s="39">
        <f t="shared" si="60"/>
        <v>1492.3</v>
      </c>
      <c r="V534" s="40"/>
    </row>
    <row r="535" spans="2:22" x14ac:dyDescent="0.35">
      <c r="B535" s="40">
        <v>33910</v>
      </c>
      <c r="C535" s="39">
        <v>1472.6</v>
      </c>
      <c r="D535" s="219">
        <f t="shared" si="61"/>
        <v>-1.3289008002805839E-2</v>
      </c>
      <c r="F535" s="40">
        <v>33910</v>
      </c>
      <c r="G535" s="39">
        <v>1472.6</v>
      </c>
      <c r="H535" s="39">
        <f t="shared" si="56"/>
        <v>1</v>
      </c>
      <c r="I535" s="39">
        <f t="shared" si="57"/>
        <v>0</v>
      </c>
      <c r="K535" s="40">
        <v>36574</v>
      </c>
      <c r="L535" s="39">
        <v>7573.78</v>
      </c>
      <c r="M535" s="39">
        <v>5</v>
      </c>
      <c r="N535" s="39">
        <v>7573.78</v>
      </c>
      <c r="O535" s="219">
        <f t="shared" si="62"/>
        <v>-4.9745481841239718E-3</v>
      </c>
      <c r="Q535" s="40">
        <v>33910</v>
      </c>
      <c r="R535" s="39">
        <v>1472.6</v>
      </c>
      <c r="S535" s="39">
        <f t="shared" si="58"/>
        <v>11</v>
      </c>
      <c r="T535" s="39">
        <f t="shared" si="59"/>
        <v>0</v>
      </c>
      <c r="U535" s="39">
        <f t="shared" si="60"/>
        <v>0</v>
      </c>
      <c r="V535" s="40"/>
    </row>
    <row r="536" spans="2:22" x14ac:dyDescent="0.35">
      <c r="B536" s="40">
        <v>33911</v>
      </c>
      <c r="C536" s="39">
        <v>1485</v>
      </c>
      <c r="D536" s="219">
        <f t="shared" si="61"/>
        <v>8.3852263021835516E-3</v>
      </c>
      <c r="F536" s="40">
        <v>33911</v>
      </c>
      <c r="G536" s="39">
        <v>1485</v>
      </c>
      <c r="H536" s="39">
        <f t="shared" si="56"/>
        <v>2</v>
      </c>
      <c r="I536" s="39">
        <f t="shared" si="57"/>
        <v>0</v>
      </c>
      <c r="K536" s="40">
        <v>36581</v>
      </c>
      <c r="L536" s="39">
        <v>7738.68</v>
      </c>
      <c r="M536" s="39">
        <v>5</v>
      </c>
      <c r="N536" s="39">
        <v>7738.68</v>
      </c>
      <c r="O536" s="219">
        <f t="shared" si="62"/>
        <v>2.1538848103032956E-2</v>
      </c>
      <c r="Q536" s="40">
        <v>33911</v>
      </c>
      <c r="R536" s="39">
        <v>1485</v>
      </c>
      <c r="S536" s="39">
        <f t="shared" si="58"/>
        <v>11</v>
      </c>
      <c r="T536" s="39">
        <f t="shared" si="59"/>
        <v>0</v>
      </c>
      <c r="U536" s="39">
        <f t="shared" si="60"/>
        <v>0</v>
      </c>
      <c r="V536" s="40"/>
    </row>
    <row r="537" spans="2:22" x14ac:dyDescent="0.35">
      <c r="B537" s="40">
        <v>33912</v>
      </c>
      <c r="C537" s="39">
        <v>1472.7</v>
      </c>
      <c r="D537" s="219">
        <f t="shared" si="61"/>
        <v>-8.3173215046834347E-3</v>
      </c>
      <c r="F537" s="40">
        <v>33912</v>
      </c>
      <c r="G537" s="39">
        <v>1472.7</v>
      </c>
      <c r="H537" s="39">
        <f t="shared" si="56"/>
        <v>3</v>
      </c>
      <c r="I537" s="39">
        <f t="shared" si="57"/>
        <v>0</v>
      </c>
      <c r="K537" s="40">
        <v>36588</v>
      </c>
      <c r="L537" s="39">
        <v>7960.03</v>
      </c>
      <c r="M537" s="39">
        <v>5</v>
      </c>
      <c r="N537" s="39">
        <v>7960.03</v>
      </c>
      <c r="O537" s="219">
        <f t="shared" si="62"/>
        <v>2.8201638271482778E-2</v>
      </c>
      <c r="Q537" s="40">
        <v>33912</v>
      </c>
      <c r="R537" s="39">
        <v>1472.7</v>
      </c>
      <c r="S537" s="39">
        <f t="shared" si="58"/>
        <v>11</v>
      </c>
      <c r="T537" s="39">
        <f t="shared" si="59"/>
        <v>0</v>
      </c>
      <c r="U537" s="39">
        <f t="shared" si="60"/>
        <v>0</v>
      </c>
      <c r="V537" s="40"/>
    </row>
    <row r="538" spans="2:22" x14ac:dyDescent="0.35">
      <c r="B538" s="40">
        <v>33913</v>
      </c>
      <c r="C538" s="39">
        <v>1480.9</v>
      </c>
      <c r="D538" s="219">
        <f t="shared" si="61"/>
        <v>5.5525603113412113E-3</v>
      </c>
      <c r="F538" s="40">
        <v>33913</v>
      </c>
      <c r="G538" s="39">
        <v>1480.9</v>
      </c>
      <c r="H538" s="39">
        <f t="shared" si="56"/>
        <v>4</v>
      </c>
      <c r="I538" s="39">
        <f t="shared" si="57"/>
        <v>0</v>
      </c>
      <c r="K538" s="40">
        <v>36595</v>
      </c>
      <c r="L538" s="39">
        <v>7975.95</v>
      </c>
      <c r="M538" s="39">
        <v>5</v>
      </c>
      <c r="N538" s="39">
        <v>7975.95</v>
      </c>
      <c r="O538" s="219">
        <f t="shared" si="62"/>
        <v>1.9979951400582075E-3</v>
      </c>
      <c r="Q538" s="40">
        <v>33913</v>
      </c>
      <c r="R538" s="39">
        <v>1480.9</v>
      </c>
      <c r="S538" s="39">
        <f t="shared" si="58"/>
        <v>11</v>
      </c>
      <c r="T538" s="39">
        <f t="shared" si="59"/>
        <v>0</v>
      </c>
      <c r="U538" s="39">
        <f t="shared" si="60"/>
        <v>0</v>
      </c>
      <c r="V538" s="40"/>
    </row>
    <row r="539" spans="2:22" x14ac:dyDescent="0.35">
      <c r="B539" s="40">
        <v>33914</v>
      </c>
      <c r="C539" s="39">
        <v>1487.2</v>
      </c>
      <c r="D539" s="219">
        <f t="shared" si="61"/>
        <v>4.2451463637765662E-3</v>
      </c>
      <c r="F539" s="40">
        <v>33914</v>
      </c>
      <c r="G539" s="39">
        <v>1487.2</v>
      </c>
      <c r="H539" s="39">
        <f t="shared" si="56"/>
        <v>5</v>
      </c>
      <c r="I539" s="39">
        <f t="shared" si="57"/>
        <v>1487.2</v>
      </c>
      <c r="K539" s="40">
        <v>36602</v>
      </c>
      <c r="L539" s="39">
        <v>7710.92</v>
      </c>
      <c r="M539" s="39">
        <v>5</v>
      </c>
      <c r="N539" s="39">
        <v>7710.92</v>
      </c>
      <c r="O539" s="219">
        <f t="shared" si="62"/>
        <v>-3.3793257825725904E-2</v>
      </c>
      <c r="Q539" s="40">
        <v>33914</v>
      </c>
      <c r="R539" s="39">
        <v>1487.2</v>
      </c>
      <c r="S539" s="39">
        <f t="shared" si="58"/>
        <v>11</v>
      </c>
      <c r="T539" s="39">
        <f t="shared" si="59"/>
        <v>0</v>
      </c>
      <c r="U539" s="39">
        <f t="shared" si="60"/>
        <v>0</v>
      </c>
      <c r="V539" s="40"/>
    </row>
    <row r="540" spans="2:22" x14ac:dyDescent="0.35">
      <c r="B540" s="40">
        <v>33917</v>
      </c>
      <c r="C540" s="39">
        <v>1508.8</v>
      </c>
      <c r="D540" s="219">
        <f t="shared" si="61"/>
        <v>1.4419475471958682E-2</v>
      </c>
      <c r="F540" s="40">
        <v>33917</v>
      </c>
      <c r="G540" s="39">
        <v>1508.8</v>
      </c>
      <c r="H540" s="39">
        <f t="shared" si="56"/>
        <v>1</v>
      </c>
      <c r="I540" s="39">
        <f t="shared" si="57"/>
        <v>0</v>
      </c>
      <c r="K540" s="40">
        <v>36609</v>
      </c>
      <c r="L540" s="39">
        <v>7932.42</v>
      </c>
      <c r="M540" s="39">
        <v>5</v>
      </c>
      <c r="N540" s="39">
        <v>7932.42</v>
      </c>
      <c r="O540" s="219">
        <f t="shared" si="62"/>
        <v>2.8320653323643689E-2</v>
      </c>
      <c r="Q540" s="40">
        <v>33917</v>
      </c>
      <c r="R540" s="39">
        <v>1508.8</v>
      </c>
      <c r="S540" s="39">
        <f t="shared" si="58"/>
        <v>11</v>
      </c>
      <c r="T540" s="39">
        <f t="shared" si="59"/>
        <v>0</v>
      </c>
      <c r="U540" s="39">
        <f t="shared" si="60"/>
        <v>0</v>
      </c>
      <c r="V540" s="40"/>
    </row>
    <row r="541" spans="2:22" x14ac:dyDescent="0.35">
      <c r="B541" s="40">
        <v>33918</v>
      </c>
      <c r="C541" s="39">
        <v>1519.1</v>
      </c>
      <c r="D541" s="219">
        <f t="shared" si="61"/>
        <v>6.8034213344239482E-3</v>
      </c>
      <c r="F541" s="40">
        <v>33918</v>
      </c>
      <c r="G541" s="39">
        <v>1519.1</v>
      </c>
      <c r="H541" s="39">
        <f t="shared" si="56"/>
        <v>2</v>
      </c>
      <c r="I541" s="39">
        <f t="shared" si="57"/>
        <v>0</v>
      </c>
      <c r="K541" s="40">
        <v>36616</v>
      </c>
      <c r="L541" s="39">
        <v>7599.39</v>
      </c>
      <c r="M541" s="39">
        <v>5</v>
      </c>
      <c r="N541" s="39">
        <v>7599.39</v>
      </c>
      <c r="O541" s="219">
        <f t="shared" si="62"/>
        <v>-4.2890178418255633E-2</v>
      </c>
      <c r="Q541" s="40">
        <v>33918</v>
      </c>
      <c r="R541" s="39">
        <v>1519.1</v>
      </c>
      <c r="S541" s="39">
        <f t="shared" si="58"/>
        <v>11</v>
      </c>
      <c r="T541" s="39">
        <f t="shared" si="59"/>
        <v>0</v>
      </c>
      <c r="U541" s="39">
        <f t="shared" si="60"/>
        <v>0</v>
      </c>
      <c r="V541" s="40"/>
    </row>
    <row r="542" spans="2:22" x14ac:dyDescent="0.35">
      <c r="B542" s="40">
        <v>33919</v>
      </c>
      <c r="C542" s="39">
        <v>1512.2</v>
      </c>
      <c r="D542" s="219">
        <f t="shared" si="61"/>
        <v>-4.5525100894474226E-3</v>
      </c>
      <c r="F542" s="40">
        <v>33919</v>
      </c>
      <c r="G542" s="39">
        <v>1512.2</v>
      </c>
      <c r="H542" s="39">
        <f t="shared" si="56"/>
        <v>3</v>
      </c>
      <c r="I542" s="39">
        <f t="shared" si="57"/>
        <v>0</v>
      </c>
      <c r="K542" s="40">
        <v>36623</v>
      </c>
      <c r="L542" s="39">
        <v>7522.2</v>
      </c>
      <c r="M542" s="39">
        <v>5</v>
      </c>
      <c r="N542" s="39">
        <v>7522.2</v>
      </c>
      <c r="O542" s="219">
        <f t="shared" si="62"/>
        <v>-1.0209332545233705E-2</v>
      </c>
      <c r="Q542" s="40">
        <v>33919</v>
      </c>
      <c r="R542" s="39">
        <v>1512.2</v>
      </c>
      <c r="S542" s="39">
        <f t="shared" si="58"/>
        <v>11</v>
      </c>
      <c r="T542" s="39">
        <f t="shared" si="59"/>
        <v>0</v>
      </c>
      <c r="U542" s="39">
        <f t="shared" si="60"/>
        <v>0</v>
      </c>
      <c r="V542" s="40"/>
    </row>
    <row r="543" spans="2:22" x14ac:dyDescent="0.35">
      <c r="B543" s="40">
        <v>33920</v>
      </c>
      <c r="C543" s="39">
        <v>1535.4</v>
      </c>
      <c r="D543" s="219">
        <f t="shared" si="61"/>
        <v>1.5225389269628744E-2</v>
      </c>
      <c r="F543" s="40">
        <v>33920</v>
      </c>
      <c r="G543" s="39">
        <v>1535.4</v>
      </c>
      <c r="H543" s="39">
        <f t="shared" si="56"/>
        <v>4</v>
      </c>
      <c r="I543" s="39">
        <f t="shared" si="57"/>
        <v>0</v>
      </c>
      <c r="K543" s="40">
        <v>36630</v>
      </c>
      <c r="L543" s="39">
        <v>7214.83</v>
      </c>
      <c r="M543" s="39">
        <v>5</v>
      </c>
      <c r="N543" s="39">
        <v>7214.83</v>
      </c>
      <c r="O543" s="219">
        <f t="shared" si="62"/>
        <v>-4.1720018443214005E-2</v>
      </c>
      <c r="Q543" s="40">
        <v>33920</v>
      </c>
      <c r="R543" s="39">
        <v>1535.4</v>
      </c>
      <c r="S543" s="39">
        <f t="shared" si="58"/>
        <v>11</v>
      </c>
      <c r="T543" s="39">
        <f t="shared" si="59"/>
        <v>0</v>
      </c>
      <c r="U543" s="39">
        <f t="shared" si="60"/>
        <v>0</v>
      </c>
      <c r="V543" s="40"/>
    </row>
    <row r="544" spans="2:22" x14ac:dyDescent="0.35">
      <c r="B544" s="40">
        <v>33921</v>
      </c>
      <c r="C544" s="39">
        <v>1548.5</v>
      </c>
      <c r="D544" s="219">
        <f t="shared" si="61"/>
        <v>8.4957870194592045E-3</v>
      </c>
      <c r="F544" s="40">
        <v>33921</v>
      </c>
      <c r="G544" s="39">
        <v>1548.5</v>
      </c>
      <c r="H544" s="39">
        <f t="shared" si="56"/>
        <v>5</v>
      </c>
      <c r="I544" s="39">
        <f t="shared" si="57"/>
        <v>1548.5</v>
      </c>
      <c r="K544" s="40">
        <v>36636</v>
      </c>
      <c r="L544" s="39">
        <v>7157.95</v>
      </c>
      <c r="M544" s="39">
        <v>4</v>
      </c>
      <c r="N544" s="39">
        <v>7157.95</v>
      </c>
      <c r="O544" s="219">
        <f t="shared" si="62"/>
        <v>-7.915002796640043E-3</v>
      </c>
      <c r="Q544" s="40">
        <v>33921</v>
      </c>
      <c r="R544" s="39">
        <v>1548.5</v>
      </c>
      <c r="S544" s="39">
        <f t="shared" si="58"/>
        <v>11</v>
      </c>
      <c r="T544" s="39">
        <f t="shared" si="59"/>
        <v>0</v>
      </c>
      <c r="U544" s="39">
        <f t="shared" si="60"/>
        <v>0</v>
      </c>
      <c r="V544" s="40"/>
    </row>
    <row r="545" spans="2:22" x14ac:dyDescent="0.35">
      <c r="B545" s="40">
        <v>33924</v>
      </c>
      <c r="C545" s="39">
        <v>1547</v>
      </c>
      <c r="D545" s="219">
        <f t="shared" si="61"/>
        <v>-9.6914884019140449E-4</v>
      </c>
      <c r="F545" s="40">
        <v>33924</v>
      </c>
      <c r="G545" s="39">
        <v>1547</v>
      </c>
      <c r="H545" s="39">
        <f t="shared" si="56"/>
        <v>1</v>
      </c>
      <c r="I545" s="39">
        <f t="shared" si="57"/>
        <v>0</v>
      </c>
      <c r="K545" s="40">
        <v>36644</v>
      </c>
      <c r="L545" s="39">
        <v>7414.68</v>
      </c>
      <c r="M545" s="39">
        <v>5</v>
      </c>
      <c r="N545" s="39">
        <v>7414.68</v>
      </c>
      <c r="O545" s="219">
        <f t="shared" si="62"/>
        <v>3.523819176527495E-2</v>
      </c>
      <c r="Q545" s="40">
        <v>33924</v>
      </c>
      <c r="R545" s="39">
        <v>1547</v>
      </c>
      <c r="S545" s="39">
        <f t="shared" si="58"/>
        <v>11</v>
      </c>
      <c r="T545" s="39">
        <f t="shared" si="59"/>
        <v>0</v>
      </c>
      <c r="U545" s="39">
        <f t="shared" si="60"/>
        <v>0</v>
      </c>
      <c r="V545" s="40"/>
    </row>
    <row r="546" spans="2:22" x14ac:dyDescent="0.35">
      <c r="B546" s="40">
        <v>33925</v>
      </c>
      <c r="C546" s="39">
        <v>1545.1</v>
      </c>
      <c r="D546" s="219">
        <f t="shared" si="61"/>
        <v>-1.2289384166937361E-3</v>
      </c>
      <c r="F546" s="40">
        <v>33925</v>
      </c>
      <c r="G546" s="39">
        <v>1545.1</v>
      </c>
      <c r="H546" s="39">
        <f t="shared" si="56"/>
        <v>2</v>
      </c>
      <c r="I546" s="39">
        <f t="shared" si="57"/>
        <v>0</v>
      </c>
      <c r="K546" s="40">
        <v>36651</v>
      </c>
      <c r="L546" s="39">
        <v>7530.82</v>
      </c>
      <c r="M546" s="39">
        <v>5</v>
      </c>
      <c r="N546" s="39">
        <v>7530.82</v>
      </c>
      <c r="O546" s="219">
        <f t="shared" si="62"/>
        <v>1.5542114731919318E-2</v>
      </c>
      <c r="Q546" s="40">
        <v>33925</v>
      </c>
      <c r="R546" s="39">
        <v>1545.1</v>
      </c>
      <c r="S546" s="39">
        <f t="shared" si="58"/>
        <v>11</v>
      </c>
      <c r="T546" s="39">
        <f t="shared" si="59"/>
        <v>0</v>
      </c>
      <c r="U546" s="39">
        <f t="shared" si="60"/>
        <v>0</v>
      </c>
      <c r="V546" s="40"/>
    </row>
    <row r="547" spans="2:22" x14ac:dyDescent="0.35">
      <c r="B547" s="40">
        <v>33927</v>
      </c>
      <c r="C547" s="39">
        <v>1551.7</v>
      </c>
      <c r="D547" s="219">
        <f t="shared" si="61"/>
        <v>4.2624709330659379E-3</v>
      </c>
      <c r="F547" s="40">
        <v>33927</v>
      </c>
      <c r="G547" s="39">
        <v>1551.7</v>
      </c>
      <c r="H547" s="39">
        <f t="shared" si="56"/>
        <v>4</v>
      </c>
      <c r="I547" s="39">
        <f t="shared" si="57"/>
        <v>0</v>
      </c>
      <c r="K547" s="40">
        <v>36658</v>
      </c>
      <c r="L547" s="39">
        <v>7269.28</v>
      </c>
      <c r="M547" s="39">
        <v>5</v>
      </c>
      <c r="N547" s="39">
        <v>7269.28</v>
      </c>
      <c r="O547" s="219">
        <f t="shared" si="62"/>
        <v>-3.5346684123237715E-2</v>
      </c>
      <c r="Q547" s="40">
        <v>33927</v>
      </c>
      <c r="R547" s="39">
        <v>1551.7</v>
      </c>
      <c r="S547" s="39">
        <f t="shared" si="58"/>
        <v>11</v>
      </c>
      <c r="T547" s="39">
        <f t="shared" si="59"/>
        <v>0</v>
      </c>
      <c r="U547" s="39">
        <f t="shared" si="60"/>
        <v>0</v>
      </c>
      <c r="V547" s="40"/>
    </row>
    <row r="548" spans="2:22" x14ac:dyDescent="0.35">
      <c r="B548" s="40">
        <v>33928</v>
      </c>
      <c r="C548" s="39">
        <v>1544.8</v>
      </c>
      <c r="D548" s="219">
        <f t="shared" si="61"/>
        <v>-4.4566519751336525E-3</v>
      </c>
      <c r="F548" s="40">
        <v>33928</v>
      </c>
      <c r="G548" s="39">
        <v>1544.8</v>
      </c>
      <c r="H548" s="39">
        <f t="shared" si="56"/>
        <v>5</v>
      </c>
      <c r="I548" s="39">
        <f t="shared" si="57"/>
        <v>1544.8</v>
      </c>
      <c r="K548" s="40">
        <v>36665</v>
      </c>
      <c r="L548" s="39">
        <v>6989.03</v>
      </c>
      <c r="M548" s="39">
        <v>5</v>
      </c>
      <c r="N548" s="39">
        <v>6989.03</v>
      </c>
      <c r="O548" s="219">
        <f t="shared" si="62"/>
        <v>-3.9315472556640897E-2</v>
      </c>
      <c r="Q548" s="40">
        <v>33928</v>
      </c>
      <c r="R548" s="39">
        <v>1544.8</v>
      </c>
      <c r="S548" s="39">
        <f t="shared" si="58"/>
        <v>11</v>
      </c>
      <c r="T548" s="39">
        <f t="shared" si="59"/>
        <v>0</v>
      </c>
      <c r="U548" s="39">
        <f t="shared" si="60"/>
        <v>0</v>
      </c>
      <c r="V548" s="40"/>
    </row>
    <row r="549" spans="2:22" x14ac:dyDescent="0.35">
      <c r="B549" s="40">
        <v>33931</v>
      </c>
      <c r="C549" s="39">
        <v>1530.9</v>
      </c>
      <c r="D549" s="219">
        <f t="shared" si="61"/>
        <v>-9.0386543762691479E-3</v>
      </c>
      <c r="F549" s="40">
        <v>33931</v>
      </c>
      <c r="G549" s="39">
        <v>1530.9</v>
      </c>
      <c r="H549" s="39">
        <f t="shared" si="56"/>
        <v>1</v>
      </c>
      <c r="I549" s="39">
        <f t="shared" si="57"/>
        <v>0</v>
      </c>
      <c r="K549" s="40">
        <v>36672</v>
      </c>
      <c r="L549" s="39">
        <v>6839.33</v>
      </c>
      <c r="M549" s="39">
        <v>5</v>
      </c>
      <c r="N549" s="39">
        <v>6839.33</v>
      </c>
      <c r="O549" s="219">
        <f t="shared" si="62"/>
        <v>-2.165200332500343E-2</v>
      </c>
      <c r="Q549" s="40">
        <v>33931</v>
      </c>
      <c r="R549" s="39">
        <v>1530.9</v>
      </c>
      <c r="S549" s="39">
        <f t="shared" si="58"/>
        <v>11</v>
      </c>
      <c r="T549" s="39">
        <f t="shared" si="59"/>
        <v>0</v>
      </c>
      <c r="U549" s="39">
        <f t="shared" si="60"/>
        <v>0</v>
      </c>
      <c r="V549" s="40"/>
    </row>
    <row r="550" spans="2:22" x14ac:dyDescent="0.35">
      <c r="B550" s="40">
        <v>33932</v>
      </c>
      <c r="C550" s="39">
        <v>1510.3</v>
      </c>
      <c r="D550" s="219">
        <f t="shared" si="61"/>
        <v>-1.3547491165739646E-2</v>
      </c>
      <c r="F550" s="40">
        <v>33932</v>
      </c>
      <c r="G550" s="39">
        <v>1510.3</v>
      </c>
      <c r="H550" s="39">
        <f t="shared" si="56"/>
        <v>2</v>
      </c>
      <c r="I550" s="39">
        <f t="shared" si="57"/>
        <v>0</v>
      </c>
      <c r="K550" s="40">
        <v>36679</v>
      </c>
      <c r="L550" s="39">
        <v>7438.95</v>
      </c>
      <c r="M550" s="39">
        <v>5</v>
      </c>
      <c r="N550" s="39">
        <v>7438.95</v>
      </c>
      <c r="O550" s="219">
        <f t="shared" si="62"/>
        <v>8.4039936232748219E-2</v>
      </c>
      <c r="Q550" s="40">
        <v>33932</v>
      </c>
      <c r="R550" s="39">
        <v>1510.3</v>
      </c>
      <c r="S550" s="39">
        <f t="shared" si="58"/>
        <v>11</v>
      </c>
      <c r="T550" s="39">
        <f t="shared" si="59"/>
        <v>0</v>
      </c>
      <c r="U550" s="39">
        <f t="shared" si="60"/>
        <v>0</v>
      </c>
      <c r="V550" s="40"/>
    </row>
    <row r="551" spans="2:22" x14ac:dyDescent="0.35">
      <c r="B551" s="40">
        <v>33933</v>
      </c>
      <c r="C551" s="39">
        <v>1517.7</v>
      </c>
      <c r="D551" s="219">
        <f t="shared" si="61"/>
        <v>4.8877243937043013E-3</v>
      </c>
      <c r="F551" s="40">
        <v>33933</v>
      </c>
      <c r="G551" s="39">
        <v>1517.7</v>
      </c>
      <c r="H551" s="39">
        <f t="shared" si="56"/>
        <v>3</v>
      </c>
      <c r="I551" s="39">
        <f t="shared" si="57"/>
        <v>0</v>
      </c>
      <c r="K551" s="40">
        <v>36686</v>
      </c>
      <c r="L551" s="39">
        <v>7246.79</v>
      </c>
      <c r="M551" s="39">
        <v>5</v>
      </c>
      <c r="N551" s="39">
        <v>7246.79</v>
      </c>
      <c r="O551" s="219">
        <f t="shared" si="62"/>
        <v>-2.617109765374951E-2</v>
      </c>
      <c r="Q551" s="40">
        <v>33933</v>
      </c>
      <c r="R551" s="39">
        <v>1517.7</v>
      </c>
      <c r="S551" s="39">
        <f t="shared" si="58"/>
        <v>11</v>
      </c>
      <c r="T551" s="39">
        <f t="shared" si="59"/>
        <v>0</v>
      </c>
      <c r="U551" s="39">
        <f t="shared" si="60"/>
        <v>0</v>
      </c>
      <c r="V551" s="40"/>
    </row>
    <row r="552" spans="2:22" x14ac:dyDescent="0.35">
      <c r="B552" s="40">
        <v>33934</v>
      </c>
      <c r="C552" s="39">
        <v>1523.2</v>
      </c>
      <c r="D552" s="219">
        <f t="shared" si="61"/>
        <v>3.6173540711008341E-3</v>
      </c>
      <c r="F552" s="40">
        <v>33934</v>
      </c>
      <c r="G552" s="39">
        <v>1523.2</v>
      </c>
      <c r="H552" s="39">
        <f t="shared" si="56"/>
        <v>4</v>
      </c>
      <c r="I552" s="39">
        <f t="shared" si="57"/>
        <v>0</v>
      </c>
      <c r="K552" s="40">
        <v>36693</v>
      </c>
      <c r="L552" s="39">
        <v>7252.58</v>
      </c>
      <c r="M552" s="39">
        <v>5</v>
      </c>
      <c r="N552" s="39">
        <v>7252.58</v>
      </c>
      <c r="O552" s="219">
        <f t="shared" si="62"/>
        <v>7.9865543230670357E-4</v>
      </c>
      <c r="Q552" s="40">
        <v>33934</v>
      </c>
      <c r="R552" s="39">
        <v>1523.2</v>
      </c>
      <c r="S552" s="39">
        <f t="shared" si="58"/>
        <v>11</v>
      </c>
      <c r="T552" s="39">
        <f t="shared" si="59"/>
        <v>0</v>
      </c>
      <c r="U552" s="39">
        <f t="shared" si="60"/>
        <v>0</v>
      </c>
      <c r="V552" s="40"/>
    </row>
    <row r="553" spans="2:22" x14ac:dyDescent="0.35">
      <c r="B553" s="40">
        <v>33935</v>
      </c>
      <c r="C553" s="39">
        <v>1523</v>
      </c>
      <c r="D553" s="219">
        <f t="shared" si="61"/>
        <v>-1.3131114193911154E-4</v>
      </c>
      <c r="F553" s="40">
        <v>33935</v>
      </c>
      <c r="G553" s="39">
        <v>1523</v>
      </c>
      <c r="H553" s="39">
        <f t="shared" si="56"/>
        <v>5</v>
      </c>
      <c r="I553" s="39">
        <f t="shared" si="57"/>
        <v>1523</v>
      </c>
      <c r="K553" s="40">
        <v>36700</v>
      </c>
      <c r="L553" s="39">
        <v>6980.41</v>
      </c>
      <c r="M553" s="39">
        <v>5</v>
      </c>
      <c r="N553" s="39">
        <v>6980.41</v>
      </c>
      <c r="O553" s="219">
        <f t="shared" si="62"/>
        <v>-3.8249613327447723E-2</v>
      </c>
      <c r="Q553" s="40">
        <v>33935</v>
      </c>
      <c r="R553" s="39">
        <v>1523</v>
      </c>
      <c r="S553" s="39">
        <f t="shared" si="58"/>
        <v>11</v>
      </c>
      <c r="T553" s="39">
        <f t="shared" si="59"/>
        <v>0</v>
      </c>
      <c r="U553" s="39">
        <f t="shared" si="60"/>
        <v>0</v>
      </c>
      <c r="V553" s="40"/>
    </row>
    <row r="554" spans="2:22" x14ac:dyDescent="0.35">
      <c r="B554" s="40">
        <v>33938</v>
      </c>
      <c r="C554" s="39">
        <v>1544.3</v>
      </c>
      <c r="D554" s="219">
        <f t="shared" si="61"/>
        <v>1.3888659333793442E-2</v>
      </c>
      <c r="F554" s="40">
        <v>33938</v>
      </c>
      <c r="G554" s="39">
        <v>1544.3</v>
      </c>
      <c r="H554" s="39">
        <f t="shared" si="56"/>
        <v>1</v>
      </c>
      <c r="I554" s="39">
        <f t="shared" si="57"/>
        <v>0</v>
      </c>
      <c r="K554" s="40">
        <v>36707</v>
      </c>
      <c r="L554" s="39">
        <v>6882.44</v>
      </c>
      <c r="M554" s="39">
        <v>5</v>
      </c>
      <c r="N554" s="39">
        <v>6882.44</v>
      </c>
      <c r="O554" s="219">
        <f t="shared" si="62"/>
        <v>-1.4134414070028564E-2</v>
      </c>
      <c r="Q554" s="40">
        <v>33938</v>
      </c>
      <c r="R554" s="39">
        <v>1544.3</v>
      </c>
      <c r="S554" s="39">
        <f t="shared" si="58"/>
        <v>11</v>
      </c>
      <c r="T554" s="39">
        <f t="shared" si="59"/>
        <v>1544.3</v>
      </c>
      <c r="U554" s="39">
        <f t="shared" si="60"/>
        <v>1544.3</v>
      </c>
      <c r="V554" s="40"/>
    </row>
    <row r="555" spans="2:22" x14ac:dyDescent="0.35">
      <c r="B555" s="40">
        <v>33939</v>
      </c>
      <c r="C555" s="39">
        <v>1544.9</v>
      </c>
      <c r="D555" s="219">
        <f t="shared" si="61"/>
        <v>3.8845008904879859E-4</v>
      </c>
      <c r="F555" s="40">
        <v>33939</v>
      </c>
      <c r="G555" s="39">
        <v>1544.9</v>
      </c>
      <c r="H555" s="39">
        <f t="shared" si="56"/>
        <v>2</v>
      </c>
      <c r="I555" s="39">
        <f t="shared" si="57"/>
        <v>0</v>
      </c>
      <c r="K555" s="40">
        <v>36714</v>
      </c>
      <c r="L555" s="39">
        <v>7044.77</v>
      </c>
      <c r="M555" s="39">
        <v>5</v>
      </c>
      <c r="N555" s="39">
        <v>7044.77</v>
      </c>
      <c r="O555" s="219">
        <f t="shared" si="62"/>
        <v>2.3312257315959879E-2</v>
      </c>
      <c r="Q555" s="40">
        <v>33939</v>
      </c>
      <c r="R555" s="39">
        <v>1544.9</v>
      </c>
      <c r="S555" s="39">
        <f t="shared" si="58"/>
        <v>12</v>
      </c>
      <c r="T555" s="39">
        <f t="shared" si="59"/>
        <v>0</v>
      </c>
      <c r="U555" s="39">
        <f t="shared" si="60"/>
        <v>0</v>
      </c>
      <c r="V555" s="40"/>
    </row>
    <row r="556" spans="2:22" x14ac:dyDescent="0.35">
      <c r="B556" s="40">
        <v>33940</v>
      </c>
      <c r="C556" s="39">
        <v>1534</v>
      </c>
      <c r="D556" s="219">
        <f t="shared" si="61"/>
        <v>-7.0804803908025606E-3</v>
      </c>
      <c r="F556" s="40">
        <v>33940</v>
      </c>
      <c r="G556" s="39">
        <v>1534</v>
      </c>
      <c r="H556" s="39">
        <f t="shared" si="56"/>
        <v>3</v>
      </c>
      <c r="I556" s="39">
        <f t="shared" si="57"/>
        <v>0</v>
      </c>
      <c r="K556" s="40">
        <v>36721</v>
      </c>
      <c r="L556" s="39">
        <v>7321.94</v>
      </c>
      <c r="M556" s="39">
        <v>5</v>
      </c>
      <c r="N556" s="39">
        <v>7321.94</v>
      </c>
      <c r="O556" s="219">
        <f t="shared" si="62"/>
        <v>3.8589822631943327E-2</v>
      </c>
      <c r="Q556" s="40">
        <v>33940</v>
      </c>
      <c r="R556" s="39">
        <v>1534</v>
      </c>
      <c r="S556" s="39">
        <f t="shared" si="58"/>
        <v>12</v>
      </c>
      <c r="T556" s="39">
        <f t="shared" si="59"/>
        <v>0</v>
      </c>
      <c r="U556" s="39">
        <f t="shared" si="60"/>
        <v>0</v>
      </c>
      <c r="V556" s="40"/>
    </row>
    <row r="557" spans="2:22" x14ac:dyDescent="0.35">
      <c r="B557" s="40">
        <v>33941</v>
      </c>
      <c r="C557" s="39">
        <v>1532.5</v>
      </c>
      <c r="D557" s="219">
        <f t="shared" si="61"/>
        <v>-9.783141168350374E-4</v>
      </c>
      <c r="F557" s="40">
        <v>33941</v>
      </c>
      <c r="G557" s="39">
        <v>1532.5</v>
      </c>
      <c r="H557" s="39">
        <f t="shared" si="56"/>
        <v>4</v>
      </c>
      <c r="I557" s="39">
        <f t="shared" si="57"/>
        <v>0</v>
      </c>
      <c r="K557" s="40">
        <v>36728</v>
      </c>
      <c r="L557" s="39">
        <v>7378.86</v>
      </c>
      <c r="M557" s="39">
        <v>5</v>
      </c>
      <c r="N557" s="39">
        <v>7378.86</v>
      </c>
      <c r="O557" s="219">
        <f t="shared" si="62"/>
        <v>7.7438349536202104E-3</v>
      </c>
      <c r="Q557" s="40">
        <v>33941</v>
      </c>
      <c r="R557" s="39">
        <v>1532.5</v>
      </c>
      <c r="S557" s="39">
        <f t="shared" si="58"/>
        <v>12</v>
      </c>
      <c r="T557" s="39">
        <f t="shared" si="59"/>
        <v>0</v>
      </c>
      <c r="U557" s="39">
        <f t="shared" si="60"/>
        <v>0</v>
      </c>
      <c r="V557" s="40"/>
    </row>
    <row r="558" spans="2:22" x14ac:dyDescent="0.35">
      <c r="B558" s="40">
        <v>33942</v>
      </c>
      <c r="C558" s="39">
        <v>1522.2</v>
      </c>
      <c r="D558" s="219">
        <f t="shared" si="61"/>
        <v>-6.7437319770752464E-3</v>
      </c>
      <c r="F558" s="40">
        <v>33942</v>
      </c>
      <c r="G558" s="39">
        <v>1522.2</v>
      </c>
      <c r="H558" s="39">
        <f t="shared" si="56"/>
        <v>5</v>
      </c>
      <c r="I558" s="39">
        <f t="shared" si="57"/>
        <v>1522.2</v>
      </c>
      <c r="K558" s="40">
        <v>36735</v>
      </c>
      <c r="L558" s="39">
        <v>7128.3</v>
      </c>
      <c r="M558" s="39">
        <v>5</v>
      </c>
      <c r="N558" s="39">
        <v>7128.3</v>
      </c>
      <c r="O558" s="219">
        <f t="shared" si="62"/>
        <v>-3.4546378310767831E-2</v>
      </c>
      <c r="Q558" s="40">
        <v>33942</v>
      </c>
      <c r="R558" s="39">
        <v>1522.2</v>
      </c>
      <c r="S558" s="39">
        <f t="shared" si="58"/>
        <v>12</v>
      </c>
      <c r="T558" s="39">
        <f t="shared" si="59"/>
        <v>0</v>
      </c>
      <c r="U558" s="39">
        <f t="shared" si="60"/>
        <v>0</v>
      </c>
      <c r="V558" s="40"/>
    </row>
    <row r="559" spans="2:22" x14ac:dyDescent="0.35">
      <c r="B559" s="40">
        <v>33945</v>
      </c>
      <c r="C559" s="39">
        <v>1525.3</v>
      </c>
      <c r="D559" s="219">
        <f t="shared" si="61"/>
        <v>2.0344551725963241E-3</v>
      </c>
      <c r="F559" s="40">
        <v>33945</v>
      </c>
      <c r="G559" s="39">
        <v>1525.3</v>
      </c>
      <c r="H559" s="39">
        <f t="shared" si="56"/>
        <v>1</v>
      </c>
      <c r="I559" s="39">
        <f t="shared" si="57"/>
        <v>0</v>
      </c>
      <c r="K559" s="40">
        <v>36742</v>
      </c>
      <c r="L559" s="39">
        <v>7016.59</v>
      </c>
      <c r="M559" s="39">
        <v>5</v>
      </c>
      <c r="N559" s="39">
        <v>7016.59</v>
      </c>
      <c r="O559" s="219">
        <f t="shared" si="62"/>
        <v>-1.5795431790148123E-2</v>
      </c>
      <c r="Q559" s="40">
        <v>33945</v>
      </c>
      <c r="R559" s="39">
        <v>1525.3</v>
      </c>
      <c r="S559" s="39">
        <f t="shared" si="58"/>
        <v>12</v>
      </c>
      <c r="T559" s="39">
        <f t="shared" si="59"/>
        <v>0</v>
      </c>
      <c r="U559" s="39">
        <f t="shared" si="60"/>
        <v>0</v>
      </c>
      <c r="V559" s="40"/>
    </row>
    <row r="560" spans="2:22" x14ac:dyDescent="0.35">
      <c r="B560" s="40">
        <v>33946</v>
      </c>
      <c r="C560" s="39">
        <v>1508.2</v>
      </c>
      <c r="D560" s="219">
        <f t="shared" si="61"/>
        <v>-1.1274225237340819E-2</v>
      </c>
      <c r="F560" s="40">
        <v>33946</v>
      </c>
      <c r="G560" s="39">
        <v>1508.2</v>
      </c>
      <c r="H560" s="39">
        <f t="shared" si="56"/>
        <v>2</v>
      </c>
      <c r="I560" s="39">
        <f t="shared" si="57"/>
        <v>0</v>
      </c>
      <c r="K560" s="40">
        <v>36749</v>
      </c>
      <c r="L560" s="39">
        <v>7322.98</v>
      </c>
      <c r="M560" s="39">
        <v>5</v>
      </c>
      <c r="N560" s="39">
        <v>7322.98</v>
      </c>
      <c r="O560" s="219">
        <f t="shared" si="62"/>
        <v>4.2740003919285945E-2</v>
      </c>
      <c r="Q560" s="40">
        <v>33946</v>
      </c>
      <c r="R560" s="39">
        <v>1508.2</v>
      </c>
      <c r="S560" s="39">
        <f t="shared" si="58"/>
        <v>12</v>
      </c>
      <c r="T560" s="39">
        <f t="shared" si="59"/>
        <v>0</v>
      </c>
      <c r="U560" s="39">
        <f t="shared" si="60"/>
        <v>0</v>
      </c>
      <c r="V560" s="40"/>
    </row>
    <row r="561" spans="2:22" x14ac:dyDescent="0.35">
      <c r="B561" s="40">
        <v>33947</v>
      </c>
      <c r="C561" s="39">
        <v>1500.6</v>
      </c>
      <c r="D561" s="219">
        <f t="shared" si="61"/>
        <v>-5.0518586569183359E-3</v>
      </c>
      <c r="F561" s="40">
        <v>33947</v>
      </c>
      <c r="G561" s="39">
        <v>1500.6</v>
      </c>
      <c r="H561" s="39">
        <f t="shared" si="56"/>
        <v>3</v>
      </c>
      <c r="I561" s="39">
        <f t="shared" si="57"/>
        <v>0</v>
      </c>
      <c r="K561" s="40">
        <v>36756</v>
      </c>
      <c r="L561" s="39">
        <v>7232.42</v>
      </c>
      <c r="M561" s="39">
        <v>5</v>
      </c>
      <c r="N561" s="39">
        <v>7232.42</v>
      </c>
      <c r="O561" s="219">
        <f t="shared" si="62"/>
        <v>-1.2443652329263914E-2</v>
      </c>
      <c r="Q561" s="40">
        <v>33947</v>
      </c>
      <c r="R561" s="39">
        <v>1500.6</v>
      </c>
      <c r="S561" s="39">
        <f t="shared" si="58"/>
        <v>12</v>
      </c>
      <c r="T561" s="39">
        <f t="shared" si="59"/>
        <v>0</v>
      </c>
      <c r="U561" s="39">
        <f t="shared" si="60"/>
        <v>0</v>
      </c>
      <c r="V561" s="40"/>
    </row>
    <row r="562" spans="2:22" x14ac:dyDescent="0.35">
      <c r="B562" s="40">
        <v>33948</v>
      </c>
      <c r="C562" s="39">
        <v>1494.5</v>
      </c>
      <c r="D562" s="219">
        <f t="shared" si="61"/>
        <v>-4.0733253876357864E-3</v>
      </c>
      <c r="F562" s="40">
        <v>33948</v>
      </c>
      <c r="G562" s="39">
        <v>1494.5</v>
      </c>
      <c r="H562" s="39">
        <f t="shared" si="56"/>
        <v>4</v>
      </c>
      <c r="I562" s="39">
        <f t="shared" si="57"/>
        <v>0</v>
      </c>
      <c r="K562" s="40">
        <v>36763</v>
      </c>
      <c r="L562" s="39">
        <v>7307.17</v>
      </c>
      <c r="M562" s="39">
        <v>5</v>
      </c>
      <c r="N562" s="39">
        <v>7307.17</v>
      </c>
      <c r="O562" s="219">
        <f t="shared" si="62"/>
        <v>1.0282361275614134E-2</v>
      </c>
      <c r="Q562" s="40">
        <v>33948</v>
      </c>
      <c r="R562" s="39">
        <v>1494.5</v>
      </c>
      <c r="S562" s="39">
        <f t="shared" si="58"/>
        <v>12</v>
      </c>
      <c r="T562" s="39">
        <f t="shared" si="59"/>
        <v>0</v>
      </c>
      <c r="U562" s="39">
        <f t="shared" si="60"/>
        <v>0</v>
      </c>
      <c r="V562" s="40"/>
    </row>
    <row r="563" spans="2:22" x14ac:dyDescent="0.35">
      <c r="B563" s="40">
        <v>33949</v>
      </c>
      <c r="C563" s="39">
        <v>1476</v>
      </c>
      <c r="D563" s="219">
        <f t="shared" si="61"/>
        <v>-1.2455976563574759E-2</v>
      </c>
      <c r="F563" s="40">
        <v>33949</v>
      </c>
      <c r="G563" s="39">
        <v>1476</v>
      </c>
      <c r="H563" s="39">
        <f t="shared" si="56"/>
        <v>5</v>
      </c>
      <c r="I563" s="39">
        <f t="shared" si="57"/>
        <v>1476</v>
      </c>
      <c r="K563" s="40">
        <v>36770</v>
      </c>
      <c r="L563" s="39">
        <v>7344.67</v>
      </c>
      <c r="M563" s="39">
        <v>5</v>
      </c>
      <c r="N563" s="39">
        <v>7344.67</v>
      </c>
      <c r="O563" s="219">
        <f t="shared" si="62"/>
        <v>5.1188221932915567E-3</v>
      </c>
      <c r="Q563" s="40">
        <v>33949</v>
      </c>
      <c r="R563" s="39">
        <v>1476</v>
      </c>
      <c r="S563" s="39">
        <f t="shared" si="58"/>
        <v>12</v>
      </c>
      <c r="T563" s="39">
        <f t="shared" si="59"/>
        <v>0</v>
      </c>
      <c r="U563" s="39">
        <f t="shared" si="60"/>
        <v>0</v>
      </c>
      <c r="V563" s="40"/>
    </row>
    <row r="564" spans="2:22" x14ac:dyDescent="0.35">
      <c r="B564" s="40">
        <v>33952</v>
      </c>
      <c r="C564" s="39">
        <v>1469.8</v>
      </c>
      <c r="D564" s="219">
        <f t="shared" si="61"/>
        <v>-4.2093890656469748E-3</v>
      </c>
      <c r="F564" s="40">
        <v>33952</v>
      </c>
      <c r="G564" s="39">
        <v>1469.8</v>
      </c>
      <c r="H564" s="39">
        <f t="shared" si="56"/>
        <v>1</v>
      </c>
      <c r="I564" s="39">
        <f t="shared" si="57"/>
        <v>0</v>
      </c>
      <c r="K564" s="40">
        <v>36777</v>
      </c>
      <c r="L564" s="39">
        <v>7261.04</v>
      </c>
      <c r="M564" s="39">
        <v>5</v>
      </c>
      <c r="N564" s="39">
        <v>7261.04</v>
      </c>
      <c r="O564" s="219">
        <f t="shared" si="62"/>
        <v>-1.1451810827709869E-2</v>
      </c>
      <c r="Q564" s="40">
        <v>33952</v>
      </c>
      <c r="R564" s="39">
        <v>1469.8</v>
      </c>
      <c r="S564" s="39">
        <f t="shared" si="58"/>
        <v>12</v>
      </c>
      <c r="T564" s="39">
        <f t="shared" si="59"/>
        <v>0</v>
      </c>
      <c r="U564" s="39">
        <f t="shared" si="60"/>
        <v>0</v>
      </c>
      <c r="V564" s="40"/>
    </row>
    <row r="565" spans="2:22" x14ac:dyDescent="0.35">
      <c r="B565" s="40">
        <v>33953</v>
      </c>
      <c r="C565" s="39">
        <v>1481.2</v>
      </c>
      <c r="D565" s="219">
        <f t="shared" si="61"/>
        <v>7.7262329446868873E-3</v>
      </c>
      <c r="F565" s="40">
        <v>33953</v>
      </c>
      <c r="G565" s="39">
        <v>1481.2</v>
      </c>
      <c r="H565" s="39">
        <f t="shared" si="56"/>
        <v>2</v>
      </c>
      <c r="I565" s="39">
        <f t="shared" si="57"/>
        <v>0</v>
      </c>
      <c r="K565" s="40">
        <v>36784</v>
      </c>
      <c r="L565" s="39">
        <v>6999.54</v>
      </c>
      <c r="M565" s="39">
        <v>5</v>
      </c>
      <c r="N565" s="39">
        <v>6999.54</v>
      </c>
      <c r="O565" s="219">
        <f t="shared" si="62"/>
        <v>-3.6678636655689018E-2</v>
      </c>
      <c r="Q565" s="40">
        <v>33953</v>
      </c>
      <c r="R565" s="39">
        <v>1481.2</v>
      </c>
      <c r="S565" s="39">
        <f t="shared" si="58"/>
        <v>12</v>
      </c>
      <c r="T565" s="39">
        <f t="shared" si="59"/>
        <v>0</v>
      </c>
      <c r="U565" s="39">
        <f t="shared" si="60"/>
        <v>0</v>
      </c>
      <c r="V565" s="40"/>
    </row>
    <row r="566" spans="2:22" x14ac:dyDescent="0.35">
      <c r="B566" s="40">
        <v>33954</v>
      </c>
      <c r="C566" s="39">
        <v>1472.1</v>
      </c>
      <c r="D566" s="219">
        <f t="shared" si="61"/>
        <v>-6.1626172754903332E-3</v>
      </c>
      <c r="F566" s="40">
        <v>33954</v>
      </c>
      <c r="G566" s="39">
        <v>1472.1</v>
      </c>
      <c r="H566" s="39">
        <f t="shared" si="56"/>
        <v>3</v>
      </c>
      <c r="I566" s="39">
        <f t="shared" si="57"/>
        <v>0</v>
      </c>
      <c r="K566" s="40">
        <v>36791</v>
      </c>
      <c r="L566" s="39">
        <v>6740.25</v>
      </c>
      <c r="M566" s="39">
        <v>5</v>
      </c>
      <c r="N566" s="39">
        <v>6740.25</v>
      </c>
      <c r="O566" s="219">
        <f t="shared" si="62"/>
        <v>-3.7747416385865325E-2</v>
      </c>
      <c r="Q566" s="40">
        <v>33954</v>
      </c>
      <c r="R566" s="39">
        <v>1472.1</v>
      </c>
      <c r="S566" s="39">
        <f t="shared" si="58"/>
        <v>12</v>
      </c>
      <c r="T566" s="39">
        <f t="shared" si="59"/>
        <v>0</v>
      </c>
      <c r="U566" s="39">
        <f t="shared" si="60"/>
        <v>0</v>
      </c>
      <c r="V566" s="40"/>
    </row>
    <row r="567" spans="2:22" x14ac:dyDescent="0.35">
      <c r="B567" s="40">
        <v>33955</v>
      </c>
      <c r="C567" s="39">
        <v>1476.2</v>
      </c>
      <c r="D567" s="219">
        <f t="shared" si="61"/>
        <v>2.7812655719846309E-3</v>
      </c>
      <c r="F567" s="40">
        <v>33955</v>
      </c>
      <c r="G567" s="39">
        <v>1476.2</v>
      </c>
      <c r="H567" s="39">
        <f t="shared" ref="H567:H630" si="63">WEEKDAY(F567,2)</f>
        <v>4</v>
      </c>
      <c r="I567" s="39">
        <f t="shared" ref="I567:I630" si="64">IF(H567&gt;H568,G567,0)</f>
        <v>0</v>
      </c>
      <c r="K567" s="40">
        <v>36798</v>
      </c>
      <c r="L567" s="39">
        <v>6798.12</v>
      </c>
      <c r="M567" s="39">
        <v>5</v>
      </c>
      <c r="N567" s="39">
        <v>6798.12</v>
      </c>
      <c r="O567" s="219">
        <f t="shared" si="62"/>
        <v>8.549087144331691E-3</v>
      </c>
      <c r="Q567" s="40">
        <v>33955</v>
      </c>
      <c r="R567" s="39">
        <v>1476.2</v>
      </c>
      <c r="S567" s="39">
        <f t="shared" ref="S567:S630" si="65">MONTH(Q567)</f>
        <v>12</v>
      </c>
      <c r="T567" s="39">
        <f t="shared" ref="T567:T630" si="66">IF(S568&lt;&gt;S567,R567,0)</f>
        <v>0</v>
      </c>
      <c r="U567" s="39">
        <f t="shared" ref="U567:U630" si="67">IF(S568=S567,0,R567)</f>
        <v>0</v>
      </c>
      <c r="V567" s="40"/>
    </row>
    <row r="568" spans="2:22" x14ac:dyDescent="0.35">
      <c r="B568" s="40">
        <v>33956</v>
      </c>
      <c r="C568" s="39">
        <v>1492</v>
      </c>
      <c r="D568" s="219">
        <f t="shared" ref="D568:D631" si="68">LN(C568/C567)</f>
        <v>1.0646283427754184E-2</v>
      </c>
      <c r="F568" s="40">
        <v>33956</v>
      </c>
      <c r="G568" s="39">
        <v>1492</v>
      </c>
      <c r="H568" s="39">
        <f t="shared" si="63"/>
        <v>5</v>
      </c>
      <c r="I568" s="39">
        <f t="shared" si="64"/>
        <v>1492</v>
      </c>
      <c r="K568" s="40">
        <v>36805</v>
      </c>
      <c r="L568" s="39">
        <v>6776.39</v>
      </c>
      <c r="M568" s="39">
        <v>5</v>
      </c>
      <c r="N568" s="39">
        <v>6776.39</v>
      </c>
      <c r="O568" s="219">
        <f t="shared" ref="O568:O631" si="69">LN(N568/N567)</f>
        <v>-3.2015915950379765E-3</v>
      </c>
      <c r="Q568" s="40">
        <v>33956</v>
      </c>
      <c r="R568" s="39">
        <v>1492</v>
      </c>
      <c r="S568" s="39">
        <f t="shared" si="65"/>
        <v>12</v>
      </c>
      <c r="T568" s="39">
        <f t="shared" si="66"/>
        <v>0</v>
      </c>
      <c r="U568" s="39">
        <f t="shared" si="67"/>
        <v>0</v>
      </c>
      <c r="V568" s="40"/>
    </row>
    <row r="569" spans="2:22" x14ac:dyDescent="0.35">
      <c r="B569" s="40">
        <v>33959</v>
      </c>
      <c r="C569" s="39">
        <v>1515.6</v>
      </c>
      <c r="D569" s="219">
        <f t="shared" si="68"/>
        <v>1.5693898380739431E-2</v>
      </c>
      <c r="F569" s="40">
        <v>33959</v>
      </c>
      <c r="G569" s="39">
        <v>1515.6</v>
      </c>
      <c r="H569" s="39">
        <f t="shared" si="63"/>
        <v>1</v>
      </c>
      <c r="I569" s="39">
        <f t="shared" si="64"/>
        <v>0</v>
      </c>
      <c r="K569" s="40">
        <v>36812</v>
      </c>
      <c r="L569" s="39">
        <v>6661.3</v>
      </c>
      <c r="M569" s="39">
        <v>5</v>
      </c>
      <c r="N569" s="39">
        <v>6661.3</v>
      </c>
      <c r="O569" s="219">
        <f t="shared" si="69"/>
        <v>-1.7129851074359475E-2</v>
      </c>
      <c r="Q569" s="40">
        <v>33959</v>
      </c>
      <c r="R569" s="39">
        <v>1515.6</v>
      </c>
      <c r="S569" s="39">
        <f t="shared" si="65"/>
        <v>12</v>
      </c>
      <c r="T569" s="39">
        <f t="shared" si="66"/>
        <v>0</v>
      </c>
      <c r="U569" s="39">
        <f t="shared" si="67"/>
        <v>0</v>
      </c>
      <c r="V569" s="40"/>
    </row>
    <row r="570" spans="2:22" x14ac:dyDescent="0.35">
      <c r="B570" s="40">
        <v>33960</v>
      </c>
      <c r="C570" s="39">
        <v>1523.6</v>
      </c>
      <c r="D570" s="219">
        <f t="shared" si="68"/>
        <v>5.264555460003136E-3</v>
      </c>
      <c r="F570" s="40">
        <v>33960</v>
      </c>
      <c r="G570" s="39">
        <v>1523.6</v>
      </c>
      <c r="H570" s="39">
        <f t="shared" si="63"/>
        <v>2</v>
      </c>
      <c r="I570" s="39">
        <f t="shared" si="64"/>
        <v>0</v>
      </c>
      <c r="K570" s="40">
        <v>36819</v>
      </c>
      <c r="L570" s="39">
        <v>6615.9</v>
      </c>
      <c r="M570" s="39">
        <v>5</v>
      </c>
      <c r="N570" s="39">
        <v>6615.9</v>
      </c>
      <c r="O570" s="219">
        <f t="shared" si="69"/>
        <v>-6.8388179652653256E-3</v>
      </c>
      <c r="Q570" s="40">
        <v>33960</v>
      </c>
      <c r="R570" s="39">
        <v>1523.6</v>
      </c>
      <c r="S570" s="39">
        <f t="shared" si="65"/>
        <v>12</v>
      </c>
      <c r="T570" s="39">
        <f t="shared" si="66"/>
        <v>0</v>
      </c>
      <c r="U570" s="39">
        <f t="shared" si="67"/>
        <v>0</v>
      </c>
      <c r="V570" s="40"/>
    </row>
    <row r="571" spans="2:22" x14ac:dyDescent="0.35">
      <c r="B571" s="40">
        <v>33961</v>
      </c>
      <c r="C571" s="39">
        <v>1527</v>
      </c>
      <c r="D571" s="219">
        <f t="shared" si="68"/>
        <v>2.2290706141834819E-3</v>
      </c>
      <c r="F571" s="40">
        <v>33961</v>
      </c>
      <c r="G571" s="39">
        <v>1527</v>
      </c>
      <c r="H571" s="39">
        <f t="shared" si="63"/>
        <v>3</v>
      </c>
      <c r="I571" s="39">
        <f t="shared" si="64"/>
        <v>1527</v>
      </c>
      <c r="K571" s="40">
        <v>36826</v>
      </c>
      <c r="L571" s="39">
        <v>6924.68</v>
      </c>
      <c r="M571" s="39">
        <v>5</v>
      </c>
      <c r="N571" s="39">
        <v>6924.68</v>
      </c>
      <c r="O571" s="219">
        <f t="shared" si="69"/>
        <v>4.5615998885309934E-2</v>
      </c>
      <c r="Q571" s="40">
        <v>33961</v>
      </c>
      <c r="R571" s="39">
        <v>1527</v>
      </c>
      <c r="S571" s="39">
        <f t="shared" si="65"/>
        <v>12</v>
      </c>
      <c r="T571" s="39">
        <f t="shared" si="66"/>
        <v>0</v>
      </c>
      <c r="U571" s="39">
        <f t="shared" si="67"/>
        <v>0</v>
      </c>
      <c r="V571" s="40"/>
    </row>
    <row r="572" spans="2:22" x14ac:dyDescent="0.35">
      <c r="B572" s="40">
        <v>33966</v>
      </c>
      <c r="C572" s="39">
        <v>1544.6</v>
      </c>
      <c r="D572" s="219">
        <f t="shared" si="68"/>
        <v>1.1459950916530966E-2</v>
      </c>
      <c r="F572" s="40">
        <v>33966</v>
      </c>
      <c r="G572" s="39">
        <v>1544.6</v>
      </c>
      <c r="H572" s="39">
        <f t="shared" si="63"/>
        <v>1</v>
      </c>
      <c r="I572" s="39">
        <f t="shared" si="64"/>
        <v>0</v>
      </c>
      <c r="K572" s="40">
        <v>36833</v>
      </c>
      <c r="L572" s="39">
        <v>7128.27</v>
      </c>
      <c r="M572" s="39">
        <v>5</v>
      </c>
      <c r="N572" s="39">
        <v>7128.27</v>
      </c>
      <c r="O572" s="219">
        <f t="shared" si="69"/>
        <v>2.8976726619569702E-2</v>
      </c>
      <c r="Q572" s="40">
        <v>33966</v>
      </c>
      <c r="R572" s="39">
        <v>1544.6</v>
      </c>
      <c r="S572" s="39">
        <f t="shared" si="65"/>
        <v>12</v>
      </c>
      <c r="T572" s="39">
        <f t="shared" si="66"/>
        <v>0</v>
      </c>
      <c r="U572" s="39">
        <f t="shared" si="67"/>
        <v>0</v>
      </c>
      <c r="V572" s="40"/>
    </row>
    <row r="573" spans="2:22" x14ac:dyDescent="0.35">
      <c r="B573" s="40">
        <v>33967</v>
      </c>
      <c r="C573" s="39">
        <v>1542.2</v>
      </c>
      <c r="D573" s="219">
        <f t="shared" si="68"/>
        <v>-1.5550087363031373E-3</v>
      </c>
      <c r="F573" s="40">
        <v>33967</v>
      </c>
      <c r="G573" s="39">
        <v>1542.2</v>
      </c>
      <c r="H573" s="39">
        <f t="shared" si="63"/>
        <v>2</v>
      </c>
      <c r="I573" s="39">
        <f t="shared" si="64"/>
        <v>0</v>
      </c>
      <c r="K573" s="40">
        <v>36840</v>
      </c>
      <c r="L573" s="39">
        <v>6851.69</v>
      </c>
      <c r="M573" s="39">
        <v>5</v>
      </c>
      <c r="N573" s="39">
        <v>6851.69</v>
      </c>
      <c r="O573" s="219">
        <f t="shared" si="69"/>
        <v>-3.9573231065624666E-2</v>
      </c>
      <c r="Q573" s="40">
        <v>33967</v>
      </c>
      <c r="R573" s="39">
        <v>1542.2</v>
      </c>
      <c r="S573" s="39">
        <f t="shared" si="65"/>
        <v>12</v>
      </c>
      <c r="T573" s="39">
        <f t="shared" si="66"/>
        <v>0</v>
      </c>
      <c r="U573" s="39">
        <f t="shared" si="67"/>
        <v>0</v>
      </c>
      <c r="V573" s="40"/>
    </row>
    <row r="574" spans="2:22" x14ac:dyDescent="0.35">
      <c r="B574" s="40">
        <v>33968</v>
      </c>
      <c r="C574" s="39">
        <v>1545.1</v>
      </c>
      <c r="D574" s="219">
        <f t="shared" si="68"/>
        <v>1.878664757512164E-3</v>
      </c>
      <c r="F574" s="40">
        <v>33968</v>
      </c>
      <c r="G574" s="39">
        <v>1545.1</v>
      </c>
      <c r="H574" s="39">
        <f t="shared" si="63"/>
        <v>3</v>
      </c>
      <c r="I574" s="39">
        <f t="shared" si="64"/>
        <v>1545.1</v>
      </c>
      <c r="K574" s="40">
        <v>36847</v>
      </c>
      <c r="L574" s="39">
        <v>6752.29</v>
      </c>
      <c r="M574" s="39">
        <v>5</v>
      </c>
      <c r="N574" s="39">
        <v>6752.29</v>
      </c>
      <c r="O574" s="219">
        <f t="shared" si="69"/>
        <v>-1.4613630565091349E-2</v>
      </c>
      <c r="Q574" s="40">
        <v>33968</v>
      </c>
      <c r="R574" s="39">
        <v>1545.1</v>
      </c>
      <c r="S574" s="39">
        <f t="shared" si="65"/>
        <v>12</v>
      </c>
      <c r="T574" s="39">
        <f t="shared" si="66"/>
        <v>1545.1</v>
      </c>
      <c r="U574" s="39">
        <f t="shared" si="67"/>
        <v>1545.1</v>
      </c>
      <c r="V574" s="40"/>
    </row>
    <row r="575" spans="2:22" x14ac:dyDescent="0.35">
      <c r="B575" s="40">
        <v>33973</v>
      </c>
      <c r="C575" s="39">
        <v>1531.3</v>
      </c>
      <c r="D575" s="219">
        <f t="shared" si="68"/>
        <v>-8.9715853352104902E-3</v>
      </c>
      <c r="F575" s="40">
        <v>33973</v>
      </c>
      <c r="G575" s="39">
        <v>1531.3</v>
      </c>
      <c r="H575" s="39">
        <f t="shared" si="63"/>
        <v>1</v>
      </c>
      <c r="I575" s="39">
        <f t="shared" si="64"/>
        <v>0</v>
      </c>
      <c r="K575" s="40">
        <v>36854</v>
      </c>
      <c r="L575" s="39">
        <v>6664.18</v>
      </c>
      <c r="M575" s="39">
        <v>5</v>
      </c>
      <c r="N575" s="39">
        <v>6664.18</v>
      </c>
      <c r="O575" s="219">
        <f t="shared" si="69"/>
        <v>-1.313479130420969E-2</v>
      </c>
      <c r="Q575" s="40">
        <v>33973</v>
      </c>
      <c r="R575" s="39">
        <v>1531.3</v>
      </c>
      <c r="S575" s="39">
        <f t="shared" si="65"/>
        <v>1</v>
      </c>
      <c r="T575" s="39">
        <f t="shared" si="66"/>
        <v>0</v>
      </c>
      <c r="U575" s="39">
        <f t="shared" si="67"/>
        <v>0</v>
      </c>
      <c r="V575" s="40"/>
    </row>
    <row r="576" spans="2:22" x14ac:dyDescent="0.35">
      <c r="B576" s="40">
        <v>33974</v>
      </c>
      <c r="C576" s="39">
        <v>1556.4</v>
      </c>
      <c r="D576" s="219">
        <f t="shared" si="68"/>
        <v>1.6258414289236526E-2</v>
      </c>
      <c r="F576" s="40">
        <v>33974</v>
      </c>
      <c r="G576" s="39">
        <v>1556.4</v>
      </c>
      <c r="H576" s="39">
        <f t="shared" si="63"/>
        <v>2</v>
      </c>
      <c r="I576" s="39">
        <f t="shared" si="64"/>
        <v>0</v>
      </c>
      <c r="K576" s="40">
        <v>36861</v>
      </c>
      <c r="L576" s="39">
        <v>6512.91</v>
      </c>
      <c r="M576" s="39">
        <v>5</v>
      </c>
      <c r="N576" s="39">
        <v>6512.91</v>
      </c>
      <c r="O576" s="219">
        <f t="shared" si="69"/>
        <v>-2.2960554352102782E-2</v>
      </c>
      <c r="Q576" s="40">
        <v>33974</v>
      </c>
      <c r="R576" s="39">
        <v>1556.4</v>
      </c>
      <c r="S576" s="39">
        <f t="shared" si="65"/>
        <v>1</v>
      </c>
      <c r="T576" s="39">
        <f t="shared" si="66"/>
        <v>0</v>
      </c>
      <c r="U576" s="39">
        <f t="shared" si="67"/>
        <v>0</v>
      </c>
      <c r="V576" s="40"/>
    </row>
    <row r="577" spans="2:22" x14ac:dyDescent="0.35">
      <c r="B577" s="40">
        <v>33975</v>
      </c>
      <c r="C577" s="39">
        <v>1556.4</v>
      </c>
      <c r="D577" s="219">
        <f t="shared" si="68"/>
        <v>0</v>
      </c>
      <c r="F577" s="40">
        <v>33975</v>
      </c>
      <c r="G577" s="39">
        <v>1556.4</v>
      </c>
      <c r="H577" s="39">
        <f t="shared" si="63"/>
        <v>3</v>
      </c>
      <c r="I577" s="39">
        <f t="shared" si="64"/>
        <v>0</v>
      </c>
      <c r="K577" s="40">
        <v>36868</v>
      </c>
      <c r="L577" s="39">
        <v>6691.25</v>
      </c>
      <c r="M577" s="39">
        <v>5</v>
      </c>
      <c r="N577" s="39">
        <v>6691.25</v>
      </c>
      <c r="O577" s="219">
        <f t="shared" si="69"/>
        <v>2.701434177347857E-2</v>
      </c>
      <c r="Q577" s="40">
        <v>33975</v>
      </c>
      <c r="R577" s="39">
        <v>1556.4</v>
      </c>
      <c r="S577" s="39">
        <f t="shared" si="65"/>
        <v>1</v>
      </c>
      <c r="T577" s="39">
        <f t="shared" si="66"/>
        <v>0</v>
      </c>
      <c r="U577" s="39">
        <f t="shared" si="67"/>
        <v>0</v>
      </c>
      <c r="V577" s="40"/>
    </row>
    <row r="578" spans="2:22" x14ac:dyDescent="0.35">
      <c r="B578" s="40">
        <v>33976</v>
      </c>
      <c r="C578" s="39">
        <v>1542.5</v>
      </c>
      <c r="D578" s="219">
        <f t="shared" si="68"/>
        <v>-8.9709853308556839E-3</v>
      </c>
      <c r="F578" s="40">
        <v>33976</v>
      </c>
      <c r="G578" s="39">
        <v>1542.5</v>
      </c>
      <c r="H578" s="39">
        <f t="shared" si="63"/>
        <v>4</v>
      </c>
      <c r="I578" s="39">
        <f t="shared" si="64"/>
        <v>0</v>
      </c>
      <c r="K578" s="40">
        <v>36875</v>
      </c>
      <c r="L578" s="39">
        <v>6331.3</v>
      </c>
      <c r="M578" s="39">
        <v>5</v>
      </c>
      <c r="N578" s="39">
        <v>6331.3</v>
      </c>
      <c r="O578" s="219">
        <f t="shared" si="69"/>
        <v>-5.5295116407131716E-2</v>
      </c>
      <c r="Q578" s="40">
        <v>33976</v>
      </c>
      <c r="R578" s="39">
        <v>1542.5</v>
      </c>
      <c r="S578" s="39">
        <f t="shared" si="65"/>
        <v>1</v>
      </c>
      <c r="T578" s="39">
        <f t="shared" si="66"/>
        <v>0</v>
      </c>
      <c r="U578" s="39">
        <f t="shared" si="67"/>
        <v>0</v>
      </c>
      <c r="V578" s="40"/>
    </row>
    <row r="579" spans="2:22" x14ac:dyDescent="0.35">
      <c r="B579" s="40">
        <v>33977</v>
      </c>
      <c r="C579" s="39">
        <v>1531.5</v>
      </c>
      <c r="D579" s="219">
        <f t="shared" si="68"/>
        <v>-7.1568295067129337E-3</v>
      </c>
      <c r="F579" s="40">
        <v>33977</v>
      </c>
      <c r="G579" s="39">
        <v>1531.5</v>
      </c>
      <c r="H579" s="39">
        <f t="shared" si="63"/>
        <v>5</v>
      </c>
      <c r="I579" s="39">
        <f t="shared" si="64"/>
        <v>1531.5</v>
      </c>
      <c r="K579" s="40">
        <v>36882</v>
      </c>
      <c r="L579" s="39">
        <v>6251.4</v>
      </c>
      <c r="M579" s="39">
        <v>5</v>
      </c>
      <c r="N579" s="39">
        <v>6251.4</v>
      </c>
      <c r="O579" s="219">
        <f t="shared" si="69"/>
        <v>-1.270014765426632E-2</v>
      </c>
      <c r="Q579" s="40">
        <v>33977</v>
      </c>
      <c r="R579" s="39">
        <v>1531.5</v>
      </c>
      <c r="S579" s="39">
        <f t="shared" si="65"/>
        <v>1</v>
      </c>
      <c r="T579" s="39">
        <f t="shared" si="66"/>
        <v>0</v>
      </c>
      <c r="U579" s="39">
        <f t="shared" si="67"/>
        <v>0</v>
      </c>
      <c r="V579" s="40"/>
    </row>
    <row r="580" spans="2:22" x14ac:dyDescent="0.35">
      <c r="B580" s="40">
        <v>33980</v>
      </c>
      <c r="C580" s="39">
        <v>1532</v>
      </c>
      <c r="D580" s="219">
        <f t="shared" si="68"/>
        <v>3.264240277067487E-4</v>
      </c>
      <c r="F580" s="40">
        <v>33980</v>
      </c>
      <c r="G580" s="39">
        <v>1532</v>
      </c>
      <c r="H580" s="39">
        <f t="shared" si="63"/>
        <v>1</v>
      </c>
      <c r="I580" s="39">
        <f t="shared" si="64"/>
        <v>0</v>
      </c>
      <c r="K580" s="40">
        <v>36889</v>
      </c>
      <c r="L580" s="39">
        <v>6433.61</v>
      </c>
      <c r="M580" s="39">
        <v>5</v>
      </c>
      <c r="N580" s="39">
        <v>6433.61</v>
      </c>
      <c r="O580" s="219">
        <f t="shared" si="69"/>
        <v>2.8730372835325108E-2</v>
      </c>
      <c r="Q580" s="40">
        <v>33980</v>
      </c>
      <c r="R580" s="39">
        <v>1532</v>
      </c>
      <c r="S580" s="39">
        <f t="shared" si="65"/>
        <v>1</v>
      </c>
      <c r="T580" s="39">
        <f t="shared" si="66"/>
        <v>0</v>
      </c>
      <c r="U580" s="39">
        <f t="shared" si="67"/>
        <v>0</v>
      </c>
      <c r="V580" s="40"/>
    </row>
    <row r="581" spans="2:22" x14ac:dyDescent="0.35">
      <c r="B581" s="40">
        <v>33981</v>
      </c>
      <c r="C581" s="39">
        <v>1530.2</v>
      </c>
      <c r="D581" s="219">
        <f t="shared" si="68"/>
        <v>-1.1756255027850623E-3</v>
      </c>
      <c r="F581" s="40">
        <v>33981</v>
      </c>
      <c r="G581" s="39">
        <v>1530.2</v>
      </c>
      <c r="H581" s="39">
        <f t="shared" si="63"/>
        <v>2</v>
      </c>
      <c r="I581" s="39">
        <f t="shared" si="64"/>
        <v>0</v>
      </c>
      <c r="K581" s="40">
        <v>36896</v>
      </c>
      <c r="L581" s="39">
        <v>6382.31</v>
      </c>
      <c r="M581" s="39">
        <v>5</v>
      </c>
      <c r="N581" s="39">
        <v>6382.31</v>
      </c>
      <c r="O581" s="219">
        <f t="shared" si="69"/>
        <v>-8.0057107083156623E-3</v>
      </c>
      <c r="Q581" s="40">
        <v>33981</v>
      </c>
      <c r="R581" s="39">
        <v>1530.2</v>
      </c>
      <c r="S581" s="39">
        <f t="shared" si="65"/>
        <v>1</v>
      </c>
      <c r="T581" s="39">
        <f t="shared" si="66"/>
        <v>0</v>
      </c>
      <c r="U581" s="39">
        <f t="shared" si="67"/>
        <v>0</v>
      </c>
      <c r="V581" s="40"/>
    </row>
    <row r="582" spans="2:22" x14ac:dyDescent="0.35">
      <c r="B582" s="40">
        <v>33982</v>
      </c>
      <c r="C582" s="39">
        <v>1516.5</v>
      </c>
      <c r="D582" s="219">
        <f t="shared" si="68"/>
        <v>-8.9933976691156711E-3</v>
      </c>
      <c r="F582" s="40">
        <v>33982</v>
      </c>
      <c r="G582" s="39">
        <v>1516.5</v>
      </c>
      <c r="H582" s="39">
        <f t="shared" si="63"/>
        <v>3</v>
      </c>
      <c r="I582" s="39">
        <f t="shared" si="64"/>
        <v>0</v>
      </c>
      <c r="K582" s="40">
        <v>36903</v>
      </c>
      <c r="L582" s="39">
        <v>6490.03</v>
      </c>
      <c r="M582" s="39">
        <v>5</v>
      </c>
      <c r="N582" s="39">
        <v>6490.03</v>
      </c>
      <c r="O582" s="219">
        <f t="shared" si="69"/>
        <v>1.6737052410397444E-2</v>
      </c>
      <c r="Q582" s="40">
        <v>33982</v>
      </c>
      <c r="R582" s="39">
        <v>1516.5</v>
      </c>
      <c r="S582" s="39">
        <f t="shared" si="65"/>
        <v>1</v>
      </c>
      <c r="T582" s="39">
        <f t="shared" si="66"/>
        <v>0</v>
      </c>
      <c r="U582" s="39">
        <f t="shared" si="67"/>
        <v>0</v>
      </c>
      <c r="V582" s="40"/>
    </row>
    <row r="583" spans="2:22" x14ac:dyDescent="0.35">
      <c r="B583" s="40">
        <v>33983</v>
      </c>
      <c r="C583" s="39">
        <v>1523.7</v>
      </c>
      <c r="D583" s="219">
        <f t="shared" si="68"/>
        <v>4.7365393466733356E-3</v>
      </c>
      <c r="F583" s="40">
        <v>33983</v>
      </c>
      <c r="G583" s="39">
        <v>1523.7</v>
      </c>
      <c r="H583" s="39">
        <f t="shared" si="63"/>
        <v>4</v>
      </c>
      <c r="I583" s="39">
        <f t="shared" si="64"/>
        <v>0</v>
      </c>
      <c r="K583" s="40">
        <v>36910</v>
      </c>
      <c r="L583" s="39">
        <v>6651.53</v>
      </c>
      <c r="M583" s="39">
        <v>5</v>
      </c>
      <c r="N583" s="39">
        <v>6651.53</v>
      </c>
      <c r="O583" s="219">
        <f t="shared" si="69"/>
        <v>2.4579750191032784E-2</v>
      </c>
      <c r="Q583" s="40">
        <v>33983</v>
      </c>
      <c r="R583" s="39">
        <v>1523.7</v>
      </c>
      <c r="S583" s="39">
        <f t="shared" si="65"/>
        <v>1</v>
      </c>
      <c r="T583" s="39">
        <f t="shared" si="66"/>
        <v>0</v>
      </c>
      <c r="U583" s="39">
        <f t="shared" si="67"/>
        <v>0</v>
      </c>
      <c r="V583" s="40"/>
    </row>
    <row r="584" spans="2:22" x14ac:dyDescent="0.35">
      <c r="B584" s="40">
        <v>33984</v>
      </c>
      <c r="C584" s="39">
        <v>1544.6</v>
      </c>
      <c r="D584" s="219">
        <f t="shared" si="68"/>
        <v>1.3623389659854457E-2</v>
      </c>
      <c r="F584" s="40">
        <v>33984</v>
      </c>
      <c r="G584" s="39">
        <v>1544.6</v>
      </c>
      <c r="H584" s="39">
        <f t="shared" si="63"/>
        <v>5</v>
      </c>
      <c r="I584" s="39">
        <f t="shared" si="64"/>
        <v>1544.6</v>
      </c>
      <c r="K584" s="40">
        <v>36917</v>
      </c>
      <c r="L584" s="39">
        <v>6695.2</v>
      </c>
      <c r="M584" s="39">
        <v>5</v>
      </c>
      <c r="N584" s="39">
        <v>6695.2</v>
      </c>
      <c r="O584" s="219">
        <f t="shared" si="69"/>
        <v>6.5439483440317466E-3</v>
      </c>
      <c r="Q584" s="40">
        <v>33984</v>
      </c>
      <c r="R584" s="39">
        <v>1544.6</v>
      </c>
      <c r="S584" s="39">
        <f t="shared" si="65"/>
        <v>1</v>
      </c>
      <c r="T584" s="39">
        <f t="shared" si="66"/>
        <v>0</v>
      </c>
      <c r="U584" s="39">
        <f t="shared" si="67"/>
        <v>0</v>
      </c>
      <c r="V584" s="40"/>
    </row>
    <row r="585" spans="2:22" x14ac:dyDescent="0.35">
      <c r="B585" s="40">
        <v>33987</v>
      </c>
      <c r="C585" s="39">
        <v>1573.1</v>
      </c>
      <c r="D585" s="219">
        <f t="shared" si="68"/>
        <v>1.8283217693295533E-2</v>
      </c>
      <c r="F585" s="40">
        <v>33987</v>
      </c>
      <c r="G585" s="39">
        <v>1573.1</v>
      </c>
      <c r="H585" s="39">
        <f t="shared" si="63"/>
        <v>1</v>
      </c>
      <c r="I585" s="39">
        <f t="shared" si="64"/>
        <v>0</v>
      </c>
      <c r="K585" s="40">
        <v>36924</v>
      </c>
      <c r="L585" s="39">
        <v>6638.2</v>
      </c>
      <c r="M585" s="39">
        <v>5</v>
      </c>
      <c r="N585" s="39">
        <v>6638.2</v>
      </c>
      <c r="O585" s="219">
        <f t="shared" si="69"/>
        <v>-8.550009335534868E-3</v>
      </c>
      <c r="Q585" s="40">
        <v>33987</v>
      </c>
      <c r="R585" s="39">
        <v>1573.1</v>
      </c>
      <c r="S585" s="39">
        <f t="shared" si="65"/>
        <v>1</v>
      </c>
      <c r="T585" s="39">
        <f t="shared" si="66"/>
        <v>0</v>
      </c>
      <c r="U585" s="39">
        <f t="shared" si="67"/>
        <v>0</v>
      </c>
      <c r="V585" s="40"/>
    </row>
    <row r="586" spans="2:22" x14ac:dyDescent="0.35">
      <c r="B586" s="40">
        <v>33988</v>
      </c>
      <c r="C586" s="39">
        <v>1578.8</v>
      </c>
      <c r="D586" s="219">
        <f t="shared" si="68"/>
        <v>3.6168699602329123E-3</v>
      </c>
      <c r="F586" s="40">
        <v>33988</v>
      </c>
      <c r="G586" s="39">
        <v>1578.8</v>
      </c>
      <c r="H586" s="39">
        <f t="shared" si="63"/>
        <v>2</v>
      </c>
      <c r="I586" s="39">
        <f t="shared" si="64"/>
        <v>0</v>
      </c>
      <c r="K586" s="40">
        <v>36931</v>
      </c>
      <c r="L586" s="39">
        <v>6497.07</v>
      </c>
      <c r="M586" s="39">
        <v>5</v>
      </c>
      <c r="N586" s="39">
        <v>6497.07</v>
      </c>
      <c r="O586" s="219">
        <f t="shared" si="69"/>
        <v>-2.1489536357161252E-2</v>
      </c>
      <c r="Q586" s="40">
        <v>33988</v>
      </c>
      <c r="R586" s="39">
        <v>1578.8</v>
      </c>
      <c r="S586" s="39">
        <f t="shared" si="65"/>
        <v>1</v>
      </c>
      <c r="T586" s="39">
        <f t="shared" si="66"/>
        <v>0</v>
      </c>
      <c r="U586" s="39">
        <f t="shared" si="67"/>
        <v>0</v>
      </c>
      <c r="V586" s="40"/>
    </row>
    <row r="587" spans="2:22" x14ac:dyDescent="0.35">
      <c r="B587" s="40">
        <v>33989</v>
      </c>
      <c r="C587" s="39">
        <v>1574.9</v>
      </c>
      <c r="D587" s="219">
        <f t="shared" si="68"/>
        <v>-2.4732866081570099E-3</v>
      </c>
      <c r="F587" s="40">
        <v>33989</v>
      </c>
      <c r="G587" s="39">
        <v>1574.9</v>
      </c>
      <c r="H587" s="39">
        <f t="shared" si="63"/>
        <v>3</v>
      </c>
      <c r="I587" s="39">
        <f t="shared" si="64"/>
        <v>0</v>
      </c>
      <c r="K587" s="40">
        <v>36938</v>
      </c>
      <c r="L587" s="39">
        <v>6439.26</v>
      </c>
      <c r="M587" s="39">
        <v>5</v>
      </c>
      <c r="N587" s="39">
        <v>6439.26</v>
      </c>
      <c r="O587" s="219">
        <f t="shared" si="69"/>
        <v>-8.9376793621627707E-3</v>
      </c>
      <c r="Q587" s="40">
        <v>33989</v>
      </c>
      <c r="R587" s="39">
        <v>1574.9</v>
      </c>
      <c r="S587" s="39">
        <f t="shared" si="65"/>
        <v>1</v>
      </c>
      <c r="T587" s="39">
        <f t="shared" si="66"/>
        <v>0</v>
      </c>
      <c r="U587" s="39">
        <f t="shared" si="67"/>
        <v>0</v>
      </c>
      <c r="V587" s="40"/>
    </row>
    <row r="588" spans="2:22" x14ac:dyDescent="0.35">
      <c r="B588" s="40">
        <v>33990</v>
      </c>
      <c r="C588" s="39">
        <v>1573.7</v>
      </c>
      <c r="D588" s="219">
        <f t="shared" si="68"/>
        <v>-7.622435737162954E-4</v>
      </c>
      <c r="F588" s="40">
        <v>33990</v>
      </c>
      <c r="G588" s="39">
        <v>1573.7</v>
      </c>
      <c r="H588" s="39">
        <f t="shared" si="63"/>
        <v>4</v>
      </c>
      <c r="I588" s="39">
        <f t="shared" si="64"/>
        <v>0</v>
      </c>
      <c r="K588" s="40">
        <v>36945</v>
      </c>
      <c r="L588" s="39">
        <v>6075.34</v>
      </c>
      <c r="M588" s="39">
        <v>5</v>
      </c>
      <c r="N588" s="39">
        <v>6075.34</v>
      </c>
      <c r="O588" s="219">
        <f t="shared" si="69"/>
        <v>-5.8175671942965287E-2</v>
      </c>
      <c r="Q588" s="40">
        <v>33990</v>
      </c>
      <c r="R588" s="39">
        <v>1573.7</v>
      </c>
      <c r="S588" s="39">
        <f t="shared" si="65"/>
        <v>1</v>
      </c>
      <c r="T588" s="39">
        <f t="shared" si="66"/>
        <v>0</v>
      </c>
      <c r="U588" s="39">
        <f t="shared" si="67"/>
        <v>0</v>
      </c>
      <c r="V588" s="40"/>
    </row>
    <row r="589" spans="2:22" x14ac:dyDescent="0.35">
      <c r="B589" s="40">
        <v>33991</v>
      </c>
      <c r="C589" s="39">
        <v>1587.6</v>
      </c>
      <c r="D589" s="219">
        <f t="shared" si="68"/>
        <v>8.7939073020915203E-3</v>
      </c>
      <c r="F589" s="40">
        <v>33991</v>
      </c>
      <c r="G589" s="39">
        <v>1587.6</v>
      </c>
      <c r="H589" s="39">
        <f t="shared" si="63"/>
        <v>5</v>
      </c>
      <c r="I589" s="39">
        <f t="shared" si="64"/>
        <v>1587.6</v>
      </c>
      <c r="K589" s="40">
        <v>36952</v>
      </c>
      <c r="L589" s="39">
        <v>6159.02</v>
      </c>
      <c r="M589" s="39">
        <v>5</v>
      </c>
      <c r="N589" s="39">
        <v>6159.02</v>
      </c>
      <c r="O589" s="219">
        <f t="shared" si="69"/>
        <v>1.3679719241333557E-2</v>
      </c>
      <c r="Q589" s="40">
        <v>33991</v>
      </c>
      <c r="R589" s="39">
        <v>1587.6</v>
      </c>
      <c r="S589" s="39">
        <f t="shared" si="65"/>
        <v>1</v>
      </c>
      <c r="T589" s="39">
        <f t="shared" si="66"/>
        <v>0</v>
      </c>
      <c r="U589" s="39">
        <f t="shared" si="67"/>
        <v>0</v>
      </c>
      <c r="V589" s="40"/>
    </row>
    <row r="590" spans="2:22" x14ac:dyDescent="0.35">
      <c r="B590" s="40">
        <v>33994</v>
      </c>
      <c r="C590" s="39">
        <v>1569.2</v>
      </c>
      <c r="D590" s="219">
        <f t="shared" si="68"/>
        <v>-1.1657506573512779E-2</v>
      </c>
      <c r="F590" s="40">
        <v>33994</v>
      </c>
      <c r="G590" s="39">
        <v>1569.2</v>
      </c>
      <c r="H590" s="39">
        <f t="shared" si="63"/>
        <v>1</v>
      </c>
      <c r="I590" s="39">
        <f t="shared" si="64"/>
        <v>0</v>
      </c>
      <c r="K590" s="40">
        <v>36959</v>
      </c>
      <c r="L590" s="39">
        <v>6204.42</v>
      </c>
      <c r="M590" s="39">
        <v>5</v>
      </c>
      <c r="N590" s="39">
        <v>6204.42</v>
      </c>
      <c r="O590" s="219">
        <f t="shared" si="69"/>
        <v>7.3442673020197961E-3</v>
      </c>
      <c r="Q590" s="40">
        <v>33994</v>
      </c>
      <c r="R590" s="39">
        <v>1569.2</v>
      </c>
      <c r="S590" s="39">
        <f t="shared" si="65"/>
        <v>1</v>
      </c>
      <c r="T590" s="39">
        <f t="shared" si="66"/>
        <v>0</v>
      </c>
      <c r="U590" s="39">
        <f t="shared" si="67"/>
        <v>0</v>
      </c>
      <c r="V590" s="40"/>
    </row>
    <row r="591" spans="2:22" x14ac:dyDescent="0.35">
      <c r="B591" s="40">
        <v>33995</v>
      </c>
      <c r="C591" s="39">
        <v>1576.2</v>
      </c>
      <c r="D591" s="219">
        <f t="shared" si="68"/>
        <v>4.4509515841515881E-3</v>
      </c>
      <c r="F591" s="40">
        <v>33995</v>
      </c>
      <c r="G591" s="39">
        <v>1576.2</v>
      </c>
      <c r="H591" s="39">
        <f t="shared" si="63"/>
        <v>2</v>
      </c>
      <c r="I591" s="39">
        <f t="shared" si="64"/>
        <v>0</v>
      </c>
      <c r="K591" s="40">
        <v>36966</v>
      </c>
      <c r="L591" s="39">
        <v>5734.49</v>
      </c>
      <c r="M591" s="39">
        <v>5</v>
      </c>
      <c r="N591" s="39">
        <v>5734.49</v>
      </c>
      <c r="O591" s="219">
        <f t="shared" si="69"/>
        <v>-7.8763122292333801E-2</v>
      </c>
      <c r="Q591" s="40">
        <v>33995</v>
      </c>
      <c r="R591" s="39">
        <v>1576.2</v>
      </c>
      <c r="S591" s="39">
        <f t="shared" si="65"/>
        <v>1</v>
      </c>
      <c r="T591" s="39">
        <f t="shared" si="66"/>
        <v>0</v>
      </c>
      <c r="U591" s="39">
        <f t="shared" si="67"/>
        <v>0</v>
      </c>
      <c r="V591" s="40"/>
    </row>
    <row r="592" spans="2:22" x14ac:dyDescent="0.35">
      <c r="B592" s="40">
        <v>33996</v>
      </c>
      <c r="C592" s="39">
        <v>1562.3</v>
      </c>
      <c r="D592" s="219">
        <f t="shared" si="68"/>
        <v>-8.8577925016917539E-3</v>
      </c>
      <c r="F592" s="40">
        <v>33996</v>
      </c>
      <c r="G592" s="39">
        <v>1562.3</v>
      </c>
      <c r="H592" s="39">
        <f t="shared" si="63"/>
        <v>3</v>
      </c>
      <c r="I592" s="39">
        <f t="shared" si="64"/>
        <v>0</v>
      </c>
      <c r="K592" s="40">
        <v>36973</v>
      </c>
      <c r="L592" s="39">
        <v>5544.67</v>
      </c>
      <c r="M592" s="39">
        <v>5</v>
      </c>
      <c r="N592" s="39">
        <v>5544.67</v>
      </c>
      <c r="O592" s="219">
        <f t="shared" si="69"/>
        <v>-3.3661713033207655E-2</v>
      </c>
      <c r="Q592" s="40">
        <v>33996</v>
      </c>
      <c r="R592" s="39">
        <v>1562.3</v>
      </c>
      <c r="S592" s="39">
        <f t="shared" si="65"/>
        <v>1</v>
      </c>
      <c r="T592" s="39">
        <f t="shared" si="66"/>
        <v>0</v>
      </c>
      <c r="U592" s="39">
        <f t="shared" si="67"/>
        <v>0</v>
      </c>
      <c r="V592" s="40"/>
    </row>
    <row r="593" spans="2:22" x14ac:dyDescent="0.35">
      <c r="B593" s="40">
        <v>33997</v>
      </c>
      <c r="C593" s="39">
        <v>1567.8</v>
      </c>
      <c r="D593" s="219">
        <f t="shared" si="68"/>
        <v>3.5142683367644333E-3</v>
      </c>
      <c r="F593" s="40">
        <v>33997</v>
      </c>
      <c r="G593" s="39">
        <v>1567.8</v>
      </c>
      <c r="H593" s="39">
        <f t="shared" si="63"/>
        <v>4</v>
      </c>
      <c r="I593" s="39">
        <f t="shared" si="64"/>
        <v>0</v>
      </c>
      <c r="K593" s="40">
        <v>36980</v>
      </c>
      <c r="L593" s="39">
        <v>5829.95</v>
      </c>
      <c r="M593" s="39">
        <v>5</v>
      </c>
      <c r="N593" s="39">
        <v>5829.95</v>
      </c>
      <c r="O593" s="219">
        <f t="shared" si="69"/>
        <v>5.0171318039778062E-2</v>
      </c>
      <c r="Q593" s="40">
        <v>33997</v>
      </c>
      <c r="R593" s="39">
        <v>1567.8</v>
      </c>
      <c r="S593" s="39">
        <f t="shared" si="65"/>
        <v>1</v>
      </c>
      <c r="T593" s="39">
        <f t="shared" si="66"/>
        <v>0</v>
      </c>
      <c r="U593" s="39">
        <f t="shared" si="67"/>
        <v>0</v>
      </c>
      <c r="V593" s="40"/>
    </row>
    <row r="594" spans="2:22" x14ac:dyDescent="0.35">
      <c r="B594" s="40">
        <v>33998</v>
      </c>
      <c r="C594" s="39">
        <v>1571.9</v>
      </c>
      <c r="D594" s="219">
        <f t="shared" si="68"/>
        <v>2.6117159795705659E-3</v>
      </c>
      <c r="F594" s="40">
        <v>33998</v>
      </c>
      <c r="G594" s="39">
        <v>1571.9</v>
      </c>
      <c r="H594" s="39">
        <f t="shared" si="63"/>
        <v>5</v>
      </c>
      <c r="I594" s="39">
        <f t="shared" si="64"/>
        <v>1571.9</v>
      </c>
      <c r="K594" s="40">
        <v>36987</v>
      </c>
      <c r="L594" s="39">
        <v>5698.88</v>
      </c>
      <c r="M594" s="39">
        <v>5</v>
      </c>
      <c r="N594" s="39">
        <v>5698.88</v>
      </c>
      <c r="O594" s="219">
        <f t="shared" si="69"/>
        <v>-2.2738759690789194E-2</v>
      </c>
      <c r="Q594" s="40">
        <v>33998</v>
      </c>
      <c r="R594" s="39">
        <v>1571.9</v>
      </c>
      <c r="S594" s="39">
        <f t="shared" si="65"/>
        <v>1</v>
      </c>
      <c r="T594" s="39">
        <f t="shared" si="66"/>
        <v>1571.9</v>
      </c>
      <c r="U594" s="39">
        <f t="shared" si="67"/>
        <v>1571.9</v>
      </c>
      <c r="V594" s="40"/>
    </row>
    <row r="595" spans="2:22" x14ac:dyDescent="0.35">
      <c r="B595" s="40">
        <v>34001</v>
      </c>
      <c r="C595" s="39">
        <v>1585.2</v>
      </c>
      <c r="D595" s="219">
        <f t="shared" si="68"/>
        <v>8.4255035820877053E-3</v>
      </c>
      <c r="F595" s="40">
        <v>34001</v>
      </c>
      <c r="G595" s="39">
        <v>1585.2</v>
      </c>
      <c r="H595" s="39">
        <f t="shared" si="63"/>
        <v>1</v>
      </c>
      <c r="I595" s="39">
        <f t="shared" si="64"/>
        <v>0</v>
      </c>
      <c r="K595" s="40">
        <v>36993</v>
      </c>
      <c r="L595" s="39">
        <v>6002.3</v>
      </c>
      <c r="M595" s="39">
        <v>4</v>
      </c>
      <c r="N595" s="39">
        <v>6002.3</v>
      </c>
      <c r="O595" s="219">
        <f t="shared" si="69"/>
        <v>5.1873064802433241E-2</v>
      </c>
      <c r="Q595" s="40">
        <v>34001</v>
      </c>
      <c r="R595" s="39">
        <v>1585.2</v>
      </c>
      <c r="S595" s="39">
        <f t="shared" si="65"/>
        <v>2</v>
      </c>
      <c r="T595" s="39">
        <f t="shared" si="66"/>
        <v>0</v>
      </c>
      <c r="U595" s="39">
        <f t="shared" si="67"/>
        <v>0</v>
      </c>
      <c r="V595" s="40"/>
    </row>
    <row r="596" spans="2:22" x14ac:dyDescent="0.35">
      <c r="B596" s="40">
        <v>34002</v>
      </c>
      <c r="C596" s="39">
        <v>1583.1</v>
      </c>
      <c r="D596" s="219">
        <f t="shared" si="68"/>
        <v>-1.3256322365481701E-3</v>
      </c>
      <c r="F596" s="40">
        <v>34002</v>
      </c>
      <c r="G596" s="39">
        <v>1583.1</v>
      </c>
      <c r="H596" s="39">
        <f t="shared" si="63"/>
        <v>2</v>
      </c>
      <c r="I596" s="39">
        <f t="shared" si="64"/>
        <v>0</v>
      </c>
      <c r="K596" s="40">
        <v>37001</v>
      </c>
      <c r="L596" s="39">
        <v>6127.97</v>
      </c>
      <c r="M596" s="39">
        <v>5</v>
      </c>
      <c r="N596" s="39">
        <v>6127.97</v>
      </c>
      <c r="O596" s="219">
        <f t="shared" si="69"/>
        <v>2.0720807757012325E-2</v>
      </c>
      <c r="Q596" s="40">
        <v>34002</v>
      </c>
      <c r="R596" s="39">
        <v>1583.1</v>
      </c>
      <c r="S596" s="39">
        <f t="shared" si="65"/>
        <v>2</v>
      </c>
      <c r="T596" s="39">
        <f t="shared" si="66"/>
        <v>0</v>
      </c>
      <c r="U596" s="39">
        <f t="shared" si="67"/>
        <v>0</v>
      </c>
      <c r="V596" s="40"/>
    </row>
    <row r="597" spans="2:22" x14ac:dyDescent="0.35">
      <c r="B597" s="40">
        <v>34003</v>
      </c>
      <c r="C597" s="39">
        <v>1601.5</v>
      </c>
      <c r="D597" s="219">
        <f t="shared" si="68"/>
        <v>1.1555739969480934E-2</v>
      </c>
      <c r="F597" s="40">
        <v>34003</v>
      </c>
      <c r="G597" s="39">
        <v>1601.5</v>
      </c>
      <c r="H597" s="39">
        <f t="shared" si="63"/>
        <v>3</v>
      </c>
      <c r="I597" s="39">
        <f t="shared" si="64"/>
        <v>0</v>
      </c>
      <c r="K597" s="40">
        <v>37008</v>
      </c>
      <c r="L597" s="39">
        <v>6175.24</v>
      </c>
      <c r="M597" s="39">
        <v>5</v>
      </c>
      <c r="N597" s="39">
        <v>6175.24</v>
      </c>
      <c r="O597" s="219">
        <f t="shared" si="69"/>
        <v>7.6842112905740221E-3</v>
      </c>
      <c r="Q597" s="40">
        <v>34003</v>
      </c>
      <c r="R597" s="39">
        <v>1601.5</v>
      </c>
      <c r="S597" s="39">
        <f t="shared" si="65"/>
        <v>2</v>
      </c>
      <c r="T597" s="39">
        <f t="shared" si="66"/>
        <v>0</v>
      </c>
      <c r="U597" s="39">
        <f t="shared" si="67"/>
        <v>0</v>
      </c>
      <c r="V597" s="40"/>
    </row>
    <row r="598" spans="2:22" x14ac:dyDescent="0.35">
      <c r="B598" s="40">
        <v>34004</v>
      </c>
      <c r="C598" s="39">
        <v>1601.6</v>
      </c>
      <c r="D598" s="219">
        <f t="shared" si="68"/>
        <v>6.2439511743216667E-5</v>
      </c>
      <c r="F598" s="40">
        <v>34004</v>
      </c>
      <c r="G598" s="39">
        <v>1601.6</v>
      </c>
      <c r="H598" s="39">
        <f t="shared" si="63"/>
        <v>4</v>
      </c>
      <c r="I598" s="39">
        <f t="shared" si="64"/>
        <v>0</v>
      </c>
      <c r="K598" s="40">
        <v>37015</v>
      </c>
      <c r="L598" s="39">
        <v>6138.28</v>
      </c>
      <c r="M598" s="39">
        <v>5</v>
      </c>
      <c r="N598" s="39">
        <v>6138.28</v>
      </c>
      <c r="O598" s="219">
        <f t="shared" si="69"/>
        <v>-6.0031755334514136E-3</v>
      </c>
      <c r="Q598" s="40">
        <v>34004</v>
      </c>
      <c r="R598" s="39">
        <v>1601.6</v>
      </c>
      <c r="S598" s="39">
        <f t="shared" si="65"/>
        <v>2</v>
      </c>
      <c r="T598" s="39">
        <f t="shared" si="66"/>
        <v>0</v>
      </c>
      <c r="U598" s="39">
        <f t="shared" si="67"/>
        <v>0</v>
      </c>
      <c r="V598" s="40"/>
    </row>
    <row r="599" spans="2:22" x14ac:dyDescent="0.35">
      <c r="B599" s="40">
        <v>34005</v>
      </c>
      <c r="C599" s="39">
        <v>1641.4</v>
      </c>
      <c r="D599" s="219">
        <f t="shared" si="68"/>
        <v>2.4546406634655172E-2</v>
      </c>
      <c r="F599" s="40">
        <v>34005</v>
      </c>
      <c r="G599" s="39">
        <v>1641.4</v>
      </c>
      <c r="H599" s="39">
        <f t="shared" si="63"/>
        <v>5</v>
      </c>
      <c r="I599" s="39">
        <f t="shared" si="64"/>
        <v>1641.4</v>
      </c>
      <c r="K599" s="40">
        <v>37022</v>
      </c>
      <c r="L599" s="39">
        <v>6141.02</v>
      </c>
      <c r="M599" s="39">
        <v>5</v>
      </c>
      <c r="N599" s="39">
        <v>6141.02</v>
      </c>
      <c r="O599" s="219">
        <f t="shared" si="69"/>
        <v>4.4627951845403806E-4</v>
      </c>
      <c r="Q599" s="40">
        <v>34005</v>
      </c>
      <c r="R599" s="39">
        <v>1641.4</v>
      </c>
      <c r="S599" s="39">
        <f t="shared" si="65"/>
        <v>2</v>
      </c>
      <c r="T599" s="39">
        <f t="shared" si="66"/>
        <v>0</v>
      </c>
      <c r="U599" s="39">
        <f t="shared" si="67"/>
        <v>0</v>
      </c>
      <c r="V599" s="40"/>
    </row>
    <row r="600" spans="2:22" x14ac:dyDescent="0.35">
      <c r="B600" s="40">
        <v>34008</v>
      </c>
      <c r="C600" s="39">
        <v>1647.2</v>
      </c>
      <c r="D600" s="219">
        <f t="shared" si="68"/>
        <v>3.5273405179684406E-3</v>
      </c>
      <c r="F600" s="40">
        <v>34008</v>
      </c>
      <c r="G600" s="39">
        <v>1647.2</v>
      </c>
      <c r="H600" s="39">
        <f t="shared" si="63"/>
        <v>1</v>
      </c>
      <c r="I600" s="39">
        <f t="shared" si="64"/>
        <v>0</v>
      </c>
      <c r="K600" s="40">
        <v>37029</v>
      </c>
      <c r="L600" s="39">
        <v>6186.87</v>
      </c>
      <c r="M600" s="39">
        <v>5</v>
      </c>
      <c r="N600" s="39">
        <v>6186.87</v>
      </c>
      <c r="O600" s="219">
        <f t="shared" si="69"/>
        <v>7.4384523886416032E-3</v>
      </c>
      <c r="Q600" s="40">
        <v>34008</v>
      </c>
      <c r="R600" s="39">
        <v>1647.2</v>
      </c>
      <c r="S600" s="39">
        <f t="shared" si="65"/>
        <v>2</v>
      </c>
      <c r="T600" s="39">
        <f t="shared" si="66"/>
        <v>0</v>
      </c>
      <c r="U600" s="39">
        <f t="shared" si="67"/>
        <v>0</v>
      </c>
      <c r="V600" s="40"/>
    </row>
    <row r="601" spans="2:22" x14ac:dyDescent="0.35">
      <c r="B601" s="40">
        <v>34009</v>
      </c>
      <c r="C601" s="39">
        <v>1641.6</v>
      </c>
      <c r="D601" s="219">
        <f t="shared" si="68"/>
        <v>-3.4055007371294214E-3</v>
      </c>
      <c r="F601" s="40">
        <v>34009</v>
      </c>
      <c r="G601" s="39">
        <v>1641.6</v>
      </c>
      <c r="H601" s="39">
        <f t="shared" si="63"/>
        <v>2</v>
      </c>
      <c r="I601" s="39">
        <f t="shared" si="64"/>
        <v>0</v>
      </c>
      <c r="K601" s="40">
        <v>37036</v>
      </c>
      <c r="L601" s="39">
        <v>6223.57</v>
      </c>
      <c r="M601" s="39">
        <v>5</v>
      </c>
      <c r="N601" s="39">
        <v>6223.57</v>
      </c>
      <c r="O601" s="219">
        <f t="shared" si="69"/>
        <v>5.9143925566794127E-3</v>
      </c>
      <c r="Q601" s="40">
        <v>34009</v>
      </c>
      <c r="R601" s="39">
        <v>1641.6</v>
      </c>
      <c r="S601" s="39">
        <f t="shared" si="65"/>
        <v>2</v>
      </c>
      <c r="T601" s="39">
        <f t="shared" si="66"/>
        <v>0</v>
      </c>
      <c r="U601" s="39">
        <f t="shared" si="67"/>
        <v>0</v>
      </c>
      <c r="V601" s="40"/>
    </row>
    <row r="602" spans="2:22" x14ac:dyDescent="0.35">
      <c r="B602" s="40">
        <v>34010</v>
      </c>
      <c r="C602" s="39">
        <v>1649.8</v>
      </c>
      <c r="D602" s="219">
        <f t="shared" si="68"/>
        <v>4.9826924501808461E-3</v>
      </c>
      <c r="F602" s="40">
        <v>34010</v>
      </c>
      <c r="G602" s="39">
        <v>1649.8</v>
      </c>
      <c r="H602" s="39">
        <f t="shared" si="63"/>
        <v>3</v>
      </c>
      <c r="I602" s="39">
        <f t="shared" si="64"/>
        <v>0</v>
      </c>
      <c r="K602" s="40">
        <v>37043</v>
      </c>
      <c r="L602" s="39">
        <v>6125.17</v>
      </c>
      <c r="M602" s="39">
        <v>5</v>
      </c>
      <c r="N602" s="39">
        <v>6125.17</v>
      </c>
      <c r="O602" s="219">
        <f t="shared" si="69"/>
        <v>-1.5937185938181078E-2</v>
      </c>
      <c r="Q602" s="40">
        <v>34010</v>
      </c>
      <c r="R602" s="39">
        <v>1649.8</v>
      </c>
      <c r="S602" s="39">
        <f t="shared" si="65"/>
        <v>2</v>
      </c>
      <c r="T602" s="39">
        <f t="shared" si="66"/>
        <v>0</v>
      </c>
      <c r="U602" s="39">
        <f t="shared" si="67"/>
        <v>0</v>
      </c>
      <c r="V602" s="40"/>
    </row>
    <row r="603" spans="2:22" x14ac:dyDescent="0.35">
      <c r="B603" s="40">
        <v>34011</v>
      </c>
      <c r="C603" s="39">
        <v>1651.1</v>
      </c>
      <c r="D603" s="219">
        <f t="shared" si="68"/>
        <v>7.8766401115541187E-4</v>
      </c>
      <c r="F603" s="40">
        <v>34011</v>
      </c>
      <c r="G603" s="39">
        <v>1651.1</v>
      </c>
      <c r="H603" s="39">
        <f t="shared" si="63"/>
        <v>4</v>
      </c>
      <c r="I603" s="39">
        <f t="shared" si="64"/>
        <v>0</v>
      </c>
      <c r="K603" s="40">
        <v>37050</v>
      </c>
      <c r="L603" s="39">
        <v>6187.21</v>
      </c>
      <c r="M603" s="39">
        <v>5</v>
      </c>
      <c r="N603" s="39">
        <v>6187.21</v>
      </c>
      <c r="O603" s="219">
        <f t="shared" si="69"/>
        <v>1.0077746961902979E-2</v>
      </c>
      <c r="Q603" s="40">
        <v>34011</v>
      </c>
      <c r="R603" s="39">
        <v>1651.1</v>
      </c>
      <c r="S603" s="39">
        <f t="shared" si="65"/>
        <v>2</v>
      </c>
      <c r="T603" s="39">
        <f t="shared" si="66"/>
        <v>0</v>
      </c>
      <c r="U603" s="39">
        <f t="shared" si="67"/>
        <v>0</v>
      </c>
      <c r="V603" s="40"/>
    </row>
    <row r="604" spans="2:22" x14ac:dyDescent="0.35">
      <c r="B604" s="40">
        <v>34012</v>
      </c>
      <c r="C604" s="39">
        <v>1661.4</v>
      </c>
      <c r="D604" s="219">
        <f t="shared" si="68"/>
        <v>6.21888796718443E-3</v>
      </c>
      <c r="F604" s="40">
        <v>34012</v>
      </c>
      <c r="G604" s="39">
        <v>1661.4</v>
      </c>
      <c r="H604" s="39">
        <f t="shared" si="63"/>
        <v>5</v>
      </c>
      <c r="I604" s="39">
        <f t="shared" si="64"/>
        <v>1661.4</v>
      </c>
      <c r="K604" s="40">
        <v>37057</v>
      </c>
      <c r="L604" s="39">
        <v>5915.18</v>
      </c>
      <c r="M604" s="39">
        <v>5</v>
      </c>
      <c r="N604" s="39">
        <v>5915.18</v>
      </c>
      <c r="O604" s="219">
        <f t="shared" si="69"/>
        <v>-4.4962330034881148E-2</v>
      </c>
      <c r="Q604" s="40">
        <v>34012</v>
      </c>
      <c r="R604" s="39">
        <v>1661.4</v>
      </c>
      <c r="S604" s="39">
        <f t="shared" si="65"/>
        <v>2</v>
      </c>
      <c r="T604" s="39">
        <f t="shared" si="66"/>
        <v>0</v>
      </c>
      <c r="U604" s="39">
        <f t="shared" si="67"/>
        <v>0</v>
      </c>
      <c r="V604" s="40"/>
    </row>
    <row r="605" spans="2:22" x14ac:dyDescent="0.35">
      <c r="B605" s="40">
        <v>34015</v>
      </c>
      <c r="C605" s="39">
        <v>1664.7</v>
      </c>
      <c r="D605" s="219">
        <f t="shared" si="68"/>
        <v>1.9843065949939676E-3</v>
      </c>
      <c r="F605" s="40">
        <v>34015</v>
      </c>
      <c r="G605" s="39">
        <v>1664.7</v>
      </c>
      <c r="H605" s="39">
        <f t="shared" si="63"/>
        <v>1</v>
      </c>
      <c r="I605" s="39">
        <f t="shared" si="64"/>
        <v>0</v>
      </c>
      <c r="K605" s="40">
        <v>37064</v>
      </c>
      <c r="L605" s="39">
        <v>5941.77</v>
      </c>
      <c r="M605" s="39">
        <v>5</v>
      </c>
      <c r="N605" s="39">
        <v>5941.77</v>
      </c>
      <c r="O605" s="219">
        <f t="shared" si="69"/>
        <v>4.4851407106833449E-3</v>
      </c>
      <c r="Q605" s="40">
        <v>34015</v>
      </c>
      <c r="R605" s="39">
        <v>1664.7</v>
      </c>
      <c r="S605" s="39">
        <f t="shared" si="65"/>
        <v>2</v>
      </c>
      <c r="T605" s="39">
        <f t="shared" si="66"/>
        <v>0</v>
      </c>
      <c r="U605" s="39">
        <f t="shared" si="67"/>
        <v>0</v>
      </c>
      <c r="V605" s="40"/>
    </row>
    <row r="606" spans="2:22" x14ac:dyDescent="0.35">
      <c r="B606" s="40">
        <v>34016</v>
      </c>
      <c r="C606" s="39">
        <v>1664.2</v>
      </c>
      <c r="D606" s="219">
        <f t="shared" si="68"/>
        <v>-3.0039953363576266E-4</v>
      </c>
      <c r="F606" s="40">
        <v>34016</v>
      </c>
      <c r="G606" s="39">
        <v>1664.2</v>
      </c>
      <c r="H606" s="39">
        <f t="shared" si="63"/>
        <v>2</v>
      </c>
      <c r="I606" s="39">
        <f t="shared" si="64"/>
        <v>0</v>
      </c>
      <c r="K606" s="40">
        <v>37071</v>
      </c>
      <c r="L606" s="39">
        <v>6058.38</v>
      </c>
      <c r="M606" s="39">
        <v>5</v>
      </c>
      <c r="N606" s="39">
        <v>6058.38</v>
      </c>
      <c r="O606" s="219">
        <f t="shared" si="69"/>
        <v>1.9435368825018635E-2</v>
      </c>
      <c r="Q606" s="40">
        <v>34016</v>
      </c>
      <c r="R606" s="39">
        <v>1664.2</v>
      </c>
      <c r="S606" s="39">
        <f t="shared" si="65"/>
        <v>2</v>
      </c>
      <c r="T606" s="39">
        <f t="shared" si="66"/>
        <v>0</v>
      </c>
      <c r="U606" s="39">
        <f t="shared" si="67"/>
        <v>0</v>
      </c>
      <c r="V606" s="40"/>
    </row>
    <row r="607" spans="2:22" x14ac:dyDescent="0.35">
      <c r="B607" s="40">
        <v>34017</v>
      </c>
      <c r="C607" s="39">
        <v>1653.3</v>
      </c>
      <c r="D607" s="219">
        <f t="shared" si="68"/>
        <v>-6.5712369090302775E-3</v>
      </c>
      <c r="F607" s="40">
        <v>34017</v>
      </c>
      <c r="G607" s="39">
        <v>1653.3</v>
      </c>
      <c r="H607" s="39">
        <f t="shared" si="63"/>
        <v>3</v>
      </c>
      <c r="I607" s="39">
        <f t="shared" si="64"/>
        <v>0</v>
      </c>
      <c r="K607" s="40">
        <v>37078</v>
      </c>
      <c r="L607" s="39">
        <v>5862.1</v>
      </c>
      <c r="M607" s="39">
        <v>5</v>
      </c>
      <c r="N607" s="39">
        <v>5862.1</v>
      </c>
      <c r="O607" s="219">
        <f t="shared" si="69"/>
        <v>-3.2934536442968503E-2</v>
      </c>
      <c r="Q607" s="40">
        <v>34017</v>
      </c>
      <c r="R607" s="39">
        <v>1653.3</v>
      </c>
      <c r="S607" s="39">
        <f t="shared" si="65"/>
        <v>2</v>
      </c>
      <c r="T607" s="39">
        <f t="shared" si="66"/>
        <v>0</v>
      </c>
      <c r="U607" s="39">
        <f t="shared" si="67"/>
        <v>0</v>
      </c>
      <c r="V607" s="40"/>
    </row>
    <row r="608" spans="2:22" x14ac:dyDescent="0.35">
      <c r="B608" s="40">
        <v>34018</v>
      </c>
      <c r="C608" s="39">
        <v>1672.3</v>
      </c>
      <c r="D608" s="219">
        <f t="shared" si="68"/>
        <v>1.1426633829777806E-2</v>
      </c>
      <c r="F608" s="40">
        <v>34018</v>
      </c>
      <c r="G608" s="39">
        <v>1672.3</v>
      </c>
      <c r="H608" s="39">
        <f t="shared" si="63"/>
        <v>4</v>
      </c>
      <c r="I608" s="39">
        <f t="shared" si="64"/>
        <v>0</v>
      </c>
      <c r="K608" s="40">
        <v>37085</v>
      </c>
      <c r="L608" s="39">
        <v>5928.01</v>
      </c>
      <c r="M608" s="39">
        <v>5</v>
      </c>
      <c r="N608" s="39">
        <v>5928.01</v>
      </c>
      <c r="O608" s="219">
        <f t="shared" si="69"/>
        <v>1.1180673734523484E-2</v>
      </c>
      <c r="Q608" s="40">
        <v>34018</v>
      </c>
      <c r="R608" s="39">
        <v>1672.3</v>
      </c>
      <c r="S608" s="39">
        <f t="shared" si="65"/>
        <v>2</v>
      </c>
      <c r="T608" s="39">
        <f t="shared" si="66"/>
        <v>0</v>
      </c>
      <c r="U608" s="39">
        <f t="shared" si="67"/>
        <v>0</v>
      </c>
      <c r="V608" s="40"/>
    </row>
    <row r="609" spans="2:22" x14ac:dyDescent="0.35">
      <c r="B609" s="40">
        <v>34019</v>
      </c>
      <c r="C609" s="39">
        <v>1677.4</v>
      </c>
      <c r="D609" s="219">
        <f t="shared" si="68"/>
        <v>3.0450511632340079E-3</v>
      </c>
      <c r="F609" s="40">
        <v>34019</v>
      </c>
      <c r="G609" s="39">
        <v>1677.4</v>
      </c>
      <c r="H609" s="39">
        <f t="shared" si="63"/>
        <v>5</v>
      </c>
      <c r="I609" s="39">
        <f t="shared" si="64"/>
        <v>1677.4</v>
      </c>
      <c r="K609" s="40">
        <v>37092</v>
      </c>
      <c r="L609" s="39">
        <v>5764.06</v>
      </c>
      <c r="M609" s="39">
        <v>5</v>
      </c>
      <c r="N609" s="39">
        <v>5764.06</v>
      </c>
      <c r="O609" s="219">
        <f t="shared" si="69"/>
        <v>-2.8046487380956397E-2</v>
      </c>
      <c r="Q609" s="40">
        <v>34019</v>
      </c>
      <c r="R609" s="39">
        <v>1677.4</v>
      </c>
      <c r="S609" s="39">
        <f t="shared" si="65"/>
        <v>2</v>
      </c>
      <c r="T609" s="39">
        <f t="shared" si="66"/>
        <v>0</v>
      </c>
      <c r="U609" s="39">
        <f t="shared" si="67"/>
        <v>0</v>
      </c>
      <c r="V609" s="40"/>
    </row>
    <row r="610" spans="2:22" x14ac:dyDescent="0.35">
      <c r="B610" s="40">
        <v>34022</v>
      </c>
      <c r="C610" s="39">
        <v>1680.7</v>
      </c>
      <c r="D610" s="219">
        <f t="shared" si="68"/>
        <v>1.9653977322097583E-3</v>
      </c>
      <c r="F610" s="40">
        <v>34022</v>
      </c>
      <c r="G610" s="39">
        <v>1680.7</v>
      </c>
      <c r="H610" s="39">
        <f t="shared" si="63"/>
        <v>1</v>
      </c>
      <c r="I610" s="39">
        <f t="shared" si="64"/>
        <v>0</v>
      </c>
      <c r="K610" s="40">
        <v>37099</v>
      </c>
      <c r="L610" s="39">
        <v>5754.86</v>
      </c>
      <c r="M610" s="39">
        <v>5</v>
      </c>
      <c r="N610" s="39">
        <v>5754.86</v>
      </c>
      <c r="O610" s="219">
        <f t="shared" si="69"/>
        <v>-1.5973723154993878E-3</v>
      </c>
      <c r="Q610" s="40">
        <v>34022</v>
      </c>
      <c r="R610" s="39">
        <v>1680.7</v>
      </c>
      <c r="S610" s="39">
        <f t="shared" si="65"/>
        <v>2</v>
      </c>
      <c r="T610" s="39">
        <f t="shared" si="66"/>
        <v>0</v>
      </c>
      <c r="U610" s="39">
        <f t="shared" si="67"/>
        <v>0</v>
      </c>
      <c r="V610" s="40"/>
    </row>
    <row r="611" spans="2:22" x14ac:dyDescent="0.35">
      <c r="B611" s="40">
        <v>34023</v>
      </c>
      <c r="C611" s="39">
        <v>1661.6</v>
      </c>
      <c r="D611" s="219">
        <f t="shared" si="68"/>
        <v>-1.1429379720618423E-2</v>
      </c>
      <c r="F611" s="40">
        <v>34023</v>
      </c>
      <c r="G611" s="39">
        <v>1661.6</v>
      </c>
      <c r="H611" s="39">
        <f t="shared" si="63"/>
        <v>2</v>
      </c>
      <c r="I611" s="39">
        <f t="shared" si="64"/>
        <v>0</v>
      </c>
      <c r="K611" s="40">
        <v>37106</v>
      </c>
      <c r="L611" s="39">
        <v>5735.88</v>
      </c>
      <c r="M611" s="39">
        <v>5</v>
      </c>
      <c r="N611" s="39">
        <v>5735.88</v>
      </c>
      <c r="O611" s="219">
        <f t="shared" si="69"/>
        <v>-3.3035326290984314E-3</v>
      </c>
      <c r="Q611" s="40">
        <v>34023</v>
      </c>
      <c r="R611" s="39">
        <v>1661.6</v>
      </c>
      <c r="S611" s="39">
        <f t="shared" si="65"/>
        <v>2</v>
      </c>
      <c r="T611" s="39">
        <f t="shared" si="66"/>
        <v>0</v>
      </c>
      <c r="U611" s="39">
        <f t="shared" si="67"/>
        <v>0</v>
      </c>
      <c r="V611" s="40"/>
    </row>
    <row r="612" spans="2:22" x14ac:dyDescent="0.35">
      <c r="B612" s="40">
        <v>34024</v>
      </c>
      <c r="C612" s="39">
        <v>1644.2</v>
      </c>
      <c r="D612" s="219">
        <f t="shared" si="68"/>
        <v>-1.0527049843869389E-2</v>
      </c>
      <c r="F612" s="40">
        <v>34024</v>
      </c>
      <c r="G612" s="39">
        <v>1644.2</v>
      </c>
      <c r="H612" s="39">
        <f t="shared" si="63"/>
        <v>3</v>
      </c>
      <c r="I612" s="39">
        <f t="shared" si="64"/>
        <v>0</v>
      </c>
      <c r="K612" s="40">
        <v>37113</v>
      </c>
      <c r="L612" s="39">
        <v>5433.49</v>
      </c>
      <c r="M612" s="39">
        <v>5</v>
      </c>
      <c r="N612" s="39">
        <v>5433.49</v>
      </c>
      <c r="O612" s="219">
        <f t="shared" si="69"/>
        <v>-5.4159529491657414E-2</v>
      </c>
      <c r="Q612" s="40">
        <v>34024</v>
      </c>
      <c r="R612" s="39">
        <v>1644.2</v>
      </c>
      <c r="S612" s="39">
        <f t="shared" si="65"/>
        <v>2</v>
      </c>
      <c r="T612" s="39">
        <f t="shared" si="66"/>
        <v>0</v>
      </c>
      <c r="U612" s="39">
        <f t="shared" si="67"/>
        <v>0</v>
      </c>
      <c r="V612" s="40"/>
    </row>
    <row r="613" spans="2:22" x14ac:dyDescent="0.35">
      <c r="B613" s="40">
        <v>34025</v>
      </c>
      <c r="C613" s="39">
        <v>1658.9</v>
      </c>
      <c r="D613" s="219">
        <f t="shared" si="68"/>
        <v>8.9007883801963377E-3</v>
      </c>
      <c r="F613" s="40">
        <v>34025</v>
      </c>
      <c r="G613" s="39">
        <v>1658.9</v>
      </c>
      <c r="H613" s="39">
        <f t="shared" si="63"/>
        <v>4</v>
      </c>
      <c r="I613" s="39">
        <f t="shared" si="64"/>
        <v>0</v>
      </c>
      <c r="K613" s="40">
        <v>37120</v>
      </c>
      <c r="L613" s="39">
        <v>5222.12</v>
      </c>
      <c r="M613" s="39">
        <v>5</v>
      </c>
      <c r="N613" s="39">
        <v>5222.12</v>
      </c>
      <c r="O613" s="219">
        <f t="shared" si="69"/>
        <v>-3.967820337056141E-2</v>
      </c>
      <c r="Q613" s="40">
        <v>34025</v>
      </c>
      <c r="R613" s="39">
        <v>1658.9</v>
      </c>
      <c r="S613" s="39">
        <f t="shared" si="65"/>
        <v>2</v>
      </c>
      <c r="T613" s="39">
        <f t="shared" si="66"/>
        <v>0</v>
      </c>
      <c r="U613" s="39">
        <f t="shared" si="67"/>
        <v>0</v>
      </c>
      <c r="V613" s="40"/>
    </row>
    <row r="614" spans="2:22" x14ac:dyDescent="0.35">
      <c r="B614" s="40">
        <v>34026</v>
      </c>
      <c r="C614" s="39">
        <v>1684.4</v>
      </c>
      <c r="D614" s="219">
        <f t="shared" si="68"/>
        <v>1.5254685189543375E-2</v>
      </c>
      <c r="F614" s="40">
        <v>34026</v>
      </c>
      <c r="G614" s="39">
        <v>1684.4</v>
      </c>
      <c r="H614" s="39">
        <f t="shared" si="63"/>
        <v>5</v>
      </c>
      <c r="I614" s="39">
        <f t="shared" si="64"/>
        <v>1684.4</v>
      </c>
      <c r="K614" s="40">
        <v>37127</v>
      </c>
      <c r="L614" s="39">
        <v>5387.5</v>
      </c>
      <c r="M614" s="39">
        <v>5</v>
      </c>
      <c r="N614" s="39">
        <v>5387.5</v>
      </c>
      <c r="O614" s="219">
        <f t="shared" si="69"/>
        <v>3.1178005715694488E-2</v>
      </c>
      <c r="Q614" s="40">
        <v>34026</v>
      </c>
      <c r="R614" s="39">
        <v>1684.4</v>
      </c>
      <c r="S614" s="39">
        <f t="shared" si="65"/>
        <v>2</v>
      </c>
      <c r="T614" s="39">
        <f t="shared" si="66"/>
        <v>1684.4</v>
      </c>
      <c r="U614" s="39">
        <f t="shared" si="67"/>
        <v>1684.4</v>
      </c>
      <c r="V614" s="40"/>
    </row>
    <row r="615" spans="2:22" x14ac:dyDescent="0.35">
      <c r="B615" s="40">
        <v>34029</v>
      </c>
      <c r="C615" s="39">
        <v>1701</v>
      </c>
      <c r="D615" s="219">
        <f t="shared" si="68"/>
        <v>9.8068961080890627E-3</v>
      </c>
      <c r="F615" s="40">
        <v>34029</v>
      </c>
      <c r="G615" s="39">
        <v>1701</v>
      </c>
      <c r="H615" s="39">
        <f t="shared" si="63"/>
        <v>1</v>
      </c>
      <c r="I615" s="39">
        <f t="shared" si="64"/>
        <v>0</v>
      </c>
      <c r="K615" s="40">
        <v>37134</v>
      </c>
      <c r="L615" s="39">
        <v>5188.17</v>
      </c>
      <c r="M615" s="39">
        <v>5</v>
      </c>
      <c r="N615" s="39">
        <v>5188.17</v>
      </c>
      <c r="O615" s="219">
        <f t="shared" si="69"/>
        <v>-3.7700421586542431E-2</v>
      </c>
      <c r="Q615" s="40">
        <v>34029</v>
      </c>
      <c r="R615" s="39">
        <v>1701</v>
      </c>
      <c r="S615" s="39">
        <f t="shared" si="65"/>
        <v>3</v>
      </c>
      <c r="T615" s="39">
        <f t="shared" si="66"/>
        <v>0</v>
      </c>
      <c r="U615" s="39">
        <f t="shared" si="67"/>
        <v>0</v>
      </c>
      <c r="V615" s="40"/>
    </row>
    <row r="616" spans="2:22" x14ac:dyDescent="0.35">
      <c r="B616" s="40">
        <v>34030</v>
      </c>
      <c r="C616" s="39">
        <v>1696.7</v>
      </c>
      <c r="D616" s="219">
        <f t="shared" si="68"/>
        <v>-2.5311253469679261E-3</v>
      </c>
      <c r="F616" s="40">
        <v>34030</v>
      </c>
      <c r="G616" s="39">
        <v>1696.7</v>
      </c>
      <c r="H616" s="39">
        <f t="shared" si="63"/>
        <v>2</v>
      </c>
      <c r="I616" s="39">
        <f t="shared" si="64"/>
        <v>0</v>
      </c>
      <c r="K616" s="40">
        <v>37141</v>
      </c>
      <c r="L616" s="39">
        <v>4730.67</v>
      </c>
      <c r="M616" s="39">
        <v>5</v>
      </c>
      <c r="N616" s="39">
        <v>4730.67</v>
      </c>
      <c r="O616" s="219">
        <f t="shared" si="69"/>
        <v>-9.2314192322135599E-2</v>
      </c>
      <c r="Q616" s="40">
        <v>34030</v>
      </c>
      <c r="R616" s="39">
        <v>1696.7</v>
      </c>
      <c r="S616" s="39">
        <f t="shared" si="65"/>
        <v>3</v>
      </c>
      <c r="T616" s="39">
        <f t="shared" si="66"/>
        <v>0</v>
      </c>
      <c r="U616" s="39">
        <f t="shared" si="67"/>
        <v>0</v>
      </c>
      <c r="V616" s="40"/>
    </row>
    <row r="617" spans="2:22" x14ac:dyDescent="0.35">
      <c r="B617" s="40">
        <v>34031</v>
      </c>
      <c r="C617" s="39">
        <v>1693.7</v>
      </c>
      <c r="D617" s="219">
        <f t="shared" si="68"/>
        <v>-1.7697031518181935E-3</v>
      </c>
      <c r="F617" s="40">
        <v>34031</v>
      </c>
      <c r="G617" s="39">
        <v>1693.7</v>
      </c>
      <c r="H617" s="39">
        <f t="shared" si="63"/>
        <v>3</v>
      </c>
      <c r="I617" s="39">
        <f t="shared" si="64"/>
        <v>0</v>
      </c>
      <c r="K617" s="40">
        <v>37148</v>
      </c>
      <c r="L617" s="39">
        <v>4115.9799999999996</v>
      </c>
      <c r="M617" s="39">
        <v>5</v>
      </c>
      <c r="N617" s="39">
        <v>4115.9799999999996</v>
      </c>
      <c r="O617" s="219">
        <f t="shared" si="69"/>
        <v>-0.13918988264768231</v>
      </c>
      <c r="Q617" s="40">
        <v>34031</v>
      </c>
      <c r="R617" s="39">
        <v>1693.7</v>
      </c>
      <c r="S617" s="39">
        <f t="shared" si="65"/>
        <v>3</v>
      </c>
      <c r="T617" s="39">
        <f t="shared" si="66"/>
        <v>0</v>
      </c>
      <c r="U617" s="39">
        <f t="shared" si="67"/>
        <v>0</v>
      </c>
      <c r="V617" s="40"/>
    </row>
    <row r="618" spans="2:22" x14ac:dyDescent="0.35">
      <c r="B618" s="40">
        <v>34032</v>
      </c>
      <c r="C618" s="39">
        <v>1687.4</v>
      </c>
      <c r="D618" s="219">
        <f t="shared" si="68"/>
        <v>-3.7266021655491671E-3</v>
      </c>
      <c r="F618" s="40">
        <v>34032</v>
      </c>
      <c r="G618" s="39">
        <v>1687.4</v>
      </c>
      <c r="H618" s="39">
        <f t="shared" si="63"/>
        <v>4</v>
      </c>
      <c r="I618" s="39">
        <f t="shared" si="64"/>
        <v>0</v>
      </c>
      <c r="K618" s="40">
        <v>37155</v>
      </c>
      <c r="L618" s="39">
        <v>3787.23</v>
      </c>
      <c r="M618" s="39">
        <v>5</v>
      </c>
      <c r="N618" s="39">
        <v>3787.23</v>
      </c>
      <c r="O618" s="219">
        <f t="shared" si="69"/>
        <v>-8.3242077707779333E-2</v>
      </c>
      <c r="Q618" s="40">
        <v>34032</v>
      </c>
      <c r="R618" s="39">
        <v>1687.4</v>
      </c>
      <c r="S618" s="39">
        <f t="shared" si="65"/>
        <v>3</v>
      </c>
      <c r="T618" s="39">
        <f t="shared" si="66"/>
        <v>0</v>
      </c>
      <c r="U618" s="39">
        <f t="shared" si="67"/>
        <v>0</v>
      </c>
      <c r="V618" s="40"/>
    </row>
    <row r="619" spans="2:22" x14ac:dyDescent="0.35">
      <c r="B619" s="40">
        <v>34033</v>
      </c>
      <c r="C619" s="39">
        <v>1682.8</v>
      </c>
      <c r="D619" s="219">
        <f t="shared" si="68"/>
        <v>-2.7298100151605669E-3</v>
      </c>
      <c r="F619" s="40">
        <v>34033</v>
      </c>
      <c r="G619" s="39">
        <v>1682.8</v>
      </c>
      <c r="H619" s="39">
        <f t="shared" si="63"/>
        <v>5</v>
      </c>
      <c r="I619" s="39">
        <f t="shared" si="64"/>
        <v>1682.8</v>
      </c>
      <c r="K619" s="40">
        <v>37162</v>
      </c>
      <c r="L619" s="39">
        <v>4308.1499999999996</v>
      </c>
      <c r="M619" s="39">
        <v>5</v>
      </c>
      <c r="N619" s="39">
        <v>4308.1499999999996</v>
      </c>
      <c r="O619" s="219">
        <f t="shared" si="69"/>
        <v>0.12887369646375441</v>
      </c>
      <c r="Q619" s="40">
        <v>34033</v>
      </c>
      <c r="R619" s="39">
        <v>1682.8</v>
      </c>
      <c r="S619" s="39">
        <f t="shared" si="65"/>
        <v>3</v>
      </c>
      <c r="T619" s="39">
        <f t="shared" si="66"/>
        <v>0</v>
      </c>
      <c r="U619" s="39">
        <f t="shared" si="67"/>
        <v>0</v>
      </c>
      <c r="V619" s="40"/>
    </row>
    <row r="620" spans="2:22" x14ac:dyDescent="0.35">
      <c r="B620" s="40">
        <v>34036</v>
      </c>
      <c r="C620" s="39">
        <v>1694.8</v>
      </c>
      <c r="D620" s="219">
        <f t="shared" si="68"/>
        <v>7.1056670360384227E-3</v>
      </c>
      <c r="F620" s="40">
        <v>34036</v>
      </c>
      <c r="G620" s="39">
        <v>1694.8</v>
      </c>
      <c r="H620" s="39">
        <f t="shared" si="63"/>
        <v>1</v>
      </c>
      <c r="I620" s="39">
        <f t="shared" si="64"/>
        <v>0</v>
      </c>
      <c r="K620" s="40">
        <v>37169</v>
      </c>
      <c r="L620" s="39">
        <v>4487.6899999999996</v>
      </c>
      <c r="M620" s="39">
        <v>5</v>
      </c>
      <c r="N620" s="39">
        <v>4487.6899999999996</v>
      </c>
      <c r="O620" s="219">
        <f t="shared" si="69"/>
        <v>4.0829515121479948E-2</v>
      </c>
      <c r="Q620" s="40">
        <v>34036</v>
      </c>
      <c r="R620" s="39">
        <v>1694.8</v>
      </c>
      <c r="S620" s="39">
        <f t="shared" si="65"/>
        <v>3</v>
      </c>
      <c r="T620" s="39">
        <f t="shared" si="66"/>
        <v>0</v>
      </c>
      <c r="U620" s="39">
        <f t="shared" si="67"/>
        <v>0</v>
      </c>
      <c r="V620" s="40"/>
    </row>
    <row r="621" spans="2:22" x14ac:dyDescent="0.35">
      <c r="B621" s="40">
        <v>34037</v>
      </c>
      <c r="C621" s="39">
        <v>1713.1</v>
      </c>
      <c r="D621" s="219">
        <f t="shared" si="68"/>
        <v>1.0739854984008628E-2</v>
      </c>
      <c r="F621" s="40">
        <v>34037</v>
      </c>
      <c r="G621" s="39">
        <v>1713.1</v>
      </c>
      <c r="H621" s="39">
        <f t="shared" si="63"/>
        <v>2</v>
      </c>
      <c r="I621" s="39">
        <f t="shared" si="64"/>
        <v>0</v>
      </c>
      <c r="K621" s="40">
        <v>37176</v>
      </c>
      <c r="L621" s="39">
        <v>4625.13</v>
      </c>
      <c r="M621" s="39">
        <v>5</v>
      </c>
      <c r="N621" s="39">
        <v>4625.13</v>
      </c>
      <c r="O621" s="219">
        <f t="shared" si="69"/>
        <v>3.0166385926510338E-2</v>
      </c>
      <c r="Q621" s="40">
        <v>34037</v>
      </c>
      <c r="R621" s="39">
        <v>1713.1</v>
      </c>
      <c r="S621" s="39">
        <f t="shared" si="65"/>
        <v>3</v>
      </c>
      <c r="T621" s="39">
        <f t="shared" si="66"/>
        <v>0</v>
      </c>
      <c r="U621" s="39">
        <f t="shared" si="67"/>
        <v>0</v>
      </c>
      <c r="V621" s="40"/>
    </row>
    <row r="622" spans="2:22" x14ac:dyDescent="0.35">
      <c r="B622" s="40">
        <v>34038</v>
      </c>
      <c r="C622" s="39">
        <v>1709.7</v>
      </c>
      <c r="D622" s="219">
        <f t="shared" si="68"/>
        <v>-1.9866782273492236E-3</v>
      </c>
      <c r="F622" s="40">
        <v>34038</v>
      </c>
      <c r="G622" s="39">
        <v>1709.7</v>
      </c>
      <c r="H622" s="39">
        <f t="shared" si="63"/>
        <v>3</v>
      </c>
      <c r="I622" s="39">
        <f t="shared" si="64"/>
        <v>0</v>
      </c>
      <c r="K622" s="40">
        <v>37183</v>
      </c>
      <c r="L622" s="39">
        <v>4513.53</v>
      </c>
      <c r="M622" s="39">
        <v>5</v>
      </c>
      <c r="N622" s="39">
        <v>4513.53</v>
      </c>
      <c r="O622" s="219">
        <f t="shared" si="69"/>
        <v>-2.4424926217000858E-2</v>
      </c>
      <c r="Q622" s="40">
        <v>34038</v>
      </c>
      <c r="R622" s="39">
        <v>1709.7</v>
      </c>
      <c r="S622" s="39">
        <f t="shared" si="65"/>
        <v>3</v>
      </c>
      <c r="T622" s="39">
        <f t="shared" si="66"/>
        <v>0</v>
      </c>
      <c r="U622" s="39">
        <f t="shared" si="67"/>
        <v>0</v>
      </c>
      <c r="V622" s="40"/>
    </row>
    <row r="623" spans="2:22" x14ac:dyDescent="0.35">
      <c r="B623" s="40">
        <v>34039</v>
      </c>
      <c r="C623" s="39">
        <v>1717.4</v>
      </c>
      <c r="D623" s="219">
        <f t="shared" si="68"/>
        <v>4.4936027293209042E-3</v>
      </c>
      <c r="F623" s="40">
        <v>34039</v>
      </c>
      <c r="G623" s="39">
        <v>1717.4</v>
      </c>
      <c r="H623" s="39">
        <f t="shared" si="63"/>
        <v>4</v>
      </c>
      <c r="I623" s="39">
        <f t="shared" si="64"/>
        <v>0</v>
      </c>
      <c r="K623" s="40">
        <v>37190</v>
      </c>
      <c r="L623" s="39">
        <v>4820.26</v>
      </c>
      <c r="M623" s="39">
        <v>5</v>
      </c>
      <c r="N623" s="39">
        <v>4820.26</v>
      </c>
      <c r="O623" s="219">
        <f t="shared" si="69"/>
        <v>6.5748316055939907E-2</v>
      </c>
      <c r="Q623" s="40">
        <v>34039</v>
      </c>
      <c r="R623" s="39">
        <v>1717.4</v>
      </c>
      <c r="S623" s="39">
        <f t="shared" si="65"/>
        <v>3</v>
      </c>
      <c r="T623" s="39">
        <f t="shared" si="66"/>
        <v>0</v>
      </c>
      <c r="U623" s="39">
        <f t="shared" si="67"/>
        <v>0</v>
      </c>
      <c r="V623" s="40"/>
    </row>
    <row r="624" spans="2:22" x14ac:dyDescent="0.35">
      <c r="B624" s="40">
        <v>34040</v>
      </c>
      <c r="C624" s="39">
        <v>1707.1</v>
      </c>
      <c r="D624" s="219">
        <f t="shared" si="68"/>
        <v>-6.0154948516773004E-3</v>
      </c>
      <c r="F624" s="40">
        <v>34040</v>
      </c>
      <c r="G624" s="39">
        <v>1707.1</v>
      </c>
      <c r="H624" s="39">
        <f t="shared" si="63"/>
        <v>5</v>
      </c>
      <c r="I624" s="39">
        <f t="shared" si="64"/>
        <v>1707.1</v>
      </c>
      <c r="K624" s="40">
        <v>37197</v>
      </c>
      <c r="L624" s="39">
        <v>4583.3100000000004</v>
      </c>
      <c r="M624" s="39">
        <v>5</v>
      </c>
      <c r="N624" s="39">
        <v>4583.3100000000004</v>
      </c>
      <c r="O624" s="219">
        <f t="shared" si="69"/>
        <v>-5.0406423993989147E-2</v>
      </c>
      <c r="Q624" s="40">
        <v>34040</v>
      </c>
      <c r="R624" s="39">
        <v>1707.1</v>
      </c>
      <c r="S624" s="39">
        <f t="shared" si="65"/>
        <v>3</v>
      </c>
      <c r="T624" s="39">
        <f t="shared" si="66"/>
        <v>0</v>
      </c>
      <c r="U624" s="39">
        <f t="shared" si="67"/>
        <v>0</v>
      </c>
      <c r="V624" s="40"/>
    </row>
    <row r="625" spans="2:22" x14ac:dyDescent="0.35">
      <c r="B625" s="40">
        <v>34043</v>
      </c>
      <c r="C625" s="39">
        <v>1702.6</v>
      </c>
      <c r="D625" s="219">
        <f t="shared" si="68"/>
        <v>-2.6395299367504687E-3</v>
      </c>
      <c r="F625" s="40">
        <v>34043</v>
      </c>
      <c r="G625" s="39">
        <v>1702.6</v>
      </c>
      <c r="H625" s="39">
        <f t="shared" si="63"/>
        <v>1</v>
      </c>
      <c r="I625" s="39">
        <f t="shared" si="64"/>
        <v>0</v>
      </c>
      <c r="K625" s="40">
        <v>37204</v>
      </c>
      <c r="L625" s="39">
        <v>4910.07</v>
      </c>
      <c r="M625" s="39">
        <v>5</v>
      </c>
      <c r="N625" s="39">
        <v>4910.07</v>
      </c>
      <c r="O625" s="219">
        <f t="shared" si="69"/>
        <v>6.8866753801528069E-2</v>
      </c>
      <c r="Q625" s="40">
        <v>34043</v>
      </c>
      <c r="R625" s="39">
        <v>1702.6</v>
      </c>
      <c r="S625" s="39">
        <f t="shared" si="65"/>
        <v>3</v>
      </c>
      <c r="T625" s="39">
        <f t="shared" si="66"/>
        <v>0</v>
      </c>
      <c r="U625" s="39">
        <f t="shared" si="67"/>
        <v>0</v>
      </c>
      <c r="V625" s="40"/>
    </row>
    <row r="626" spans="2:22" x14ac:dyDescent="0.35">
      <c r="B626" s="40">
        <v>34044</v>
      </c>
      <c r="C626" s="39">
        <v>1697.8</v>
      </c>
      <c r="D626" s="219">
        <f t="shared" si="68"/>
        <v>-2.8231991460892325E-3</v>
      </c>
      <c r="F626" s="40">
        <v>34044</v>
      </c>
      <c r="G626" s="39">
        <v>1697.8</v>
      </c>
      <c r="H626" s="39">
        <f t="shared" si="63"/>
        <v>2</v>
      </c>
      <c r="I626" s="39">
        <f t="shared" si="64"/>
        <v>0</v>
      </c>
      <c r="K626" s="40">
        <v>37211</v>
      </c>
      <c r="L626" s="39">
        <v>5062.6400000000003</v>
      </c>
      <c r="M626" s="39">
        <v>5</v>
      </c>
      <c r="N626" s="39">
        <v>5062.6400000000003</v>
      </c>
      <c r="O626" s="219">
        <f t="shared" si="69"/>
        <v>3.0599888047322433E-2</v>
      </c>
      <c r="Q626" s="40">
        <v>34044</v>
      </c>
      <c r="R626" s="39">
        <v>1697.8</v>
      </c>
      <c r="S626" s="39">
        <f t="shared" si="65"/>
        <v>3</v>
      </c>
      <c r="T626" s="39">
        <f t="shared" si="66"/>
        <v>0</v>
      </c>
      <c r="U626" s="39">
        <f t="shared" si="67"/>
        <v>0</v>
      </c>
      <c r="V626" s="40"/>
    </row>
    <row r="627" spans="2:22" x14ac:dyDescent="0.35">
      <c r="B627" s="40">
        <v>34045</v>
      </c>
      <c r="C627" s="39">
        <v>1685.1</v>
      </c>
      <c r="D627" s="219">
        <f t="shared" si="68"/>
        <v>-7.5083860973707292E-3</v>
      </c>
      <c r="F627" s="40">
        <v>34045</v>
      </c>
      <c r="G627" s="39">
        <v>1685.1</v>
      </c>
      <c r="H627" s="39">
        <f t="shared" si="63"/>
        <v>3</v>
      </c>
      <c r="I627" s="39">
        <f t="shared" si="64"/>
        <v>0</v>
      </c>
      <c r="K627" s="40">
        <v>37218</v>
      </c>
      <c r="L627" s="39">
        <v>5150.97</v>
      </c>
      <c r="M627" s="39">
        <v>5</v>
      </c>
      <c r="N627" s="39">
        <v>5150.97</v>
      </c>
      <c r="O627" s="219">
        <f t="shared" si="69"/>
        <v>1.7296960083393587E-2</v>
      </c>
      <c r="Q627" s="40">
        <v>34045</v>
      </c>
      <c r="R627" s="39">
        <v>1685.1</v>
      </c>
      <c r="S627" s="39">
        <f t="shared" si="65"/>
        <v>3</v>
      </c>
      <c r="T627" s="39">
        <f t="shared" si="66"/>
        <v>0</v>
      </c>
      <c r="U627" s="39">
        <f t="shared" si="67"/>
        <v>0</v>
      </c>
      <c r="V627" s="40"/>
    </row>
    <row r="628" spans="2:22" x14ac:dyDescent="0.35">
      <c r="B628" s="40">
        <v>34046</v>
      </c>
      <c r="C628" s="39">
        <v>1696.2</v>
      </c>
      <c r="D628" s="219">
        <f t="shared" si="68"/>
        <v>6.5655457211030834E-3</v>
      </c>
      <c r="F628" s="40">
        <v>34046</v>
      </c>
      <c r="G628" s="39">
        <v>1696.2</v>
      </c>
      <c r="H628" s="39">
        <f t="shared" si="63"/>
        <v>4</v>
      </c>
      <c r="I628" s="39">
        <f t="shared" si="64"/>
        <v>0</v>
      </c>
      <c r="K628" s="40">
        <v>37225</v>
      </c>
      <c r="L628" s="39">
        <v>4989.91</v>
      </c>
      <c r="M628" s="39">
        <v>5</v>
      </c>
      <c r="N628" s="39">
        <v>4989.91</v>
      </c>
      <c r="O628" s="219">
        <f t="shared" si="69"/>
        <v>-3.1767172926034017E-2</v>
      </c>
      <c r="Q628" s="40">
        <v>34046</v>
      </c>
      <c r="R628" s="39">
        <v>1696.2</v>
      </c>
      <c r="S628" s="39">
        <f t="shared" si="65"/>
        <v>3</v>
      </c>
      <c r="T628" s="39">
        <f t="shared" si="66"/>
        <v>0</v>
      </c>
      <c r="U628" s="39">
        <f t="shared" si="67"/>
        <v>0</v>
      </c>
      <c r="V628" s="40"/>
    </row>
    <row r="629" spans="2:22" x14ac:dyDescent="0.35">
      <c r="B629" s="40">
        <v>34047</v>
      </c>
      <c r="C629" s="39">
        <v>1698.8</v>
      </c>
      <c r="D629" s="219">
        <f t="shared" si="68"/>
        <v>1.5316645115164718E-3</v>
      </c>
      <c r="F629" s="40">
        <v>34047</v>
      </c>
      <c r="G629" s="39">
        <v>1698.8</v>
      </c>
      <c r="H629" s="39">
        <f t="shared" si="63"/>
        <v>5</v>
      </c>
      <c r="I629" s="39">
        <f t="shared" si="64"/>
        <v>1698.8</v>
      </c>
      <c r="K629" s="40">
        <v>37232</v>
      </c>
      <c r="L629" s="39">
        <v>5199.03</v>
      </c>
      <c r="M629" s="39">
        <v>5</v>
      </c>
      <c r="N629" s="39">
        <v>5199.03</v>
      </c>
      <c r="O629" s="219">
        <f t="shared" si="69"/>
        <v>4.1054196196749389E-2</v>
      </c>
      <c r="Q629" s="40">
        <v>34047</v>
      </c>
      <c r="R629" s="39">
        <v>1698.8</v>
      </c>
      <c r="S629" s="39">
        <f t="shared" si="65"/>
        <v>3</v>
      </c>
      <c r="T629" s="39">
        <f t="shared" si="66"/>
        <v>0</v>
      </c>
      <c r="U629" s="39">
        <f t="shared" si="67"/>
        <v>0</v>
      </c>
      <c r="V629" s="40"/>
    </row>
    <row r="630" spans="2:22" x14ac:dyDescent="0.35">
      <c r="B630" s="40">
        <v>34050</v>
      </c>
      <c r="C630" s="39">
        <v>1661.4</v>
      </c>
      <c r="D630" s="219">
        <f t="shared" si="68"/>
        <v>-2.2261499034144799E-2</v>
      </c>
      <c r="F630" s="40">
        <v>34050</v>
      </c>
      <c r="G630" s="39">
        <v>1661.4</v>
      </c>
      <c r="H630" s="39">
        <f t="shared" si="63"/>
        <v>1</v>
      </c>
      <c r="I630" s="39">
        <f t="shared" si="64"/>
        <v>0</v>
      </c>
      <c r="K630" s="40">
        <v>37239</v>
      </c>
      <c r="L630" s="39">
        <v>4909.42</v>
      </c>
      <c r="M630" s="39">
        <v>5</v>
      </c>
      <c r="N630" s="39">
        <v>4909.42</v>
      </c>
      <c r="O630" s="219">
        <f t="shared" si="69"/>
        <v>-5.731626116932128E-2</v>
      </c>
      <c r="Q630" s="40">
        <v>34050</v>
      </c>
      <c r="R630" s="39">
        <v>1661.4</v>
      </c>
      <c r="S630" s="39">
        <f t="shared" si="65"/>
        <v>3</v>
      </c>
      <c r="T630" s="39">
        <f t="shared" si="66"/>
        <v>0</v>
      </c>
      <c r="U630" s="39">
        <f t="shared" si="67"/>
        <v>0</v>
      </c>
      <c r="V630" s="40"/>
    </row>
    <row r="631" spans="2:22" x14ac:dyDescent="0.35">
      <c r="B631" s="40">
        <v>34051</v>
      </c>
      <c r="C631" s="39">
        <v>1648.4</v>
      </c>
      <c r="D631" s="219">
        <f t="shared" si="68"/>
        <v>-7.855499940308883E-3</v>
      </c>
      <c r="F631" s="40">
        <v>34051</v>
      </c>
      <c r="G631" s="39">
        <v>1648.4</v>
      </c>
      <c r="H631" s="39">
        <f t="shared" ref="H631:H694" si="70">WEEKDAY(F631,2)</f>
        <v>2</v>
      </c>
      <c r="I631" s="39">
        <f t="shared" ref="I631:I694" si="71">IF(H631&gt;H632,G631,0)</f>
        <v>0</v>
      </c>
      <c r="K631" s="40">
        <v>37246</v>
      </c>
      <c r="L631" s="39">
        <v>5019.01</v>
      </c>
      <c r="M631" s="39">
        <v>5</v>
      </c>
      <c r="N631" s="39">
        <v>5019.01</v>
      </c>
      <c r="O631" s="219">
        <f t="shared" si="69"/>
        <v>2.2076894543523361E-2</v>
      </c>
      <c r="Q631" s="40">
        <v>34051</v>
      </c>
      <c r="R631" s="39">
        <v>1648.4</v>
      </c>
      <c r="S631" s="39">
        <f t="shared" ref="S631:S694" si="72">MONTH(Q631)</f>
        <v>3</v>
      </c>
      <c r="T631" s="39">
        <f t="shared" ref="T631:T694" si="73">IF(S632&lt;&gt;S631,R631,0)</f>
        <v>0</v>
      </c>
      <c r="U631" s="39">
        <f t="shared" ref="U631:U694" si="74">IF(S632=S631,0,R631)</f>
        <v>0</v>
      </c>
      <c r="V631" s="40"/>
    </row>
    <row r="632" spans="2:22" x14ac:dyDescent="0.35">
      <c r="B632" s="40">
        <v>34052</v>
      </c>
      <c r="C632" s="39">
        <v>1659.5</v>
      </c>
      <c r="D632" s="219">
        <f t="shared" ref="D632:D695" si="75">LN(C632/C631)</f>
        <v>6.7112316953669591E-3</v>
      </c>
      <c r="F632" s="40">
        <v>34052</v>
      </c>
      <c r="G632" s="39">
        <v>1659.5</v>
      </c>
      <c r="H632" s="39">
        <f t="shared" si="70"/>
        <v>3</v>
      </c>
      <c r="I632" s="39">
        <f t="shared" si="71"/>
        <v>0</v>
      </c>
      <c r="K632" s="40">
        <v>37253</v>
      </c>
      <c r="L632" s="39">
        <v>5160.1000000000004</v>
      </c>
      <c r="M632" s="39">
        <v>5</v>
      </c>
      <c r="N632" s="39">
        <v>5160.1000000000004</v>
      </c>
      <c r="O632" s="219">
        <f t="shared" ref="O632:O695" si="76">LN(N632/N631)</f>
        <v>2.7723256051063409E-2</v>
      </c>
      <c r="Q632" s="40">
        <v>34052</v>
      </c>
      <c r="R632" s="39">
        <v>1659.5</v>
      </c>
      <c r="S632" s="39">
        <f t="shared" si="72"/>
        <v>3</v>
      </c>
      <c r="T632" s="39">
        <f t="shared" si="73"/>
        <v>0</v>
      </c>
      <c r="U632" s="39">
        <f t="shared" si="74"/>
        <v>0</v>
      </c>
      <c r="V632" s="40"/>
    </row>
    <row r="633" spans="2:22" x14ac:dyDescent="0.35">
      <c r="B633" s="40">
        <v>34053</v>
      </c>
      <c r="C633" s="39">
        <v>1657.2</v>
      </c>
      <c r="D633" s="219">
        <f t="shared" si="75"/>
        <v>-1.3869209567824953E-3</v>
      </c>
      <c r="F633" s="40">
        <v>34053</v>
      </c>
      <c r="G633" s="39">
        <v>1657.2</v>
      </c>
      <c r="H633" s="39">
        <f t="shared" si="70"/>
        <v>4</v>
      </c>
      <c r="I633" s="39">
        <f t="shared" si="71"/>
        <v>0</v>
      </c>
      <c r="K633" s="40">
        <v>37260</v>
      </c>
      <c r="L633" s="39">
        <v>5318.73</v>
      </c>
      <c r="M633" s="39">
        <v>5</v>
      </c>
      <c r="N633" s="39">
        <v>5318.73</v>
      </c>
      <c r="O633" s="219">
        <f t="shared" si="76"/>
        <v>3.0278593899810115E-2</v>
      </c>
      <c r="Q633" s="40">
        <v>34053</v>
      </c>
      <c r="R633" s="39">
        <v>1657.2</v>
      </c>
      <c r="S633" s="39">
        <f t="shared" si="72"/>
        <v>3</v>
      </c>
      <c r="T633" s="39">
        <f t="shared" si="73"/>
        <v>0</v>
      </c>
      <c r="U633" s="39">
        <f t="shared" si="74"/>
        <v>0</v>
      </c>
      <c r="V633" s="40"/>
    </row>
    <row r="634" spans="2:22" x14ac:dyDescent="0.35">
      <c r="B634" s="40">
        <v>34054</v>
      </c>
      <c r="C634" s="39">
        <v>1661.3</v>
      </c>
      <c r="D634" s="219">
        <f t="shared" si="75"/>
        <v>2.47099718918622E-3</v>
      </c>
      <c r="F634" s="40">
        <v>34054</v>
      </c>
      <c r="G634" s="39">
        <v>1661.3</v>
      </c>
      <c r="H634" s="39">
        <f t="shared" si="70"/>
        <v>5</v>
      </c>
      <c r="I634" s="39">
        <f t="shared" si="71"/>
        <v>1661.3</v>
      </c>
      <c r="K634" s="40">
        <v>37267</v>
      </c>
      <c r="L634" s="39">
        <v>5209.97</v>
      </c>
      <c r="M634" s="39">
        <v>5</v>
      </c>
      <c r="N634" s="39">
        <v>5209.97</v>
      </c>
      <c r="O634" s="219">
        <f t="shared" si="76"/>
        <v>-2.0660455459148401E-2</v>
      </c>
      <c r="Q634" s="40">
        <v>34054</v>
      </c>
      <c r="R634" s="39">
        <v>1661.3</v>
      </c>
      <c r="S634" s="39">
        <f t="shared" si="72"/>
        <v>3</v>
      </c>
      <c r="T634" s="39">
        <f t="shared" si="73"/>
        <v>0</v>
      </c>
      <c r="U634" s="39">
        <f t="shared" si="74"/>
        <v>0</v>
      </c>
      <c r="V634" s="40"/>
    </row>
    <row r="635" spans="2:22" x14ac:dyDescent="0.35">
      <c r="B635" s="40">
        <v>34057</v>
      </c>
      <c r="C635" s="39">
        <v>1674.9</v>
      </c>
      <c r="D635" s="219">
        <f t="shared" si="75"/>
        <v>8.1530335919913887E-3</v>
      </c>
      <c r="F635" s="40">
        <v>34057</v>
      </c>
      <c r="G635" s="39">
        <v>1674.9</v>
      </c>
      <c r="H635" s="39">
        <f t="shared" si="70"/>
        <v>1</v>
      </c>
      <c r="I635" s="39">
        <f t="shared" si="71"/>
        <v>0</v>
      </c>
      <c r="K635" s="40">
        <v>37274</v>
      </c>
      <c r="L635" s="39">
        <v>5122.2299999999996</v>
      </c>
      <c r="M635" s="39">
        <v>5</v>
      </c>
      <c r="N635" s="39">
        <v>5122.2299999999996</v>
      </c>
      <c r="O635" s="219">
        <f t="shared" si="76"/>
        <v>-1.6984206487899289E-2</v>
      </c>
      <c r="Q635" s="40">
        <v>34057</v>
      </c>
      <c r="R635" s="39">
        <v>1674.9</v>
      </c>
      <c r="S635" s="39">
        <f t="shared" si="72"/>
        <v>3</v>
      </c>
      <c r="T635" s="39">
        <f t="shared" si="73"/>
        <v>0</v>
      </c>
      <c r="U635" s="39">
        <f t="shared" si="74"/>
        <v>0</v>
      </c>
      <c r="V635" s="40"/>
    </row>
    <row r="636" spans="2:22" x14ac:dyDescent="0.35">
      <c r="B636" s="40">
        <v>34058</v>
      </c>
      <c r="C636" s="39">
        <v>1685.1</v>
      </c>
      <c r="D636" s="219">
        <f t="shared" si="75"/>
        <v>6.0714472220722623E-3</v>
      </c>
      <c r="F636" s="40">
        <v>34058</v>
      </c>
      <c r="G636" s="39">
        <v>1685.1</v>
      </c>
      <c r="H636" s="39">
        <f t="shared" si="70"/>
        <v>2</v>
      </c>
      <c r="I636" s="39">
        <f t="shared" si="71"/>
        <v>0</v>
      </c>
      <c r="K636" s="40">
        <v>37281</v>
      </c>
      <c r="L636" s="39">
        <v>5156.63</v>
      </c>
      <c r="M636" s="39">
        <v>5</v>
      </c>
      <c r="N636" s="39">
        <v>5156.63</v>
      </c>
      <c r="O636" s="219">
        <f t="shared" si="76"/>
        <v>6.693374251654359E-3</v>
      </c>
      <c r="Q636" s="40">
        <v>34058</v>
      </c>
      <c r="R636" s="39">
        <v>1685.1</v>
      </c>
      <c r="S636" s="39">
        <f t="shared" si="72"/>
        <v>3</v>
      </c>
      <c r="T636" s="39">
        <f t="shared" si="73"/>
        <v>0</v>
      </c>
      <c r="U636" s="39">
        <f t="shared" si="74"/>
        <v>0</v>
      </c>
      <c r="V636" s="40"/>
    </row>
    <row r="637" spans="2:22" x14ac:dyDescent="0.35">
      <c r="B637" s="40">
        <v>34059</v>
      </c>
      <c r="C637" s="39">
        <v>1684.2</v>
      </c>
      <c r="D637" s="219">
        <f t="shared" si="75"/>
        <v>-5.3423561060482602E-4</v>
      </c>
      <c r="F637" s="40">
        <v>34059</v>
      </c>
      <c r="G637" s="39">
        <v>1684.2</v>
      </c>
      <c r="H637" s="39">
        <f t="shared" si="70"/>
        <v>3</v>
      </c>
      <c r="I637" s="39">
        <f t="shared" si="71"/>
        <v>0</v>
      </c>
      <c r="K637" s="40">
        <v>37288</v>
      </c>
      <c r="L637" s="39">
        <v>5097.0600000000004</v>
      </c>
      <c r="M637" s="39">
        <v>5</v>
      </c>
      <c r="N637" s="39">
        <v>5097.0600000000004</v>
      </c>
      <c r="O637" s="219">
        <f t="shared" si="76"/>
        <v>-1.1619362436072353E-2</v>
      </c>
      <c r="Q637" s="40">
        <v>34059</v>
      </c>
      <c r="R637" s="39">
        <v>1684.2</v>
      </c>
      <c r="S637" s="39">
        <f t="shared" si="72"/>
        <v>3</v>
      </c>
      <c r="T637" s="39">
        <f t="shared" si="73"/>
        <v>1684.2</v>
      </c>
      <c r="U637" s="39">
        <f t="shared" si="74"/>
        <v>1684.2</v>
      </c>
      <c r="V637" s="40"/>
    </row>
    <row r="638" spans="2:22" x14ac:dyDescent="0.35">
      <c r="B638" s="40">
        <v>34060</v>
      </c>
      <c r="C638" s="39">
        <v>1671.5</v>
      </c>
      <c r="D638" s="219">
        <f t="shared" si="75"/>
        <v>-7.569246735738543E-3</v>
      </c>
      <c r="F638" s="40">
        <v>34060</v>
      </c>
      <c r="G638" s="39">
        <v>1671.5</v>
      </c>
      <c r="H638" s="39">
        <f t="shared" si="70"/>
        <v>4</v>
      </c>
      <c r="I638" s="39">
        <f t="shared" si="71"/>
        <v>0</v>
      </c>
      <c r="K638" s="40">
        <v>37295</v>
      </c>
      <c r="L638" s="39">
        <v>4835.95</v>
      </c>
      <c r="M638" s="39">
        <v>5</v>
      </c>
      <c r="N638" s="39">
        <v>4835.95</v>
      </c>
      <c r="O638" s="219">
        <f t="shared" si="76"/>
        <v>-5.2586309343135747E-2</v>
      </c>
      <c r="Q638" s="40">
        <v>34060</v>
      </c>
      <c r="R638" s="39">
        <v>1671.5</v>
      </c>
      <c r="S638" s="39">
        <f t="shared" si="72"/>
        <v>4</v>
      </c>
      <c r="T638" s="39">
        <f t="shared" si="73"/>
        <v>0</v>
      </c>
      <c r="U638" s="39">
        <f t="shared" si="74"/>
        <v>0</v>
      </c>
      <c r="V638" s="40"/>
    </row>
    <row r="639" spans="2:22" x14ac:dyDescent="0.35">
      <c r="B639" s="40">
        <v>34061</v>
      </c>
      <c r="C639" s="39">
        <v>1661.8</v>
      </c>
      <c r="D639" s="219">
        <f t="shared" si="75"/>
        <v>-5.82007462927239E-3</v>
      </c>
      <c r="F639" s="40">
        <v>34061</v>
      </c>
      <c r="G639" s="39">
        <v>1661.8</v>
      </c>
      <c r="H639" s="39">
        <f t="shared" si="70"/>
        <v>5</v>
      </c>
      <c r="I639" s="39">
        <f t="shared" si="71"/>
        <v>1661.8</v>
      </c>
      <c r="K639" s="40">
        <v>37302</v>
      </c>
      <c r="L639" s="39">
        <v>4862.6000000000004</v>
      </c>
      <c r="M639" s="39">
        <v>5</v>
      </c>
      <c r="N639" s="39">
        <v>4862.6000000000004</v>
      </c>
      <c r="O639" s="219">
        <f t="shared" si="76"/>
        <v>5.4956807099411208E-3</v>
      </c>
      <c r="Q639" s="40">
        <v>34061</v>
      </c>
      <c r="R639" s="39">
        <v>1661.8</v>
      </c>
      <c r="S639" s="39">
        <f t="shared" si="72"/>
        <v>4</v>
      </c>
      <c r="T639" s="39">
        <f t="shared" si="73"/>
        <v>0</v>
      </c>
      <c r="U639" s="39">
        <f t="shared" si="74"/>
        <v>0</v>
      </c>
      <c r="V639" s="40"/>
    </row>
    <row r="640" spans="2:22" x14ac:dyDescent="0.35">
      <c r="B640" s="40">
        <v>34064</v>
      </c>
      <c r="C640" s="39">
        <v>1658.7</v>
      </c>
      <c r="D640" s="219">
        <f t="shared" si="75"/>
        <v>-1.8671892188839318E-3</v>
      </c>
      <c r="F640" s="40">
        <v>34064</v>
      </c>
      <c r="G640" s="39">
        <v>1658.7</v>
      </c>
      <c r="H640" s="39">
        <f t="shared" si="70"/>
        <v>1</v>
      </c>
      <c r="I640" s="39">
        <f t="shared" si="71"/>
        <v>0</v>
      </c>
      <c r="K640" s="40">
        <v>37309</v>
      </c>
      <c r="L640" s="39">
        <v>4745.58</v>
      </c>
      <c r="M640" s="39">
        <v>5</v>
      </c>
      <c r="N640" s="39">
        <v>4745.58</v>
      </c>
      <c r="O640" s="219">
        <f t="shared" si="76"/>
        <v>-2.4359615763409791E-2</v>
      </c>
      <c r="Q640" s="40">
        <v>34064</v>
      </c>
      <c r="R640" s="39">
        <v>1658.7</v>
      </c>
      <c r="S640" s="39">
        <f t="shared" si="72"/>
        <v>4</v>
      </c>
      <c r="T640" s="39">
        <f t="shared" si="73"/>
        <v>0</v>
      </c>
      <c r="U640" s="39">
        <f t="shared" si="74"/>
        <v>0</v>
      </c>
      <c r="V640" s="40"/>
    </row>
    <row r="641" spans="2:22" x14ac:dyDescent="0.35">
      <c r="B641" s="40">
        <v>34065</v>
      </c>
      <c r="C641" s="39">
        <v>1665.4</v>
      </c>
      <c r="D641" s="219">
        <f t="shared" si="75"/>
        <v>4.0311717897219971E-3</v>
      </c>
      <c r="F641" s="40">
        <v>34065</v>
      </c>
      <c r="G641" s="39">
        <v>1665.4</v>
      </c>
      <c r="H641" s="39">
        <f t="shared" si="70"/>
        <v>2</v>
      </c>
      <c r="I641" s="39">
        <f t="shared" si="71"/>
        <v>0</v>
      </c>
      <c r="K641" s="40">
        <v>37316</v>
      </c>
      <c r="L641" s="39">
        <v>5097.41</v>
      </c>
      <c r="M641" s="39">
        <v>5</v>
      </c>
      <c r="N641" s="39">
        <v>5097.41</v>
      </c>
      <c r="O641" s="219">
        <f t="shared" si="76"/>
        <v>7.151890907463794E-2</v>
      </c>
      <c r="Q641" s="40">
        <v>34065</v>
      </c>
      <c r="R641" s="39">
        <v>1665.4</v>
      </c>
      <c r="S641" s="39">
        <f t="shared" si="72"/>
        <v>4</v>
      </c>
      <c r="T641" s="39">
        <f t="shared" si="73"/>
        <v>0</v>
      </c>
      <c r="U641" s="39">
        <f t="shared" si="74"/>
        <v>0</v>
      </c>
      <c r="V641" s="40"/>
    </row>
    <row r="642" spans="2:22" x14ac:dyDescent="0.35">
      <c r="B642" s="40">
        <v>34066</v>
      </c>
      <c r="C642" s="39">
        <v>1650.3</v>
      </c>
      <c r="D642" s="219">
        <f t="shared" si="75"/>
        <v>-9.1082452521969778E-3</v>
      </c>
      <c r="F642" s="40">
        <v>34066</v>
      </c>
      <c r="G642" s="39">
        <v>1650.3</v>
      </c>
      <c r="H642" s="39">
        <f t="shared" si="70"/>
        <v>3</v>
      </c>
      <c r="I642" s="39">
        <f t="shared" si="71"/>
        <v>0</v>
      </c>
      <c r="K642" s="40">
        <v>37323</v>
      </c>
      <c r="L642" s="39">
        <v>5359.55</v>
      </c>
      <c r="M642" s="39">
        <v>5</v>
      </c>
      <c r="N642" s="39">
        <v>5359.55</v>
      </c>
      <c r="O642" s="219">
        <f t="shared" si="76"/>
        <v>5.0147448737368837E-2</v>
      </c>
      <c r="Q642" s="40">
        <v>34066</v>
      </c>
      <c r="R642" s="39">
        <v>1650.3</v>
      </c>
      <c r="S642" s="39">
        <f t="shared" si="72"/>
        <v>4</v>
      </c>
      <c r="T642" s="39">
        <f t="shared" si="73"/>
        <v>0</v>
      </c>
      <c r="U642" s="39">
        <f t="shared" si="74"/>
        <v>0</v>
      </c>
      <c r="V642" s="40"/>
    </row>
    <row r="643" spans="2:22" x14ac:dyDescent="0.35">
      <c r="B643" s="40">
        <v>34067</v>
      </c>
      <c r="C643" s="39">
        <v>1655.7</v>
      </c>
      <c r="D643" s="219">
        <f t="shared" si="75"/>
        <v>3.2667905640431519E-3</v>
      </c>
      <c r="F643" s="40">
        <v>34067</v>
      </c>
      <c r="G643" s="39">
        <v>1655.7</v>
      </c>
      <c r="H643" s="39">
        <f t="shared" si="70"/>
        <v>4</v>
      </c>
      <c r="I643" s="39">
        <f t="shared" si="71"/>
        <v>1655.7</v>
      </c>
      <c r="K643" s="40">
        <v>37330</v>
      </c>
      <c r="L643" s="39">
        <v>5401.11</v>
      </c>
      <c r="M643" s="39">
        <v>5</v>
      </c>
      <c r="N643" s="39">
        <v>5401.11</v>
      </c>
      <c r="O643" s="219">
        <f t="shared" si="76"/>
        <v>7.7244716677427596E-3</v>
      </c>
      <c r="Q643" s="40">
        <v>34067</v>
      </c>
      <c r="R643" s="39">
        <v>1655.7</v>
      </c>
      <c r="S643" s="39">
        <f t="shared" si="72"/>
        <v>4</v>
      </c>
      <c r="T643" s="39">
        <f t="shared" si="73"/>
        <v>0</v>
      </c>
      <c r="U643" s="39">
        <f t="shared" si="74"/>
        <v>0</v>
      </c>
      <c r="V643" s="40"/>
    </row>
    <row r="644" spans="2:22" x14ac:dyDescent="0.35">
      <c r="B644" s="40">
        <v>34072</v>
      </c>
      <c r="C644" s="39">
        <v>1671.1</v>
      </c>
      <c r="D644" s="219">
        <f t="shared" si="75"/>
        <v>9.2582120957716649E-3</v>
      </c>
      <c r="F644" s="40">
        <v>34072</v>
      </c>
      <c r="G644" s="39">
        <v>1671.1</v>
      </c>
      <c r="H644" s="39">
        <f t="shared" si="70"/>
        <v>2</v>
      </c>
      <c r="I644" s="39">
        <f t="shared" si="71"/>
        <v>0</v>
      </c>
      <c r="K644" s="40">
        <v>37337</v>
      </c>
      <c r="L644" s="39">
        <v>5366.13</v>
      </c>
      <c r="M644" s="39">
        <v>5</v>
      </c>
      <c r="N644" s="39">
        <v>5366.13</v>
      </c>
      <c r="O644" s="219">
        <f t="shared" si="76"/>
        <v>-6.4975096801613589E-3</v>
      </c>
      <c r="Q644" s="40">
        <v>34072</v>
      </c>
      <c r="R644" s="39">
        <v>1671.1</v>
      </c>
      <c r="S644" s="39">
        <f t="shared" si="72"/>
        <v>4</v>
      </c>
      <c r="T644" s="39">
        <f t="shared" si="73"/>
        <v>0</v>
      </c>
      <c r="U644" s="39">
        <f t="shared" si="74"/>
        <v>0</v>
      </c>
      <c r="V644" s="40"/>
    </row>
    <row r="645" spans="2:22" x14ac:dyDescent="0.35">
      <c r="B645" s="40">
        <v>34073</v>
      </c>
      <c r="C645" s="39">
        <v>1672.4</v>
      </c>
      <c r="D645" s="219">
        <f t="shared" si="75"/>
        <v>7.7762827307303168E-4</v>
      </c>
      <c r="F645" s="40">
        <v>34073</v>
      </c>
      <c r="G645" s="39">
        <v>1672.4</v>
      </c>
      <c r="H645" s="39">
        <f t="shared" si="70"/>
        <v>3</v>
      </c>
      <c r="I645" s="39">
        <f t="shared" si="71"/>
        <v>0</v>
      </c>
      <c r="K645" s="40">
        <v>37343</v>
      </c>
      <c r="L645" s="39">
        <v>5397.29</v>
      </c>
      <c r="M645" s="39">
        <v>4</v>
      </c>
      <c r="N645" s="39">
        <v>5397.29</v>
      </c>
      <c r="O645" s="219">
        <f t="shared" si="76"/>
        <v>5.7899974266147182E-3</v>
      </c>
      <c r="Q645" s="40">
        <v>34073</v>
      </c>
      <c r="R645" s="39">
        <v>1672.4</v>
      </c>
      <c r="S645" s="39">
        <f t="shared" si="72"/>
        <v>4</v>
      </c>
      <c r="T645" s="39">
        <f t="shared" si="73"/>
        <v>0</v>
      </c>
      <c r="U645" s="39">
        <f t="shared" si="74"/>
        <v>0</v>
      </c>
      <c r="V645" s="40"/>
    </row>
    <row r="646" spans="2:22" x14ac:dyDescent="0.35">
      <c r="B646" s="40">
        <v>34074</v>
      </c>
      <c r="C646" s="39">
        <v>1675.2</v>
      </c>
      <c r="D646" s="219">
        <f t="shared" si="75"/>
        <v>1.6728406338623492E-3</v>
      </c>
      <c r="F646" s="40">
        <v>34074</v>
      </c>
      <c r="G646" s="39">
        <v>1675.2</v>
      </c>
      <c r="H646" s="39">
        <f t="shared" si="70"/>
        <v>4</v>
      </c>
      <c r="I646" s="39">
        <f t="shared" si="71"/>
        <v>0</v>
      </c>
      <c r="K646" s="40">
        <v>37351</v>
      </c>
      <c r="L646" s="39">
        <v>5260.53</v>
      </c>
      <c r="M646" s="39">
        <v>5</v>
      </c>
      <c r="N646" s="39">
        <v>5260.53</v>
      </c>
      <c r="O646" s="219">
        <f t="shared" si="76"/>
        <v>-2.5665193618690605E-2</v>
      </c>
      <c r="Q646" s="40">
        <v>34074</v>
      </c>
      <c r="R646" s="39">
        <v>1675.2</v>
      </c>
      <c r="S646" s="39">
        <f t="shared" si="72"/>
        <v>4</v>
      </c>
      <c r="T646" s="39">
        <f t="shared" si="73"/>
        <v>0</v>
      </c>
      <c r="U646" s="39">
        <f t="shared" si="74"/>
        <v>0</v>
      </c>
      <c r="V646" s="40"/>
    </row>
    <row r="647" spans="2:22" x14ac:dyDescent="0.35">
      <c r="B647" s="40">
        <v>34075</v>
      </c>
      <c r="C647" s="39">
        <v>1678.9</v>
      </c>
      <c r="D647" s="219">
        <f t="shared" si="75"/>
        <v>2.2062559260800866E-3</v>
      </c>
      <c r="F647" s="40">
        <v>34075</v>
      </c>
      <c r="G647" s="39">
        <v>1678.9</v>
      </c>
      <c r="H647" s="39">
        <f t="shared" si="70"/>
        <v>5</v>
      </c>
      <c r="I647" s="39">
        <f t="shared" si="71"/>
        <v>1678.9</v>
      </c>
      <c r="K647" s="40">
        <v>37358</v>
      </c>
      <c r="L647" s="39">
        <v>5189.6499999999996</v>
      </c>
      <c r="M647" s="39">
        <v>5</v>
      </c>
      <c r="N647" s="39">
        <v>5189.6499999999996</v>
      </c>
      <c r="O647" s="219">
        <f t="shared" si="76"/>
        <v>-1.3565524605679577E-2</v>
      </c>
      <c r="Q647" s="40">
        <v>34075</v>
      </c>
      <c r="R647" s="39">
        <v>1678.9</v>
      </c>
      <c r="S647" s="39">
        <f t="shared" si="72"/>
        <v>4</v>
      </c>
      <c r="T647" s="39">
        <f t="shared" si="73"/>
        <v>0</v>
      </c>
      <c r="U647" s="39">
        <f t="shared" si="74"/>
        <v>0</v>
      </c>
      <c r="V647" s="40"/>
    </row>
    <row r="648" spans="2:22" x14ac:dyDescent="0.35">
      <c r="B648" s="40">
        <v>34078</v>
      </c>
      <c r="C648" s="39">
        <v>1693.3</v>
      </c>
      <c r="D648" s="219">
        <f t="shared" si="75"/>
        <v>8.5404706289422642E-3</v>
      </c>
      <c r="F648" s="40">
        <v>34078</v>
      </c>
      <c r="G648" s="39">
        <v>1693.3</v>
      </c>
      <c r="H648" s="39">
        <f t="shared" si="70"/>
        <v>1</v>
      </c>
      <c r="I648" s="39">
        <f t="shared" si="71"/>
        <v>0</v>
      </c>
      <c r="K648" s="40">
        <v>37365</v>
      </c>
      <c r="L648" s="39">
        <v>5284.55</v>
      </c>
      <c r="M648" s="39">
        <v>5</v>
      </c>
      <c r="N648" s="39">
        <v>5284.55</v>
      </c>
      <c r="O648" s="219">
        <f t="shared" si="76"/>
        <v>1.8121211531363028E-2</v>
      </c>
      <c r="Q648" s="40">
        <v>34078</v>
      </c>
      <c r="R648" s="39">
        <v>1693.3</v>
      </c>
      <c r="S648" s="39">
        <f t="shared" si="72"/>
        <v>4</v>
      </c>
      <c r="T648" s="39">
        <f t="shared" si="73"/>
        <v>0</v>
      </c>
      <c r="U648" s="39">
        <f t="shared" si="74"/>
        <v>0</v>
      </c>
      <c r="V648" s="40"/>
    </row>
    <row r="649" spans="2:22" x14ac:dyDescent="0.35">
      <c r="B649" s="40">
        <v>34079</v>
      </c>
      <c r="C649" s="39">
        <v>1687.1</v>
      </c>
      <c r="D649" s="219">
        <f t="shared" si="75"/>
        <v>-3.6682090593657822E-3</v>
      </c>
      <c r="F649" s="40">
        <v>34079</v>
      </c>
      <c r="G649" s="39">
        <v>1687.1</v>
      </c>
      <c r="H649" s="39">
        <f t="shared" si="70"/>
        <v>2</v>
      </c>
      <c r="I649" s="39">
        <f t="shared" si="71"/>
        <v>0</v>
      </c>
      <c r="K649" s="40">
        <v>37372</v>
      </c>
      <c r="L649" s="39">
        <v>5000.38</v>
      </c>
      <c r="M649" s="39">
        <v>5</v>
      </c>
      <c r="N649" s="39">
        <v>5000.38</v>
      </c>
      <c r="O649" s="219">
        <f t="shared" si="76"/>
        <v>-5.5273559509335234E-2</v>
      </c>
      <c r="Q649" s="40">
        <v>34079</v>
      </c>
      <c r="R649" s="39">
        <v>1687.1</v>
      </c>
      <c r="S649" s="39">
        <f t="shared" si="72"/>
        <v>4</v>
      </c>
      <c r="T649" s="39">
        <f t="shared" si="73"/>
        <v>0</v>
      </c>
      <c r="U649" s="39">
        <f t="shared" si="74"/>
        <v>0</v>
      </c>
      <c r="V649" s="40"/>
    </row>
    <row r="650" spans="2:22" x14ac:dyDescent="0.35">
      <c r="B650" s="40">
        <v>34080</v>
      </c>
      <c r="C650" s="39">
        <v>1666.9</v>
      </c>
      <c r="D650" s="219">
        <f t="shared" si="75"/>
        <v>-1.2045464662886748E-2</v>
      </c>
      <c r="F650" s="40">
        <v>34080</v>
      </c>
      <c r="G650" s="39">
        <v>1666.9</v>
      </c>
      <c r="H650" s="39">
        <f t="shared" si="70"/>
        <v>3</v>
      </c>
      <c r="I650" s="39">
        <f t="shared" si="71"/>
        <v>0</v>
      </c>
      <c r="K650" s="40">
        <v>37379</v>
      </c>
      <c r="L650" s="39">
        <v>4882.7700000000004</v>
      </c>
      <c r="M650" s="39">
        <v>5</v>
      </c>
      <c r="N650" s="39">
        <v>4882.7700000000004</v>
      </c>
      <c r="O650" s="219">
        <f t="shared" si="76"/>
        <v>-2.3801227767342358E-2</v>
      </c>
      <c r="Q650" s="40">
        <v>34080</v>
      </c>
      <c r="R650" s="39">
        <v>1666.9</v>
      </c>
      <c r="S650" s="39">
        <f t="shared" si="72"/>
        <v>4</v>
      </c>
      <c r="T650" s="39">
        <f t="shared" si="73"/>
        <v>0</v>
      </c>
      <c r="U650" s="39">
        <f t="shared" si="74"/>
        <v>0</v>
      </c>
      <c r="V650" s="40"/>
    </row>
    <row r="651" spans="2:22" x14ac:dyDescent="0.35">
      <c r="B651" s="40">
        <v>34081</v>
      </c>
      <c r="C651" s="39">
        <v>1666.7</v>
      </c>
      <c r="D651" s="219">
        <f t="shared" si="75"/>
        <v>-1.199904009119699E-4</v>
      </c>
      <c r="F651" s="40">
        <v>34081</v>
      </c>
      <c r="G651" s="39">
        <v>1666.7</v>
      </c>
      <c r="H651" s="39">
        <f t="shared" si="70"/>
        <v>4</v>
      </c>
      <c r="I651" s="39">
        <f t="shared" si="71"/>
        <v>0</v>
      </c>
      <c r="K651" s="40">
        <v>37386</v>
      </c>
      <c r="L651" s="39">
        <v>4871.7</v>
      </c>
      <c r="M651" s="39">
        <v>5</v>
      </c>
      <c r="N651" s="39">
        <v>4871.7</v>
      </c>
      <c r="O651" s="219">
        <f t="shared" si="76"/>
        <v>-2.2697296218898511E-3</v>
      </c>
      <c r="Q651" s="40">
        <v>34081</v>
      </c>
      <c r="R651" s="39">
        <v>1666.7</v>
      </c>
      <c r="S651" s="39">
        <f t="shared" si="72"/>
        <v>4</v>
      </c>
      <c r="T651" s="39">
        <f t="shared" si="73"/>
        <v>0</v>
      </c>
      <c r="U651" s="39">
        <f t="shared" si="74"/>
        <v>0</v>
      </c>
      <c r="V651" s="40"/>
    </row>
    <row r="652" spans="2:22" x14ac:dyDescent="0.35">
      <c r="B652" s="40">
        <v>34082</v>
      </c>
      <c r="C652" s="39">
        <v>1657.1</v>
      </c>
      <c r="D652" s="219">
        <f t="shared" si="75"/>
        <v>-5.7765369123823776E-3</v>
      </c>
      <c r="F652" s="40">
        <v>34082</v>
      </c>
      <c r="G652" s="39">
        <v>1657.1</v>
      </c>
      <c r="H652" s="39">
        <f t="shared" si="70"/>
        <v>5</v>
      </c>
      <c r="I652" s="39">
        <f t="shared" si="71"/>
        <v>1657.1</v>
      </c>
      <c r="K652" s="40">
        <v>37393</v>
      </c>
      <c r="L652" s="39">
        <v>5036.41</v>
      </c>
      <c r="M652" s="39">
        <v>5</v>
      </c>
      <c r="N652" s="39">
        <v>5036.41</v>
      </c>
      <c r="O652" s="219">
        <f t="shared" si="76"/>
        <v>3.3250574531653365E-2</v>
      </c>
      <c r="Q652" s="40">
        <v>34082</v>
      </c>
      <c r="R652" s="39">
        <v>1657.1</v>
      </c>
      <c r="S652" s="39">
        <f t="shared" si="72"/>
        <v>4</v>
      </c>
      <c r="T652" s="39">
        <f t="shared" si="73"/>
        <v>0</v>
      </c>
      <c r="U652" s="39">
        <f t="shared" si="74"/>
        <v>0</v>
      </c>
      <c r="V652" s="40"/>
    </row>
    <row r="653" spans="2:22" x14ac:dyDescent="0.35">
      <c r="B653" s="40">
        <v>34085</v>
      </c>
      <c r="C653" s="39">
        <v>1649.8</v>
      </c>
      <c r="D653" s="219">
        <f t="shared" si="75"/>
        <v>-4.4150182091167202E-3</v>
      </c>
      <c r="F653" s="40">
        <v>34085</v>
      </c>
      <c r="G653" s="39">
        <v>1649.8</v>
      </c>
      <c r="H653" s="39">
        <f t="shared" si="70"/>
        <v>1</v>
      </c>
      <c r="I653" s="39">
        <f t="shared" si="71"/>
        <v>0</v>
      </c>
      <c r="K653" s="40">
        <v>37400</v>
      </c>
      <c r="L653" s="39">
        <v>4899.13</v>
      </c>
      <c r="M653" s="39">
        <v>5</v>
      </c>
      <c r="N653" s="39">
        <v>4899.13</v>
      </c>
      <c r="O653" s="219">
        <f t="shared" si="76"/>
        <v>-2.7635888356543594E-2</v>
      </c>
      <c r="Q653" s="40">
        <v>34085</v>
      </c>
      <c r="R653" s="39">
        <v>1649.8</v>
      </c>
      <c r="S653" s="39">
        <f t="shared" si="72"/>
        <v>4</v>
      </c>
      <c r="T653" s="39">
        <f t="shared" si="73"/>
        <v>0</v>
      </c>
      <c r="U653" s="39">
        <f t="shared" si="74"/>
        <v>0</v>
      </c>
      <c r="V653" s="40"/>
    </row>
    <row r="654" spans="2:22" x14ac:dyDescent="0.35">
      <c r="B654" s="40">
        <v>34086</v>
      </c>
      <c r="C654" s="39">
        <v>1640.8</v>
      </c>
      <c r="D654" s="219">
        <f t="shared" si="75"/>
        <v>-5.4701406684604303E-3</v>
      </c>
      <c r="F654" s="40">
        <v>34086</v>
      </c>
      <c r="G654" s="39">
        <v>1640.8</v>
      </c>
      <c r="H654" s="39">
        <f t="shared" si="70"/>
        <v>2</v>
      </c>
      <c r="I654" s="39">
        <f t="shared" si="71"/>
        <v>0</v>
      </c>
      <c r="K654" s="40">
        <v>37407</v>
      </c>
      <c r="L654" s="39">
        <v>4818.3</v>
      </c>
      <c r="M654" s="39">
        <v>5</v>
      </c>
      <c r="N654" s="39">
        <v>4818.3</v>
      </c>
      <c r="O654" s="219">
        <f t="shared" si="76"/>
        <v>-1.6636469577300139E-2</v>
      </c>
      <c r="Q654" s="40">
        <v>34086</v>
      </c>
      <c r="R654" s="39">
        <v>1640.8</v>
      </c>
      <c r="S654" s="39">
        <f t="shared" si="72"/>
        <v>4</v>
      </c>
      <c r="T654" s="39">
        <f t="shared" si="73"/>
        <v>0</v>
      </c>
      <c r="U654" s="39">
        <f t="shared" si="74"/>
        <v>0</v>
      </c>
      <c r="V654" s="40"/>
    </row>
    <row r="655" spans="2:22" x14ac:dyDescent="0.35">
      <c r="B655" s="40">
        <v>34087</v>
      </c>
      <c r="C655" s="39">
        <v>1628.9</v>
      </c>
      <c r="D655" s="219">
        <f t="shared" si="75"/>
        <v>-7.2789873946114145E-3</v>
      </c>
      <c r="F655" s="40">
        <v>34087</v>
      </c>
      <c r="G655" s="39">
        <v>1628.9</v>
      </c>
      <c r="H655" s="39">
        <f t="shared" si="70"/>
        <v>3</v>
      </c>
      <c r="I655" s="39">
        <f t="shared" si="71"/>
        <v>0</v>
      </c>
      <c r="K655" s="40">
        <v>37414</v>
      </c>
      <c r="L655" s="39">
        <v>4610.18</v>
      </c>
      <c r="M655" s="39">
        <v>5</v>
      </c>
      <c r="N655" s="39">
        <v>4610.18</v>
      </c>
      <c r="O655" s="219">
        <f t="shared" si="76"/>
        <v>-4.4154266955379412E-2</v>
      </c>
      <c r="Q655" s="40">
        <v>34087</v>
      </c>
      <c r="R655" s="39">
        <v>1628.9</v>
      </c>
      <c r="S655" s="39">
        <f t="shared" si="72"/>
        <v>4</v>
      </c>
      <c r="T655" s="39">
        <f t="shared" si="73"/>
        <v>0</v>
      </c>
      <c r="U655" s="39">
        <f t="shared" si="74"/>
        <v>0</v>
      </c>
      <c r="V655" s="40"/>
    </row>
    <row r="656" spans="2:22" x14ac:dyDescent="0.35">
      <c r="B656" s="40">
        <v>34088</v>
      </c>
      <c r="C656" s="39">
        <v>1623.9</v>
      </c>
      <c r="D656" s="219">
        <f t="shared" si="75"/>
        <v>-3.0742768925174626E-3</v>
      </c>
      <c r="F656" s="40">
        <v>34088</v>
      </c>
      <c r="G656" s="39">
        <v>1623.9</v>
      </c>
      <c r="H656" s="39">
        <f t="shared" si="70"/>
        <v>4</v>
      </c>
      <c r="I656" s="39">
        <f t="shared" si="71"/>
        <v>0</v>
      </c>
      <c r="K656" s="40">
        <v>37421</v>
      </c>
      <c r="L656" s="39">
        <v>4303.8500000000004</v>
      </c>
      <c r="M656" s="39">
        <v>5</v>
      </c>
      <c r="N656" s="39">
        <v>4303.8500000000004</v>
      </c>
      <c r="O656" s="219">
        <f t="shared" si="76"/>
        <v>-6.8756930848397305E-2</v>
      </c>
      <c r="Q656" s="40">
        <v>34088</v>
      </c>
      <c r="R656" s="39">
        <v>1623.9</v>
      </c>
      <c r="S656" s="39">
        <f t="shared" si="72"/>
        <v>4</v>
      </c>
      <c r="T656" s="39">
        <f t="shared" si="73"/>
        <v>0</v>
      </c>
      <c r="U656" s="39">
        <f t="shared" si="74"/>
        <v>0</v>
      </c>
      <c r="V656" s="40"/>
    </row>
    <row r="657" spans="2:22" x14ac:dyDescent="0.35">
      <c r="B657" s="40">
        <v>34089</v>
      </c>
      <c r="C657" s="39">
        <v>1627.2</v>
      </c>
      <c r="D657" s="219">
        <f t="shared" si="75"/>
        <v>2.0300828232534948E-3</v>
      </c>
      <c r="F657" s="40">
        <v>34089</v>
      </c>
      <c r="G657" s="39">
        <v>1627.2</v>
      </c>
      <c r="H657" s="39">
        <f t="shared" si="70"/>
        <v>5</v>
      </c>
      <c r="I657" s="39">
        <f t="shared" si="71"/>
        <v>1627.2</v>
      </c>
      <c r="K657" s="40">
        <v>37428</v>
      </c>
      <c r="L657" s="39">
        <v>4232.3999999999996</v>
      </c>
      <c r="M657" s="39">
        <v>5</v>
      </c>
      <c r="N657" s="39">
        <v>4232.3999999999996</v>
      </c>
      <c r="O657" s="219">
        <f t="shared" si="76"/>
        <v>-1.6740762903177893E-2</v>
      </c>
      <c r="Q657" s="40">
        <v>34089</v>
      </c>
      <c r="R657" s="39">
        <v>1627.2</v>
      </c>
      <c r="S657" s="39">
        <f t="shared" si="72"/>
        <v>4</v>
      </c>
      <c r="T657" s="39">
        <f t="shared" si="73"/>
        <v>1627.2</v>
      </c>
      <c r="U657" s="39">
        <f t="shared" si="74"/>
        <v>1627.2</v>
      </c>
      <c r="V657" s="40"/>
    </row>
    <row r="658" spans="2:22" x14ac:dyDescent="0.35">
      <c r="B658" s="40">
        <v>34092</v>
      </c>
      <c r="C658" s="39">
        <v>1629.2</v>
      </c>
      <c r="D658" s="219">
        <f t="shared" si="75"/>
        <v>1.2283504799620916E-3</v>
      </c>
      <c r="F658" s="40">
        <v>34092</v>
      </c>
      <c r="G658" s="39">
        <v>1629.2</v>
      </c>
      <c r="H658" s="39">
        <f t="shared" si="70"/>
        <v>1</v>
      </c>
      <c r="I658" s="39">
        <f t="shared" si="71"/>
        <v>0</v>
      </c>
      <c r="K658" s="40">
        <v>37435</v>
      </c>
      <c r="L658" s="39">
        <v>4382.5600000000004</v>
      </c>
      <c r="M658" s="39">
        <v>5</v>
      </c>
      <c r="N658" s="39">
        <v>4382.5600000000004</v>
      </c>
      <c r="O658" s="219">
        <f t="shared" si="76"/>
        <v>3.4863820487409172E-2</v>
      </c>
      <c r="Q658" s="40">
        <v>34092</v>
      </c>
      <c r="R658" s="39">
        <v>1629.2</v>
      </c>
      <c r="S658" s="39">
        <f t="shared" si="72"/>
        <v>5</v>
      </c>
      <c r="T658" s="39">
        <f t="shared" si="73"/>
        <v>0</v>
      </c>
      <c r="U658" s="39">
        <f t="shared" si="74"/>
        <v>0</v>
      </c>
      <c r="V658" s="40"/>
    </row>
    <row r="659" spans="2:22" x14ac:dyDescent="0.35">
      <c r="B659" s="40">
        <v>34093</v>
      </c>
      <c r="C659" s="39">
        <v>1627.4</v>
      </c>
      <c r="D659" s="219">
        <f t="shared" si="75"/>
        <v>-1.1054475117005446E-3</v>
      </c>
      <c r="F659" s="40">
        <v>34093</v>
      </c>
      <c r="G659" s="39">
        <v>1627.4</v>
      </c>
      <c r="H659" s="39">
        <f t="shared" si="70"/>
        <v>2</v>
      </c>
      <c r="I659" s="39">
        <f t="shared" si="71"/>
        <v>0</v>
      </c>
      <c r="K659" s="40">
        <v>37442</v>
      </c>
      <c r="L659" s="39">
        <v>4483.03</v>
      </c>
      <c r="M659" s="39">
        <v>5</v>
      </c>
      <c r="N659" s="39">
        <v>4483.03</v>
      </c>
      <c r="O659" s="219">
        <f t="shared" si="76"/>
        <v>2.2666128562989305E-2</v>
      </c>
      <c r="Q659" s="40">
        <v>34093</v>
      </c>
      <c r="R659" s="39">
        <v>1627.4</v>
      </c>
      <c r="S659" s="39">
        <f t="shared" si="72"/>
        <v>5</v>
      </c>
      <c r="T659" s="39">
        <f t="shared" si="73"/>
        <v>0</v>
      </c>
      <c r="U659" s="39">
        <f t="shared" si="74"/>
        <v>0</v>
      </c>
      <c r="V659" s="40"/>
    </row>
    <row r="660" spans="2:22" x14ac:dyDescent="0.35">
      <c r="B660" s="40">
        <v>34094</v>
      </c>
      <c r="C660" s="39">
        <v>1623.2</v>
      </c>
      <c r="D660" s="219">
        <f t="shared" si="75"/>
        <v>-2.5841397509519105E-3</v>
      </c>
      <c r="F660" s="40">
        <v>34094</v>
      </c>
      <c r="G660" s="39">
        <v>1623.2</v>
      </c>
      <c r="H660" s="39">
        <f t="shared" si="70"/>
        <v>3</v>
      </c>
      <c r="I660" s="39">
        <f t="shared" si="71"/>
        <v>0</v>
      </c>
      <c r="K660" s="40">
        <v>37449</v>
      </c>
      <c r="L660" s="39">
        <v>4130.8</v>
      </c>
      <c r="M660" s="39">
        <v>5</v>
      </c>
      <c r="N660" s="39">
        <v>4130.8</v>
      </c>
      <c r="O660" s="219">
        <f t="shared" si="76"/>
        <v>-8.1828064283156143E-2</v>
      </c>
      <c r="Q660" s="40">
        <v>34094</v>
      </c>
      <c r="R660" s="39">
        <v>1623.2</v>
      </c>
      <c r="S660" s="39">
        <f t="shared" si="72"/>
        <v>5</v>
      </c>
      <c r="T660" s="39">
        <f t="shared" si="73"/>
        <v>0</v>
      </c>
      <c r="U660" s="39">
        <f t="shared" si="74"/>
        <v>0</v>
      </c>
      <c r="V660" s="40"/>
    </row>
    <row r="661" spans="2:22" x14ac:dyDescent="0.35">
      <c r="B661" s="40">
        <v>34095</v>
      </c>
      <c r="C661" s="39">
        <v>1623.3</v>
      </c>
      <c r="D661" s="219">
        <f t="shared" si="75"/>
        <v>6.1604805194212848E-5</v>
      </c>
      <c r="F661" s="40">
        <v>34095</v>
      </c>
      <c r="G661" s="39">
        <v>1623.3</v>
      </c>
      <c r="H661" s="39">
        <f t="shared" si="70"/>
        <v>4</v>
      </c>
      <c r="I661" s="39">
        <f t="shared" si="71"/>
        <v>0</v>
      </c>
      <c r="K661" s="40">
        <v>37456</v>
      </c>
      <c r="L661" s="39">
        <v>3891.88</v>
      </c>
      <c r="M661" s="39">
        <v>5</v>
      </c>
      <c r="N661" s="39">
        <v>3891.88</v>
      </c>
      <c r="O661" s="219">
        <f t="shared" si="76"/>
        <v>-5.957876144355944E-2</v>
      </c>
      <c r="Q661" s="40">
        <v>34095</v>
      </c>
      <c r="R661" s="39">
        <v>1623.3</v>
      </c>
      <c r="S661" s="39">
        <f t="shared" si="72"/>
        <v>5</v>
      </c>
      <c r="T661" s="39">
        <f t="shared" si="73"/>
        <v>0</v>
      </c>
      <c r="U661" s="39">
        <f t="shared" si="74"/>
        <v>0</v>
      </c>
      <c r="V661" s="40"/>
    </row>
    <row r="662" spans="2:22" x14ac:dyDescent="0.35">
      <c r="B662" s="40">
        <v>34096</v>
      </c>
      <c r="C662" s="39">
        <v>1611.9</v>
      </c>
      <c r="D662" s="219">
        <f t="shared" si="75"/>
        <v>-7.0475069139136993E-3</v>
      </c>
      <c r="F662" s="40">
        <v>34096</v>
      </c>
      <c r="G662" s="39">
        <v>1611.9</v>
      </c>
      <c r="H662" s="39">
        <f t="shared" si="70"/>
        <v>5</v>
      </c>
      <c r="I662" s="39">
        <f t="shared" si="71"/>
        <v>1611.9</v>
      </c>
      <c r="K662" s="40">
        <v>37463</v>
      </c>
      <c r="L662" s="39">
        <v>3579</v>
      </c>
      <c r="M662" s="39">
        <v>5</v>
      </c>
      <c r="N662" s="39">
        <v>3579</v>
      </c>
      <c r="O662" s="219">
        <f t="shared" si="76"/>
        <v>-8.3808899587663674E-2</v>
      </c>
      <c r="Q662" s="40">
        <v>34096</v>
      </c>
      <c r="R662" s="39">
        <v>1611.9</v>
      </c>
      <c r="S662" s="39">
        <f t="shared" si="72"/>
        <v>5</v>
      </c>
      <c r="T662" s="39">
        <f t="shared" si="73"/>
        <v>0</v>
      </c>
      <c r="U662" s="39">
        <f t="shared" si="74"/>
        <v>0</v>
      </c>
      <c r="V662" s="40"/>
    </row>
    <row r="663" spans="2:22" x14ac:dyDescent="0.35">
      <c r="B663" s="40">
        <v>34099</v>
      </c>
      <c r="C663" s="39">
        <v>1609</v>
      </c>
      <c r="D663" s="219">
        <f t="shared" si="75"/>
        <v>-1.8007394105023276E-3</v>
      </c>
      <c r="F663" s="40">
        <v>34099</v>
      </c>
      <c r="G663" s="39">
        <v>1609</v>
      </c>
      <c r="H663" s="39">
        <f t="shared" si="70"/>
        <v>1</v>
      </c>
      <c r="I663" s="39">
        <f t="shared" si="71"/>
        <v>0</v>
      </c>
      <c r="K663" s="40">
        <v>37470</v>
      </c>
      <c r="L663" s="39">
        <v>3532.49</v>
      </c>
      <c r="M663" s="39">
        <v>5</v>
      </c>
      <c r="N663" s="39">
        <v>3532.49</v>
      </c>
      <c r="O663" s="219">
        <f t="shared" si="76"/>
        <v>-1.3080427067684336E-2</v>
      </c>
      <c r="Q663" s="40">
        <v>34099</v>
      </c>
      <c r="R663" s="39">
        <v>1609</v>
      </c>
      <c r="S663" s="39">
        <f t="shared" si="72"/>
        <v>5</v>
      </c>
      <c r="T663" s="39">
        <f t="shared" si="73"/>
        <v>0</v>
      </c>
      <c r="U663" s="39">
        <f t="shared" si="74"/>
        <v>0</v>
      </c>
      <c r="V663" s="40"/>
    </row>
    <row r="664" spans="2:22" x14ac:dyDescent="0.35">
      <c r="B664" s="40">
        <v>34100</v>
      </c>
      <c r="C664" s="39">
        <v>1616.2</v>
      </c>
      <c r="D664" s="219">
        <f t="shared" si="75"/>
        <v>4.4648468069641784E-3</v>
      </c>
      <c r="F664" s="40">
        <v>34100</v>
      </c>
      <c r="G664" s="39">
        <v>1616.2</v>
      </c>
      <c r="H664" s="39">
        <f t="shared" si="70"/>
        <v>2</v>
      </c>
      <c r="I664" s="39">
        <f t="shared" si="71"/>
        <v>0</v>
      </c>
      <c r="K664" s="40">
        <v>37477</v>
      </c>
      <c r="L664" s="39">
        <v>3760.86</v>
      </c>
      <c r="M664" s="39">
        <v>5</v>
      </c>
      <c r="N664" s="39">
        <v>3760.86</v>
      </c>
      <c r="O664" s="219">
        <f t="shared" si="76"/>
        <v>6.2644649936643995E-2</v>
      </c>
      <c r="Q664" s="40">
        <v>34100</v>
      </c>
      <c r="R664" s="39">
        <v>1616.2</v>
      </c>
      <c r="S664" s="39">
        <f t="shared" si="72"/>
        <v>5</v>
      </c>
      <c r="T664" s="39">
        <f t="shared" si="73"/>
        <v>0</v>
      </c>
      <c r="U664" s="39">
        <f t="shared" si="74"/>
        <v>0</v>
      </c>
      <c r="V664" s="40"/>
    </row>
    <row r="665" spans="2:22" x14ac:dyDescent="0.35">
      <c r="B665" s="40">
        <v>34101</v>
      </c>
      <c r="C665" s="39">
        <v>1629.5</v>
      </c>
      <c r="D665" s="219">
        <f t="shared" si="75"/>
        <v>8.1955044782689931E-3</v>
      </c>
      <c r="F665" s="40">
        <v>34101</v>
      </c>
      <c r="G665" s="39">
        <v>1629.5</v>
      </c>
      <c r="H665" s="39">
        <f t="shared" si="70"/>
        <v>3</v>
      </c>
      <c r="I665" s="39">
        <f t="shared" si="71"/>
        <v>0</v>
      </c>
      <c r="K665" s="40">
        <v>37484</v>
      </c>
      <c r="L665" s="39">
        <v>3684.69</v>
      </c>
      <c r="M665" s="39">
        <v>5</v>
      </c>
      <c r="N665" s="39">
        <v>3684.69</v>
      </c>
      <c r="O665" s="219">
        <f t="shared" si="76"/>
        <v>-2.046125738063408E-2</v>
      </c>
      <c r="Q665" s="40">
        <v>34101</v>
      </c>
      <c r="R665" s="39">
        <v>1629.5</v>
      </c>
      <c r="S665" s="39">
        <f t="shared" si="72"/>
        <v>5</v>
      </c>
      <c r="T665" s="39">
        <f t="shared" si="73"/>
        <v>0</v>
      </c>
      <c r="U665" s="39">
        <f t="shared" si="74"/>
        <v>0</v>
      </c>
      <c r="V665" s="40"/>
    </row>
    <row r="666" spans="2:22" x14ac:dyDescent="0.35">
      <c r="B666" s="40">
        <v>34102</v>
      </c>
      <c r="C666" s="39">
        <v>1639.8</v>
      </c>
      <c r="D666" s="219">
        <f t="shared" si="75"/>
        <v>6.3010638844611232E-3</v>
      </c>
      <c r="F666" s="40">
        <v>34102</v>
      </c>
      <c r="G666" s="39">
        <v>1639.8</v>
      </c>
      <c r="H666" s="39">
        <f t="shared" si="70"/>
        <v>4</v>
      </c>
      <c r="I666" s="39">
        <f t="shared" si="71"/>
        <v>0</v>
      </c>
      <c r="K666" s="40">
        <v>37491</v>
      </c>
      <c r="L666" s="39">
        <v>3828.26</v>
      </c>
      <c r="M666" s="39">
        <v>5</v>
      </c>
      <c r="N666" s="39">
        <v>3828.26</v>
      </c>
      <c r="O666" s="219">
        <f t="shared" si="76"/>
        <v>3.822399459715687E-2</v>
      </c>
      <c r="Q666" s="40">
        <v>34102</v>
      </c>
      <c r="R666" s="39">
        <v>1639.8</v>
      </c>
      <c r="S666" s="39">
        <f t="shared" si="72"/>
        <v>5</v>
      </c>
      <c r="T666" s="39">
        <f t="shared" si="73"/>
        <v>0</v>
      </c>
      <c r="U666" s="39">
        <f t="shared" si="74"/>
        <v>0</v>
      </c>
      <c r="V666" s="40"/>
    </row>
    <row r="667" spans="2:22" x14ac:dyDescent="0.35">
      <c r="B667" s="40">
        <v>34103</v>
      </c>
      <c r="C667" s="39">
        <v>1634.5</v>
      </c>
      <c r="D667" s="219">
        <f t="shared" si="75"/>
        <v>-3.2373359978119637E-3</v>
      </c>
      <c r="F667" s="40">
        <v>34103</v>
      </c>
      <c r="G667" s="39">
        <v>1634.5</v>
      </c>
      <c r="H667" s="39">
        <f t="shared" si="70"/>
        <v>5</v>
      </c>
      <c r="I667" s="39">
        <f t="shared" si="71"/>
        <v>1634.5</v>
      </c>
      <c r="K667" s="40">
        <v>37498</v>
      </c>
      <c r="L667" s="39">
        <v>3712.94</v>
      </c>
      <c r="M667" s="39">
        <v>5</v>
      </c>
      <c r="N667" s="39">
        <v>3712.94</v>
      </c>
      <c r="O667" s="219">
        <f t="shared" si="76"/>
        <v>-3.0586376244799537E-2</v>
      </c>
      <c r="Q667" s="40">
        <v>34103</v>
      </c>
      <c r="R667" s="39">
        <v>1634.5</v>
      </c>
      <c r="S667" s="39">
        <f t="shared" si="72"/>
        <v>5</v>
      </c>
      <c r="T667" s="39">
        <f t="shared" si="73"/>
        <v>0</v>
      </c>
      <c r="U667" s="39">
        <f t="shared" si="74"/>
        <v>0</v>
      </c>
      <c r="V667" s="40"/>
    </row>
    <row r="668" spans="2:22" x14ac:dyDescent="0.35">
      <c r="B668" s="40">
        <v>34106</v>
      </c>
      <c r="C668" s="39">
        <v>1627.9</v>
      </c>
      <c r="D668" s="219">
        <f t="shared" si="75"/>
        <v>-4.0461065498010543E-3</v>
      </c>
      <c r="F668" s="40">
        <v>34106</v>
      </c>
      <c r="G668" s="39">
        <v>1627.9</v>
      </c>
      <c r="H668" s="39">
        <f t="shared" si="70"/>
        <v>1</v>
      </c>
      <c r="I668" s="39">
        <f t="shared" si="71"/>
        <v>0</v>
      </c>
      <c r="K668" s="40">
        <v>37505</v>
      </c>
      <c r="L668" s="39">
        <v>3485.68</v>
      </c>
      <c r="M668" s="39">
        <v>5</v>
      </c>
      <c r="N668" s="39">
        <v>3485.68</v>
      </c>
      <c r="O668" s="219">
        <f t="shared" si="76"/>
        <v>-6.31608684946771E-2</v>
      </c>
      <c r="Q668" s="40">
        <v>34106</v>
      </c>
      <c r="R668" s="39">
        <v>1627.9</v>
      </c>
      <c r="S668" s="39">
        <f t="shared" si="72"/>
        <v>5</v>
      </c>
      <c r="T668" s="39">
        <f t="shared" si="73"/>
        <v>0</v>
      </c>
      <c r="U668" s="39">
        <f t="shared" si="74"/>
        <v>0</v>
      </c>
      <c r="V668" s="40"/>
    </row>
    <row r="669" spans="2:22" x14ac:dyDescent="0.35">
      <c r="B669" s="40">
        <v>34107</v>
      </c>
      <c r="C669" s="39">
        <v>1628.5</v>
      </c>
      <c r="D669" s="219">
        <f t="shared" si="75"/>
        <v>3.6850510182389061E-4</v>
      </c>
      <c r="F669" s="40">
        <v>34107</v>
      </c>
      <c r="G669" s="39">
        <v>1628.5</v>
      </c>
      <c r="H669" s="39">
        <f t="shared" si="70"/>
        <v>2</v>
      </c>
      <c r="I669" s="39">
        <f t="shared" si="71"/>
        <v>0</v>
      </c>
      <c r="K669" s="40">
        <v>37512</v>
      </c>
      <c r="L669" s="39">
        <v>3361.28</v>
      </c>
      <c r="M669" s="39">
        <v>5</v>
      </c>
      <c r="N669" s="39">
        <v>3361.28</v>
      </c>
      <c r="O669" s="219">
        <f t="shared" si="76"/>
        <v>-3.6341293317764291E-2</v>
      </c>
      <c r="Q669" s="40">
        <v>34107</v>
      </c>
      <c r="R669" s="39">
        <v>1628.5</v>
      </c>
      <c r="S669" s="39">
        <f t="shared" si="72"/>
        <v>5</v>
      </c>
      <c r="T669" s="39">
        <f t="shared" si="73"/>
        <v>0</v>
      </c>
      <c r="U669" s="39">
        <f t="shared" si="74"/>
        <v>0</v>
      </c>
      <c r="V669" s="40"/>
    </row>
    <row r="670" spans="2:22" x14ac:dyDescent="0.35">
      <c r="B670" s="40">
        <v>34108</v>
      </c>
      <c r="C670" s="39">
        <v>1617.4</v>
      </c>
      <c r="D670" s="219">
        <f t="shared" si="75"/>
        <v>-6.8394240545663603E-3</v>
      </c>
      <c r="F670" s="40">
        <v>34108</v>
      </c>
      <c r="G670" s="39">
        <v>1617.4</v>
      </c>
      <c r="H670" s="39">
        <f t="shared" si="70"/>
        <v>3</v>
      </c>
      <c r="I670" s="39">
        <f t="shared" si="71"/>
        <v>0</v>
      </c>
      <c r="K670" s="40">
        <v>37519</v>
      </c>
      <c r="L670" s="39">
        <v>3065.73</v>
      </c>
      <c r="M670" s="39">
        <v>5</v>
      </c>
      <c r="N670" s="39">
        <v>3065.73</v>
      </c>
      <c r="O670" s="219">
        <f t="shared" si="76"/>
        <v>-9.2036139862557514E-2</v>
      </c>
      <c r="Q670" s="40">
        <v>34108</v>
      </c>
      <c r="R670" s="39">
        <v>1617.4</v>
      </c>
      <c r="S670" s="39">
        <f t="shared" si="72"/>
        <v>5</v>
      </c>
      <c r="T670" s="39">
        <f t="shared" si="73"/>
        <v>0</v>
      </c>
      <c r="U670" s="39">
        <f t="shared" si="74"/>
        <v>0</v>
      </c>
      <c r="V670" s="40"/>
    </row>
    <row r="671" spans="2:22" x14ac:dyDescent="0.35">
      <c r="B671" s="40">
        <v>34110</v>
      </c>
      <c r="C671" s="39">
        <v>1610.6</v>
      </c>
      <c r="D671" s="219">
        <f t="shared" si="75"/>
        <v>-4.213141300277317E-3</v>
      </c>
      <c r="F671" s="40">
        <v>34110</v>
      </c>
      <c r="G671" s="39">
        <v>1610.6</v>
      </c>
      <c r="H671" s="39">
        <f t="shared" si="70"/>
        <v>5</v>
      </c>
      <c r="I671" s="39">
        <f t="shared" si="71"/>
        <v>1610.6</v>
      </c>
      <c r="K671" s="40">
        <v>37526</v>
      </c>
      <c r="L671" s="39">
        <v>2918.9</v>
      </c>
      <c r="M671" s="39">
        <v>5</v>
      </c>
      <c r="N671" s="39">
        <v>2918.9</v>
      </c>
      <c r="O671" s="219">
        <f t="shared" si="76"/>
        <v>-4.9078880972063914E-2</v>
      </c>
      <c r="Q671" s="40">
        <v>34110</v>
      </c>
      <c r="R671" s="39">
        <v>1610.6</v>
      </c>
      <c r="S671" s="39">
        <f t="shared" si="72"/>
        <v>5</v>
      </c>
      <c r="T671" s="39">
        <f t="shared" si="73"/>
        <v>0</v>
      </c>
      <c r="U671" s="39">
        <f t="shared" si="74"/>
        <v>0</v>
      </c>
      <c r="V671" s="40"/>
    </row>
    <row r="672" spans="2:22" x14ac:dyDescent="0.35">
      <c r="B672" s="40">
        <v>34113</v>
      </c>
      <c r="C672" s="39">
        <v>1603.1</v>
      </c>
      <c r="D672" s="219">
        <f t="shared" si="75"/>
        <v>-4.6675256658165933E-3</v>
      </c>
      <c r="F672" s="40">
        <v>34113</v>
      </c>
      <c r="G672" s="39">
        <v>1603.1</v>
      </c>
      <c r="H672" s="39">
        <f t="shared" si="70"/>
        <v>1</v>
      </c>
      <c r="I672" s="39">
        <f t="shared" si="71"/>
        <v>0</v>
      </c>
      <c r="K672" s="40">
        <v>37533</v>
      </c>
      <c r="L672" s="39">
        <v>2714.62</v>
      </c>
      <c r="M672" s="39">
        <v>5</v>
      </c>
      <c r="N672" s="39">
        <v>2714.62</v>
      </c>
      <c r="O672" s="219">
        <f t="shared" si="76"/>
        <v>-7.2554852554955793E-2</v>
      </c>
      <c r="Q672" s="40">
        <v>34113</v>
      </c>
      <c r="R672" s="39">
        <v>1603.1</v>
      </c>
      <c r="S672" s="39">
        <f t="shared" si="72"/>
        <v>5</v>
      </c>
      <c r="T672" s="39">
        <f t="shared" si="73"/>
        <v>0</v>
      </c>
      <c r="U672" s="39">
        <f t="shared" si="74"/>
        <v>0</v>
      </c>
      <c r="V672" s="40"/>
    </row>
    <row r="673" spans="2:22" x14ac:dyDescent="0.35">
      <c r="B673" s="40">
        <v>34114</v>
      </c>
      <c r="C673" s="39">
        <v>1618.2</v>
      </c>
      <c r="D673" s="219">
        <f t="shared" si="75"/>
        <v>9.3751656781115595E-3</v>
      </c>
      <c r="F673" s="40">
        <v>34114</v>
      </c>
      <c r="G673" s="39">
        <v>1618.2</v>
      </c>
      <c r="H673" s="39">
        <f t="shared" si="70"/>
        <v>2</v>
      </c>
      <c r="I673" s="39">
        <f t="shared" si="71"/>
        <v>0</v>
      </c>
      <c r="K673" s="40">
        <v>37540</v>
      </c>
      <c r="L673" s="39">
        <v>2930.74</v>
      </c>
      <c r="M673" s="39">
        <v>5</v>
      </c>
      <c r="N673" s="39">
        <v>2930.74</v>
      </c>
      <c r="O673" s="219">
        <f t="shared" si="76"/>
        <v>7.6602970445546453E-2</v>
      </c>
      <c r="Q673" s="40">
        <v>34114</v>
      </c>
      <c r="R673" s="39">
        <v>1618.2</v>
      </c>
      <c r="S673" s="39">
        <f t="shared" si="72"/>
        <v>5</v>
      </c>
      <c r="T673" s="39">
        <f t="shared" si="73"/>
        <v>0</v>
      </c>
      <c r="U673" s="39">
        <f t="shared" si="74"/>
        <v>0</v>
      </c>
      <c r="V673" s="40"/>
    </row>
    <row r="674" spans="2:22" x14ac:dyDescent="0.35">
      <c r="B674" s="40">
        <v>34115</v>
      </c>
      <c r="C674" s="39">
        <v>1622</v>
      </c>
      <c r="D674" s="219">
        <f t="shared" si="75"/>
        <v>2.3455353016189904E-3</v>
      </c>
      <c r="F674" s="40">
        <v>34115</v>
      </c>
      <c r="G674" s="39">
        <v>1622</v>
      </c>
      <c r="H674" s="39">
        <f t="shared" si="70"/>
        <v>3</v>
      </c>
      <c r="I674" s="39">
        <f t="shared" si="71"/>
        <v>0</v>
      </c>
      <c r="K674" s="40">
        <v>37547</v>
      </c>
      <c r="L674" s="39">
        <v>3163.67</v>
      </c>
      <c r="M674" s="39">
        <v>5</v>
      </c>
      <c r="N674" s="39">
        <v>3163.67</v>
      </c>
      <c r="O674" s="219">
        <f t="shared" si="76"/>
        <v>7.6477795241345584E-2</v>
      </c>
      <c r="Q674" s="40">
        <v>34115</v>
      </c>
      <c r="R674" s="39">
        <v>1622</v>
      </c>
      <c r="S674" s="39">
        <f t="shared" si="72"/>
        <v>5</v>
      </c>
      <c r="T674" s="39">
        <f t="shared" si="73"/>
        <v>0</v>
      </c>
      <c r="U674" s="39">
        <f t="shared" si="74"/>
        <v>0</v>
      </c>
      <c r="V674" s="40"/>
    </row>
    <row r="675" spans="2:22" x14ac:dyDescent="0.35">
      <c r="B675" s="40">
        <v>34116</v>
      </c>
      <c r="C675" s="39">
        <v>1634.5</v>
      </c>
      <c r="D675" s="219">
        <f t="shared" si="75"/>
        <v>7.676991488907027E-3</v>
      </c>
      <c r="F675" s="40">
        <v>34116</v>
      </c>
      <c r="G675" s="39">
        <v>1634.5</v>
      </c>
      <c r="H675" s="39">
        <f t="shared" si="70"/>
        <v>4</v>
      </c>
      <c r="I675" s="39">
        <f t="shared" si="71"/>
        <v>0</v>
      </c>
      <c r="K675" s="40">
        <v>37554</v>
      </c>
      <c r="L675" s="39">
        <v>3102.01</v>
      </c>
      <c r="M675" s="39">
        <v>5</v>
      </c>
      <c r="N675" s="39">
        <v>3102.01</v>
      </c>
      <c r="O675" s="219">
        <f t="shared" si="76"/>
        <v>-1.9682457633665922E-2</v>
      </c>
      <c r="Q675" s="40">
        <v>34116</v>
      </c>
      <c r="R675" s="39">
        <v>1634.5</v>
      </c>
      <c r="S675" s="39">
        <f t="shared" si="72"/>
        <v>5</v>
      </c>
      <c r="T675" s="39">
        <f t="shared" si="73"/>
        <v>0</v>
      </c>
      <c r="U675" s="39">
        <f t="shared" si="74"/>
        <v>0</v>
      </c>
      <c r="V675" s="40"/>
    </row>
    <row r="676" spans="2:22" x14ac:dyDescent="0.35">
      <c r="B676" s="40">
        <v>34117</v>
      </c>
      <c r="C676" s="39">
        <v>1631.9</v>
      </c>
      <c r="D676" s="219">
        <f t="shared" si="75"/>
        <v>-1.5919670273762925E-3</v>
      </c>
      <c r="F676" s="40">
        <v>34117</v>
      </c>
      <c r="G676" s="39">
        <v>1631.9</v>
      </c>
      <c r="H676" s="39">
        <f t="shared" si="70"/>
        <v>5</v>
      </c>
      <c r="I676" s="39">
        <f t="shared" si="71"/>
        <v>1631.9</v>
      </c>
      <c r="K676" s="40">
        <v>37561</v>
      </c>
      <c r="L676" s="39">
        <v>3165.16</v>
      </c>
      <c r="M676" s="39">
        <v>5</v>
      </c>
      <c r="N676" s="39">
        <v>3165.16</v>
      </c>
      <c r="O676" s="219">
        <f t="shared" si="76"/>
        <v>2.0153318765195508E-2</v>
      </c>
      <c r="Q676" s="40">
        <v>34117</v>
      </c>
      <c r="R676" s="39">
        <v>1631.9</v>
      </c>
      <c r="S676" s="39">
        <f t="shared" si="72"/>
        <v>5</v>
      </c>
      <c r="T676" s="39">
        <f t="shared" si="73"/>
        <v>1631.9</v>
      </c>
      <c r="U676" s="39">
        <f t="shared" si="74"/>
        <v>1631.9</v>
      </c>
      <c r="V676" s="40"/>
    </row>
    <row r="677" spans="2:22" x14ac:dyDescent="0.35">
      <c r="B677" s="40">
        <v>34121</v>
      </c>
      <c r="C677" s="39">
        <v>1619.9</v>
      </c>
      <c r="D677" s="219">
        <f t="shared" si="75"/>
        <v>-7.3805612107967046E-3</v>
      </c>
      <c r="F677" s="40">
        <v>34121</v>
      </c>
      <c r="G677" s="39">
        <v>1619.9</v>
      </c>
      <c r="H677" s="39">
        <f t="shared" si="70"/>
        <v>2</v>
      </c>
      <c r="I677" s="39">
        <f t="shared" si="71"/>
        <v>0</v>
      </c>
      <c r="K677" s="40">
        <v>37568</v>
      </c>
      <c r="L677" s="39">
        <v>3079.1</v>
      </c>
      <c r="M677" s="39">
        <v>5</v>
      </c>
      <c r="N677" s="39">
        <v>3079.1</v>
      </c>
      <c r="O677" s="219">
        <f t="shared" si="76"/>
        <v>-2.7566260748714568E-2</v>
      </c>
      <c r="Q677" s="40">
        <v>34121</v>
      </c>
      <c r="R677" s="39">
        <v>1619.9</v>
      </c>
      <c r="S677" s="39">
        <f t="shared" si="72"/>
        <v>6</v>
      </c>
      <c r="T677" s="39">
        <f t="shared" si="73"/>
        <v>0</v>
      </c>
      <c r="U677" s="39">
        <f t="shared" si="74"/>
        <v>0</v>
      </c>
      <c r="V677" s="40"/>
    </row>
    <row r="678" spans="2:22" x14ac:dyDescent="0.35">
      <c r="B678" s="40">
        <v>34122</v>
      </c>
      <c r="C678" s="39">
        <v>1625.2</v>
      </c>
      <c r="D678" s="219">
        <f t="shared" si="75"/>
        <v>3.2664661874794634E-3</v>
      </c>
      <c r="F678" s="40">
        <v>34122</v>
      </c>
      <c r="G678" s="39">
        <v>1625.2</v>
      </c>
      <c r="H678" s="39">
        <f t="shared" si="70"/>
        <v>3</v>
      </c>
      <c r="I678" s="39">
        <f t="shared" si="71"/>
        <v>0</v>
      </c>
      <c r="K678" s="40">
        <v>37575</v>
      </c>
      <c r="L678" s="39">
        <v>3191.76</v>
      </c>
      <c r="M678" s="39">
        <v>5</v>
      </c>
      <c r="N678" s="39">
        <v>3191.76</v>
      </c>
      <c r="O678" s="219">
        <f t="shared" si="76"/>
        <v>3.5935142298620666E-2</v>
      </c>
      <c r="Q678" s="40">
        <v>34122</v>
      </c>
      <c r="R678" s="39">
        <v>1625.2</v>
      </c>
      <c r="S678" s="39">
        <f t="shared" si="72"/>
        <v>6</v>
      </c>
      <c r="T678" s="39">
        <f t="shared" si="73"/>
        <v>0</v>
      </c>
      <c r="U678" s="39">
        <f t="shared" si="74"/>
        <v>0</v>
      </c>
      <c r="V678" s="40"/>
    </row>
    <row r="679" spans="2:22" x14ac:dyDescent="0.35">
      <c r="B679" s="40">
        <v>34123</v>
      </c>
      <c r="C679" s="39">
        <v>1629.6</v>
      </c>
      <c r="D679" s="219">
        <f t="shared" si="75"/>
        <v>2.7037007990242871E-3</v>
      </c>
      <c r="F679" s="40">
        <v>34123</v>
      </c>
      <c r="G679" s="39">
        <v>1629.6</v>
      </c>
      <c r="H679" s="39">
        <f t="shared" si="70"/>
        <v>4</v>
      </c>
      <c r="I679" s="39">
        <f t="shared" si="71"/>
        <v>0</v>
      </c>
      <c r="K679" s="40">
        <v>37582</v>
      </c>
      <c r="L679" s="39">
        <v>3320.88</v>
      </c>
      <c r="M679" s="39">
        <v>5</v>
      </c>
      <c r="N679" s="39">
        <v>3320.88</v>
      </c>
      <c r="O679" s="219">
        <f t="shared" si="76"/>
        <v>3.9657319256221145E-2</v>
      </c>
      <c r="Q679" s="40">
        <v>34123</v>
      </c>
      <c r="R679" s="39">
        <v>1629.6</v>
      </c>
      <c r="S679" s="39">
        <f t="shared" si="72"/>
        <v>6</v>
      </c>
      <c r="T679" s="39">
        <f t="shared" si="73"/>
        <v>0</v>
      </c>
      <c r="U679" s="39">
        <f t="shared" si="74"/>
        <v>0</v>
      </c>
      <c r="V679" s="40"/>
    </row>
    <row r="680" spans="2:22" x14ac:dyDescent="0.35">
      <c r="B680" s="40">
        <v>34124</v>
      </c>
      <c r="C680" s="39">
        <v>1637.9</v>
      </c>
      <c r="D680" s="219">
        <f t="shared" si="75"/>
        <v>5.0803475757379849E-3</v>
      </c>
      <c r="F680" s="40">
        <v>34124</v>
      </c>
      <c r="G680" s="39">
        <v>1637.9</v>
      </c>
      <c r="H680" s="39">
        <f t="shared" si="70"/>
        <v>5</v>
      </c>
      <c r="I680" s="39">
        <f t="shared" si="71"/>
        <v>1637.9</v>
      </c>
      <c r="K680" s="40">
        <v>37589</v>
      </c>
      <c r="L680" s="39">
        <v>3320.32</v>
      </c>
      <c r="M680" s="39">
        <v>5</v>
      </c>
      <c r="N680" s="39">
        <v>3320.32</v>
      </c>
      <c r="O680" s="219">
        <f t="shared" si="76"/>
        <v>-1.6864422132364918E-4</v>
      </c>
      <c r="Q680" s="40">
        <v>34124</v>
      </c>
      <c r="R680" s="39">
        <v>1637.9</v>
      </c>
      <c r="S680" s="39">
        <f t="shared" si="72"/>
        <v>6</v>
      </c>
      <c r="T680" s="39">
        <f t="shared" si="73"/>
        <v>0</v>
      </c>
      <c r="U680" s="39">
        <f t="shared" si="74"/>
        <v>0</v>
      </c>
      <c r="V680" s="40"/>
    </row>
    <row r="681" spans="2:22" x14ac:dyDescent="0.35">
      <c r="B681" s="40">
        <v>34127</v>
      </c>
      <c r="C681" s="39">
        <v>1655.6</v>
      </c>
      <c r="D681" s="219">
        <f t="shared" si="75"/>
        <v>1.0748547386243442E-2</v>
      </c>
      <c r="F681" s="40">
        <v>34127</v>
      </c>
      <c r="G681" s="39">
        <v>1655.6</v>
      </c>
      <c r="H681" s="39">
        <f t="shared" si="70"/>
        <v>1</v>
      </c>
      <c r="I681" s="39">
        <f t="shared" si="71"/>
        <v>0</v>
      </c>
      <c r="K681" s="40">
        <v>37596</v>
      </c>
      <c r="L681" s="39">
        <v>3207.53</v>
      </c>
      <c r="M681" s="39">
        <v>5</v>
      </c>
      <c r="N681" s="39">
        <v>3207.53</v>
      </c>
      <c r="O681" s="219">
        <f t="shared" si="76"/>
        <v>-3.4559993283141514E-2</v>
      </c>
      <c r="Q681" s="40">
        <v>34127</v>
      </c>
      <c r="R681" s="39">
        <v>1655.6</v>
      </c>
      <c r="S681" s="39">
        <f t="shared" si="72"/>
        <v>6</v>
      </c>
      <c r="T681" s="39">
        <f t="shared" si="73"/>
        <v>0</v>
      </c>
      <c r="U681" s="39">
        <f t="shared" si="74"/>
        <v>0</v>
      </c>
      <c r="V681" s="40"/>
    </row>
    <row r="682" spans="2:22" x14ac:dyDescent="0.35">
      <c r="B682" s="40">
        <v>34128</v>
      </c>
      <c r="C682" s="39">
        <v>1661.6</v>
      </c>
      <c r="D682" s="219">
        <f t="shared" si="75"/>
        <v>3.6175126873251562E-3</v>
      </c>
      <c r="F682" s="40">
        <v>34128</v>
      </c>
      <c r="G682" s="39">
        <v>1661.6</v>
      </c>
      <c r="H682" s="39">
        <f t="shared" si="70"/>
        <v>2</v>
      </c>
      <c r="I682" s="39">
        <f t="shared" si="71"/>
        <v>0</v>
      </c>
      <c r="K682" s="40">
        <v>37603</v>
      </c>
      <c r="L682" s="39">
        <v>3077.06</v>
      </c>
      <c r="M682" s="39">
        <v>5</v>
      </c>
      <c r="N682" s="39">
        <v>3077.06</v>
      </c>
      <c r="O682" s="219">
        <f t="shared" si="76"/>
        <v>-4.1526574880332526E-2</v>
      </c>
      <c r="Q682" s="40">
        <v>34128</v>
      </c>
      <c r="R682" s="39">
        <v>1661.6</v>
      </c>
      <c r="S682" s="39">
        <f t="shared" si="72"/>
        <v>6</v>
      </c>
      <c r="T682" s="39">
        <f t="shared" si="73"/>
        <v>0</v>
      </c>
      <c r="U682" s="39">
        <f t="shared" si="74"/>
        <v>0</v>
      </c>
      <c r="V682" s="40"/>
    </row>
    <row r="683" spans="2:22" x14ac:dyDescent="0.35">
      <c r="B683" s="40">
        <v>34129</v>
      </c>
      <c r="C683" s="39">
        <v>1673.1</v>
      </c>
      <c r="D683" s="219">
        <f t="shared" si="75"/>
        <v>6.8971995017152229E-3</v>
      </c>
      <c r="F683" s="40">
        <v>34129</v>
      </c>
      <c r="G683" s="39">
        <v>1673.1</v>
      </c>
      <c r="H683" s="39">
        <f t="shared" si="70"/>
        <v>3</v>
      </c>
      <c r="I683" s="39">
        <f t="shared" si="71"/>
        <v>0</v>
      </c>
      <c r="K683" s="40">
        <v>37610</v>
      </c>
      <c r="L683" s="39">
        <v>3024.22</v>
      </c>
      <c r="M683" s="39">
        <v>5</v>
      </c>
      <c r="N683" s="39">
        <v>3024.22</v>
      </c>
      <c r="O683" s="219">
        <f t="shared" si="76"/>
        <v>-1.7321388668515292E-2</v>
      </c>
      <c r="Q683" s="40">
        <v>34129</v>
      </c>
      <c r="R683" s="39">
        <v>1673.1</v>
      </c>
      <c r="S683" s="39">
        <f t="shared" si="72"/>
        <v>6</v>
      </c>
      <c r="T683" s="39">
        <f t="shared" si="73"/>
        <v>0</v>
      </c>
      <c r="U683" s="39">
        <f t="shared" si="74"/>
        <v>0</v>
      </c>
      <c r="V683" s="40"/>
    </row>
    <row r="684" spans="2:22" x14ac:dyDescent="0.35">
      <c r="B684" s="40">
        <v>34131</v>
      </c>
      <c r="C684" s="39">
        <v>1681</v>
      </c>
      <c r="D684" s="219">
        <f t="shared" si="75"/>
        <v>4.7106613449978494E-3</v>
      </c>
      <c r="F684" s="40">
        <v>34131</v>
      </c>
      <c r="G684" s="39">
        <v>1681</v>
      </c>
      <c r="H684" s="39">
        <f t="shared" si="70"/>
        <v>5</v>
      </c>
      <c r="I684" s="39">
        <f t="shared" si="71"/>
        <v>1681</v>
      </c>
      <c r="K684" s="40">
        <v>37617</v>
      </c>
      <c r="L684" s="39">
        <v>2840</v>
      </c>
      <c r="M684" s="39">
        <v>5</v>
      </c>
      <c r="N684" s="39">
        <v>2840</v>
      </c>
      <c r="O684" s="219">
        <f t="shared" si="76"/>
        <v>-6.2849154820674005E-2</v>
      </c>
      <c r="Q684" s="40">
        <v>34131</v>
      </c>
      <c r="R684" s="39">
        <v>1681</v>
      </c>
      <c r="S684" s="39">
        <f t="shared" si="72"/>
        <v>6</v>
      </c>
      <c r="T684" s="39">
        <f t="shared" si="73"/>
        <v>0</v>
      </c>
      <c r="U684" s="39">
        <f t="shared" si="74"/>
        <v>0</v>
      </c>
      <c r="V684" s="40"/>
    </row>
    <row r="685" spans="2:22" x14ac:dyDescent="0.35">
      <c r="B685" s="40">
        <v>34134</v>
      </c>
      <c r="C685" s="39">
        <v>1692</v>
      </c>
      <c r="D685" s="219">
        <f t="shared" si="75"/>
        <v>6.5224067575529541E-3</v>
      </c>
      <c r="F685" s="40">
        <v>34134</v>
      </c>
      <c r="G685" s="39">
        <v>1692</v>
      </c>
      <c r="H685" s="39">
        <f t="shared" si="70"/>
        <v>1</v>
      </c>
      <c r="I685" s="39">
        <f t="shared" si="71"/>
        <v>0</v>
      </c>
      <c r="K685" s="40">
        <v>37624</v>
      </c>
      <c r="L685" s="39">
        <v>3092.94</v>
      </c>
      <c r="M685" s="39">
        <v>5</v>
      </c>
      <c r="N685" s="39">
        <v>3092.94</v>
      </c>
      <c r="O685" s="219">
        <f t="shared" si="76"/>
        <v>8.5318042699566846E-2</v>
      </c>
      <c r="Q685" s="40">
        <v>34134</v>
      </c>
      <c r="R685" s="39">
        <v>1692</v>
      </c>
      <c r="S685" s="39">
        <f t="shared" si="72"/>
        <v>6</v>
      </c>
      <c r="T685" s="39">
        <f t="shared" si="73"/>
        <v>0</v>
      </c>
      <c r="U685" s="39">
        <f t="shared" si="74"/>
        <v>0</v>
      </c>
      <c r="V685" s="40"/>
    </row>
    <row r="686" spans="2:22" x14ac:dyDescent="0.35">
      <c r="B686" s="40">
        <v>34135</v>
      </c>
      <c r="C686" s="39">
        <v>1684.1</v>
      </c>
      <c r="D686" s="219">
        <f t="shared" si="75"/>
        <v>-4.6799647041600783E-3</v>
      </c>
      <c r="F686" s="40">
        <v>34135</v>
      </c>
      <c r="G686" s="39">
        <v>1684.1</v>
      </c>
      <c r="H686" s="39">
        <f t="shared" si="70"/>
        <v>2</v>
      </c>
      <c r="I686" s="39">
        <f t="shared" si="71"/>
        <v>0</v>
      </c>
      <c r="K686" s="40">
        <v>37631</v>
      </c>
      <c r="L686" s="39">
        <v>3037.33</v>
      </c>
      <c r="M686" s="39">
        <v>5</v>
      </c>
      <c r="N686" s="39">
        <v>3037.33</v>
      </c>
      <c r="O686" s="219">
        <f t="shared" si="76"/>
        <v>-1.8143254850419271E-2</v>
      </c>
      <c r="Q686" s="40">
        <v>34135</v>
      </c>
      <c r="R686" s="39">
        <v>1684.1</v>
      </c>
      <c r="S686" s="39">
        <f t="shared" si="72"/>
        <v>6</v>
      </c>
      <c r="T686" s="39">
        <f t="shared" si="73"/>
        <v>0</v>
      </c>
      <c r="U686" s="39">
        <f t="shared" si="74"/>
        <v>0</v>
      </c>
      <c r="V686" s="40"/>
    </row>
    <row r="687" spans="2:22" x14ac:dyDescent="0.35">
      <c r="B687" s="40">
        <v>34136</v>
      </c>
      <c r="C687" s="39">
        <v>1689.6</v>
      </c>
      <c r="D687" s="219">
        <f t="shared" si="75"/>
        <v>3.2605180499337555E-3</v>
      </c>
      <c r="F687" s="40">
        <v>34136</v>
      </c>
      <c r="G687" s="39">
        <v>1689.6</v>
      </c>
      <c r="H687" s="39">
        <f t="shared" si="70"/>
        <v>3</v>
      </c>
      <c r="I687" s="39">
        <f t="shared" si="71"/>
        <v>0</v>
      </c>
      <c r="K687" s="40">
        <v>37638</v>
      </c>
      <c r="L687" s="39">
        <v>2918.82</v>
      </c>
      <c r="M687" s="39">
        <v>5</v>
      </c>
      <c r="N687" s="39">
        <v>2918.82</v>
      </c>
      <c r="O687" s="219">
        <f t="shared" si="76"/>
        <v>-3.9799415005397153E-2</v>
      </c>
      <c r="Q687" s="40">
        <v>34136</v>
      </c>
      <c r="R687" s="39">
        <v>1689.6</v>
      </c>
      <c r="S687" s="39">
        <f t="shared" si="72"/>
        <v>6</v>
      </c>
      <c r="T687" s="39">
        <f t="shared" si="73"/>
        <v>0</v>
      </c>
      <c r="U687" s="39">
        <f t="shared" si="74"/>
        <v>0</v>
      </c>
      <c r="V687" s="40"/>
    </row>
    <row r="688" spans="2:22" x14ac:dyDescent="0.35">
      <c r="B688" s="40">
        <v>34137</v>
      </c>
      <c r="C688" s="39">
        <v>1692.3</v>
      </c>
      <c r="D688" s="219">
        <f t="shared" si="75"/>
        <v>1.5967359020978697E-3</v>
      </c>
      <c r="F688" s="40">
        <v>34137</v>
      </c>
      <c r="G688" s="39">
        <v>1692.3</v>
      </c>
      <c r="H688" s="39">
        <f t="shared" si="70"/>
        <v>4</v>
      </c>
      <c r="I688" s="39">
        <f t="shared" si="71"/>
        <v>0</v>
      </c>
      <c r="K688" s="40">
        <v>37645</v>
      </c>
      <c r="L688" s="39">
        <v>2717.82</v>
      </c>
      <c r="M688" s="39">
        <v>5</v>
      </c>
      <c r="N688" s="39">
        <v>2717.82</v>
      </c>
      <c r="O688" s="219">
        <f t="shared" si="76"/>
        <v>-7.1349336646459025E-2</v>
      </c>
      <c r="Q688" s="40">
        <v>34137</v>
      </c>
      <c r="R688" s="39">
        <v>1692.3</v>
      </c>
      <c r="S688" s="39">
        <f t="shared" si="72"/>
        <v>6</v>
      </c>
      <c r="T688" s="39">
        <f t="shared" si="73"/>
        <v>0</v>
      </c>
      <c r="U688" s="39">
        <f t="shared" si="74"/>
        <v>0</v>
      </c>
      <c r="V688" s="40"/>
    </row>
    <row r="689" spans="2:22" x14ac:dyDescent="0.35">
      <c r="B689" s="40">
        <v>34138</v>
      </c>
      <c r="C689" s="39">
        <v>1686.9</v>
      </c>
      <c r="D689" s="219">
        <f t="shared" si="75"/>
        <v>-3.196025447774341E-3</v>
      </c>
      <c r="F689" s="40">
        <v>34138</v>
      </c>
      <c r="G689" s="39">
        <v>1686.9</v>
      </c>
      <c r="H689" s="39">
        <f t="shared" si="70"/>
        <v>5</v>
      </c>
      <c r="I689" s="39">
        <f t="shared" si="71"/>
        <v>1686.9</v>
      </c>
      <c r="K689" s="40">
        <v>37652</v>
      </c>
      <c r="L689" s="39">
        <v>2747.83</v>
      </c>
      <c r="M689" s="39">
        <v>5</v>
      </c>
      <c r="N689" s="39">
        <v>2747.83</v>
      </c>
      <c r="O689" s="219">
        <f t="shared" si="76"/>
        <v>1.098142090287502E-2</v>
      </c>
      <c r="Q689" s="40">
        <v>34138</v>
      </c>
      <c r="R689" s="39">
        <v>1686.9</v>
      </c>
      <c r="S689" s="39">
        <f t="shared" si="72"/>
        <v>6</v>
      </c>
      <c r="T689" s="39">
        <f t="shared" si="73"/>
        <v>0</v>
      </c>
      <c r="U689" s="39">
        <f t="shared" si="74"/>
        <v>0</v>
      </c>
      <c r="V689" s="40"/>
    </row>
    <row r="690" spans="2:22" x14ac:dyDescent="0.35">
      <c r="B690" s="40">
        <v>34141</v>
      </c>
      <c r="C690" s="39">
        <v>1689.8</v>
      </c>
      <c r="D690" s="219">
        <f t="shared" si="75"/>
        <v>1.7176537524787032E-3</v>
      </c>
      <c r="F690" s="40">
        <v>34141</v>
      </c>
      <c r="G690" s="39">
        <v>1689.8</v>
      </c>
      <c r="H690" s="39">
        <f t="shared" si="70"/>
        <v>1</v>
      </c>
      <c r="I690" s="39">
        <f t="shared" si="71"/>
        <v>0</v>
      </c>
      <c r="K690" s="40">
        <v>37659</v>
      </c>
      <c r="L690" s="39">
        <v>2569.34</v>
      </c>
      <c r="M690" s="39">
        <v>5</v>
      </c>
      <c r="N690" s="39">
        <v>2569.34</v>
      </c>
      <c r="O690" s="219">
        <f t="shared" si="76"/>
        <v>-6.71624526858388E-2</v>
      </c>
      <c r="Q690" s="40">
        <v>34141</v>
      </c>
      <c r="R690" s="39">
        <v>1689.8</v>
      </c>
      <c r="S690" s="39">
        <f t="shared" si="72"/>
        <v>6</v>
      </c>
      <c r="T690" s="39">
        <f t="shared" si="73"/>
        <v>0</v>
      </c>
      <c r="U690" s="39">
        <f t="shared" si="74"/>
        <v>0</v>
      </c>
      <c r="V690" s="40"/>
    </row>
    <row r="691" spans="2:22" x14ac:dyDescent="0.35">
      <c r="B691" s="40">
        <v>34142</v>
      </c>
      <c r="C691" s="39">
        <v>1698.1</v>
      </c>
      <c r="D691" s="219">
        <f t="shared" si="75"/>
        <v>4.8998002335110466E-3</v>
      </c>
      <c r="F691" s="40">
        <v>34142</v>
      </c>
      <c r="G691" s="39">
        <v>1698.1</v>
      </c>
      <c r="H691" s="39">
        <f t="shared" si="70"/>
        <v>2</v>
      </c>
      <c r="I691" s="39">
        <f t="shared" si="71"/>
        <v>0</v>
      </c>
      <c r="K691" s="40">
        <v>37666</v>
      </c>
      <c r="L691" s="39">
        <v>2674.46</v>
      </c>
      <c r="M691" s="39">
        <v>5</v>
      </c>
      <c r="N691" s="39">
        <v>2674.46</v>
      </c>
      <c r="O691" s="219">
        <f t="shared" si="76"/>
        <v>4.0098434223328046E-2</v>
      </c>
      <c r="Q691" s="40">
        <v>34142</v>
      </c>
      <c r="R691" s="39">
        <v>1698.1</v>
      </c>
      <c r="S691" s="39">
        <f t="shared" si="72"/>
        <v>6</v>
      </c>
      <c r="T691" s="39">
        <f t="shared" si="73"/>
        <v>0</v>
      </c>
      <c r="U691" s="39">
        <f t="shared" si="74"/>
        <v>0</v>
      </c>
      <c r="V691" s="40"/>
    </row>
    <row r="692" spans="2:22" x14ac:dyDescent="0.35">
      <c r="B692" s="40">
        <v>34143</v>
      </c>
      <c r="C692" s="39">
        <v>1699.4</v>
      </c>
      <c r="D692" s="219">
        <f t="shared" si="75"/>
        <v>7.652686171855744E-4</v>
      </c>
      <c r="F692" s="40">
        <v>34143</v>
      </c>
      <c r="G692" s="39">
        <v>1699.4</v>
      </c>
      <c r="H692" s="39">
        <f t="shared" si="70"/>
        <v>3</v>
      </c>
      <c r="I692" s="39">
        <f t="shared" si="71"/>
        <v>0</v>
      </c>
      <c r="K692" s="40">
        <v>37673</v>
      </c>
      <c r="L692" s="39">
        <v>2648.87</v>
      </c>
      <c r="M692" s="39">
        <v>5</v>
      </c>
      <c r="N692" s="39">
        <v>2648.87</v>
      </c>
      <c r="O692" s="219">
        <f t="shared" si="76"/>
        <v>-9.6143568477485512E-3</v>
      </c>
      <c r="Q692" s="40">
        <v>34143</v>
      </c>
      <c r="R692" s="39">
        <v>1699.4</v>
      </c>
      <c r="S692" s="39">
        <f t="shared" si="72"/>
        <v>6</v>
      </c>
      <c r="T692" s="39">
        <f t="shared" si="73"/>
        <v>0</v>
      </c>
      <c r="U692" s="39">
        <f t="shared" si="74"/>
        <v>0</v>
      </c>
      <c r="V692" s="40"/>
    </row>
    <row r="693" spans="2:22" x14ac:dyDescent="0.35">
      <c r="B693" s="40">
        <v>34144</v>
      </c>
      <c r="C693" s="39">
        <v>1686.3</v>
      </c>
      <c r="D693" s="219">
        <f t="shared" si="75"/>
        <v>-7.7384678933020883E-3</v>
      </c>
      <c r="F693" s="40">
        <v>34144</v>
      </c>
      <c r="G693" s="39">
        <v>1686.3</v>
      </c>
      <c r="H693" s="39">
        <f t="shared" si="70"/>
        <v>4</v>
      </c>
      <c r="I693" s="39">
        <f t="shared" si="71"/>
        <v>0</v>
      </c>
      <c r="K693" s="40">
        <v>37680</v>
      </c>
      <c r="L693" s="39">
        <v>2547.0500000000002</v>
      </c>
      <c r="M693" s="39">
        <v>5</v>
      </c>
      <c r="N693" s="39">
        <v>2547.0500000000002</v>
      </c>
      <c r="O693" s="219">
        <f t="shared" si="76"/>
        <v>-3.9197307220027088E-2</v>
      </c>
      <c r="Q693" s="40">
        <v>34144</v>
      </c>
      <c r="R693" s="39">
        <v>1686.3</v>
      </c>
      <c r="S693" s="39">
        <f t="shared" si="72"/>
        <v>6</v>
      </c>
      <c r="T693" s="39">
        <f t="shared" si="73"/>
        <v>0</v>
      </c>
      <c r="U693" s="39">
        <f t="shared" si="74"/>
        <v>0</v>
      </c>
      <c r="V693" s="40"/>
    </row>
    <row r="694" spans="2:22" x14ac:dyDescent="0.35">
      <c r="B694" s="40">
        <v>34145</v>
      </c>
      <c r="C694" s="39">
        <v>1695.2</v>
      </c>
      <c r="D694" s="219">
        <f t="shared" si="75"/>
        <v>5.2639482779504336E-3</v>
      </c>
      <c r="F694" s="40">
        <v>34145</v>
      </c>
      <c r="G694" s="39">
        <v>1695.2</v>
      </c>
      <c r="H694" s="39">
        <f t="shared" si="70"/>
        <v>5</v>
      </c>
      <c r="I694" s="39">
        <f t="shared" si="71"/>
        <v>1695.2</v>
      </c>
      <c r="K694" s="40">
        <v>37687</v>
      </c>
      <c r="L694" s="39">
        <v>2431.66</v>
      </c>
      <c r="M694" s="39">
        <v>5</v>
      </c>
      <c r="N694" s="39">
        <v>2431.66</v>
      </c>
      <c r="O694" s="219">
        <f t="shared" si="76"/>
        <v>-4.6361675043951785E-2</v>
      </c>
      <c r="Q694" s="40">
        <v>34145</v>
      </c>
      <c r="R694" s="39">
        <v>1695.2</v>
      </c>
      <c r="S694" s="39">
        <f t="shared" si="72"/>
        <v>6</v>
      </c>
      <c r="T694" s="39">
        <f t="shared" si="73"/>
        <v>0</v>
      </c>
      <c r="U694" s="39">
        <f t="shared" si="74"/>
        <v>0</v>
      </c>
      <c r="V694" s="40"/>
    </row>
    <row r="695" spans="2:22" x14ac:dyDescent="0.35">
      <c r="B695" s="40">
        <v>34148</v>
      </c>
      <c r="C695" s="39">
        <v>1707.2</v>
      </c>
      <c r="D695" s="219">
        <f t="shared" si="75"/>
        <v>7.0538735933995816E-3</v>
      </c>
      <c r="F695" s="40">
        <v>34148</v>
      </c>
      <c r="G695" s="39">
        <v>1707.2</v>
      </c>
      <c r="H695" s="39">
        <f t="shared" ref="H695:H758" si="77">WEEKDAY(F695,2)</f>
        <v>1</v>
      </c>
      <c r="I695" s="39">
        <f t="shared" ref="I695:I758" si="78">IF(H695&gt;H696,G695,0)</f>
        <v>0</v>
      </c>
      <c r="K695" s="40">
        <v>37694</v>
      </c>
      <c r="L695" s="39">
        <v>2403.19</v>
      </c>
      <c r="M695" s="39">
        <v>5</v>
      </c>
      <c r="N695" s="39">
        <v>2403.19</v>
      </c>
      <c r="O695" s="219">
        <f t="shared" si="76"/>
        <v>-1.1777130238530319E-2</v>
      </c>
      <c r="Q695" s="40">
        <v>34148</v>
      </c>
      <c r="R695" s="39">
        <v>1707.2</v>
      </c>
      <c r="S695" s="39">
        <f t="shared" ref="S695:S758" si="79">MONTH(Q695)</f>
        <v>6</v>
      </c>
      <c r="T695" s="39">
        <f t="shared" ref="T695:T758" si="80">IF(S696&lt;&gt;S695,R695,0)</f>
        <v>0</v>
      </c>
      <c r="U695" s="39">
        <f t="shared" ref="U695:U758" si="81">IF(S696=S695,0,R695)</f>
        <v>0</v>
      </c>
      <c r="V695" s="40"/>
    </row>
    <row r="696" spans="2:22" x14ac:dyDescent="0.35">
      <c r="B696" s="40">
        <v>34149</v>
      </c>
      <c r="C696" s="39">
        <v>1708.3</v>
      </c>
      <c r="D696" s="219">
        <f t="shared" ref="D696:D759" si="82">LN(C696/C695)</f>
        <v>6.4412240552300744E-4</v>
      </c>
      <c r="F696" s="40">
        <v>34149</v>
      </c>
      <c r="G696" s="39">
        <v>1708.3</v>
      </c>
      <c r="H696" s="39">
        <f t="shared" si="77"/>
        <v>2</v>
      </c>
      <c r="I696" s="39">
        <f t="shared" si="78"/>
        <v>0</v>
      </c>
      <c r="K696" s="40">
        <v>37701</v>
      </c>
      <c r="L696" s="39">
        <v>2715.06</v>
      </c>
      <c r="M696" s="39">
        <v>5</v>
      </c>
      <c r="N696" s="39">
        <v>2715.06</v>
      </c>
      <c r="O696" s="219">
        <f t="shared" ref="O696:O759" si="83">LN(N696/N695)</f>
        <v>0.12201703112871086</v>
      </c>
      <c r="Q696" s="40">
        <v>34149</v>
      </c>
      <c r="R696" s="39">
        <v>1708.3</v>
      </c>
      <c r="S696" s="39">
        <f t="shared" si="79"/>
        <v>6</v>
      </c>
      <c r="T696" s="39">
        <f t="shared" si="80"/>
        <v>0</v>
      </c>
      <c r="U696" s="39">
        <f t="shared" si="81"/>
        <v>0</v>
      </c>
      <c r="V696" s="40"/>
    </row>
    <row r="697" spans="2:22" x14ac:dyDescent="0.35">
      <c r="B697" s="40">
        <v>34150</v>
      </c>
      <c r="C697" s="39">
        <v>1697.6</v>
      </c>
      <c r="D697" s="219">
        <f t="shared" si="82"/>
        <v>-6.2832350932932792E-3</v>
      </c>
      <c r="F697" s="40">
        <v>34150</v>
      </c>
      <c r="G697" s="39">
        <v>1697.6</v>
      </c>
      <c r="H697" s="39">
        <f t="shared" si="77"/>
        <v>3</v>
      </c>
      <c r="I697" s="39">
        <f t="shared" si="78"/>
        <v>0</v>
      </c>
      <c r="K697" s="40">
        <v>37708</v>
      </c>
      <c r="L697" s="39">
        <v>2520.84</v>
      </c>
      <c r="M697" s="39">
        <v>5</v>
      </c>
      <c r="N697" s="39">
        <v>2520.84</v>
      </c>
      <c r="O697" s="219">
        <f t="shared" si="83"/>
        <v>-7.4221873275770983E-2</v>
      </c>
      <c r="Q697" s="40">
        <v>34150</v>
      </c>
      <c r="R697" s="39">
        <v>1697.6</v>
      </c>
      <c r="S697" s="39">
        <f t="shared" si="79"/>
        <v>6</v>
      </c>
      <c r="T697" s="39">
        <f t="shared" si="80"/>
        <v>1697.6</v>
      </c>
      <c r="U697" s="39">
        <f t="shared" si="81"/>
        <v>1697.6</v>
      </c>
      <c r="V697" s="40"/>
    </row>
    <row r="698" spans="2:22" x14ac:dyDescent="0.35">
      <c r="B698" s="40">
        <v>34151</v>
      </c>
      <c r="C698" s="39">
        <v>1706.6</v>
      </c>
      <c r="D698" s="219">
        <f t="shared" si="82"/>
        <v>5.287598242765726E-3</v>
      </c>
      <c r="F698" s="40">
        <v>34151</v>
      </c>
      <c r="G698" s="39">
        <v>1706.6</v>
      </c>
      <c r="H698" s="39">
        <f t="shared" si="77"/>
        <v>4</v>
      </c>
      <c r="I698" s="39">
        <f t="shared" si="78"/>
        <v>0</v>
      </c>
      <c r="K698" s="40">
        <v>37715</v>
      </c>
      <c r="L698" s="39">
        <v>2654.07</v>
      </c>
      <c r="M698" s="39">
        <v>5</v>
      </c>
      <c r="N698" s="39">
        <v>2654.07</v>
      </c>
      <c r="O698" s="219">
        <f t="shared" si="83"/>
        <v>5.1502131531334198E-2</v>
      </c>
      <c r="Q698" s="40">
        <v>34151</v>
      </c>
      <c r="R698" s="39">
        <v>1706.6</v>
      </c>
      <c r="S698" s="39">
        <f t="shared" si="79"/>
        <v>7</v>
      </c>
      <c r="T698" s="39">
        <f t="shared" si="80"/>
        <v>0</v>
      </c>
      <c r="U698" s="39">
        <f t="shared" si="81"/>
        <v>0</v>
      </c>
      <c r="V698" s="40"/>
    </row>
    <row r="699" spans="2:22" x14ac:dyDescent="0.35">
      <c r="B699" s="40">
        <v>34152</v>
      </c>
      <c r="C699" s="39">
        <v>1697.8</v>
      </c>
      <c r="D699" s="219">
        <f t="shared" si="82"/>
        <v>-5.1697917986170553E-3</v>
      </c>
      <c r="F699" s="40">
        <v>34152</v>
      </c>
      <c r="G699" s="39">
        <v>1697.8</v>
      </c>
      <c r="H699" s="39">
        <f t="shared" si="77"/>
        <v>5</v>
      </c>
      <c r="I699" s="39">
        <f t="shared" si="78"/>
        <v>1697.8</v>
      </c>
      <c r="K699" s="40">
        <v>37722</v>
      </c>
      <c r="L699" s="39">
        <v>2733.95</v>
      </c>
      <c r="M699" s="39">
        <v>5</v>
      </c>
      <c r="N699" s="39">
        <v>2733.95</v>
      </c>
      <c r="O699" s="219">
        <f t="shared" si="83"/>
        <v>2.9653139067354929E-2</v>
      </c>
      <c r="Q699" s="40">
        <v>34152</v>
      </c>
      <c r="R699" s="39">
        <v>1697.8</v>
      </c>
      <c r="S699" s="39">
        <f t="shared" si="79"/>
        <v>7</v>
      </c>
      <c r="T699" s="39">
        <f t="shared" si="80"/>
        <v>0</v>
      </c>
      <c r="U699" s="39">
        <f t="shared" si="81"/>
        <v>0</v>
      </c>
      <c r="V699" s="40"/>
    </row>
    <row r="700" spans="2:22" x14ac:dyDescent="0.35">
      <c r="B700" s="40">
        <v>34155</v>
      </c>
      <c r="C700" s="39">
        <v>1692.2</v>
      </c>
      <c r="D700" s="219">
        <f t="shared" si="82"/>
        <v>-3.3038378134668577E-3</v>
      </c>
      <c r="F700" s="40">
        <v>34155</v>
      </c>
      <c r="G700" s="39">
        <v>1692.2</v>
      </c>
      <c r="H700" s="39">
        <f t="shared" si="77"/>
        <v>1</v>
      </c>
      <c r="I700" s="39">
        <f t="shared" si="78"/>
        <v>0</v>
      </c>
      <c r="K700" s="40">
        <v>37728</v>
      </c>
      <c r="L700" s="39">
        <v>2899.78</v>
      </c>
      <c r="M700" s="39">
        <v>4</v>
      </c>
      <c r="N700" s="39">
        <v>2899.78</v>
      </c>
      <c r="O700" s="219">
        <f t="shared" si="83"/>
        <v>5.8887422133649239E-2</v>
      </c>
      <c r="Q700" s="40">
        <v>34155</v>
      </c>
      <c r="R700" s="39">
        <v>1692.2</v>
      </c>
      <c r="S700" s="39">
        <f t="shared" si="79"/>
        <v>7</v>
      </c>
      <c r="T700" s="39">
        <f t="shared" si="80"/>
        <v>0</v>
      </c>
      <c r="U700" s="39">
        <f t="shared" si="81"/>
        <v>0</v>
      </c>
      <c r="V700" s="40"/>
    </row>
    <row r="701" spans="2:22" x14ac:dyDescent="0.35">
      <c r="B701" s="40">
        <v>34156</v>
      </c>
      <c r="C701" s="39">
        <v>1700.9</v>
      </c>
      <c r="D701" s="219">
        <f t="shared" si="82"/>
        <v>5.1280652296454288E-3</v>
      </c>
      <c r="F701" s="40">
        <v>34156</v>
      </c>
      <c r="G701" s="39">
        <v>1700.9</v>
      </c>
      <c r="H701" s="39">
        <f t="shared" si="77"/>
        <v>2</v>
      </c>
      <c r="I701" s="39">
        <f t="shared" si="78"/>
        <v>0</v>
      </c>
      <c r="K701" s="40">
        <v>37736</v>
      </c>
      <c r="L701" s="39">
        <v>2838.23</v>
      </c>
      <c r="M701" s="39">
        <v>5</v>
      </c>
      <c r="N701" s="39">
        <v>2838.23</v>
      </c>
      <c r="O701" s="219">
        <f t="shared" si="83"/>
        <v>-2.1454253603725448E-2</v>
      </c>
      <c r="Q701" s="40">
        <v>34156</v>
      </c>
      <c r="R701" s="39">
        <v>1700.9</v>
      </c>
      <c r="S701" s="39">
        <f t="shared" si="79"/>
        <v>7</v>
      </c>
      <c r="T701" s="39">
        <f t="shared" si="80"/>
        <v>0</v>
      </c>
      <c r="U701" s="39">
        <f t="shared" si="81"/>
        <v>0</v>
      </c>
      <c r="V701" s="40"/>
    </row>
    <row r="702" spans="2:22" x14ac:dyDescent="0.35">
      <c r="B702" s="40">
        <v>34157</v>
      </c>
      <c r="C702" s="39">
        <v>1719.8</v>
      </c>
      <c r="D702" s="219">
        <f t="shared" si="82"/>
        <v>1.1050482256750135E-2</v>
      </c>
      <c r="F702" s="40">
        <v>34157</v>
      </c>
      <c r="G702" s="39">
        <v>1719.8</v>
      </c>
      <c r="H702" s="39">
        <f t="shared" si="77"/>
        <v>3</v>
      </c>
      <c r="I702" s="39">
        <f t="shared" si="78"/>
        <v>0</v>
      </c>
      <c r="K702" s="40">
        <v>37743</v>
      </c>
      <c r="L702" s="39">
        <v>2986</v>
      </c>
      <c r="M702" s="39">
        <v>5</v>
      </c>
      <c r="N702" s="39">
        <v>2986</v>
      </c>
      <c r="O702" s="219">
        <f t="shared" si="83"/>
        <v>5.0754080674933484E-2</v>
      </c>
      <c r="Q702" s="40">
        <v>34157</v>
      </c>
      <c r="R702" s="39">
        <v>1719.8</v>
      </c>
      <c r="S702" s="39">
        <f t="shared" si="79"/>
        <v>7</v>
      </c>
      <c r="T702" s="39">
        <f t="shared" si="80"/>
        <v>0</v>
      </c>
      <c r="U702" s="39">
        <f t="shared" si="81"/>
        <v>0</v>
      </c>
      <c r="V702" s="40"/>
    </row>
    <row r="703" spans="2:22" x14ac:dyDescent="0.35">
      <c r="B703" s="40">
        <v>34158</v>
      </c>
      <c r="C703" s="39">
        <v>1783.7</v>
      </c>
      <c r="D703" s="219">
        <f t="shared" si="82"/>
        <v>3.6481853587461713E-2</v>
      </c>
      <c r="F703" s="40">
        <v>34158</v>
      </c>
      <c r="G703" s="39">
        <v>1783.7</v>
      </c>
      <c r="H703" s="39">
        <f t="shared" si="77"/>
        <v>4</v>
      </c>
      <c r="I703" s="39">
        <f t="shared" si="78"/>
        <v>0</v>
      </c>
      <c r="K703" s="40">
        <v>37750</v>
      </c>
      <c r="L703" s="39">
        <v>2956.59</v>
      </c>
      <c r="M703" s="39">
        <v>5</v>
      </c>
      <c r="N703" s="39">
        <v>2956.59</v>
      </c>
      <c r="O703" s="219">
        <f t="shared" si="83"/>
        <v>-9.8981219012766793E-3</v>
      </c>
      <c r="Q703" s="40">
        <v>34158</v>
      </c>
      <c r="R703" s="39">
        <v>1783.7</v>
      </c>
      <c r="S703" s="39">
        <f t="shared" si="79"/>
        <v>7</v>
      </c>
      <c r="T703" s="39">
        <f t="shared" si="80"/>
        <v>0</v>
      </c>
      <c r="U703" s="39">
        <f t="shared" si="81"/>
        <v>0</v>
      </c>
      <c r="V703" s="40"/>
    </row>
    <row r="704" spans="2:22" x14ac:dyDescent="0.35">
      <c r="B704" s="40">
        <v>34159</v>
      </c>
      <c r="C704" s="39">
        <v>1797.4</v>
      </c>
      <c r="D704" s="219">
        <f t="shared" si="82"/>
        <v>7.6513176600152919E-3</v>
      </c>
      <c r="F704" s="40">
        <v>34159</v>
      </c>
      <c r="G704" s="39">
        <v>1797.4</v>
      </c>
      <c r="H704" s="39">
        <f t="shared" si="77"/>
        <v>5</v>
      </c>
      <c r="I704" s="39">
        <f t="shared" si="78"/>
        <v>1797.4</v>
      </c>
      <c r="K704" s="40">
        <v>37757</v>
      </c>
      <c r="L704" s="39">
        <v>2989.08</v>
      </c>
      <c r="M704" s="39">
        <v>5</v>
      </c>
      <c r="N704" s="39">
        <v>2989.08</v>
      </c>
      <c r="O704" s="219">
        <f t="shared" si="83"/>
        <v>1.092907053219023E-2</v>
      </c>
      <c r="Q704" s="40">
        <v>34159</v>
      </c>
      <c r="R704" s="39">
        <v>1797.4</v>
      </c>
      <c r="S704" s="39">
        <f t="shared" si="79"/>
        <v>7</v>
      </c>
      <c r="T704" s="39">
        <f t="shared" si="80"/>
        <v>0</v>
      </c>
      <c r="U704" s="39">
        <f t="shared" si="81"/>
        <v>0</v>
      </c>
      <c r="V704" s="40"/>
    </row>
    <row r="705" spans="2:22" x14ac:dyDescent="0.35">
      <c r="B705" s="40">
        <v>34162</v>
      </c>
      <c r="C705" s="39">
        <v>1818.2</v>
      </c>
      <c r="D705" s="219">
        <f t="shared" si="82"/>
        <v>1.150582446348475E-2</v>
      </c>
      <c r="F705" s="40">
        <v>34162</v>
      </c>
      <c r="G705" s="39">
        <v>1818.2</v>
      </c>
      <c r="H705" s="39">
        <f t="shared" si="77"/>
        <v>1</v>
      </c>
      <c r="I705" s="39">
        <f t="shared" si="78"/>
        <v>0</v>
      </c>
      <c r="K705" s="40">
        <v>37764</v>
      </c>
      <c r="L705" s="39">
        <v>2822.83</v>
      </c>
      <c r="M705" s="39">
        <v>5</v>
      </c>
      <c r="N705" s="39">
        <v>2822.83</v>
      </c>
      <c r="O705" s="219">
        <f t="shared" si="83"/>
        <v>-5.722571991434721E-2</v>
      </c>
      <c r="Q705" s="40">
        <v>34162</v>
      </c>
      <c r="R705" s="39">
        <v>1818.2</v>
      </c>
      <c r="S705" s="39">
        <f t="shared" si="79"/>
        <v>7</v>
      </c>
      <c r="T705" s="39">
        <f t="shared" si="80"/>
        <v>0</v>
      </c>
      <c r="U705" s="39">
        <f t="shared" si="81"/>
        <v>0</v>
      </c>
      <c r="V705" s="40"/>
    </row>
    <row r="706" spans="2:22" x14ac:dyDescent="0.35">
      <c r="B706" s="40">
        <v>34163</v>
      </c>
      <c r="C706" s="39">
        <v>1807.2</v>
      </c>
      <c r="D706" s="219">
        <f t="shared" si="82"/>
        <v>-6.0683145339642782E-3</v>
      </c>
      <c r="F706" s="40">
        <v>34163</v>
      </c>
      <c r="G706" s="39">
        <v>1807.2</v>
      </c>
      <c r="H706" s="39">
        <f t="shared" si="77"/>
        <v>2</v>
      </c>
      <c r="I706" s="39">
        <f t="shared" si="78"/>
        <v>0</v>
      </c>
      <c r="K706" s="40">
        <v>37771</v>
      </c>
      <c r="L706" s="39">
        <v>2982.68</v>
      </c>
      <c r="M706" s="39">
        <v>5</v>
      </c>
      <c r="N706" s="39">
        <v>2982.68</v>
      </c>
      <c r="O706" s="219">
        <f t="shared" si="83"/>
        <v>5.5082297388903467E-2</v>
      </c>
      <c r="Q706" s="40">
        <v>34163</v>
      </c>
      <c r="R706" s="39">
        <v>1807.2</v>
      </c>
      <c r="S706" s="39">
        <f t="shared" si="79"/>
        <v>7</v>
      </c>
      <c r="T706" s="39">
        <f t="shared" si="80"/>
        <v>0</v>
      </c>
      <c r="U706" s="39">
        <f t="shared" si="81"/>
        <v>0</v>
      </c>
      <c r="V706" s="40"/>
    </row>
    <row r="707" spans="2:22" x14ac:dyDescent="0.35">
      <c r="B707" s="40">
        <v>34164</v>
      </c>
      <c r="C707" s="39">
        <v>1811.6</v>
      </c>
      <c r="D707" s="219">
        <f t="shared" si="82"/>
        <v>2.4317465282651415E-3</v>
      </c>
      <c r="F707" s="40">
        <v>34164</v>
      </c>
      <c r="G707" s="39">
        <v>1811.6</v>
      </c>
      <c r="H707" s="39">
        <f t="shared" si="77"/>
        <v>3</v>
      </c>
      <c r="I707" s="39">
        <f t="shared" si="78"/>
        <v>0</v>
      </c>
      <c r="K707" s="40">
        <v>37778</v>
      </c>
      <c r="L707" s="39">
        <v>3127.46</v>
      </c>
      <c r="M707" s="39">
        <v>5</v>
      </c>
      <c r="N707" s="39">
        <v>3127.46</v>
      </c>
      <c r="O707" s="219">
        <f t="shared" si="83"/>
        <v>4.7398948286485519E-2</v>
      </c>
      <c r="Q707" s="40">
        <v>34164</v>
      </c>
      <c r="R707" s="39">
        <v>1811.6</v>
      </c>
      <c r="S707" s="39">
        <f t="shared" si="79"/>
        <v>7</v>
      </c>
      <c r="T707" s="39">
        <f t="shared" si="80"/>
        <v>0</v>
      </c>
      <c r="U707" s="39">
        <f t="shared" si="81"/>
        <v>0</v>
      </c>
      <c r="V707" s="40"/>
    </row>
    <row r="708" spans="2:22" x14ac:dyDescent="0.35">
      <c r="B708" s="40">
        <v>34165</v>
      </c>
      <c r="C708" s="39">
        <v>1807.7</v>
      </c>
      <c r="D708" s="219">
        <f t="shared" si="82"/>
        <v>-2.1551137012500543E-3</v>
      </c>
      <c r="F708" s="40">
        <v>34165</v>
      </c>
      <c r="G708" s="39">
        <v>1807.7</v>
      </c>
      <c r="H708" s="39">
        <f t="shared" si="77"/>
        <v>4</v>
      </c>
      <c r="I708" s="39">
        <f t="shared" si="78"/>
        <v>0</v>
      </c>
      <c r="K708" s="40">
        <v>37785</v>
      </c>
      <c r="L708" s="39">
        <v>3168.71</v>
      </c>
      <c r="M708" s="39">
        <v>5</v>
      </c>
      <c r="N708" s="39">
        <v>3168.71</v>
      </c>
      <c r="O708" s="219">
        <f t="shared" si="83"/>
        <v>1.3103391494566305E-2</v>
      </c>
      <c r="Q708" s="40">
        <v>34165</v>
      </c>
      <c r="R708" s="39">
        <v>1807.7</v>
      </c>
      <c r="S708" s="39">
        <f t="shared" si="79"/>
        <v>7</v>
      </c>
      <c r="T708" s="39">
        <f t="shared" si="80"/>
        <v>0</v>
      </c>
      <c r="U708" s="39">
        <f t="shared" si="81"/>
        <v>0</v>
      </c>
      <c r="V708" s="40"/>
    </row>
    <row r="709" spans="2:22" x14ac:dyDescent="0.35">
      <c r="B709" s="40">
        <v>34166</v>
      </c>
      <c r="C709" s="39">
        <v>1813.5</v>
      </c>
      <c r="D709" s="219">
        <f t="shared" si="82"/>
        <v>3.2033607421483165E-3</v>
      </c>
      <c r="F709" s="40">
        <v>34166</v>
      </c>
      <c r="G709" s="39">
        <v>1813.5</v>
      </c>
      <c r="H709" s="39">
        <f t="shared" si="77"/>
        <v>5</v>
      </c>
      <c r="I709" s="39">
        <f t="shared" si="78"/>
        <v>1813.5</v>
      </c>
      <c r="K709" s="40">
        <v>37792</v>
      </c>
      <c r="L709" s="39">
        <v>3238.98</v>
      </c>
      <c r="M709" s="39">
        <v>5</v>
      </c>
      <c r="N709" s="39">
        <v>3238.98</v>
      </c>
      <c r="O709" s="219">
        <f t="shared" si="83"/>
        <v>2.1933900421316453E-2</v>
      </c>
      <c r="Q709" s="40">
        <v>34166</v>
      </c>
      <c r="R709" s="39">
        <v>1813.5</v>
      </c>
      <c r="S709" s="39">
        <f t="shared" si="79"/>
        <v>7</v>
      </c>
      <c r="T709" s="39">
        <f t="shared" si="80"/>
        <v>0</v>
      </c>
      <c r="U709" s="39">
        <f t="shared" si="81"/>
        <v>0</v>
      </c>
      <c r="V709" s="40"/>
    </row>
    <row r="710" spans="2:22" x14ac:dyDescent="0.35">
      <c r="B710" s="40">
        <v>34169</v>
      </c>
      <c r="C710" s="39">
        <v>1836.3</v>
      </c>
      <c r="D710" s="219">
        <f t="shared" si="82"/>
        <v>1.2493997802176735E-2</v>
      </c>
      <c r="F710" s="40">
        <v>34169</v>
      </c>
      <c r="G710" s="39">
        <v>1836.3</v>
      </c>
      <c r="H710" s="39">
        <f t="shared" si="77"/>
        <v>1</v>
      </c>
      <c r="I710" s="39">
        <f t="shared" si="78"/>
        <v>0</v>
      </c>
      <c r="K710" s="40">
        <v>37799</v>
      </c>
      <c r="L710" s="39">
        <v>3224.66</v>
      </c>
      <c r="M710" s="39">
        <v>5</v>
      </c>
      <c r="N710" s="39">
        <v>3224.66</v>
      </c>
      <c r="O710" s="219">
        <f t="shared" si="83"/>
        <v>-4.4309470914389946E-3</v>
      </c>
      <c r="Q710" s="40">
        <v>34169</v>
      </c>
      <c r="R710" s="39">
        <v>1836.3</v>
      </c>
      <c r="S710" s="39">
        <f t="shared" si="79"/>
        <v>7</v>
      </c>
      <c r="T710" s="39">
        <f t="shared" si="80"/>
        <v>0</v>
      </c>
      <c r="U710" s="39">
        <f t="shared" si="81"/>
        <v>0</v>
      </c>
      <c r="V710" s="40"/>
    </row>
    <row r="711" spans="2:22" x14ac:dyDescent="0.35">
      <c r="B711" s="40">
        <v>34170</v>
      </c>
      <c r="C711" s="39">
        <v>1839</v>
      </c>
      <c r="D711" s="219">
        <f t="shared" si="82"/>
        <v>1.4692680791873207E-3</v>
      </c>
      <c r="F711" s="40">
        <v>34170</v>
      </c>
      <c r="G711" s="39">
        <v>1839</v>
      </c>
      <c r="H711" s="39">
        <f t="shared" si="77"/>
        <v>2</v>
      </c>
      <c r="I711" s="39">
        <f t="shared" si="78"/>
        <v>0</v>
      </c>
      <c r="K711" s="40">
        <v>37806</v>
      </c>
      <c r="L711" s="39">
        <v>3239.61</v>
      </c>
      <c r="M711" s="39">
        <v>5</v>
      </c>
      <c r="N711" s="39">
        <v>3239.61</v>
      </c>
      <c r="O711" s="219">
        <f t="shared" si="83"/>
        <v>4.6254338553754996E-3</v>
      </c>
      <c r="Q711" s="40">
        <v>34170</v>
      </c>
      <c r="R711" s="39">
        <v>1839</v>
      </c>
      <c r="S711" s="39">
        <f t="shared" si="79"/>
        <v>7</v>
      </c>
      <c r="T711" s="39">
        <f t="shared" si="80"/>
        <v>0</v>
      </c>
      <c r="U711" s="39">
        <f t="shared" si="81"/>
        <v>0</v>
      </c>
      <c r="V711" s="40"/>
    </row>
    <row r="712" spans="2:22" x14ac:dyDescent="0.35">
      <c r="B712" s="40">
        <v>34171</v>
      </c>
      <c r="C712" s="39">
        <v>1823.8</v>
      </c>
      <c r="D712" s="219">
        <f t="shared" si="82"/>
        <v>-8.2997091047560048E-3</v>
      </c>
      <c r="F712" s="40">
        <v>34171</v>
      </c>
      <c r="G712" s="39">
        <v>1823.8</v>
      </c>
      <c r="H712" s="39">
        <f t="shared" si="77"/>
        <v>3</v>
      </c>
      <c r="I712" s="39">
        <f t="shared" si="78"/>
        <v>0</v>
      </c>
      <c r="K712" s="40">
        <v>37813</v>
      </c>
      <c r="L712" s="39">
        <v>3326.51</v>
      </c>
      <c r="M712" s="39">
        <v>5</v>
      </c>
      <c r="N712" s="39">
        <v>3326.51</v>
      </c>
      <c r="O712" s="219">
        <f t="shared" si="83"/>
        <v>2.6470754169146939E-2</v>
      </c>
      <c r="Q712" s="40">
        <v>34171</v>
      </c>
      <c r="R712" s="39">
        <v>1823.8</v>
      </c>
      <c r="S712" s="39">
        <f t="shared" si="79"/>
        <v>7</v>
      </c>
      <c r="T712" s="39">
        <f t="shared" si="80"/>
        <v>0</v>
      </c>
      <c r="U712" s="39">
        <f t="shared" si="81"/>
        <v>0</v>
      </c>
      <c r="V712" s="40"/>
    </row>
    <row r="713" spans="2:22" x14ac:dyDescent="0.35">
      <c r="B713" s="40">
        <v>34172</v>
      </c>
      <c r="C713" s="39">
        <v>1823.5</v>
      </c>
      <c r="D713" s="219">
        <f t="shared" si="82"/>
        <v>-1.6450525083024808E-4</v>
      </c>
      <c r="F713" s="40">
        <v>34172</v>
      </c>
      <c r="G713" s="39">
        <v>1823.5</v>
      </c>
      <c r="H713" s="39">
        <f t="shared" si="77"/>
        <v>4</v>
      </c>
      <c r="I713" s="39">
        <f t="shared" si="78"/>
        <v>0</v>
      </c>
      <c r="K713" s="40">
        <v>37820</v>
      </c>
      <c r="L713" s="39">
        <v>3366.71</v>
      </c>
      <c r="M713" s="39">
        <v>5</v>
      </c>
      <c r="N713" s="39">
        <v>3366.71</v>
      </c>
      <c r="O713" s="219">
        <f t="shared" si="83"/>
        <v>1.2012300025478427E-2</v>
      </c>
      <c r="Q713" s="40">
        <v>34172</v>
      </c>
      <c r="R713" s="39">
        <v>1823.5</v>
      </c>
      <c r="S713" s="39">
        <f t="shared" si="79"/>
        <v>7</v>
      </c>
      <c r="T713" s="39">
        <f t="shared" si="80"/>
        <v>0</v>
      </c>
      <c r="U713" s="39">
        <f t="shared" si="81"/>
        <v>0</v>
      </c>
      <c r="V713" s="40"/>
    </row>
    <row r="714" spans="2:22" x14ac:dyDescent="0.35">
      <c r="B714" s="40">
        <v>34173</v>
      </c>
      <c r="C714" s="39">
        <v>1830.8</v>
      </c>
      <c r="D714" s="219">
        <f t="shared" si="82"/>
        <v>3.9952985307521675E-3</v>
      </c>
      <c r="F714" s="40">
        <v>34173</v>
      </c>
      <c r="G714" s="39">
        <v>1830.8</v>
      </c>
      <c r="H714" s="39">
        <f t="shared" si="77"/>
        <v>5</v>
      </c>
      <c r="I714" s="39">
        <f t="shared" si="78"/>
        <v>1830.8</v>
      </c>
      <c r="K714" s="40">
        <v>37827</v>
      </c>
      <c r="L714" s="39">
        <v>3356.89</v>
      </c>
      <c r="M714" s="39">
        <v>5</v>
      </c>
      <c r="N714" s="39">
        <v>3356.89</v>
      </c>
      <c r="O714" s="219">
        <f t="shared" si="83"/>
        <v>-2.921056274164233E-3</v>
      </c>
      <c r="Q714" s="40">
        <v>34173</v>
      </c>
      <c r="R714" s="39">
        <v>1830.8</v>
      </c>
      <c r="S714" s="39">
        <f t="shared" si="79"/>
        <v>7</v>
      </c>
      <c r="T714" s="39">
        <f t="shared" si="80"/>
        <v>0</v>
      </c>
      <c r="U714" s="39">
        <f t="shared" si="81"/>
        <v>0</v>
      </c>
      <c r="V714" s="40"/>
    </row>
    <row r="715" spans="2:22" x14ac:dyDescent="0.35">
      <c r="B715" s="40">
        <v>34176</v>
      </c>
      <c r="C715" s="39">
        <v>1854.5</v>
      </c>
      <c r="D715" s="219">
        <f t="shared" si="82"/>
        <v>1.2862088150158503E-2</v>
      </c>
      <c r="F715" s="40">
        <v>34176</v>
      </c>
      <c r="G715" s="39">
        <v>1854.5</v>
      </c>
      <c r="H715" s="39">
        <f t="shared" si="77"/>
        <v>1</v>
      </c>
      <c r="I715" s="39">
        <f t="shared" si="78"/>
        <v>0</v>
      </c>
      <c r="K715" s="40">
        <v>37834</v>
      </c>
      <c r="L715" s="39">
        <v>3438.89</v>
      </c>
      <c r="M715" s="39">
        <v>5</v>
      </c>
      <c r="N715" s="39">
        <v>3438.89</v>
      </c>
      <c r="O715" s="219">
        <f t="shared" si="83"/>
        <v>2.4133794786876255E-2</v>
      </c>
      <c r="Q715" s="40">
        <v>34176</v>
      </c>
      <c r="R715" s="39">
        <v>1854.5</v>
      </c>
      <c r="S715" s="39">
        <f t="shared" si="79"/>
        <v>7</v>
      </c>
      <c r="T715" s="39">
        <f t="shared" si="80"/>
        <v>0</v>
      </c>
      <c r="U715" s="39">
        <f t="shared" si="81"/>
        <v>0</v>
      </c>
      <c r="V715" s="40"/>
    </row>
    <row r="716" spans="2:22" x14ac:dyDescent="0.35">
      <c r="B716" s="40">
        <v>34177</v>
      </c>
      <c r="C716" s="39">
        <v>1845.2</v>
      </c>
      <c r="D716" s="219">
        <f t="shared" si="82"/>
        <v>-5.0274452459800325E-3</v>
      </c>
      <c r="F716" s="40">
        <v>34177</v>
      </c>
      <c r="G716" s="39">
        <v>1845.2</v>
      </c>
      <c r="H716" s="39">
        <f t="shared" si="77"/>
        <v>2</v>
      </c>
      <c r="I716" s="39">
        <f t="shared" si="78"/>
        <v>0</v>
      </c>
      <c r="K716" s="40">
        <v>37841</v>
      </c>
      <c r="L716" s="39">
        <v>3332.24</v>
      </c>
      <c r="M716" s="39">
        <v>5</v>
      </c>
      <c r="N716" s="39">
        <v>3332.24</v>
      </c>
      <c r="O716" s="219">
        <f t="shared" si="83"/>
        <v>-3.1503994373940053E-2</v>
      </c>
      <c r="Q716" s="40">
        <v>34177</v>
      </c>
      <c r="R716" s="39">
        <v>1845.2</v>
      </c>
      <c r="S716" s="39">
        <f t="shared" si="79"/>
        <v>7</v>
      </c>
      <c r="T716" s="39">
        <f t="shared" si="80"/>
        <v>0</v>
      </c>
      <c r="U716" s="39">
        <f t="shared" si="81"/>
        <v>0</v>
      </c>
      <c r="V716" s="40"/>
    </row>
    <row r="717" spans="2:22" x14ac:dyDescent="0.35">
      <c r="B717" s="40">
        <v>34178</v>
      </c>
      <c r="C717" s="39">
        <v>1833.9</v>
      </c>
      <c r="D717" s="219">
        <f t="shared" si="82"/>
        <v>-6.1428259808760689E-3</v>
      </c>
      <c r="F717" s="40">
        <v>34178</v>
      </c>
      <c r="G717" s="39">
        <v>1833.9</v>
      </c>
      <c r="H717" s="39">
        <f t="shared" si="77"/>
        <v>3</v>
      </c>
      <c r="I717" s="39">
        <f t="shared" si="78"/>
        <v>0</v>
      </c>
      <c r="K717" s="40">
        <v>37848</v>
      </c>
      <c r="L717" s="39">
        <v>3443.93</v>
      </c>
      <c r="M717" s="39">
        <v>5</v>
      </c>
      <c r="N717" s="39">
        <v>3443.93</v>
      </c>
      <c r="O717" s="219">
        <f t="shared" si="83"/>
        <v>3.2968510633501986E-2</v>
      </c>
      <c r="Q717" s="40">
        <v>34178</v>
      </c>
      <c r="R717" s="39">
        <v>1833.9</v>
      </c>
      <c r="S717" s="39">
        <f t="shared" si="79"/>
        <v>7</v>
      </c>
      <c r="T717" s="39">
        <f t="shared" si="80"/>
        <v>0</v>
      </c>
      <c r="U717" s="39">
        <f t="shared" si="81"/>
        <v>0</v>
      </c>
      <c r="V717" s="40"/>
    </row>
    <row r="718" spans="2:22" x14ac:dyDescent="0.35">
      <c r="B718" s="40">
        <v>34179</v>
      </c>
      <c r="C718" s="39">
        <v>1833.7</v>
      </c>
      <c r="D718" s="219">
        <f t="shared" si="82"/>
        <v>-1.0906314767057661E-4</v>
      </c>
      <c r="F718" s="40">
        <v>34179</v>
      </c>
      <c r="G718" s="39">
        <v>1833.7</v>
      </c>
      <c r="H718" s="39">
        <f t="shared" si="77"/>
        <v>4</v>
      </c>
      <c r="I718" s="39">
        <f t="shared" si="78"/>
        <v>0</v>
      </c>
      <c r="K718" s="40">
        <v>37855</v>
      </c>
      <c r="L718" s="39">
        <v>3549.05</v>
      </c>
      <c r="M718" s="39">
        <v>5</v>
      </c>
      <c r="N718" s="39">
        <v>3549.05</v>
      </c>
      <c r="O718" s="219">
        <f t="shared" si="83"/>
        <v>3.0066700885072184E-2</v>
      </c>
      <c r="Q718" s="40">
        <v>34179</v>
      </c>
      <c r="R718" s="39">
        <v>1833.7</v>
      </c>
      <c r="S718" s="39">
        <f t="shared" si="79"/>
        <v>7</v>
      </c>
      <c r="T718" s="39">
        <f t="shared" si="80"/>
        <v>0</v>
      </c>
      <c r="U718" s="39">
        <f t="shared" si="81"/>
        <v>0</v>
      </c>
      <c r="V718" s="40"/>
    </row>
    <row r="719" spans="2:22" x14ac:dyDescent="0.35">
      <c r="B719" s="40">
        <v>34180</v>
      </c>
      <c r="C719" s="39">
        <v>1803.2</v>
      </c>
      <c r="D719" s="219">
        <f t="shared" si="82"/>
        <v>-1.6772919269606959E-2</v>
      </c>
      <c r="F719" s="40">
        <v>34180</v>
      </c>
      <c r="G719" s="39">
        <v>1803.2</v>
      </c>
      <c r="H719" s="39">
        <f t="shared" si="77"/>
        <v>5</v>
      </c>
      <c r="I719" s="39">
        <f t="shared" si="78"/>
        <v>1803.2</v>
      </c>
      <c r="K719" s="40">
        <v>37862</v>
      </c>
      <c r="L719" s="39">
        <v>3484.58</v>
      </c>
      <c r="M719" s="39">
        <v>5</v>
      </c>
      <c r="N719" s="39">
        <v>3484.58</v>
      </c>
      <c r="O719" s="219">
        <f t="shared" si="83"/>
        <v>-1.8332441590237062E-2</v>
      </c>
      <c r="Q719" s="40">
        <v>34180</v>
      </c>
      <c r="R719" s="39">
        <v>1803.2</v>
      </c>
      <c r="S719" s="39">
        <f t="shared" si="79"/>
        <v>7</v>
      </c>
      <c r="T719" s="39">
        <f t="shared" si="80"/>
        <v>1803.2</v>
      </c>
      <c r="U719" s="39">
        <f t="shared" si="81"/>
        <v>1803.2</v>
      </c>
      <c r="V719" s="40"/>
    </row>
    <row r="720" spans="2:22" x14ac:dyDescent="0.35">
      <c r="B720" s="40">
        <v>34183</v>
      </c>
      <c r="C720" s="39">
        <v>1815.1</v>
      </c>
      <c r="D720" s="219">
        <f t="shared" si="82"/>
        <v>6.5776983144201573E-3</v>
      </c>
      <c r="F720" s="40">
        <v>34183</v>
      </c>
      <c r="G720" s="39">
        <v>1815.1</v>
      </c>
      <c r="H720" s="39">
        <f t="shared" si="77"/>
        <v>1</v>
      </c>
      <c r="I720" s="39">
        <f t="shared" si="78"/>
        <v>0</v>
      </c>
      <c r="K720" s="40">
        <v>37869</v>
      </c>
      <c r="L720" s="39">
        <v>3607.71</v>
      </c>
      <c r="M720" s="39">
        <v>5</v>
      </c>
      <c r="N720" s="39">
        <v>3607.71</v>
      </c>
      <c r="O720" s="219">
        <f t="shared" si="83"/>
        <v>3.4725701579337104E-2</v>
      </c>
      <c r="Q720" s="40">
        <v>34183</v>
      </c>
      <c r="R720" s="39">
        <v>1815.1</v>
      </c>
      <c r="S720" s="39">
        <f t="shared" si="79"/>
        <v>8</v>
      </c>
      <c r="T720" s="39">
        <f t="shared" si="80"/>
        <v>0</v>
      </c>
      <c r="U720" s="39">
        <f t="shared" si="81"/>
        <v>0</v>
      </c>
      <c r="V720" s="40"/>
    </row>
    <row r="721" spans="2:22" x14ac:dyDescent="0.35">
      <c r="B721" s="40">
        <v>34184</v>
      </c>
      <c r="C721" s="39">
        <v>1843.4</v>
      </c>
      <c r="D721" s="219">
        <f t="shared" si="82"/>
        <v>1.547112995963194E-2</v>
      </c>
      <c r="F721" s="40">
        <v>34184</v>
      </c>
      <c r="G721" s="39">
        <v>1843.4</v>
      </c>
      <c r="H721" s="39">
        <f t="shared" si="77"/>
        <v>2</v>
      </c>
      <c r="I721" s="39">
        <f t="shared" si="78"/>
        <v>0</v>
      </c>
      <c r="K721" s="40">
        <v>37876</v>
      </c>
      <c r="L721" s="39">
        <v>3508.06</v>
      </c>
      <c r="M721" s="39">
        <v>5</v>
      </c>
      <c r="N721" s="39">
        <v>3508.06</v>
      </c>
      <c r="O721" s="219">
        <f t="shared" si="83"/>
        <v>-2.8010043903348093E-2</v>
      </c>
      <c r="Q721" s="40">
        <v>34184</v>
      </c>
      <c r="R721" s="39">
        <v>1843.4</v>
      </c>
      <c r="S721" s="39">
        <f t="shared" si="79"/>
        <v>8</v>
      </c>
      <c r="T721" s="39">
        <f t="shared" si="80"/>
        <v>0</v>
      </c>
      <c r="U721" s="39">
        <f t="shared" si="81"/>
        <v>0</v>
      </c>
      <c r="V721" s="40"/>
    </row>
    <row r="722" spans="2:22" x14ac:dyDescent="0.35">
      <c r="B722" s="40">
        <v>34185</v>
      </c>
      <c r="C722" s="39">
        <v>1860.6</v>
      </c>
      <c r="D722" s="219">
        <f t="shared" si="82"/>
        <v>9.2873237748943675E-3</v>
      </c>
      <c r="F722" s="40">
        <v>34185</v>
      </c>
      <c r="G722" s="39">
        <v>1860.6</v>
      </c>
      <c r="H722" s="39">
        <f t="shared" si="77"/>
        <v>3</v>
      </c>
      <c r="I722" s="39">
        <f t="shared" si="78"/>
        <v>0</v>
      </c>
      <c r="K722" s="40">
        <v>37883</v>
      </c>
      <c r="L722" s="39">
        <v>3578.7</v>
      </c>
      <c r="M722" s="39">
        <v>5</v>
      </c>
      <c r="N722" s="39">
        <v>3578.7</v>
      </c>
      <c r="O722" s="219">
        <f t="shared" si="83"/>
        <v>1.9936427847376058E-2</v>
      </c>
      <c r="Q722" s="40">
        <v>34185</v>
      </c>
      <c r="R722" s="39">
        <v>1860.6</v>
      </c>
      <c r="S722" s="39">
        <f t="shared" si="79"/>
        <v>8</v>
      </c>
      <c r="T722" s="39">
        <f t="shared" si="80"/>
        <v>0</v>
      </c>
      <c r="U722" s="39">
        <f t="shared" si="81"/>
        <v>0</v>
      </c>
      <c r="V722" s="40"/>
    </row>
    <row r="723" spans="2:22" x14ac:dyDescent="0.35">
      <c r="B723" s="40">
        <v>34186</v>
      </c>
      <c r="C723" s="39">
        <v>1860.7</v>
      </c>
      <c r="D723" s="219">
        <f t="shared" si="82"/>
        <v>5.3744659137514737E-5</v>
      </c>
      <c r="F723" s="40">
        <v>34186</v>
      </c>
      <c r="G723" s="39">
        <v>1860.7</v>
      </c>
      <c r="H723" s="39">
        <f t="shared" si="77"/>
        <v>4</v>
      </c>
      <c r="I723" s="39">
        <f t="shared" si="78"/>
        <v>0</v>
      </c>
      <c r="K723" s="40">
        <v>37890</v>
      </c>
      <c r="L723" s="39">
        <v>3324.85</v>
      </c>
      <c r="M723" s="39">
        <v>5</v>
      </c>
      <c r="N723" s="39">
        <v>3324.85</v>
      </c>
      <c r="O723" s="219">
        <f t="shared" si="83"/>
        <v>-7.3575045665622382E-2</v>
      </c>
      <c r="Q723" s="40">
        <v>34186</v>
      </c>
      <c r="R723" s="39">
        <v>1860.7</v>
      </c>
      <c r="S723" s="39">
        <f t="shared" si="79"/>
        <v>8</v>
      </c>
      <c r="T723" s="39">
        <f t="shared" si="80"/>
        <v>0</v>
      </c>
      <c r="U723" s="39">
        <f t="shared" si="81"/>
        <v>0</v>
      </c>
      <c r="V723" s="40"/>
    </row>
    <row r="724" spans="2:22" x14ac:dyDescent="0.35">
      <c r="B724" s="40">
        <v>34187</v>
      </c>
      <c r="C724" s="39">
        <v>1869.4</v>
      </c>
      <c r="D724" s="219">
        <f t="shared" si="82"/>
        <v>4.6647627548873517E-3</v>
      </c>
      <c r="F724" s="40">
        <v>34187</v>
      </c>
      <c r="G724" s="39">
        <v>1869.4</v>
      </c>
      <c r="H724" s="39">
        <f t="shared" si="77"/>
        <v>5</v>
      </c>
      <c r="I724" s="39">
        <f t="shared" si="78"/>
        <v>1869.4</v>
      </c>
      <c r="K724" s="40">
        <v>37897</v>
      </c>
      <c r="L724" s="39">
        <v>3419</v>
      </c>
      <c r="M724" s="39">
        <v>5</v>
      </c>
      <c r="N724" s="39">
        <v>3419</v>
      </c>
      <c r="O724" s="219">
        <f t="shared" si="83"/>
        <v>2.7923550348913865E-2</v>
      </c>
      <c r="Q724" s="40">
        <v>34187</v>
      </c>
      <c r="R724" s="39">
        <v>1869.4</v>
      </c>
      <c r="S724" s="39">
        <f t="shared" si="79"/>
        <v>8</v>
      </c>
      <c r="T724" s="39">
        <f t="shared" si="80"/>
        <v>0</v>
      </c>
      <c r="U724" s="39">
        <f t="shared" si="81"/>
        <v>0</v>
      </c>
      <c r="V724" s="40"/>
    </row>
    <row r="725" spans="2:22" x14ac:dyDescent="0.35">
      <c r="B725" s="40">
        <v>34190</v>
      </c>
      <c r="C725" s="39">
        <v>1872.3</v>
      </c>
      <c r="D725" s="219">
        <f t="shared" si="82"/>
        <v>1.5500978596238249E-3</v>
      </c>
      <c r="F725" s="40">
        <v>34190</v>
      </c>
      <c r="G725" s="39">
        <v>1872.3</v>
      </c>
      <c r="H725" s="39">
        <f t="shared" si="77"/>
        <v>1</v>
      </c>
      <c r="I725" s="39">
        <f t="shared" si="78"/>
        <v>0</v>
      </c>
      <c r="K725" s="40">
        <v>37904</v>
      </c>
      <c r="L725" s="39">
        <v>3471.25</v>
      </c>
      <c r="M725" s="39">
        <v>5</v>
      </c>
      <c r="N725" s="39">
        <v>3471.25</v>
      </c>
      <c r="O725" s="219">
        <f t="shared" si="83"/>
        <v>1.5166648981708105E-2</v>
      </c>
      <c r="Q725" s="40">
        <v>34190</v>
      </c>
      <c r="R725" s="39">
        <v>1872.3</v>
      </c>
      <c r="S725" s="39">
        <f t="shared" si="79"/>
        <v>8</v>
      </c>
      <c r="T725" s="39">
        <f t="shared" si="80"/>
        <v>0</v>
      </c>
      <c r="U725" s="39">
        <f t="shared" si="81"/>
        <v>0</v>
      </c>
      <c r="V725" s="40"/>
    </row>
    <row r="726" spans="2:22" x14ac:dyDescent="0.35">
      <c r="B726" s="40">
        <v>34191</v>
      </c>
      <c r="C726" s="39">
        <v>1865.2</v>
      </c>
      <c r="D726" s="219">
        <f t="shared" si="82"/>
        <v>-3.7993356739411802E-3</v>
      </c>
      <c r="F726" s="40">
        <v>34191</v>
      </c>
      <c r="G726" s="39">
        <v>1865.2</v>
      </c>
      <c r="H726" s="39">
        <f t="shared" si="77"/>
        <v>2</v>
      </c>
      <c r="I726" s="39">
        <f t="shared" si="78"/>
        <v>0</v>
      </c>
      <c r="K726" s="40">
        <v>37911</v>
      </c>
      <c r="L726" s="39">
        <v>3516.67</v>
      </c>
      <c r="M726" s="39">
        <v>5</v>
      </c>
      <c r="N726" s="39">
        <v>3516.67</v>
      </c>
      <c r="O726" s="219">
        <f t="shared" si="83"/>
        <v>1.2999759481942893E-2</v>
      </c>
      <c r="Q726" s="40">
        <v>34191</v>
      </c>
      <c r="R726" s="39">
        <v>1865.2</v>
      </c>
      <c r="S726" s="39">
        <f t="shared" si="79"/>
        <v>8</v>
      </c>
      <c r="T726" s="39">
        <f t="shared" si="80"/>
        <v>0</v>
      </c>
      <c r="U726" s="39">
        <f t="shared" si="81"/>
        <v>0</v>
      </c>
      <c r="V726" s="40"/>
    </row>
    <row r="727" spans="2:22" x14ac:dyDescent="0.35">
      <c r="B727" s="40">
        <v>34192</v>
      </c>
      <c r="C727" s="39">
        <v>1865.8</v>
      </c>
      <c r="D727" s="219">
        <f t="shared" si="82"/>
        <v>3.2162959269473707E-4</v>
      </c>
      <c r="F727" s="40">
        <v>34192</v>
      </c>
      <c r="G727" s="39">
        <v>1865.8</v>
      </c>
      <c r="H727" s="39">
        <f t="shared" si="77"/>
        <v>3</v>
      </c>
      <c r="I727" s="39">
        <f t="shared" si="78"/>
        <v>0</v>
      </c>
      <c r="K727" s="40">
        <v>37918</v>
      </c>
      <c r="L727" s="39">
        <v>3452.64</v>
      </c>
      <c r="M727" s="39">
        <v>5</v>
      </c>
      <c r="N727" s="39">
        <v>3452.64</v>
      </c>
      <c r="O727" s="219">
        <f t="shared" si="83"/>
        <v>-1.8375363315796475E-2</v>
      </c>
      <c r="Q727" s="40">
        <v>34192</v>
      </c>
      <c r="R727" s="39">
        <v>1865.8</v>
      </c>
      <c r="S727" s="39">
        <f t="shared" si="79"/>
        <v>8</v>
      </c>
      <c r="T727" s="39">
        <f t="shared" si="80"/>
        <v>0</v>
      </c>
      <c r="U727" s="39">
        <f t="shared" si="81"/>
        <v>0</v>
      </c>
      <c r="V727" s="40"/>
    </row>
    <row r="728" spans="2:22" x14ac:dyDescent="0.35">
      <c r="B728" s="40">
        <v>34193</v>
      </c>
      <c r="C728" s="39">
        <v>1905</v>
      </c>
      <c r="D728" s="219">
        <f t="shared" si="82"/>
        <v>2.0792093033940796E-2</v>
      </c>
      <c r="F728" s="40">
        <v>34193</v>
      </c>
      <c r="G728" s="39">
        <v>1905</v>
      </c>
      <c r="H728" s="39">
        <f t="shared" si="77"/>
        <v>4</v>
      </c>
      <c r="I728" s="39">
        <f t="shared" si="78"/>
        <v>0</v>
      </c>
      <c r="K728" s="40">
        <v>37925</v>
      </c>
      <c r="L728" s="39">
        <v>3655.99</v>
      </c>
      <c r="M728" s="39">
        <v>5</v>
      </c>
      <c r="N728" s="39">
        <v>3655.99</v>
      </c>
      <c r="O728" s="219">
        <f t="shared" si="83"/>
        <v>5.7227762553384701E-2</v>
      </c>
      <c r="Q728" s="40">
        <v>34193</v>
      </c>
      <c r="R728" s="39">
        <v>1905</v>
      </c>
      <c r="S728" s="39">
        <f t="shared" si="79"/>
        <v>8</v>
      </c>
      <c r="T728" s="39">
        <f t="shared" si="80"/>
        <v>0</v>
      </c>
      <c r="U728" s="39">
        <f t="shared" si="81"/>
        <v>0</v>
      </c>
      <c r="V728" s="40"/>
    </row>
    <row r="729" spans="2:22" x14ac:dyDescent="0.35">
      <c r="B729" s="40">
        <v>34194</v>
      </c>
      <c r="C729" s="39">
        <v>1906.6</v>
      </c>
      <c r="D729" s="219">
        <f t="shared" si="82"/>
        <v>8.3954249867627798E-4</v>
      </c>
      <c r="F729" s="40">
        <v>34194</v>
      </c>
      <c r="G729" s="39">
        <v>1906.6</v>
      </c>
      <c r="H729" s="39">
        <f t="shared" si="77"/>
        <v>5</v>
      </c>
      <c r="I729" s="39">
        <f t="shared" si="78"/>
        <v>1906.6</v>
      </c>
      <c r="K729" s="40">
        <v>37932</v>
      </c>
      <c r="L729" s="39">
        <v>3782.56</v>
      </c>
      <c r="M729" s="39">
        <v>5</v>
      </c>
      <c r="N729" s="39">
        <v>3782.56</v>
      </c>
      <c r="O729" s="219">
        <f t="shared" si="83"/>
        <v>3.4034110720947086E-2</v>
      </c>
      <c r="Q729" s="40">
        <v>34194</v>
      </c>
      <c r="R729" s="39">
        <v>1906.6</v>
      </c>
      <c r="S729" s="39">
        <f t="shared" si="79"/>
        <v>8</v>
      </c>
      <c r="T729" s="39">
        <f t="shared" si="80"/>
        <v>0</v>
      </c>
      <c r="U729" s="39">
        <f t="shared" si="81"/>
        <v>0</v>
      </c>
      <c r="V729" s="40"/>
    </row>
    <row r="730" spans="2:22" x14ac:dyDescent="0.35">
      <c r="B730" s="40">
        <v>34197</v>
      </c>
      <c r="C730" s="39">
        <v>1912.2</v>
      </c>
      <c r="D730" s="219">
        <f t="shared" si="82"/>
        <v>2.9328605918681068E-3</v>
      </c>
      <c r="F730" s="40">
        <v>34197</v>
      </c>
      <c r="G730" s="39">
        <v>1912.2</v>
      </c>
      <c r="H730" s="39">
        <f t="shared" si="77"/>
        <v>1</v>
      </c>
      <c r="I730" s="39">
        <f t="shared" si="78"/>
        <v>0</v>
      </c>
      <c r="K730" s="40">
        <v>37939</v>
      </c>
      <c r="L730" s="39">
        <v>3797.4</v>
      </c>
      <c r="M730" s="39">
        <v>5</v>
      </c>
      <c r="N730" s="39">
        <v>3797.4</v>
      </c>
      <c r="O730" s="219">
        <f t="shared" si="83"/>
        <v>3.9155929478270467E-3</v>
      </c>
      <c r="Q730" s="40">
        <v>34197</v>
      </c>
      <c r="R730" s="39">
        <v>1912.2</v>
      </c>
      <c r="S730" s="39">
        <f t="shared" si="79"/>
        <v>8</v>
      </c>
      <c r="T730" s="39">
        <f t="shared" si="80"/>
        <v>0</v>
      </c>
      <c r="U730" s="39">
        <f t="shared" si="81"/>
        <v>0</v>
      </c>
      <c r="V730" s="40"/>
    </row>
    <row r="731" spans="2:22" x14ac:dyDescent="0.35">
      <c r="B731" s="40">
        <v>34198</v>
      </c>
      <c r="C731" s="39">
        <v>1910.2</v>
      </c>
      <c r="D731" s="219">
        <f t="shared" si="82"/>
        <v>-1.0464630507085438E-3</v>
      </c>
      <c r="F731" s="40">
        <v>34198</v>
      </c>
      <c r="G731" s="39">
        <v>1910.2</v>
      </c>
      <c r="H731" s="39">
        <f t="shared" si="77"/>
        <v>2</v>
      </c>
      <c r="I731" s="39">
        <f t="shared" si="78"/>
        <v>0</v>
      </c>
      <c r="K731" s="40">
        <v>37946</v>
      </c>
      <c r="L731" s="39">
        <v>3642.25</v>
      </c>
      <c r="M731" s="39">
        <v>5</v>
      </c>
      <c r="N731" s="39">
        <v>3642.25</v>
      </c>
      <c r="O731" s="219">
        <f t="shared" si="83"/>
        <v>-4.171499947520943E-2</v>
      </c>
      <c r="Q731" s="40">
        <v>34198</v>
      </c>
      <c r="R731" s="39">
        <v>1910.2</v>
      </c>
      <c r="S731" s="39">
        <f t="shared" si="79"/>
        <v>8</v>
      </c>
      <c r="T731" s="39">
        <f t="shared" si="80"/>
        <v>0</v>
      </c>
      <c r="U731" s="39">
        <f t="shared" si="81"/>
        <v>0</v>
      </c>
      <c r="V731" s="40"/>
    </row>
    <row r="732" spans="2:22" x14ac:dyDescent="0.35">
      <c r="B732" s="40">
        <v>34199</v>
      </c>
      <c r="C732" s="39">
        <v>1935.7</v>
      </c>
      <c r="D732" s="219">
        <f t="shared" si="82"/>
        <v>1.3261069550862797E-2</v>
      </c>
      <c r="F732" s="40">
        <v>34199</v>
      </c>
      <c r="G732" s="39">
        <v>1935.7</v>
      </c>
      <c r="H732" s="39">
        <f t="shared" si="77"/>
        <v>3</v>
      </c>
      <c r="I732" s="39">
        <f t="shared" si="78"/>
        <v>0</v>
      </c>
      <c r="K732" s="40">
        <v>37953</v>
      </c>
      <c r="L732" s="39">
        <v>3745.95</v>
      </c>
      <c r="M732" s="39">
        <v>5</v>
      </c>
      <c r="N732" s="39">
        <v>3745.95</v>
      </c>
      <c r="O732" s="219">
        <f t="shared" si="83"/>
        <v>2.8073633810106718E-2</v>
      </c>
      <c r="Q732" s="40">
        <v>34199</v>
      </c>
      <c r="R732" s="39">
        <v>1935.7</v>
      </c>
      <c r="S732" s="39">
        <f t="shared" si="79"/>
        <v>8</v>
      </c>
      <c r="T732" s="39">
        <f t="shared" si="80"/>
        <v>0</v>
      </c>
      <c r="U732" s="39">
        <f t="shared" si="81"/>
        <v>0</v>
      </c>
      <c r="V732" s="40"/>
    </row>
    <row r="733" spans="2:22" x14ac:dyDescent="0.35">
      <c r="B733" s="40">
        <v>34200</v>
      </c>
      <c r="C733" s="39">
        <v>1939</v>
      </c>
      <c r="D733" s="219">
        <f t="shared" si="82"/>
        <v>1.7033580911517032E-3</v>
      </c>
      <c r="F733" s="40">
        <v>34200</v>
      </c>
      <c r="G733" s="39">
        <v>1939</v>
      </c>
      <c r="H733" s="39">
        <f t="shared" si="77"/>
        <v>4</v>
      </c>
      <c r="I733" s="39">
        <f t="shared" si="78"/>
        <v>0</v>
      </c>
      <c r="K733" s="40">
        <v>37960</v>
      </c>
      <c r="L733" s="39">
        <v>3841.73</v>
      </c>
      <c r="M733" s="39">
        <v>5</v>
      </c>
      <c r="N733" s="39">
        <v>3841.73</v>
      </c>
      <c r="O733" s="219">
        <f t="shared" si="83"/>
        <v>2.5247529616853476E-2</v>
      </c>
      <c r="Q733" s="40">
        <v>34200</v>
      </c>
      <c r="R733" s="39">
        <v>1939</v>
      </c>
      <c r="S733" s="39">
        <f t="shared" si="79"/>
        <v>8</v>
      </c>
      <c r="T733" s="39">
        <f t="shared" si="80"/>
        <v>0</v>
      </c>
      <c r="U733" s="39">
        <f t="shared" si="81"/>
        <v>0</v>
      </c>
      <c r="V733" s="40"/>
    </row>
    <row r="734" spans="2:22" x14ac:dyDescent="0.35">
      <c r="B734" s="40">
        <v>34201</v>
      </c>
      <c r="C734" s="39">
        <v>1922.7</v>
      </c>
      <c r="D734" s="219">
        <f t="shared" si="82"/>
        <v>-8.4419280643609467E-3</v>
      </c>
      <c r="F734" s="40">
        <v>34201</v>
      </c>
      <c r="G734" s="39">
        <v>1922.7</v>
      </c>
      <c r="H734" s="39">
        <f t="shared" si="77"/>
        <v>5</v>
      </c>
      <c r="I734" s="39">
        <f t="shared" si="78"/>
        <v>1922.7</v>
      </c>
      <c r="K734" s="40">
        <v>37967</v>
      </c>
      <c r="L734" s="39">
        <v>3860.13</v>
      </c>
      <c r="M734" s="39">
        <v>5</v>
      </c>
      <c r="N734" s="39">
        <v>3860.13</v>
      </c>
      <c r="O734" s="219">
        <f t="shared" si="83"/>
        <v>4.7780756871711322E-3</v>
      </c>
      <c r="Q734" s="40">
        <v>34201</v>
      </c>
      <c r="R734" s="39">
        <v>1922.7</v>
      </c>
      <c r="S734" s="39">
        <f t="shared" si="79"/>
        <v>8</v>
      </c>
      <c r="T734" s="39">
        <f t="shared" si="80"/>
        <v>0</v>
      </c>
      <c r="U734" s="39">
        <f t="shared" si="81"/>
        <v>0</v>
      </c>
      <c r="V734" s="40"/>
    </row>
    <row r="735" spans="2:22" x14ac:dyDescent="0.35">
      <c r="B735" s="40">
        <v>34204</v>
      </c>
      <c r="C735" s="39">
        <v>1888.3</v>
      </c>
      <c r="D735" s="219">
        <f t="shared" si="82"/>
        <v>-1.8053494790758639E-2</v>
      </c>
      <c r="F735" s="40">
        <v>34204</v>
      </c>
      <c r="G735" s="39">
        <v>1888.3</v>
      </c>
      <c r="H735" s="39">
        <f t="shared" si="77"/>
        <v>1</v>
      </c>
      <c r="I735" s="39">
        <f t="shared" si="78"/>
        <v>0</v>
      </c>
      <c r="K735" s="40">
        <v>37974</v>
      </c>
      <c r="L735" s="39">
        <v>3898.42</v>
      </c>
      <c r="M735" s="39">
        <v>5</v>
      </c>
      <c r="N735" s="39">
        <v>3898.42</v>
      </c>
      <c r="O735" s="219">
        <f t="shared" si="83"/>
        <v>9.8704811777705504E-3</v>
      </c>
      <c r="Q735" s="40">
        <v>34204</v>
      </c>
      <c r="R735" s="39">
        <v>1888.3</v>
      </c>
      <c r="S735" s="39">
        <f t="shared" si="79"/>
        <v>8</v>
      </c>
      <c r="T735" s="39">
        <f t="shared" si="80"/>
        <v>0</v>
      </c>
      <c r="U735" s="39">
        <f t="shared" si="81"/>
        <v>0</v>
      </c>
      <c r="V735" s="40"/>
    </row>
    <row r="736" spans="2:22" x14ac:dyDescent="0.35">
      <c r="B736" s="40">
        <v>34205</v>
      </c>
      <c r="C736" s="39">
        <v>1897.7</v>
      </c>
      <c r="D736" s="219">
        <f t="shared" si="82"/>
        <v>4.9656731724010417E-3</v>
      </c>
      <c r="F736" s="40">
        <v>34205</v>
      </c>
      <c r="G736" s="39">
        <v>1897.7</v>
      </c>
      <c r="H736" s="39">
        <f t="shared" si="77"/>
        <v>2</v>
      </c>
      <c r="I736" s="39">
        <f t="shared" si="78"/>
        <v>0</v>
      </c>
      <c r="K736" s="40">
        <v>37978</v>
      </c>
      <c r="L736" s="39">
        <v>3903.34</v>
      </c>
      <c r="M736" s="39">
        <v>2</v>
      </c>
      <c r="N736" s="39">
        <v>3903.34</v>
      </c>
      <c r="O736" s="219">
        <f t="shared" si="83"/>
        <v>1.2612540381176233E-3</v>
      </c>
      <c r="Q736" s="40">
        <v>34205</v>
      </c>
      <c r="R736" s="39">
        <v>1897.7</v>
      </c>
      <c r="S736" s="39">
        <f t="shared" si="79"/>
        <v>8</v>
      </c>
      <c r="T736" s="39">
        <f t="shared" si="80"/>
        <v>0</v>
      </c>
      <c r="U736" s="39">
        <f t="shared" si="81"/>
        <v>0</v>
      </c>
      <c r="V736" s="40"/>
    </row>
    <row r="737" spans="2:22" x14ac:dyDescent="0.35">
      <c r="B737" s="40">
        <v>34206</v>
      </c>
      <c r="C737" s="39">
        <v>1917.8</v>
      </c>
      <c r="D737" s="219">
        <f t="shared" si="82"/>
        <v>1.0536069159647535E-2</v>
      </c>
      <c r="F737" s="40">
        <v>34206</v>
      </c>
      <c r="G737" s="39">
        <v>1917.8</v>
      </c>
      <c r="H737" s="39">
        <f t="shared" si="77"/>
        <v>3</v>
      </c>
      <c r="I737" s="39">
        <f t="shared" si="78"/>
        <v>0</v>
      </c>
      <c r="K737" s="40">
        <v>37988</v>
      </c>
      <c r="L737" s="39">
        <v>4018.5</v>
      </c>
      <c r="M737" s="39">
        <v>5</v>
      </c>
      <c r="N737" s="39">
        <v>4018.5</v>
      </c>
      <c r="O737" s="219">
        <f t="shared" si="83"/>
        <v>2.9076101788648334E-2</v>
      </c>
      <c r="Q737" s="40">
        <v>34206</v>
      </c>
      <c r="R737" s="39">
        <v>1917.8</v>
      </c>
      <c r="S737" s="39">
        <f t="shared" si="79"/>
        <v>8</v>
      </c>
      <c r="T737" s="39">
        <f t="shared" si="80"/>
        <v>0</v>
      </c>
      <c r="U737" s="39">
        <f t="shared" si="81"/>
        <v>0</v>
      </c>
      <c r="V737" s="40"/>
    </row>
    <row r="738" spans="2:22" x14ac:dyDescent="0.35">
      <c r="B738" s="40">
        <v>34207</v>
      </c>
      <c r="C738" s="39">
        <v>1901.2</v>
      </c>
      <c r="D738" s="219">
        <f t="shared" si="82"/>
        <v>-8.6934299797264466E-3</v>
      </c>
      <c r="F738" s="40">
        <v>34207</v>
      </c>
      <c r="G738" s="39">
        <v>1901.2</v>
      </c>
      <c r="H738" s="39">
        <f t="shared" si="77"/>
        <v>4</v>
      </c>
      <c r="I738" s="39">
        <f t="shared" si="78"/>
        <v>0</v>
      </c>
      <c r="K738" s="40">
        <v>37995</v>
      </c>
      <c r="L738" s="39">
        <v>4016.18</v>
      </c>
      <c r="M738" s="39">
        <v>5</v>
      </c>
      <c r="N738" s="39">
        <v>4016.18</v>
      </c>
      <c r="O738" s="219">
        <f t="shared" si="83"/>
        <v>-5.77496568494903E-4</v>
      </c>
      <c r="Q738" s="40">
        <v>34207</v>
      </c>
      <c r="R738" s="39">
        <v>1901.2</v>
      </c>
      <c r="S738" s="39">
        <f t="shared" si="79"/>
        <v>8</v>
      </c>
      <c r="T738" s="39">
        <f t="shared" si="80"/>
        <v>0</v>
      </c>
      <c r="U738" s="39">
        <f t="shared" si="81"/>
        <v>0</v>
      </c>
      <c r="V738" s="40"/>
    </row>
    <row r="739" spans="2:22" x14ac:dyDescent="0.35">
      <c r="B739" s="40">
        <v>34208</v>
      </c>
      <c r="C739" s="39">
        <v>1904.6</v>
      </c>
      <c r="D739" s="219">
        <f t="shared" si="82"/>
        <v>1.7867470200912318E-3</v>
      </c>
      <c r="F739" s="40">
        <v>34208</v>
      </c>
      <c r="G739" s="39">
        <v>1904.6</v>
      </c>
      <c r="H739" s="39">
        <f t="shared" si="77"/>
        <v>5</v>
      </c>
      <c r="I739" s="39">
        <f t="shared" si="78"/>
        <v>1904.6</v>
      </c>
      <c r="K739" s="40">
        <v>38002</v>
      </c>
      <c r="L739" s="39">
        <v>4111.6400000000003</v>
      </c>
      <c r="M739" s="39">
        <v>5</v>
      </c>
      <c r="N739" s="39">
        <v>4111.6400000000003</v>
      </c>
      <c r="O739" s="219">
        <f t="shared" si="83"/>
        <v>2.3490773579984855E-2</v>
      </c>
      <c r="Q739" s="40">
        <v>34208</v>
      </c>
      <c r="R739" s="39">
        <v>1904.6</v>
      </c>
      <c r="S739" s="39">
        <f t="shared" si="79"/>
        <v>8</v>
      </c>
      <c r="T739" s="39">
        <f t="shared" si="80"/>
        <v>0</v>
      </c>
      <c r="U739" s="39">
        <f t="shared" si="81"/>
        <v>0</v>
      </c>
      <c r="V739" s="40"/>
    </row>
    <row r="740" spans="2:22" x14ac:dyDescent="0.35">
      <c r="B740" s="40">
        <v>34211</v>
      </c>
      <c r="C740" s="39">
        <v>1921.9</v>
      </c>
      <c r="D740" s="219">
        <f t="shared" si="82"/>
        <v>9.042267280413371E-3</v>
      </c>
      <c r="F740" s="40">
        <v>34211</v>
      </c>
      <c r="G740" s="39">
        <v>1921.9</v>
      </c>
      <c r="H740" s="39">
        <f t="shared" si="77"/>
        <v>1</v>
      </c>
      <c r="I740" s="39">
        <f t="shared" si="78"/>
        <v>0</v>
      </c>
      <c r="K740" s="40">
        <v>38009</v>
      </c>
      <c r="L740" s="39">
        <v>4151.83</v>
      </c>
      <c r="M740" s="39">
        <v>5</v>
      </c>
      <c r="N740" s="39">
        <v>4151.83</v>
      </c>
      <c r="O740" s="219">
        <f t="shared" si="83"/>
        <v>9.7272252199138518E-3</v>
      </c>
      <c r="Q740" s="40">
        <v>34211</v>
      </c>
      <c r="R740" s="39">
        <v>1921.9</v>
      </c>
      <c r="S740" s="39">
        <f t="shared" si="79"/>
        <v>8</v>
      </c>
      <c r="T740" s="39">
        <f t="shared" si="80"/>
        <v>0</v>
      </c>
      <c r="U740" s="39">
        <f t="shared" si="81"/>
        <v>0</v>
      </c>
      <c r="V740" s="40"/>
    </row>
    <row r="741" spans="2:22" x14ac:dyDescent="0.35">
      <c r="B741" s="40">
        <v>34212</v>
      </c>
      <c r="C741" s="39">
        <v>1944.9</v>
      </c>
      <c r="D741" s="219">
        <f t="shared" si="82"/>
        <v>1.1896281808700773E-2</v>
      </c>
      <c r="F741" s="40">
        <v>34212</v>
      </c>
      <c r="G741" s="39">
        <v>1944.9</v>
      </c>
      <c r="H741" s="39">
        <f t="shared" si="77"/>
        <v>2</v>
      </c>
      <c r="I741" s="39">
        <f t="shared" si="78"/>
        <v>0</v>
      </c>
      <c r="K741" s="40">
        <v>38016</v>
      </c>
      <c r="L741" s="39">
        <v>4058.6</v>
      </c>
      <c r="M741" s="39">
        <v>5</v>
      </c>
      <c r="N741" s="39">
        <v>4058.6</v>
      </c>
      <c r="O741" s="219">
        <f t="shared" si="83"/>
        <v>-2.2711114341308604E-2</v>
      </c>
      <c r="Q741" s="40">
        <v>34212</v>
      </c>
      <c r="R741" s="39">
        <v>1944.9</v>
      </c>
      <c r="S741" s="39">
        <f t="shared" si="79"/>
        <v>8</v>
      </c>
      <c r="T741" s="39">
        <f t="shared" si="80"/>
        <v>1944.9</v>
      </c>
      <c r="U741" s="39">
        <f t="shared" si="81"/>
        <v>1944.9</v>
      </c>
      <c r="V741" s="40"/>
    </row>
    <row r="742" spans="2:22" x14ac:dyDescent="0.35">
      <c r="B742" s="40">
        <v>34213</v>
      </c>
      <c r="C742" s="39">
        <v>1918.6</v>
      </c>
      <c r="D742" s="219">
        <f t="shared" si="82"/>
        <v>-1.3614808465212564E-2</v>
      </c>
      <c r="F742" s="40">
        <v>34213</v>
      </c>
      <c r="G742" s="39">
        <v>1918.6</v>
      </c>
      <c r="H742" s="39">
        <f t="shared" si="77"/>
        <v>3</v>
      </c>
      <c r="I742" s="39">
        <f t="shared" si="78"/>
        <v>0</v>
      </c>
      <c r="K742" s="40">
        <v>38023</v>
      </c>
      <c r="L742" s="39">
        <v>4044.99</v>
      </c>
      <c r="M742" s="39">
        <v>5</v>
      </c>
      <c r="N742" s="39">
        <v>4044.99</v>
      </c>
      <c r="O742" s="219">
        <f t="shared" si="83"/>
        <v>-3.3590082412185396E-3</v>
      </c>
      <c r="Q742" s="40">
        <v>34213</v>
      </c>
      <c r="R742" s="39">
        <v>1918.6</v>
      </c>
      <c r="S742" s="39">
        <f t="shared" si="79"/>
        <v>9</v>
      </c>
      <c r="T742" s="39">
        <f t="shared" si="80"/>
        <v>0</v>
      </c>
      <c r="U742" s="39">
        <f t="shared" si="81"/>
        <v>0</v>
      </c>
      <c r="V742" s="40"/>
    </row>
    <row r="743" spans="2:22" x14ac:dyDescent="0.35">
      <c r="B743" s="40">
        <v>34214</v>
      </c>
      <c r="C743" s="39">
        <v>1925.6</v>
      </c>
      <c r="D743" s="219">
        <f t="shared" si="82"/>
        <v>3.641854085015044E-3</v>
      </c>
      <c r="F743" s="40">
        <v>34214</v>
      </c>
      <c r="G743" s="39">
        <v>1925.6</v>
      </c>
      <c r="H743" s="39">
        <f t="shared" si="77"/>
        <v>4</v>
      </c>
      <c r="I743" s="39">
        <f t="shared" si="78"/>
        <v>0</v>
      </c>
      <c r="K743" s="40">
        <v>38030</v>
      </c>
      <c r="L743" s="39">
        <v>4057.05</v>
      </c>
      <c r="M743" s="39">
        <v>5</v>
      </c>
      <c r="N743" s="39">
        <v>4057.05</v>
      </c>
      <c r="O743" s="219">
        <f t="shared" si="83"/>
        <v>2.9770302064717697E-3</v>
      </c>
      <c r="Q743" s="40">
        <v>34214</v>
      </c>
      <c r="R743" s="39">
        <v>1925.6</v>
      </c>
      <c r="S743" s="39">
        <f t="shared" si="79"/>
        <v>9</v>
      </c>
      <c r="T743" s="39">
        <f t="shared" si="80"/>
        <v>0</v>
      </c>
      <c r="U743" s="39">
        <f t="shared" si="81"/>
        <v>0</v>
      </c>
      <c r="V743" s="40"/>
    </row>
    <row r="744" spans="2:22" x14ac:dyDescent="0.35">
      <c r="B744" s="40">
        <v>34215</v>
      </c>
      <c r="C744" s="39">
        <v>1925.2</v>
      </c>
      <c r="D744" s="219">
        <f t="shared" si="82"/>
        <v>-2.0774903990785639E-4</v>
      </c>
      <c r="F744" s="40">
        <v>34215</v>
      </c>
      <c r="G744" s="39">
        <v>1925.2</v>
      </c>
      <c r="H744" s="39">
        <f t="shared" si="77"/>
        <v>5</v>
      </c>
      <c r="I744" s="39">
        <f t="shared" si="78"/>
        <v>1925.2</v>
      </c>
      <c r="K744" s="40">
        <v>38037</v>
      </c>
      <c r="L744" s="39">
        <v>4073.35</v>
      </c>
      <c r="M744" s="39">
        <v>5</v>
      </c>
      <c r="N744" s="39">
        <v>4073.35</v>
      </c>
      <c r="O744" s="219">
        <f t="shared" si="83"/>
        <v>4.0096481940119491E-3</v>
      </c>
      <c r="Q744" s="40">
        <v>34215</v>
      </c>
      <c r="R744" s="39">
        <v>1925.2</v>
      </c>
      <c r="S744" s="39">
        <f t="shared" si="79"/>
        <v>9</v>
      </c>
      <c r="T744" s="39">
        <f t="shared" si="80"/>
        <v>0</v>
      </c>
      <c r="U744" s="39">
        <f t="shared" si="81"/>
        <v>0</v>
      </c>
      <c r="V744" s="40"/>
    </row>
    <row r="745" spans="2:22" x14ac:dyDescent="0.35">
      <c r="B745" s="40">
        <v>34218</v>
      </c>
      <c r="C745" s="39">
        <v>1910.3</v>
      </c>
      <c r="D745" s="219">
        <f t="shared" si="82"/>
        <v>-7.7695606593482921E-3</v>
      </c>
      <c r="F745" s="40">
        <v>34218</v>
      </c>
      <c r="G745" s="39">
        <v>1910.3</v>
      </c>
      <c r="H745" s="39">
        <f t="shared" si="77"/>
        <v>1</v>
      </c>
      <c r="I745" s="39">
        <f t="shared" si="78"/>
        <v>0</v>
      </c>
      <c r="K745" s="40">
        <v>38044</v>
      </c>
      <c r="L745" s="39">
        <v>4018.16</v>
      </c>
      <c r="M745" s="39">
        <v>5</v>
      </c>
      <c r="N745" s="39">
        <v>4018.16</v>
      </c>
      <c r="O745" s="219">
        <f t="shared" si="83"/>
        <v>-1.3641670313709893E-2</v>
      </c>
      <c r="Q745" s="40">
        <v>34218</v>
      </c>
      <c r="R745" s="39">
        <v>1910.3</v>
      </c>
      <c r="S745" s="39">
        <f t="shared" si="79"/>
        <v>9</v>
      </c>
      <c r="T745" s="39">
        <f t="shared" si="80"/>
        <v>0</v>
      </c>
      <c r="U745" s="39">
        <f t="shared" si="81"/>
        <v>0</v>
      </c>
      <c r="V745" s="40"/>
    </row>
    <row r="746" spans="2:22" x14ac:dyDescent="0.35">
      <c r="B746" s="40">
        <v>34219</v>
      </c>
      <c r="C746" s="39">
        <v>1886</v>
      </c>
      <c r="D746" s="219">
        <f t="shared" si="82"/>
        <v>-1.2802113576203299E-2</v>
      </c>
      <c r="F746" s="40">
        <v>34219</v>
      </c>
      <c r="G746" s="39">
        <v>1886</v>
      </c>
      <c r="H746" s="39">
        <f t="shared" si="77"/>
        <v>2</v>
      </c>
      <c r="I746" s="39">
        <f t="shared" si="78"/>
        <v>0</v>
      </c>
      <c r="K746" s="40">
        <v>38051</v>
      </c>
      <c r="L746" s="39">
        <v>4126.1400000000003</v>
      </c>
      <c r="M746" s="39">
        <v>5</v>
      </c>
      <c r="N746" s="39">
        <v>4126.1400000000003</v>
      </c>
      <c r="O746" s="219">
        <f t="shared" si="83"/>
        <v>2.6518258835326124E-2</v>
      </c>
      <c r="Q746" s="40">
        <v>34219</v>
      </c>
      <c r="R746" s="39">
        <v>1886</v>
      </c>
      <c r="S746" s="39">
        <f t="shared" si="79"/>
        <v>9</v>
      </c>
      <c r="T746" s="39">
        <f t="shared" si="80"/>
        <v>0</v>
      </c>
      <c r="U746" s="39">
        <f t="shared" si="81"/>
        <v>0</v>
      </c>
      <c r="V746" s="40"/>
    </row>
    <row r="747" spans="2:22" x14ac:dyDescent="0.35">
      <c r="B747" s="40">
        <v>34220</v>
      </c>
      <c r="C747" s="39">
        <v>1885.3</v>
      </c>
      <c r="D747" s="219">
        <f t="shared" si="82"/>
        <v>-3.7122478086534913E-4</v>
      </c>
      <c r="F747" s="40">
        <v>34220</v>
      </c>
      <c r="G747" s="39">
        <v>1885.3</v>
      </c>
      <c r="H747" s="39">
        <f t="shared" si="77"/>
        <v>3</v>
      </c>
      <c r="I747" s="39">
        <f t="shared" si="78"/>
        <v>0</v>
      </c>
      <c r="K747" s="40">
        <v>38058</v>
      </c>
      <c r="L747" s="39">
        <v>3915.38</v>
      </c>
      <c r="M747" s="39">
        <v>5</v>
      </c>
      <c r="N747" s="39">
        <v>3915.38</v>
      </c>
      <c r="O747" s="219">
        <f t="shared" si="83"/>
        <v>-5.2429957929292552E-2</v>
      </c>
      <c r="Q747" s="40">
        <v>34220</v>
      </c>
      <c r="R747" s="39">
        <v>1885.3</v>
      </c>
      <c r="S747" s="39">
        <f t="shared" si="79"/>
        <v>9</v>
      </c>
      <c r="T747" s="39">
        <f t="shared" si="80"/>
        <v>0</v>
      </c>
      <c r="U747" s="39">
        <f t="shared" si="81"/>
        <v>0</v>
      </c>
      <c r="V747" s="40"/>
    </row>
    <row r="748" spans="2:22" x14ac:dyDescent="0.35">
      <c r="B748" s="40">
        <v>34221</v>
      </c>
      <c r="C748" s="39">
        <v>1880.8</v>
      </c>
      <c r="D748" s="219">
        <f t="shared" si="82"/>
        <v>-2.3897411866776437E-3</v>
      </c>
      <c r="F748" s="40">
        <v>34221</v>
      </c>
      <c r="G748" s="39">
        <v>1880.8</v>
      </c>
      <c r="H748" s="39">
        <f t="shared" si="77"/>
        <v>4</v>
      </c>
      <c r="I748" s="39">
        <f t="shared" si="78"/>
        <v>0</v>
      </c>
      <c r="K748" s="40">
        <v>38065</v>
      </c>
      <c r="L748" s="39">
        <v>3819.15</v>
      </c>
      <c r="M748" s="39">
        <v>5</v>
      </c>
      <c r="N748" s="39">
        <v>3819.15</v>
      </c>
      <c r="O748" s="219">
        <f t="shared" si="83"/>
        <v>-2.4884502542552023E-2</v>
      </c>
      <c r="Q748" s="40">
        <v>34221</v>
      </c>
      <c r="R748" s="39">
        <v>1880.8</v>
      </c>
      <c r="S748" s="39">
        <f t="shared" si="79"/>
        <v>9</v>
      </c>
      <c r="T748" s="39">
        <f t="shared" si="80"/>
        <v>0</v>
      </c>
      <c r="U748" s="39">
        <f t="shared" si="81"/>
        <v>0</v>
      </c>
      <c r="V748" s="40"/>
    </row>
    <row r="749" spans="2:22" x14ac:dyDescent="0.35">
      <c r="B749" s="40">
        <v>34222</v>
      </c>
      <c r="C749" s="39">
        <v>1861.4</v>
      </c>
      <c r="D749" s="219">
        <f t="shared" si="82"/>
        <v>-1.0368325474249577E-2</v>
      </c>
      <c r="F749" s="40">
        <v>34222</v>
      </c>
      <c r="G749" s="39">
        <v>1861.4</v>
      </c>
      <c r="H749" s="39">
        <f t="shared" si="77"/>
        <v>5</v>
      </c>
      <c r="I749" s="39">
        <f t="shared" si="78"/>
        <v>1861.4</v>
      </c>
      <c r="K749" s="40">
        <v>38072</v>
      </c>
      <c r="L749" s="39">
        <v>3822.33</v>
      </c>
      <c r="M749" s="39">
        <v>5</v>
      </c>
      <c r="N749" s="39">
        <v>3822.33</v>
      </c>
      <c r="O749" s="219">
        <f t="shared" si="83"/>
        <v>8.3229955023679427E-4</v>
      </c>
      <c r="Q749" s="40">
        <v>34222</v>
      </c>
      <c r="R749" s="39">
        <v>1861.4</v>
      </c>
      <c r="S749" s="39">
        <f t="shared" si="79"/>
        <v>9</v>
      </c>
      <c r="T749" s="39">
        <f t="shared" si="80"/>
        <v>0</v>
      </c>
      <c r="U749" s="39">
        <f t="shared" si="81"/>
        <v>0</v>
      </c>
      <c r="V749" s="40"/>
    </row>
    <row r="750" spans="2:22" x14ac:dyDescent="0.35">
      <c r="B750" s="40">
        <v>34225</v>
      </c>
      <c r="C750" s="39">
        <v>1872.6</v>
      </c>
      <c r="D750" s="219">
        <f t="shared" si="82"/>
        <v>5.9989467531785653E-3</v>
      </c>
      <c r="F750" s="40">
        <v>34225</v>
      </c>
      <c r="G750" s="39">
        <v>1872.6</v>
      </c>
      <c r="H750" s="39">
        <f t="shared" si="77"/>
        <v>1</v>
      </c>
      <c r="I750" s="39">
        <f t="shared" si="78"/>
        <v>0</v>
      </c>
      <c r="K750" s="40">
        <v>38079</v>
      </c>
      <c r="L750" s="39">
        <v>4007.6</v>
      </c>
      <c r="M750" s="39">
        <v>5</v>
      </c>
      <c r="N750" s="39">
        <v>4007.6</v>
      </c>
      <c r="O750" s="219">
        <f t="shared" si="83"/>
        <v>4.7332374082965964E-2</v>
      </c>
      <c r="Q750" s="40">
        <v>34225</v>
      </c>
      <c r="R750" s="39">
        <v>1872.6</v>
      </c>
      <c r="S750" s="39">
        <f t="shared" si="79"/>
        <v>9</v>
      </c>
      <c r="T750" s="39">
        <f t="shared" si="80"/>
        <v>0</v>
      </c>
      <c r="U750" s="39">
        <f t="shared" si="81"/>
        <v>0</v>
      </c>
      <c r="V750" s="40"/>
    </row>
    <row r="751" spans="2:22" x14ac:dyDescent="0.35">
      <c r="B751" s="40">
        <v>34226</v>
      </c>
      <c r="C751" s="39">
        <v>1880.6</v>
      </c>
      <c r="D751" s="219">
        <f t="shared" si="82"/>
        <v>4.2630353381876819E-3</v>
      </c>
      <c r="F751" s="40">
        <v>34226</v>
      </c>
      <c r="G751" s="39">
        <v>1880.6</v>
      </c>
      <c r="H751" s="39">
        <f t="shared" si="77"/>
        <v>2</v>
      </c>
      <c r="I751" s="39">
        <f t="shared" si="78"/>
        <v>0</v>
      </c>
      <c r="K751" s="40">
        <v>38085</v>
      </c>
      <c r="L751" s="39">
        <v>4013.53</v>
      </c>
      <c r="M751" s="39">
        <v>4</v>
      </c>
      <c r="N751" s="39">
        <v>4013.53</v>
      </c>
      <c r="O751" s="219">
        <f t="shared" si="83"/>
        <v>1.4785949312300726E-3</v>
      </c>
      <c r="Q751" s="40">
        <v>34226</v>
      </c>
      <c r="R751" s="39">
        <v>1880.6</v>
      </c>
      <c r="S751" s="39">
        <f t="shared" si="79"/>
        <v>9</v>
      </c>
      <c r="T751" s="39">
        <f t="shared" si="80"/>
        <v>0</v>
      </c>
      <c r="U751" s="39">
        <f t="shared" si="81"/>
        <v>0</v>
      </c>
      <c r="V751" s="40"/>
    </row>
    <row r="752" spans="2:22" x14ac:dyDescent="0.35">
      <c r="B752" s="40">
        <v>34227</v>
      </c>
      <c r="C752" s="39">
        <v>1860.4</v>
      </c>
      <c r="D752" s="219">
        <f t="shared" si="82"/>
        <v>-1.0799356493034503E-2</v>
      </c>
      <c r="F752" s="40">
        <v>34227</v>
      </c>
      <c r="G752" s="39">
        <v>1860.4</v>
      </c>
      <c r="H752" s="39">
        <f t="shared" si="77"/>
        <v>3</v>
      </c>
      <c r="I752" s="39">
        <f t="shared" si="78"/>
        <v>0</v>
      </c>
      <c r="K752" s="40">
        <v>38093</v>
      </c>
      <c r="L752" s="39">
        <v>4033.98</v>
      </c>
      <c r="M752" s="39">
        <v>5</v>
      </c>
      <c r="N752" s="39">
        <v>4033.98</v>
      </c>
      <c r="O752" s="219">
        <f t="shared" si="83"/>
        <v>5.0823283273236696E-3</v>
      </c>
      <c r="Q752" s="40">
        <v>34227</v>
      </c>
      <c r="R752" s="39">
        <v>1860.4</v>
      </c>
      <c r="S752" s="39">
        <f t="shared" si="79"/>
        <v>9</v>
      </c>
      <c r="T752" s="39">
        <f t="shared" si="80"/>
        <v>0</v>
      </c>
      <c r="U752" s="39">
        <f t="shared" si="81"/>
        <v>0</v>
      </c>
      <c r="V752" s="40"/>
    </row>
    <row r="753" spans="2:22" x14ac:dyDescent="0.35">
      <c r="B753" s="40">
        <v>34228</v>
      </c>
      <c r="C753" s="39">
        <v>1855.7</v>
      </c>
      <c r="D753" s="219">
        <f t="shared" si="82"/>
        <v>-2.529534999648822E-3</v>
      </c>
      <c r="F753" s="40">
        <v>34228</v>
      </c>
      <c r="G753" s="39">
        <v>1855.7</v>
      </c>
      <c r="H753" s="39">
        <f t="shared" si="77"/>
        <v>4</v>
      </c>
      <c r="I753" s="39">
        <f t="shared" si="78"/>
        <v>0</v>
      </c>
      <c r="K753" s="40">
        <v>38100</v>
      </c>
      <c r="L753" s="39">
        <v>4103.62</v>
      </c>
      <c r="M753" s="39">
        <v>5</v>
      </c>
      <c r="N753" s="39">
        <v>4103.62</v>
      </c>
      <c r="O753" s="219">
        <f t="shared" si="83"/>
        <v>1.7116029327392417E-2</v>
      </c>
      <c r="Q753" s="40">
        <v>34228</v>
      </c>
      <c r="R753" s="39">
        <v>1855.7</v>
      </c>
      <c r="S753" s="39">
        <f t="shared" si="79"/>
        <v>9</v>
      </c>
      <c r="T753" s="39">
        <f t="shared" si="80"/>
        <v>0</v>
      </c>
      <c r="U753" s="39">
        <f t="shared" si="81"/>
        <v>0</v>
      </c>
      <c r="V753" s="40"/>
    </row>
    <row r="754" spans="2:22" x14ac:dyDescent="0.35">
      <c r="B754" s="40">
        <v>34229</v>
      </c>
      <c r="C754" s="39">
        <v>1882</v>
      </c>
      <c r="D754" s="219">
        <f t="shared" si="82"/>
        <v>1.4073057795031674E-2</v>
      </c>
      <c r="F754" s="40">
        <v>34229</v>
      </c>
      <c r="G754" s="39">
        <v>1882</v>
      </c>
      <c r="H754" s="39">
        <f t="shared" si="77"/>
        <v>5</v>
      </c>
      <c r="I754" s="39">
        <f t="shared" si="78"/>
        <v>1882</v>
      </c>
      <c r="K754" s="40">
        <v>38107</v>
      </c>
      <c r="L754" s="39">
        <v>3985.21</v>
      </c>
      <c r="M754" s="39">
        <v>5</v>
      </c>
      <c r="N754" s="39">
        <v>3985.21</v>
      </c>
      <c r="O754" s="219">
        <f t="shared" si="83"/>
        <v>-2.9279502519149018E-2</v>
      </c>
      <c r="Q754" s="40">
        <v>34229</v>
      </c>
      <c r="R754" s="39">
        <v>1882</v>
      </c>
      <c r="S754" s="39">
        <f t="shared" si="79"/>
        <v>9</v>
      </c>
      <c r="T754" s="39">
        <f t="shared" si="80"/>
        <v>0</v>
      </c>
      <c r="U754" s="39">
        <f t="shared" si="81"/>
        <v>0</v>
      </c>
      <c r="V754" s="40"/>
    </row>
    <row r="755" spans="2:22" x14ac:dyDescent="0.35">
      <c r="B755" s="40">
        <v>34232</v>
      </c>
      <c r="C755" s="39">
        <v>1912.8</v>
      </c>
      <c r="D755" s="219">
        <f t="shared" si="82"/>
        <v>1.6233095998789995E-2</v>
      </c>
      <c r="F755" s="40">
        <v>34232</v>
      </c>
      <c r="G755" s="39">
        <v>1912.8</v>
      </c>
      <c r="H755" s="39">
        <f t="shared" si="77"/>
        <v>1</v>
      </c>
      <c r="I755" s="39">
        <f t="shared" si="78"/>
        <v>0</v>
      </c>
      <c r="K755" s="40">
        <v>38114</v>
      </c>
      <c r="L755" s="39">
        <v>3895.64</v>
      </c>
      <c r="M755" s="39">
        <v>5</v>
      </c>
      <c r="N755" s="39">
        <v>3895.64</v>
      </c>
      <c r="O755" s="219">
        <f t="shared" si="83"/>
        <v>-2.2732029422915783E-2</v>
      </c>
      <c r="Q755" s="40">
        <v>34232</v>
      </c>
      <c r="R755" s="39">
        <v>1912.8</v>
      </c>
      <c r="S755" s="39">
        <f t="shared" si="79"/>
        <v>9</v>
      </c>
      <c r="T755" s="39">
        <f t="shared" si="80"/>
        <v>0</v>
      </c>
      <c r="U755" s="39">
        <f t="shared" si="81"/>
        <v>0</v>
      </c>
      <c r="V755" s="40"/>
    </row>
    <row r="756" spans="2:22" x14ac:dyDescent="0.35">
      <c r="B756" s="40">
        <v>34233</v>
      </c>
      <c r="C756" s="39">
        <v>1925.9</v>
      </c>
      <c r="D756" s="219">
        <f t="shared" si="82"/>
        <v>6.8252537860516646E-3</v>
      </c>
      <c r="F756" s="40">
        <v>34233</v>
      </c>
      <c r="G756" s="39">
        <v>1925.9</v>
      </c>
      <c r="H756" s="39">
        <f t="shared" si="77"/>
        <v>2</v>
      </c>
      <c r="I756" s="39">
        <f t="shared" si="78"/>
        <v>0</v>
      </c>
      <c r="K756" s="40">
        <v>38121</v>
      </c>
      <c r="L756" s="39">
        <v>3803.1</v>
      </c>
      <c r="M756" s="39">
        <v>5</v>
      </c>
      <c r="N756" s="39">
        <v>3803.1</v>
      </c>
      <c r="O756" s="219">
        <f t="shared" si="83"/>
        <v>-2.4041455416198662E-2</v>
      </c>
      <c r="Q756" s="40">
        <v>34233</v>
      </c>
      <c r="R756" s="39">
        <v>1925.9</v>
      </c>
      <c r="S756" s="39">
        <f t="shared" si="79"/>
        <v>9</v>
      </c>
      <c r="T756" s="39">
        <f t="shared" si="80"/>
        <v>0</v>
      </c>
      <c r="U756" s="39">
        <f t="shared" si="81"/>
        <v>0</v>
      </c>
      <c r="V756" s="40"/>
    </row>
    <row r="757" spans="2:22" x14ac:dyDescent="0.35">
      <c r="B757" s="40">
        <v>34234</v>
      </c>
      <c r="C757" s="39">
        <v>1893</v>
      </c>
      <c r="D757" s="219">
        <f t="shared" si="82"/>
        <v>-1.7230518720843691E-2</v>
      </c>
      <c r="F757" s="40">
        <v>34234</v>
      </c>
      <c r="G757" s="39">
        <v>1893</v>
      </c>
      <c r="H757" s="39">
        <f t="shared" si="77"/>
        <v>3</v>
      </c>
      <c r="I757" s="39">
        <f t="shared" si="78"/>
        <v>0</v>
      </c>
      <c r="K757" s="40">
        <v>38128</v>
      </c>
      <c r="L757" s="39">
        <v>3831.84</v>
      </c>
      <c r="M757" s="39">
        <v>5</v>
      </c>
      <c r="N757" s="39">
        <v>3831.84</v>
      </c>
      <c r="O757" s="219">
        <f t="shared" si="83"/>
        <v>7.5285819528079084E-3</v>
      </c>
      <c r="Q757" s="40">
        <v>34234</v>
      </c>
      <c r="R757" s="39">
        <v>1893</v>
      </c>
      <c r="S757" s="39">
        <f t="shared" si="79"/>
        <v>9</v>
      </c>
      <c r="T757" s="39">
        <f t="shared" si="80"/>
        <v>0</v>
      </c>
      <c r="U757" s="39">
        <f t="shared" si="81"/>
        <v>0</v>
      </c>
      <c r="V757" s="40"/>
    </row>
    <row r="758" spans="2:22" x14ac:dyDescent="0.35">
      <c r="B758" s="40">
        <v>34235</v>
      </c>
      <c r="C758" s="39">
        <v>1916.5</v>
      </c>
      <c r="D758" s="219">
        <f t="shared" si="82"/>
        <v>1.2337733611286875E-2</v>
      </c>
      <c r="F758" s="40">
        <v>34235</v>
      </c>
      <c r="G758" s="39">
        <v>1916.5</v>
      </c>
      <c r="H758" s="39">
        <f t="shared" si="77"/>
        <v>4</v>
      </c>
      <c r="I758" s="39">
        <f t="shared" si="78"/>
        <v>0</v>
      </c>
      <c r="K758" s="40">
        <v>38135</v>
      </c>
      <c r="L758" s="39">
        <v>3902.72</v>
      </c>
      <c r="M758" s="39">
        <v>5</v>
      </c>
      <c r="N758" s="39">
        <v>3902.72</v>
      </c>
      <c r="O758" s="219">
        <f t="shared" si="83"/>
        <v>1.8328640354182031E-2</v>
      </c>
      <c r="Q758" s="40">
        <v>34235</v>
      </c>
      <c r="R758" s="39">
        <v>1916.5</v>
      </c>
      <c r="S758" s="39">
        <f t="shared" si="79"/>
        <v>9</v>
      </c>
      <c r="T758" s="39">
        <f t="shared" si="80"/>
        <v>0</v>
      </c>
      <c r="U758" s="39">
        <f t="shared" si="81"/>
        <v>0</v>
      </c>
      <c r="V758" s="40"/>
    </row>
    <row r="759" spans="2:22" x14ac:dyDescent="0.35">
      <c r="B759" s="40">
        <v>34236</v>
      </c>
      <c r="C759" s="39">
        <v>1885.9</v>
      </c>
      <c r="D759" s="219">
        <f t="shared" si="82"/>
        <v>-1.6095445302290311E-2</v>
      </c>
      <c r="F759" s="40">
        <v>34236</v>
      </c>
      <c r="G759" s="39">
        <v>1885.9</v>
      </c>
      <c r="H759" s="39">
        <f t="shared" ref="H759:H822" si="84">WEEKDAY(F759,2)</f>
        <v>5</v>
      </c>
      <c r="I759" s="39">
        <f t="shared" ref="I759:I822" si="85">IF(H759&gt;H760,G759,0)</f>
        <v>1885.9</v>
      </c>
      <c r="K759" s="40">
        <v>38142</v>
      </c>
      <c r="L759" s="39">
        <v>3961.93</v>
      </c>
      <c r="M759" s="39">
        <v>5</v>
      </c>
      <c r="N759" s="39">
        <v>3961.93</v>
      </c>
      <c r="O759" s="219">
        <f t="shared" si="83"/>
        <v>1.5057534338114577E-2</v>
      </c>
      <c r="Q759" s="40">
        <v>34236</v>
      </c>
      <c r="R759" s="39">
        <v>1885.9</v>
      </c>
      <c r="S759" s="39">
        <f t="shared" ref="S759:S822" si="86">MONTH(Q759)</f>
        <v>9</v>
      </c>
      <c r="T759" s="39">
        <f t="shared" ref="T759:T822" si="87">IF(S760&lt;&gt;S759,R759,0)</f>
        <v>0</v>
      </c>
      <c r="U759" s="39">
        <f t="shared" ref="U759:U822" si="88">IF(S760=S759,0,R759)</f>
        <v>0</v>
      </c>
      <c r="V759" s="40"/>
    </row>
    <row r="760" spans="2:22" x14ac:dyDescent="0.35">
      <c r="B760" s="40">
        <v>34239</v>
      </c>
      <c r="C760" s="39">
        <v>1912.2</v>
      </c>
      <c r="D760" s="219">
        <f t="shared" ref="D760:D823" si="89">LN(C760/C759)</f>
        <v>1.3849251133026248E-2</v>
      </c>
      <c r="F760" s="40">
        <v>34239</v>
      </c>
      <c r="G760" s="39">
        <v>1912.2</v>
      </c>
      <c r="H760" s="39">
        <f t="shared" si="84"/>
        <v>1</v>
      </c>
      <c r="I760" s="39">
        <f t="shared" si="85"/>
        <v>0</v>
      </c>
      <c r="K760" s="40">
        <v>38149</v>
      </c>
      <c r="L760" s="39">
        <v>4014.56</v>
      </c>
      <c r="M760" s="39">
        <v>5</v>
      </c>
      <c r="N760" s="39">
        <v>4014.56</v>
      </c>
      <c r="O760" s="219">
        <f t="shared" ref="O760:O823" si="90">LN(N760/N759)</f>
        <v>1.3196472076553311E-2</v>
      </c>
      <c r="Q760" s="40">
        <v>34239</v>
      </c>
      <c r="R760" s="39">
        <v>1912.2</v>
      </c>
      <c r="S760" s="39">
        <f t="shared" si="86"/>
        <v>9</v>
      </c>
      <c r="T760" s="39">
        <f t="shared" si="87"/>
        <v>0</v>
      </c>
      <c r="U760" s="39">
        <f t="shared" si="88"/>
        <v>0</v>
      </c>
      <c r="V760" s="40"/>
    </row>
    <row r="761" spans="2:22" x14ac:dyDescent="0.35">
      <c r="B761" s="40">
        <v>34240</v>
      </c>
      <c r="C761" s="39">
        <v>1913.6</v>
      </c>
      <c r="D761" s="219">
        <f t="shared" si="89"/>
        <v>7.3187310496670055E-4</v>
      </c>
      <c r="F761" s="40">
        <v>34240</v>
      </c>
      <c r="G761" s="39">
        <v>1913.6</v>
      </c>
      <c r="H761" s="39">
        <f t="shared" si="84"/>
        <v>2</v>
      </c>
      <c r="I761" s="39">
        <f t="shared" si="85"/>
        <v>0</v>
      </c>
      <c r="K761" s="40">
        <v>38156</v>
      </c>
      <c r="L761" s="39">
        <v>3999.79</v>
      </c>
      <c r="M761" s="39">
        <v>5</v>
      </c>
      <c r="N761" s="39">
        <v>3999.79</v>
      </c>
      <c r="O761" s="219">
        <f t="shared" si="90"/>
        <v>-3.6858926105940455E-3</v>
      </c>
      <c r="Q761" s="40">
        <v>34240</v>
      </c>
      <c r="R761" s="39">
        <v>1913.6</v>
      </c>
      <c r="S761" s="39">
        <f t="shared" si="86"/>
        <v>9</v>
      </c>
      <c r="T761" s="39">
        <f t="shared" si="87"/>
        <v>0</v>
      </c>
      <c r="U761" s="39">
        <f t="shared" si="88"/>
        <v>0</v>
      </c>
      <c r="V761" s="40"/>
    </row>
    <row r="762" spans="2:22" x14ac:dyDescent="0.35">
      <c r="B762" s="40">
        <v>34241</v>
      </c>
      <c r="C762" s="39">
        <v>1907.7</v>
      </c>
      <c r="D762" s="219">
        <f t="shared" si="89"/>
        <v>-3.0879568148407606E-3</v>
      </c>
      <c r="F762" s="40">
        <v>34241</v>
      </c>
      <c r="G762" s="39">
        <v>1907.7</v>
      </c>
      <c r="H762" s="39">
        <f t="shared" si="84"/>
        <v>3</v>
      </c>
      <c r="I762" s="39">
        <f t="shared" si="85"/>
        <v>0</v>
      </c>
      <c r="K762" s="40">
        <v>38163</v>
      </c>
      <c r="L762" s="39">
        <v>4013.35</v>
      </c>
      <c r="M762" s="39">
        <v>5</v>
      </c>
      <c r="N762" s="39">
        <v>4013.35</v>
      </c>
      <c r="O762" s="219">
        <f t="shared" si="90"/>
        <v>3.3844442861451999E-3</v>
      </c>
      <c r="Q762" s="40">
        <v>34241</v>
      </c>
      <c r="R762" s="39">
        <v>1907.7</v>
      </c>
      <c r="S762" s="39">
        <f t="shared" si="86"/>
        <v>9</v>
      </c>
      <c r="T762" s="39">
        <f t="shared" si="87"/>
        <v>0</v>
      </c>
      <c r="U762" s="39">
        <f t="shared" si="88"/>
        <v>0</v>
      </c>
      <c r="V762" s="40"/>
    </row>
    <row r="763" spans="2:22" x14ac:dyDescent="0.35">
      <c r="B763" s="40">
        <v>34242</v>
      </c>
      <c r="C763" s="39">
        <v>1915.7</v>
      </c>
      <c r="D763" s="219">
        <f t="shared" si="89"/>
        <v>4.1847631295836504E-3</v>
      </c>
      <c r="F763" s="40">
        <v>34242</v>
      </c>
      <c r="G763" s="39">
        <v>1915.7</v>
      </c>
      <c r="H763" s="39">
        <f t="shared" si="84"/>
        <v>4</v>
      </c>
      <c r="I763" s="39">
        <f t="shared" si="85"/>
        <v>0</v>
      </c>
      <c r="K763" s="40">
        <v>38170</v>
      </c>
      <c r="L763" s="39">
        <v>3998.77</v>
      </c>
      <c r="M763" s="39">
        <v>5</v>
      </c>
      <c r="N763" s="39">
        <v>3998.77</v>
      </c>
      <c r="O763" s="219">
        <f t="shared" si="90"/>
        <v>-3.6394901957911971E-3</v>
      </c>
      <c r="Q763" s="40">
        <v>34242</v>
      </c>
      <c r="R763" s="39">
        <v>1915.7</v>
      </c>
      <c r="S763" s="39">
        <f t="shared" si="86"/>
        <v>9</v>
      </c>
      <c r="T763" s="39">
        <f t="shared" si="87"/>
        <v>1915.7</v>
      </c>
      <c r="U763" s="39">
        <f t="shared" si="88"/>
        <v>1915.7</v>
      </c>
      <c r="V763" s="40"/>
    </row>
    <row r="764" spans="2:22" x14ac:dyDescent="0.35">
      <c r="B764" s="40">
        <v>34243</v>
      </c>
      <c r="C764" s="39">
        <v>1912.1</v>
      </c>
      <c r="D764" s="219">
        <f t="shared" si="89"/>
        <v>-1.8809765721416946E-3</v>
      </c>
      <c r="F764" s="40">
        <v>34243</v>
      </c>
      <c r="G764" s="39">
        <v>1912.1</v>
      </c>
      <c r="H764" s="39">
        <f t="shared" si="84"/>
        <v>5</v>
      </c>
      <c r="I764" s="39">
        <f t="shared" si="85"/>
        <v>1912.1</v>
      </c>
      <c r="K764" s="40">
        <v>38177</v>
      </c>
      <c r="L764" s="39">
        <v>3924.49</v>
      </c>
      <c r="M764" s="39">
        <v>5</v>
      </c>
      <c r="N764" s="39">
        <v>3924.49</v>
      </c>
      <c r="O764" s="219">
        <f t="shared" si="90"/>
        <v>-1.8750407345885227E-2</v>
      </c>
      <c r="Q764" s="40">
        <v>34243</v>
      </c>
      <c r="R764" s="39">
        <v>1912.1</v>
      </c>
      <c r="S764" s="39">
        <f t="shared" si="86"/>
        <v>10</v>
      </c>
      <c r="T764" s="39">
        <f t="shared" si="87"/>
        <v>0</v>
      </c>
      <c r="U764" s="39">
        <f t="shared" si="88"/>
        <v>0</v>
      </c>
      <c r="V764" s="40"/>
    </row>
    <row r="765" spans="2:22" x14ac:dyDescent="0.35">
      <c r="B765" s="40">
        <v>34246</v>
      </c>
      <c r="C765" s="39">
        <v>1923.7</v>
      </c>
      <c r="D765" s="219">
        <f t="shared" si="89"/>
        <v>6.0483004132221001E-3</v>
      </c>
      <c r="F765" s="40">
        <v>34246</v>
      </c>
      <c r="G765" s="39">
        <v>1923.7</v>
      </c>
      <c r="H765" s="39">
        <f t="shared" si="84"/>
        <v>1</v>
      </c>
      <c r="I765" s="39">
        <f t="shared" si="85"/>
        <v>0</v>
      </c>
      <c r="K765" s="40">
        <v>38184</v>
      </c>
      <c r="L765" s="39">
        <v>3845.93</v>
      </c>
      <c r="M765" s="39">
        <v>5</v>
      </c>
      <c r="N765" s="39">
        <v>3845.93</v>
      </c>
      <c r="O765" s="219">
        <f t="shared" si="90"/>
        <v>-2.0220960213262532E-2</v>
      </c>
      <c r="Q765" s="40">
        <v>34246</v>
      </c>
      <c r="R765" s="39">
        <v>1923.7</v>
      </c>
      <c r="S765" s="39">
        <f t="shared" si="86"/>
        <v>10</v>
      </c>
      <c r="T765" s="39">
        <f t="shared" si="87"/>
        <v>0</v>
      </c>
      <c r="U765" s="39">
        <f t="shared" si="88"/>
        <v>0</v>
      </c>
      <c r="V765" s="40"/>
    </row>
    <row r="766" spans="2:22" x14ac:dyDescent="0.35">
      <c r="B766" s="40">
        <v>34247</v>
      </c>
      <c r="C766" s="39">
        <v>1972.7</v>
      </c>
      <c r="D766" s="219">
        <f t="shared" si="89"/>
        <v>2.5152747837687388E-2</v>
      </c>
      <c r="F766" s="40">
        <v>34247</v>
      </c>
      <c r="G766" s="39">
        <v>1972.7</v>
      </c>
      <c r="H766" s="39">
        <f t="shared" si="84"/>
        <v>2</v>
      </c>
      <c r="I766" s="39">
        <f t="shared" si="85"/>
        <v>0</v>
      </c>
      <c r="K766" s="40">
        <v>38191</v>
      </c>
      <c r="L766" s="39">
        <v>3797.33</v>
      </c>
      <c r="M766" s="39">
        <v>5</v>
      </c>
      <c r="N766" s="39">
        <v>3797.33</v>
      </c>
      <c r="O766" s="219">
        <f t="shared" si="90"/>
        <v>-1.2717258080787318E-2</v>
      </c>
      <c r="Q766" s="40">
        <v>34247</v>
      </c>
      <c r="R766" s="39">
        <v>1972.7</v>
      </c>
      <c r="S766" s="39">
        <f t="shared" si="86"/>
        <v>10</v>
      </c>
      <c r="T766" s="39">
        <f t="shared" si="87"/>
        <v>0</v>
      </c>
      <c r="U766" s="39">
        <f t="shared" si="88"/>
        <v>0</v>
      </c>
      <c r="V766" s="40"/>
    </row>
    <row r="767" spans="2:22" x14ac:dyDescent="0.35">
      <c r="B767" s="40">
        <v>34248</v>
      </c>
      <c r="C767" s="39">
        <v>1987.1</v>
      </c>
      <c r="D767" s="219">
        <f t="shared" si="89"/>
        <v>7.2731266619473931E-3</v>
      </c>
      <c r="F767" s="40">
        <v>34248</v>
      </c>
      <c r="G767" s="39">
        <v>1987.1</v>
      </c>
      <c r="H767" s="39">
        <f t="shared" si="84"/>
        <v>3</v>
      </c>
      <c r="I767" s="39">
        <f t="shared" si="85"/>
        <v>0</v>
      </c>
      <c r="K767" s="40">
        <v>38198</v>
      </c>
      <c r="L767" s="39">
        <v>3895.61</v>
      </c>
      <c r="M767" s="39">
        <v>5</v>
      </c>
      <c r="N767" s="39">
        <v>3895.61</v>
      </c>
      <c r="O767" s="219">
        <f t="shared" si="90"/>
        <v>2.5552089908141427E-2</v>
      </c>
      <c r="Q767" s="40">
        <v>34248</v>
      </c>
      <c r="R767" s="39">
        <v>1987.1</v>
      </c>
      <c r="S767" s="39">
        <f t="shared" si="86"/>
        <v>10</v>
      </c>
      <c r="T767" s="39">
        <f t="shared" si="87"/>
        <v>0</v>
      </c>
      <c r="U767" s="39">
        <f t="shared" si="88"/>
        <v>0</v>
      </c>
      <c r="V767" s="40"/>
    </row>
    <row r="768" spans="2:22" x14ac:dyDescent="0.35">
      <c r="B768" s="40">
        <v>34249</v>
      </c>
      <c r="C768" s="39">
        <v>1997</v>
      </c>
      <c r="D768" s="219">
        <f t="shared" si="89"/>
        <v>4.9697650040446675E-3</v>
      </c>
      <c r="F768" s="40">
        <v>34249</v>
      </c>
      <c r="G768" s="39">
        <v>1997</v>
      </c>
      <c r="H768" s="39">
        <f t="shared" si="84"/>
        <v>4</v>
      </c>
      <c r="I768" s="39">
        <f t="shared" si="85"/>
        <v>0</v>
      </c>
      <c r="K768" s="40">
        <v>38205</v>
      </c>
      <c r="L768" s="39">
        <v>3727.74</v>
      </c>
      <c r="M768" s="39">
        <v>5</v>
      </c>
      <c r="N768" s="39">
        <v>3727.74</v>
      </c>
      <c r="O768" s="219">
        <f t="shared" si="90"/>
        <v>-4.4048126198323712E-2</v>
      </c>
      <c r="Q768" s="40">
        <v>34249</v>
      </c>
      <c r="R768" s="39">
        <v>1997</v>
      </c>
      <c r="S768" s="39">
        <f t="shared" si="86"/>
        <v>10</v>
      </c>
      <c r="T768" s="39">
        <f t="shared" si="87"/>
        <v>0</v>
      </c>
      <c r="U768" s="39">
        <f t="shared" si="88"/>
        <v>0</v>
      </c>
      <c r="V768" s="40"/>
    </row>
    <row r="769" spans="2:22" x14ac:dyDescent="0.35">
      <c r="B769" s="40">
        <v>34250</v>
      </c>
      <c r="C769" s="39">
        <v>2005</v>
      </c>
      <c r="D769" s="219">
        <f t="shared" si="89"/>
        <v>3.9980063248543926E-3</v>
      </c>
      <c r="F769" s="40">
        <v>34250</v>
      </c>
      <c r="G769" s="39">
        <v>2005</v>
      </c>
      <c r="H769" s="39">
        <f t="shared" si="84"/>
        <v>5</v>
      </c>
      <c r="I769" s="39">
        <f t="shared" si="85"/>
        <v>2005</v>
      </c>
      <c r="K769" s="40">
        <v>38212</v>
      </c>
      <c r="L769" s="39">
        <v>3646.99</v>
      </c>
      <c r="M769" s="39">
        <v>5</v>
      </c>
      <c r="N769" s="39">
        <v>3646.99</v>
      </c>
      <c r="O769" s="219">
        <f t="shared" si="90"/>
        <v>-2.1899982058879303E-2</v>
      </c>
      <c r="Q769" s="40">
        <v>34250</v>
      </c>
      <c r="R769" s="39">
        <v>2005</v>
      </c>
      <c r="S769" s="39">
        <f t="shared" si="86"/>
        <v>10</v>
      </c>
      <c r="T769" s="39">
        <f t="shared" si="87"/>
        <v>0</v>
      </c>
      <c r="U769" s="39">
        <f t="shared" si="88"/>
        <v>0</v>
      </c>
      <c r="V769" s="40"/>
    </row>
    <row r="770" spans="2:22" x14ac:dyDescent="0.35">
      <c r="B770" s="40">
        <v>34253</v>
      </c>
      <c r="C770" s="39">
        <v>2011</v>
      </c>
      <c r="D770" s="219">
        <f t="shared" si="89"/>
        <v>2.9880500319823889E-3</v>
      </c>
      <c r="F770" s="40">
        <v>34253</v>
      </c>
      <c r="G770" s="39">
        <v>2011</v>
      </c>
      <c r="H770" s="39">
        <f t="shared" si="84"/>
        <v>1</v>
      </c>
      <c r="I770" s="39">
        <f t="shared" si="85"/>
        <v>0</v>
      </c>
      <c r="K770" s="40">
        <v>38219</v>
      </c>
      <c r="L770" s="39">
        <v>3712.61</v>
      </c>
      <c r="M770" s="39">
        <v>5</v>
      </c>
      <c r="N770" s="39">
        <v>3712.61</v>
      </c>
      <c r="O770" s="219">
        <f t="shared" si="90"/>
        <v>1.7832963476424393E-2</v>
      </c>
      <c r="Q770" s="40">
        <v>34253</v>
      </c>
      <c r="R770" s="39">
        <v>2011</v>
      </c>
      <c r="S770" s="39">
        <f t="shared" si="86"/>
        <v>10</v>
      </c>
      <c r="T770" s="39">
        <f t="shared" si="87"/>
        <v>0</v>
      </c>
      <c r="U770" s="39">
        <f t="shared" si="88"/>
        <v>0</v>
      </c>
      <c r="V770" s="40"/>
    </row>
    <row r="771" spans="2:22" x14ac:dyDescent="0.35">
      <c r="B771" s="40">
        <v>34254</v>
      </c>
      <c r="C771" s="39">
        <v>1998.6</v>
      </c>
      <c r="D771" s="219">
        <f t="shared" si="89"/>
        <v>-6.1851753449631546E-3</v>
      </c>
      <c r="F771" s="40">
        <v>34254</v>
      </c>
      <c r="G771" s="39">
        <v>1998.6</v>
      </c>
      <c r="H771" s="39">
        <f t="shared" si="84"/>
        <v>2</v>
      </c>
      <c r="I771" s="39">
        <f t="shared" si="85"/>
        <v>0</v>
      </c>
      <c r="K771" s="40">
        <v>38226</v>
      </c>
      <c r="L771" s="39">
        <v>3851.18</v>
      </c>
      <c r="M771" s="39">
        <v>5</v>
      </c>
      <c r="N771" s="39">
        <v>3851.18</v>
      </c>
      <c r="O771" s="219">
        <f t="shared" si="90"/>
        <v>3.6644461527147627E-2</v>
      </c>
      <c r="Q771" s="40">
        <v>34254</v>
      </c>
      <c r="R771" s="39">
        <v>1998.6</v>
      </c>
      <c r="S771" s="39">
        <f t="shared" si="86"/>
        <v>10</v>
      </c>
      <c r="T771" s="39">
        <f t="shared" si="87"/>
        <v>0</v>
      </c>
      <c r="U771" s="39">
        <f t="shared" si="88"/>
        <v>0</v>
      </c>
      <c r="V771" s="40"/>
    </row>
    <row r="772" spans="2:22" x14ac:dyDescent="0.35">
      <c r="B772" s="40">
        <v>34255</v>
      </c>
      <c r="C772" s="39">
        <v>2001.5</v>
      </c>
      <c r="D772" s="219">
        <f t="shared" si="89"/>
        <v>1.4499640049393445E-3</v>
      </c>
      <c r="F772" s="40">
        <v>34255</v>
      </c>
      <c r="G772" s="39">
        <v>2001.5</v>
      </c>
      <c r="H772" s="39">
        <f t="shared" si="84"/>
        <v>3</v>
      </c>
      <c r="I772" s="39">
        <f t="shared" si="85"/>
        <v>0</v>
      </c>
      <c r="K772" s="40">
        <v>38233</v>
      </c>
      <c r="L772" s="39">
        <v>3866.99</v>
      </c>
      <c r="M772" s="39">
        <v>5</v>
      </c>
      <c r="N772" s="39">
        <v>3866.99</v>
      </c>
      <c r="O772" s="219">
        <f t="shared" si="90"/>
        <v>4.0968317912029178E-3</v>
      </c>
      <c r="Q772" s="40">
        <v>34255</v>
      </c>
      <c r="R772" s="39">
        <v>2001.5</v>
      </c>
      <c r="S772" s="39">
        <f t="shared" si="86"/>
        <v>10</v>
      </c>
      <c r="T772" s="39">
        <f t="shared" si="87"/>
        <v>0</v>
      </c>
      <c r="U772" s="39">
        <f t="shared" si="88"/>
        <v>0</v>
      </c>
      <c r="V772" s="40"/>
    </row>
    <row r="773" spans="2:22" x14ac:dyDescent="0.35">
      <c r="B773" s="40">
        <v>34256</v>
      </c>
      <c r="C773" s="39">
        <v>1990.1</v>
      </c>
      <c r="D773" s="219">
        <f t="shared" si="89"/>
        <v>-5.7120107203609055E-3</v>
      </c>
      <c r="F773" s="40">
        <v>34256</v>
      </c>
      <c r="G773" s="39">
        <v>1990.1</v>
      </c>
      <c r="H773" s="39">
        <f t="shared" si="84"/>
        <v>4</v>
      </c>
      <c r="I773" s="39">
        <f t="shared" si="85"/>
        <v>0</v>
      </c>
      <c r="K773" s="40">
        <v>38240</v>
      </c>
      <c r="L773" s="39">
        <v>3886.03</v>
      </c>
      <c r="M773" s="39">
        <v>5</v>
      </c>
      <c r="N773" s="39">
        <v>3886.03</v>
      </c>
      <c r="O773" s="219">
        <f t="shared" si="90"/>
        <v>4.9116443081865238E-3</v>
      </c>
      <c r="Q773" s="40">
        <v>34256</v>
      </c>
      <c r="R773" s="39">
        <v>1990.1</v>
      </c>
      <c r="S773" s="39">
        <f t="shared" si="86"/>
        <v>10</v>
      </c>
      <c r="T773" s="39">
        <f t="shared" si="87"/>
        <v>0</v>
      </c>
      <c r="U773" s="39">
        <f t="shared" si="88"/>
        <v>0</v>
      </c>
      <c r="V773" s="40"/>
    </row>
    <row r="774" spans="2:22" x14ac:dyDescent="0.35">
      <c r="B774" s="40">
        <v>34257</v>
      </c>
      <c r="C774" s="39">
        <v>2015</v>
      </c>
      <c r="D774" s="219">
        <f t="shared" si="89"/>
        <v>1.2434306668515891E-2</v>
      </c>
      <c r="F774" s="40">
        <v>34257</v>
      </c>
      <c r="G774" s="39">
        <v>2015</v>
      </c>
      <c r="H774" s="39">
        <f t="shared" si="84"/>
        <v>5</v>
      </c>
      <c r="I774" s="39">
        <f t="shared" si="85"/>
        <v>2015</v>
      </c>
      <c r="K774" s="40">
        <v>38247</v>
      </c>
      <c r="L774" s="39">
        <v>3988.07</v>
      </c>
      <c r="M774" s="39">
        <v>5</v>
      </c>
      <c r="N774" s="39">
        <v>3988.07</v>
      </c>
      <c r="O774" s="219">
        <f t="shared" si="90"/>
        <v>2.5919333657483824E-2</v>
      </c>
      <c r="Q774" s="40">
        <v>34257</v>
      </c>
      <c r="R774" s="39">
        <v>2015</v>
      </c>
      <c r="S774" s="39">
        <f t="shared" si="86"/>
        <v>10</v>
      </c>
      <c r="T774" s="39">
        <f t="shared" si="87"/>
        <v>0</v>
      </c>
      <c r="U774" s="39">
        <f t="shared" si="88"/>
        <v>0</v>
      </c>
      <c r="V774" s="40"/>
    </row>
    <row r="775" spans="2:22" x14ac:dyDescent="0.35">
      <c r="B775" s="40">
        <v>34260</v>
      </c>
      <c r="C775" s="39">
        <v>2033.3</v>
      </c>
      <c r="D775" s="219">
        <f t="shared" si="89"/>
        <v>9.0408935355125401E-3</v>
      </c>
      <c r="F775" s="40">
        <v>34260</v>
      </c>
      <c r="G775" s="39">
        <v>2033.3</v>
      </c>
      <c r="H775" s="39">
        <f t="shared" si="84"/>
        <v>1</v>
      </c>
      <c r="I775" s="39">
        <f t="shared" si="85"/>
        <v>0</v>
      </c>
      <c r="K775" s="40">
        <v>38254</v>
      </c>
      <c r="L775" s="39">
        <v>3910.3</v>
      </c>
      <c r="M775" s="39">
        <v>5</v>
      </c>
      <c r="N775" s="39">
        <v>3910.3</v>
      </c>
      <c r="O775" s="219">
        <f t="shared" si="90"/>
        <v>-1.9693307206849607E-2</v>
      </c>
      <c r="Q775" s="40">
        <v>34260</v>
      </c>
      <c r="R775" s="39">
        <v>2033.3</v>
      </c>
      <c r="S775" s="39">
        <f t="shared" si="86"/>
        <v>10</v>
      </c>
      <c r="T775" s="39">
        <f t="shared" si="87"/>
        <v>0</v>
      </c>
      <c r="U775" s="39">
        <f t="shared" si="88"/>
        <v>0</v>
      </c>
      <c r="V775" s="40"/>
    </row>
    <row r="776" spans="2:22" x14ac:dyDescent="0.35">
      <c r="B776" s="40">
        <v>34261</v>
      </c>
      <c r="C776" s="39">
        <v>2026.8</v>
      </c>
      <c r="D776" s="219">
        <f t="shared" si="89"/>
        <v>-3.201894314541362E-3</v>
      </c>
      <c r="F776" s="40">
        <v>34261</v>
      </c>
      <c r="G776" s="39">
        <v>2026.8</v>
      </c>
      <c r="H776" s="39">
        <f t="shared" si="84"/>
        <v>2</v>
      </c>
      <c r="I776" s="39">
        <f t="shared" si="85"/>
        <v>0</v>
      </c>
      <c r="K776" s="40">
        <v>38261</v>
      </c>
      <c r="L776" s="39">
        <v>3994.96</v>
      </c>
      <c r="M776" s="39">
        <v>5</v>
      </c>
      <c r="N776" s="39">
        <v>3994.96</v>
      </c>
      <c r="O776" s="219">
        <f t="shared" si="90"/>
        <v>2.1419469255797637E-2</v>
      </c>
      <c r="Q776" s="40">
        <v>34261</v>
      </c>
      <c r="R776" s="39">
        <v>2026.8</v>
      </c>
      <c r="S776" s="39">
        <f t="shared" si="86"/>
        <v>10</v>
      </c>
      <c r="T776" s="39">
        <f t="shared" si="87"/>
        <v>0</v>
      </c>
      <c r="U776" s="39">
        <f t="shared" si="88"/>
        <v>0</v>
      </c>
      <c r="V776" s="40"/>
    </row>
    <row r="777" spans="2:22" x14ac:dyDescent="0.35">
      <c r="B777" s="40">
        <v>34262</v>
      </c>
      <c r="C777" s="39">
        <v>2042.6</v>
      </c>
      <c r="D777" s="219">
        <f t="shared" si="89"/>
        <v>7.7653115422438449E-3</v>
      </c>
      <c r="F777" s="40">
        <v>34262</v>
      </c>
      <c r="G777" s="39">
        <v>2042.6</v>
      </c>
      <c r="H777" s="39">
        <f t="shared" si="84"/>
        <v>3</v>
      </c>
      <c r="I777" s="39">
        <f t="shared" si="85"/>
        <v>0</v>
      </c>
      <c r="K777" s="40">
        <v>38268</v>
      </c>
      <c r="L777" s="39">
        <v>4015.54</v>
      </c>
      <c r="M777" s="39">
        <v>5</v>
      </c>
      <c r="N777" s="39">
        <v>4015.54</v>
      </c>
      <c r="O777" s="219">
        <f t="shared" si="90"/>
        <v>5.1382673438741438E-3</v>
      </c>
      <c r="Q777" s="40">
        <v>34262</v>
      </c>
      <c r="R777" s="39">
        <v>2042.6</v>
      </c>
      <c r="S777" s="39">
        <f t="shared" si="86"/>
        <v>10</v>
      </c>
      <c r="T777" s="39">
        <f t="shared" si="87"/>
        <v>0</v>
      </c>
      <c r="U777" s="39">
        <f t="shared" si="88"/>
        <v>0</v>
      </c>
      <c r="V777" s="40"/>
    </row>
    <row r="778" spans="2:22" x14ac:dyDescent="0.35">
      <c r="B778" s="40">
        <v>34263</v>
      </c>
      <c r="C778" s="39">
        <v>2034.7</v>
      </c>
      <c r="D778" s="219">
        <f t="shared" si="89"/>
        <v>-3.8751182821413436E-3</v>
      </c>
      <c r="F778" s="40">
        <v>34263</v>
      </c>
      <c r="G778" s="39">
        <v>2034.7</v>
      </c>
      <c r="H778" s="39">
        <f t="shared" si="84"/>
        <v>4</v>
      </c>
      <c r="I778" s="39">
        <f t="shared" si="85"/>
        <v>0</v>
      </c>
      <c r="K778" s="40">
        <v>38275</v>
      </c>
      <c r="L778" s="39">
        <v>3922.11</v>
      </c>
      <c r="M778" s="39">
        <v>5</v>
      </c>
      <c r="N778" s="39">
        <v>3922.11</v>
      </c>
      <c r="O778" s="219">
        <f t="shared" si="90"/>
        <v>-2.3542059700655499E-2</v>
      </c>
      <c r="Q778" s="40">
        <v>34263</v>
      </c>
      <c r="R778" s="39">
        <v>2034.7</v>
      </c>
      <c r="S778" s="39">
        <f t="shared" si="86"/>
        <v>10</v>
      </c>
      <c r="T778" s="39">
        <f t="shared" si="87"/>
        <v>0</v>
      </c>
      <c r="U778" s="39">
        <f t="shared" si="88"/>
        <v>0</v>
      </c>
      <c r="V778" s="40"/>
    </row>
    <row r="779" spans="2:22" x14ac:dyDescent="0.35">
      <c r="B779" s="40">
        <v>34264</v>
      </c>
      <c r="C779" s="39">
        <v>2066.1999999999998</v>
      </c>
      <c r="D779" s="219">
        <f t="shared" si="89"/>
        <v>1.5362783553487675E-2</v>
      </c>
      <c r="F779" s="40">
        <v>34264</v>
      </c>
      <c r="G779" s="39">
        <v>2066.1999999999998</v>
      </c>
      <c r="H779" s="39">
        <f t="shared" si="84"/>
        <v>5</v>
      </c>
      <c r="I779" s="39">
        <f t="shared" si="85"/>
        <v>2066.1999999999998</v>
      </c>
      <c r="K779" s="40">
        <v>38282</v>
      </c>
      <c r="L779" s="39">
        <v>3935.14</v>
      </c>
      <c r="M779" s="39">
        <v>5</v>
      </c>
      <c r="N779" s="39">
        <v>3935.14</v>
      </c>
      <c r="O779" s="219">
        <f t="shared" si="90"/>
        <v>3.3166850856466857E-3</v>
      </c>
      <c r="Q779" s="40">
        <v>34264</v>
      </c>
      <c r="R779" s="39">
        <v>2066.1999999999998</v>
      </c>
      <c r="S779" s="39">
        <f t="shared" si="86"/>
        <v>10</v>
      </c>
      <c r="T779" s="39">
        <f t="shared" si="87"/>
        <v>0</v>
      </c>
      <c r="U779" s="39">
        <f t="shared" si="88"/>
        <v>0</v>
      </c>
      <c r="V779" s="40"/>
    </row>
    <row r="780" spans="2:22" x14ac:dyDescent="0.35">
      <c r="B780" s="40">
        <v>34267</v>
      </c>
      <c r="C780" s="39">
        <v>2074.4</v>
      </c>
      <c r="D780" s="219">
        <f t="shared" si="89"/>
        <v>3.9607838091097287E-3</v>
      </c>
      <c r="F780" s="40">
        <v>34267</v>
      </c>
      <c r="G780" s="39">
        <v>2074.4</v>
      </c>
      <c r="H780" s="39">
        <f t="shared" si="84"/>
        <v>1</v>
      </c>
      <c r="I780" s="39">
        <f t="shared" si="85"/>
        <v>0</v>
      </c>
      <c r="K780" s="40">
        <v>38289</v>
      </c>
      <c r="L780" s="39">
        <v>3960.25</v>
      </c>
      <c r="M780" s="39">
        <v>5</v>
      </c>
      <c r="N780" s="39">
        <v>3960.25</v>
      </c>
      <c r="O780" s="219">
        <f t="shared" si="90"/>
        <v>6.3606952054898556E-3</v>
      </c>
      <c r="Q780" s="40">
        <v>34267</v>
      </c>
      <c r="R780" s="39">
        <v>2074.4</v>
      </c>
      <c r="S780" s="39">
        <f t="shared" si="86"/>
        <v>10</v>
      </c>
      <c r="T780" s="39">
        <f t="shared" si="87"/>
        <v>0</v>
      </c>
      <c r="U780" s="39">
        <f t="shared" si="88"/>
        <v>0</v>
      </c>
      <c r="V780" s="40"/>
    </row>
    <row r="781" spans="2:22" x14ac:dyDescent="0.35">
      <c r="B781" s="40">
        <v>34268</v>
      </c>
      <c r="C781" s="39">
        <v>2058.6999999999998</v>
      </c>
      <c r="D781" s="219">
        <f t="shared" si="89"/>
        <v>-7.5972396091921503E-3</v>
      </c>
      <c r="F781" s="40">
        <v>34268</v>
      </c>
      <c r="G781" s="39">
        <v>2058.6999999999998</v>
      </c>
      <c r="H781" s="39">
        <f t="shared" si="84"/>
        <v>2</v>
      </c>
      <c r="I781" s="39">
        <f t="shared" si="85"/>
        <v>0</v>
      </c>
      <c r="K781" s="40">
        <v>38296</v>
      </c>
      <c r="L781" s="39">
        <v>4063.58</v>
      </c>
      <c r="M781" s="39">
        <v>5</v>
      </c>
      <c r="N781" s="39">
        <v>4063.58</v>
      </c>
      <c r="O781" s="219">
        <f t="shared" si="90"/>
        <v>2.5757203892051897E-2</v>
      </c>
      <c r="Q781" s="40">
        <v>34268</v>
      </c>
      <c r="R781" s="39">
        <v>2058.6999999999998</v>
      </c>
      <c r="S781" s="39">
        <f t="shared" si="86"/>
        <v>10</v>
      </c>
      <c r="T781" s="39">
        <f t="shared" si="87"/>
        <v>0</v>
      </c>
      <c r="U781" s="39">
        <f t="shared" si="88"/>
        <v>0</v>
      </c>
      <c r="V781" s="40"/>
    </row>
    <row r="782" spans="2:22" x14ac:dyDescent="0.35">
      <c r="B782" s="40">
        <v>34269</v>
      </c>
      <c r="C782" s="39">
        <v>2043.1</v>
      </c>
      <c r="D782" s="219">
        <f t="shared" si="89"/>
        <v>-7.606453369496358E-3</v>
      </c>
      <c r="F782" s="40">
        <v>34269</v>
      </c>
      <c r="G782" s="39">
        <v>2043.1</v>
      </c>
      <c r="H782" s="39">
        <f t="shared" si="84"/>
        <v>3</v>
      </c>
      <c r="I782" s="39">
        <f t="shared" si="85"/>
        <v>0</v>
      </c>
      <c r="K782" s="40">
        <v>38303</v>
      </c>
      <c r="L782" s="39">
        <v>4143.3500000000004</v>
      </c>
      <c r="M782" s="39">
        <v>5</v>
      </c>
      <c r="N782" s="39">
        <v>4143.3500000000004</v>
      </c>
      <c r="O782" s="219">
        <f t="shared" si="90"/>
        <v>1.9440280893691347E-2</v>
      </c>
      <c r="Q782" s="40">
        <v>34269</v>
      </c>
      <c r="R782" s="39">
        <v>2043.1</v>
      </c>
      <c r="S782" s="39">
        <f t="shared" si="86"/>
        <v>10</v>
      </c>
      <c r="T782" s="39">
        <f t="shared" si="87"/>
        <v>0</v>
      </c>
      <c r="U782" s="39">
        <f t="shared" si="88"/>
        <v>0</v>
      </c>
      <c r="V782" s="40"/>
    </row>
    <row r="783" spans="2:22" x14ac:dyDescent="0.35">
      <c r="B783" s="40">
        <v>34270</v>
      </c>
      <c r="C783" s="39">
        <v>2038.5</v>
      </c>
      <c r="D783" s="219">
        <f t="shared" si="89"/>
        <v>-2.2540189864580671E-3</v>
      </c>
      <c r="F783" s="40">
        <v>34270</v>
      </c>
      <c r="G783" s="39">
        <v>2038.5</v>
      </c>
      <c r="H783" s="39">
        <f t="shared" si="84"/>
        <v>4</v>
      </c>
      <c r="I783" s="39">
        <f t="shared" si="85"/>
        <v>0</v>
      </c>
      <c r="K783" s="40">
        <v>38310</v>
      </c>
      <c r="L783" s="39">
        <v>4134.8900000000003</v>
      </c>
      <c r="M783" s="39">
        <v>5</v>
      </c>
      <c r="N783" s="39">
        <v>4134.8900000000003</v>
      </c>
      <c r="O783" s="219">
        <f t="shared" si="90"/>
        <v>-2.043913427297349E-3</v>
      </c>
      <c r="Q783" s="40">
        <v>34270</v>
      </c>
      <c r="R783" s="39">
        <v>2038.5</v>
      </c>
      <c r="S783" s="39">
        <f t="shared" si="86"/>
        <v>10</v>
      </c>
      <c r="T783" s="39">
        <f t="shared" si="87"/>
        <v>0</v>
      </c>
      <c r="U783" s="39">
        <f t="shared" si="88"/>
        <v>0</v>
      </c>
      <c r="V783" s="40"/>
    </row>
    <row r="784" spans="2:22" x14ac:dyDescent="0.35">
      <c r="B784" s="40">
        <v>34271</v>
      </c>
      <c r="C784" s="39">
        <v>2069</v>
      </c>
      <c r="D784" s="219">
        <f t="shared" si="89"/>
        <v>1.4851155486234988E-2</v>
      </c>
      <c r="F784" s="40">
        <v>34271</v>
      </c>
      <c r="G784" s="39">
        <v>2069</v>
      </c>
      <c r="H784" s="39">
        <f t="shared" si="84"/>
        <v>5</v>
      </c>
      <c r="I784" s="39">
        <f t="shared" si="85"/>
        <v>2069</v>
      </c>
      <c r="K784" s="40">
        <v>38317</v>
      </c>
      <c r="L784" s="39">
        <v>4154.2700000000004</v>
      </c>
      <c r="M784" s="39">
        <v>5</v>
      </c>
      <c r="N784" s="39">
        <v>4154.2700000000004</v>
      </c>
      <c r="O784" s="219">
        <f t="shared" si="90"/>
        <v>4.6759949890815781E-3</v>
      </c>
      <c r="Q784" s="40">
        <v>34271</v>
      </c>
      <c r="R784" s="39">
        <v>2069</v>
      </c>
      <c r="S784" s="39">
        <f t="shared" si="86"/>
        <v>10</v>
      </c>
      <c r="T784" s="39">
        <f t="shared" si="87"/>
        <v>2069</v>
      </c>
      <c r="U784" s="39">
        <f t="shared" si="88"/>
        <v>2069</v>
      </c>
      <c r="V784" s="40"/>
    </row>
    <row r="785" spans="2:22" x14ac:dyDescent="0.35">
      <c r="B785" s="40">
        <v>34274</v>
      </c>
      <c r="C785" s="39">
        <v>2062.1</v>
      </c>
      <c r="D785" s="219">
        <f t="shared" si="89"/>
        <v>-3.3405177393225414E-3</v>
      </c>
      <c r="F785" s="40">
        <v>34274</v>
      </c>
      <c r="G785" s="39">
        <v>2062.1</v>
      </c>
      <c r="H785" s="39">
        <f t="shared" si="84"/>
        <v>1</v>
      </c>
      <c r="I785" s="39">
        <f t="shared" si="85"/>
        <v>0</v>
      </c>
      <c r="K785" s="40">
        <v>38324</v>
      </c>
      <c r="L785" s="39">
        <v>4208.87</v>
      </c>
      <c r="M785" s="39">
        <v>5</v>
      </c>
      <c r="N785" s="39">
        <v>4208.87</v>
      </c>
      <c r="O785" s="219">
        <f t="shared" si="90"/>
        <v>1.3057482180848533E-2</v>
      </c>
      <c r="Q785" s="40">
        <v>34274</v>
      </c>
      <c r="R785" s="39">
        <v>2062.1</v>
      </c>
      <c r="S785" s="39">
        <f t="shared" si="86"/>
        <v>11</v>
      </c>
      <c r="T785" s="39">
        <f t="shared" si="87"/>
        <v>0</v>
      </c>
      <c r="U785" s="39">
        <f t="shared" si="88"/>
        <v>0</v>
      </c>
      <c r="V785" s="40"/>
    </row>
    <row r="786" spans="2:22" x14ac:dyDescent="0.35">
      <c r="B786" s="40">
        <v>34275</v>
      </c>
      <c r="C786" s="39">
        <v>2095.6</v>
      </c>
      <c r="D786" s="219">
        <f t="shared" si="89"/>
        <v>1.6115027527844095E-2</v>
      </c>
      <c r="F786" s="40">
        <v>34275</v>
      </c>
      <c r="G786" s="39">
        <v>2095.6</v>
      </c>
      <c r="H786" s="39">
        <f t="shared" si="84"/>
        <v>2</v>
      </c>
      <c r="I786" s="39">
        <f t="shared" si="85"/>
        <v>0</v>
      </c>
      <c r="K786" s="40">
        <v>38331</v>
      </c>
      <c r="L786" s="39">
        <v>4174.55</v>
      </c>
      <c r="M786" s="39">
        <v>5</v>
      </c>
      <c r="N786" s="39">
        <v>4174.55</v>
      </c>
      <c r="O786" s="219">
        <f t="shared" si="90"/>
        <v>-8.1876350526770923E-3</v>
      </c>
      <c r="Q786" s="40">
        <v>34275</v>
      </c>
      <c r="R786" s="39">
        <v>2095.6</v>
      </c>
      <c r="S786" s="39">
        <f t="shared" si="86"/>
        <v>11</v>
      </c>
      <c r="T786" s="39">
        <f t="shared" si="87"/>
        <v>0</v>
      </c>
      <c r="U786" s="39">
        <f t="shared" si="88"/>
        <v>0</v>
      </c>
      <c r="V786" s="40"/>
    </row>
    <row r="787" spans="2:22" x14ac:dyDescent="0.35">
      <c r="B787" s="40">
        <v>34276</v>
      </c>
      <c r="C787" s="39">
        <v>2084.4</v>
      </c>
      <c r="D787" s="219">
        <f t="shared" si="89"/>
        <v>-5.3588644990049542E-3</v>
      </c>
      <c r="F787" s="40">
        <v>34276</v>
      </c>
      <c r="G787" s="39">
        <v>2084.4</v>
      </c>
      <c r="H787" s="39">
        <f t="shared" si="84"/>
        <v>3</v>
      </c>
      <c r="I787" s="39">
        <f t="shared" si="85"/>
        <v>0</v>
      </c>
      <c r="K787" s="40">
        <v>38338</v>
      </c>
      <c r="L787" s="39">
        <v>4182.2700000000004</v>
      </c>
      <c r="M787" s="39">
        <v>5</v>
      </c>
      <c r="N787" s="39">
        <v>4182.2700000000004</v>
      </c>
      <c r="O787" s="219">
        <f t="shared" si="90"/>
        <v>1.847593270187258E-3</v>
      </c>
      <c r="Q787" s="40">
        <v>34276</v>
      </c>
      <c r="R787" s="39">
        <v>2084.4</v>
      </c>
      <c r="S787" s="39">
        <f t="shared" si="86"/>
        <v>11</v>
      </c>
      <c r="T787" s="39">
        <f t="shared" si="87"/>
        <v>0</v>
      </c>
      <c r="U787" s="39">
        <f t="shared" si="88"/>
        <v>0</v>
      </c>
      <c r="V787" s="40"/>
    </row>
    <row r="788" spans="2:22" x14ac:dyDescent="0.35">
      <c r="B788" s="40">
        <v>34277</v>
      </c>
      <c r="C788" s="39">
        <v>2062.6</v>
      </c>
      <c r="D788" s="219">
        <f t="shared" si="89"/>
        <v>-1.0513721153090979E-2</v>
      </c>
      <c r="F788" s="40">
        <v>34277</v>
      </c>
      <c r="G788" s="39">
        <v>2062.6</v>
      </c>
      <c r="H788" s="39">
        <f t="shared" si="84"/>
        <v>4</v>
      </c>
      <c r="I788" s="39">
        <f t="shared" si="85"/>
        <v>0</v>
      </c>
      <c r="K788" s="40">
        <v>38344</v>
      </c>
      <c r="L788" s="39">
        <v>4251.62</v>
      </c>
      <c r="M788" s="39">
        <v>4</v>
      </c>
      <c r="N788" s="39">
        <v>4251.62</v>
      </c>
      <c r="O788" s="219">
        <f t="shared" si="90"/>
        <v>1.6445925444909346E-2</v>
      </c>
      <c r="Q788" s="40">
        <v>34277</v>
      </c>
      <c r="R788" s="39">
        <v>2062.6</v>
      </c>
      <c r="S788" s="39">
        <f t="shared" si="86"/>
        <v>11</v>
      </c>
      <c r="T788" s="39">
        <f t="shared" si="87"/>
        <v>0</v>
      </c>
      <c r="U788" s="39">
        <f t="shared" si="88"/>
        <v>0</v>
      </c>
      <c r="V788" s="40"/>
    </row>
    <row r="789" spans="2:22" x14ac:dyDescent="0.35">
      <c r="B789" s="40">
        <v>34278</v>
      </c>
      <c r="C789" s="39">
        <v>2012.6</v>
      </c>
      <c r="D789" s="219">
        <f t="shared" si="89"/>
        <v>-2.4539904382735789E-2</v>
      </c>
      <c r="F789" s="40">
        <v>34278</v>
      </c>
      <c r="G789" s="39">
        <v>2012.6</v>
      </c>
      <c r="H789" s="39">
        <f t="shared" si="84"/>
        <v>5</v>
      </c>
      <c r="I789" s="39">
        <f t="shared" si="85"/>
        <v>2012.6</v>
      </c>
      <c r="K789" s="40">
        <v>38351</v>
      </c>
      <c r="L789" s="39">
        <v>4256.08</v>
      </c>
      <c r="M789" s="39">
        <v>4</v>
      </c>
      <c r="N789" s="39">
        <v>4256.08</v>
      </c>
      <c r="O789" s="219">
        <f t="shared" si="90"/>
        <v>1.0484620775446547E-3</v>
      </c>
      <c r="Q789" s="40">
        <v>34278</v>
      </c>
      <c r="R789" s="39">
        <v>2012.6</v>
      </c>
      <c r="S789" s="39">
        <f t="shared" si="86"/>
        <v>11</v>
      </c>
      <c r="T789" s="39">
        <f t="shared" si="87"/>
        <v>0</v>
      </c>
      <c r="U789" s="39">
        <f t="shared" si="88"/>
        <v>0</v>
      </c>
      <c r="V789" s="40"/>
    </row>
    <row r="790" spans="2:22" x14ac:dyDescent="0.35">
      <c r="B790" s="40">
        <v>34281</v>
      </c>
      <c r="C790" s="39">
        <v>2010.8</v>
      </c>
      <c r="D790" s="219">
        <f t="shared" si="89"/>
        <v>-8.9476568081262129E-4</v>
      </c>
      <c r="F790" s="40">
        <v>34281</v>
      </c>
      <c r="G790" s="39">
        <v>2010.8</v>
      </c>
      <c r="H790" s="39">
        <f t="shared" si="84"/>
        <v>1</v>
      </c>
      <c r="I790" s="39">
        <f t="shared" si="85"/>
        <v>0</v>
      </c>
      <c r="K790" s="40">
        <v>38359</v>
      </c>
      <c r="L790" s="39">
        <v>4316.3999999999996</v>
      </c>
      <c r="M790" s="39">
        <v>5</v>
      </c>
      <c r="N790" s="39">
        <v>4316.3999999999996</v>
      </c>
      <c r="O790" s="219">
        <f t="shared" si="90"/>
        <v>1.4073172652278124E-2</v>
      </c>
      <c r="Q790" s="40">
        <v>34281</v>
      </c>
      <c r="R790" s="39">
        <v>2010.8</v>
      </c>
      <c r="S790" s="39">
        <f t="shared" si="86"/>
        <v>11</v>
      </c>
      <c r="T790" s="39">
        <f t="shared" si="87"/>
        <v>0</v>
      </c>
      <c r="U790" s="39">
        <f t="shared" si="88"/>
        <v>0</v>
      </c>
      <c r="V790" s="40"/>
    </row>
    <row r="791" spans="2:22" x14ac:dyDescent="0.35">
      <c r="B791" s="40">
        <v>34282</v>
      </c>
      <c r="C791" s="39">
        <v>2022.8</v>
      </c>
      <c r="D791" s="219">
        <f t="shared" si="89"/>
        <v>5.9500373874077162E-3</v>
      </c>
      <c r="F791" s="40">
        <v>34282</v>
      </c>
      <c r="G791" s="39">
        <v>2022.8</v>
      </c>
      <c r="H791" s="39">
        <f t="shared" si="84"/>
        <v>2</v>
      </c>
      <c r="I791" s="39">
        <f t="shared" si="85"/>
        <v>0</v>
      </c>
      <c r="K791" s="40">
        <v>38366</v>
      </c>
      <c r="L791" s="39">
        <v>4232.3599999999997</v>
      </c>
      <c r="M791" s="39">
        <v>5</v>
      </c>
      <c r="N791" s="39">
        <v>4232.3599999999997</v>
      </c>
      <c r="O791" s="219">
        <f t="shared" si="90"/>
        <v>-1.96619644067932E-2</v>
      </c>
      <c r="Q791" s="40">
        <v>34282</v>
      </c>
      <c r="R791" s="39">
        <v>2022.8</v>
      </c>
      <c r="S791" s="39">
        <f t="shared" si="86"/>
        <v>11</v>
      </c>
      <c r="T791" s="39">
        <f t="shared" si="87"/>
        <v>0</v>
      </c>
      <c r="U791" s="39">
        <f t="shared" si="88"/>
        <v>0</v>
      </c>
      <c r="V791" s="40"/>
    </row>
    <row r="792" spans="2:22" x14ac:dyDescent="0.35">
      <c r="B792" s="40">
        <v>34283</v>
      </c>
      <c r="C792" s="39">
        <v>2023.8</v>
      </c>
      <c r="D792" s="219">
        <f t="shared" si="89"/>
        <v>4.9424208983163171E-4</v>
      </c>
      <c r="F792" s="40">
        <v>34283</v>
      </c>
      <c r="G792" s="39">
        <v>2023.8</v>
      </c>
      <c r="H792" s="39">
        <f t="shared" si="84"/>
        <v>3</v>
      </c>
      <c r="I792" s="39">
        <f t="shared" si="85"/>
        <v>0</v>
      </c>
      <c r="K792" s="40">
        <v>38373</v>
      </c>
      <c r="L792" s="39">
        <v>4213.7</v>
      </c>
      <c r="M792" s="39">
        <v>5</v>
      </c>
      <c r="N792" s="39">
        <v>4213.7</v>
      </c>
      <c r="O792" s="219">
        <f t="shared" si="90"/>
        <v>-4.4186355200740374E-3</v>
      </c>
      <c r="Q792" s="40">
        <v>34283</v>
      </c>
      <c r="R792" s="39">
        <v>2023.8</v>
      </c>
      <c r="S792" s="39">
        <f t="shared" si="86"/>
        <v>11</v>
      </c>
      <c r="T792" s="39">
        <f t="shared" si="87"/>
        <v>0</v>
      </c>
      <c r="U792" s="39">
        <f t="shared" si="88"/>
        <v>0</v>
      </c>
      <c r="V792" s="40"/>
    </row>
    <row r="793" spans="2:22" x14ac:dyDescent="0.35">
      <c r="B793" s="40">
        <v>34284</v>
      </c>
      <c r="C793" s="39">
        <v>2023.3</v>
      </c>
      <c r="D793" s="219">
        <f t="shared" si="89"/>
        <v>-2.4709051051063669E-4</v>
      </c>
      <c r="F793" s="40">
        <v>34284</v>
      </c>
      <c r="G793" s="39">
        <v>2023.3</v>
      </c>
      <c r="H793" s="39">
        <f t="shared" si="84"/>
        <v>4</v>
      </c>
      <c r="I793" s="39">
        <f t="shared" si="85"/>
        <v>0</v>
      </c>
      <c r="K793" s="40">
        <v>38380</v>
      </c>
      <c r="L793" s="39">
        <v>4201.8100000000004</v>
      </c>
      <c r="M793" s="39">
        <v>5</v>
      </c>
      <c r="N793" s="39">
        <v>4201.8100000000004</v>
      </c>
      <c r="O793" s="219">
        <f t="shared" si="90"/>
        <v>-2.8257367436061507E-3</v>
      </c>
      <c r="Q793" s="40">
        <v>34284</v>
      </c>
      <c r="R793" s="39">
        <v>2023.3</v>
      </c>
      <c r="S793" s="39">
        <f t="shared" si="86"/>
        <v>11</v>
      </c>
      <c r="T793" s="39">
        <f t="shared" si="87"/>
        <v>0</v>
      </c>
      <c r="U793" s="39">
        <f t="shared" si="88"/>
        <v>0</v>
      </c>
      <c r="V793" s="40"/>
    </row>
    <row r="794" spans="2:22" x14ac:dyDescent="0.35">
      <c r="B794" s="40">
        <v>34285</v>
      </c>
      <c r="C794" s="39">
        <v>2015</v>
      </c>
      <c r="D794" s="219">
        <f t="shared" si="89"/>
        <v>-4.1106464043655306E-3</v>
      </c>
      <c r="F794" s="40">
        <v>34285</v>
      </c>
      <c r="G794" s="39">
        <v>2015</v>
      </c>
      <c r="H794" s="39">
        <f t="shared" si="84"/>
        <v>5</v>
      </c>
      <c r="I794" s="39">
        <f t="shared" si="85"/>
        <v>2015</v>
      </c>
      <c r="K794" s="40">
        <v>38387</v>
      </c>
      <c r="L794" s="39">
        <v>4339.28</v>
      </c>
      <c r="M794" s="39">
        <v>5</v>
      </c>
      <c r="N794" s="39">
        <v>4339.28</v>
      </c>
      <c r="O794" s="219">
        <f t="shared" si="90"/>
        <v>3.2193050895136147E-2</v>
      </c>
      <c r="Q794" s="40">
        <v>34285</v>
      </c>
      <c r="R794" s="39">
        <v>2015</v>
      </c>
      <c r="S794" s="39">
        <f t="shared" si="86"/>
        <v>11</v>
      </c>
      <c r="T794" s="39">
        <f t="shared" si="87"/>
        <v>0</v>
      </c>
      <c r="U794" s="39">
        <f t="shared" si="88"/>
        <v>0</v>
      </c>
      <c r="V794" s="40"/>
    </row>
    <row r="795" spans="2:22" x14ac:dyDescent="0.35">
      <c r="B795" s="40">
        <v>34288</v>
      </c>
      <c r="C795" s="39">
        <v>2049.1</v>
      </c>
      <c r="D795" s="219">
        <f t="shared" si="89"/>
        <v>1.6781476962003387E-2</v>
      </c>
      <c r="F795" s="40">
        <v>34288</v>
      </c>
      <c r="G795" s="39">
        <v>2049.1</v>
      </c>
      <c r="H795" s="39">
        <f t="shared" si="84"/>
        <v>1</v>
      </c>
      <c r="I795" s="39">
        <f t="shared" si="85"/>
        <v>0</v>
      </c>
      <c r="K795" s="40">
        <v>38394</v>
      </c>
      <c r="L795" s="39">
        <v>4387.8</v>
      </c>
      <c r="M795" s="39">
        <v>5</v>
      </c>
      <c r="N795" s="39">
        <v>4387.8</v>
      </c>
      <c r="O795" s="219">
        <f t="shared" si="90"/>
        <v>1.1119526790719389E-2</v>
      </c>
      <c r="Q795" s="40">
        <v>34288</v>
      </c>
      <c r="R795" s="39">
        <v>2049.1</v>
      </c>
      <c r="S795" s="39">
        <f t="shared" si="86"/>
        <v>11</v>
      </c>
      <c r="T795" s="39">
        <f t="shared" si="87"/>
        <v>0</v>
      </c>
      <c r="U795" s="39">
        <f t="shared" si="88"/>
        <v>0</v>
      </c>
      <c r="V795" s="40"/>
    </row>
    <row r="796" spans="2:22" x14ac:dyDescent="0.35">
      <c r="B796" s="40">
        <v>34289</v>
      </c>
      <c r="C796" s="39">
        <v>2071.6999999999998</v>
      </c>
      <c r="D796" s="219">
        <f t="shared" si="89"/>
        <v>1.0968853909056348E-2</v>
      </c>
      <c r="F796" s="40">
        <v>34289</v>
      </c>
      <c r="G796" s="39">
        <v>2071.6999999999998</v>
      </c>
      <c r="H796" s="39">
        <f t="shared" si="84"/>
        <v>2</v>
      </c>
      <c r="I796" s="39">
        <f t="shared" si="85"/>
        <v>0</v>
      </c>
      <c r="K796" s="40">
        <v>38401</v>
      </c>
      <c r="L796" s="39">
        <v>4359.47</v>
      </c>
      <c r="M796" s="39">
        <v>5</v>
      </c>
      <c r="N796" s="39">
        <v>4359.47</v>
      </c>
      <c r="O796" s="219">
        <f t="shared" si="90"/>
        <v>-6.4774721838790003E-3</v>
      </c>
      <c r="Q796" s="40">
        <v>34289</v>
      </c>
      <c r="R796" s="39">
        <v>2071.6999999999998</v>
      </c>
      <c r="S796" s="39">
        <f t="shared" si="86"/>
        <v>11</v>
      </c>
      <c r="T796" s="39">
        <f t="shared" si="87"/>
        <v>0</v>
      </c>
      <c r="U796" s="39">
        <f t="shared" si="88"/>
        <v>0</v>
      </c>
      <c r="V796" s="40"/>
    </row>
    <row r="797" spans="2:22" x14ac:dyDescent="0.35">
      <c r="B797" s="40">
        <v>34291</v>
      </c>
      <c r="C797" s="39">
        <v>2085.3000000000002</v>
      </c>
      <c r="D797" s="219">
        <f t="shared" si="89"/>
        <v>6.5432035227069706E-3</v>
      </c>
      <c r="F797" s="40">
        <v>34291</v>
      </c>
      <c r="G797" s="39">
        <v>2085.3000000000002</v>
      </c>
      <c r="H797" s="39">
        <f t="shared" si="84"/>
        <v>4</v>
      </c>
      <c r="I797" s="39">
        <f t="shared" si="85"/>
        <v>0</v>
      </c>
      <c r="K797" s="40">
        <v>38408</v>
      </c>
      <c r="L797" s="39">
        <v>4348.6400000000003</v>
      </c>
      <c r="M797" s="39">
        <v>5</v>
      </c>
      <c r="N797" s="39">
        <v>4348.6400000000003</v>
      </c>
      <c r="O797" s="219">
        <f t="shared" si="90"/>
        <v>-2.4873377997362551E-3</v>
      </c>
      <c r="Q797" s="40">
        <v>34291</v>
      </c>
      <c r="R797" s="39">
        <v>2085.3000000000002</v>
      </c>
      <c r="S797" s="39">
        <f t="shared" si="86"/>
        <v>11</v>
      </c>
      <c r="T797" s="39">
        <f t="shared" si="87"/>
        <v>0</v>
      </c>
      <c r="U797" s="39">
        <f t="shared" si="88"/>
        <v>0</v>
      </c>
      <c r="V797" s="40"/>
    </row>
    <row r="798" spans="2:22" x14ac:dyDescent="0.35">
      <c r="B798" s="40">
        <v>34292</v>
      </c>
      <c r="C798" s="39">
        <v>2077.4</v>
      </c>
      <c r="D798" s="219">
        <f t="shared" si="89"/>
        <v>-3.7956179808389203E-3</v>
      </c>
      <c r="F798" s="40">
        <v>34292</v>
      </c>
      <c r="G798" s="39">
        <v>2077.4</v>
      </c>
      <c r="H798" s="39">
        <f t="shared" si="84"/>
        <v>5</v>
      </c>
      <c r="I798" s="39">
        <f t="shared" si="85"/>
        <v>2077.4</v>
      </c>
      <c r="K798" s="40">
        <v>38415</v>
      </c>
      <c r="L798" s="39">
        <v>4423.5200000000004</v>
      </c>
      <c r="M798" s="39">
        <v>5</v>
      </c>
      <c r="N798" s="39">
        <v>4423.5200000000004</v>
      </c>
      <c r="O798" s="219">
        <f t="shared" si="90"/>
        <v>1.7072606698532101E-2</v>
      </c>
      <c r="Q798" s="40">
        <v>34292</v>
      </c>
      <c r="R798" s="39">
        <v>2077.4</v>
      </c>
      <c r="S798" s="39">
        <f t="shared" si="86"/>
        <v>11</v>
      </c>
      <c r="T798" s="39">
        <f t="shared" si="87"/>
        <v>0</v>
      </c>
      <c r="U798" s="39">
        <f t="shared" si="88"/>
        <v>0</v>
      </c>
      <c r="V798" s="40"/>
    </row>
    <row r="799" spans="2:22" x14ac:dyDescent="0.35">
      <c r="B799" s="40">
        <v>34295</v>
      </c>
      <c r="C799" s="39">
        <v>2030</v>
      </c>
      <c r="D799" s="219">
        <f t="shared" si="89"/>
        <v>-2.3081318757878059E-2</v>
      </c>
      <c r="F799" s="40">
        <v>34295</v>
      </c>
      <c r="G799" s="39">
        <v>2030</v>
      </c>
      <c r="H799" s="39">
        <f t="shared" si="84"/>
        <v>1</v>
      </c>
      <c r="I799" s="39">
        <f t="shared" si="85"/>
        <v>0</v>
      </c>
      <c r="K799" s="40">
        <v>38422</v>
      </c>
      <c r="L799" s="39">
        <v>4360.49</v>
      </c>
      <c r="M799" s="39">
        <v>5</v>
      </c>
      <c r="N799" s="39">
        <v>4360.49</v>
      </c>
      <c r="O799" s="219">
        <f t="shared" si="90"/>
        <v>-1.4351322870453468E-2</v>
      </c>
      <c r="Q799" s="40">
        <v>34295</v>
      </c>
      <c r="R799" s="39">
        <v>2030</v>
      </c>
      <c r="S799" s="39">
        <f t="shared" si="86"/>
        <v>11</v>
      </c>
      <c r="T799" s="39">
        <f t="shared" si="87"/>
        <v>0</v>
      </c>
      <c r="U799" s="39">
        <f t="shared" si="88"/>
        <v>0</v>
      </c>
      <c r="V799" s="40"/>
    </row>
    <row r="800" spans="2:22" x14ac:dyDescent="0.35">
      <c r="B800" s="40">
        <v>34296</v>
      </c>
      <c r="C800" s="39">
        <v>2027.4</v>
      </c>
      <c r="D800" s="219">
        <f t="shared" si="89"/>
        <v>-1.2816090875337495E-3</v>
      </c>
      <c r="F800" s="40">
        <v>34296</v>
      </c>
      <c r="G800" s="39">
        <v>2027.4</v>
      </c>
      <c r="H800" s="39">
        <f t="shared" si="84"/>
        <v>2</v>
      </c>
      <c r="I800" s="39">
        <f t="shared" si="85"/>
        <v>0</v>
      </c>
      <c r="K800" s="40">
        <v>38429</v>
      </c>
      <c r="L800" s="39">
        <v>4327.18</v>
      </c>
      <c r="M800" s="39">
        <v>5</v>
      </c>
      <c r="N800" s="39">
        <v>4327.18</v>
      </c>
      <c r="O800" s="219">
        <f t="shared" si="90"/>
        <v>-7.6683767293065381E-3</v>
      </c>
      <c r="Q800" s="40">
        <v>34296</v>
      </c>
      <c r="R800" s="39">
        <v>2027.4</v>
      </c>
      <c r="S800" s="39">
        <f t="shared" si="86"/>
        <v>11</v>
      </c>
      <c r="T800" s="39">
        <f t="shared" si="87"/>
        <v>0</v>
      </c>
      <c r="U800" s="39">
        <f t="shared" si="88"/>
        <v>0</v>
      </c>
      <c r="V800" s="40"/>
    </row>
    <row r="801" spans="2:22" x14ac:dyDescent="0.35">
      <c r="B801" s="40">
        <v>34297</v>
      </c>
      <c r="C801" s="39">
        <v>2029.6</v>
      </c>
      <c r="D801" s="219">
        <f t="shared" si="89"/>
        <v>1.0845453367728725E-3</v>
      </c>
      <c r="F801" s="40">
        <v>34297</v>
      </c>
      <c r="G801" s="39">
        <v>2029.6</v>
      </c>
      <c r="H801" s="39">
        <f t="shared" si="84"/>
        <v>3</v>
      </c>
      <c r="I801" s="39">
        <f t="shared" si="85"/>
        <v>0</v>
      </c>
      <c r="K801" s="40">
        <v>38435</v>
      </c>
      <c r="L801" s="39">
        <v>4343.6000000000004</v>
      </c>
      <c r="M801" s="39">
        <v>4</v>
      </c>
      <c r="N801" s="39">
        <v>4343.6000000000004</v>
      </c>
      <c r="O801" s="219">
        <f t="shared" si="90"/>
        <v>3.787437722628231E-3</v>
      </c>
      <c r="Q801" s="40">
        <v>34297</v>
      </c>
      <c r="R801" s="39">
        <v>2029.6</v>
      </c>
      <c r="S801" s="39">
        <f t="shared" si="86"/>
        <v>11</v>
      </c>
      <c r="T801" s="39">
        <f t="shared" si="87"/>
        <v>0</v>
      </c>
      <c r="U801" s="39">
        <f t="shared" si="88"/>
        <v>0</v>
      </c>
      <c r="V801" s="40"/>
    </row>
    <row r="802" spans="2:22" x14ac:dyDescent="0.35">
      <c r="B802" s="40">
        <v>34298</v>
      </c>
      <c r="C802" s="39">
        <v>2047.7</v>
      </c>
      <c r="D802" s="219">
        <f t="shared" si="89"/>
        <v>8.8784827694424178E-3</v>
      </c>
      <c r="F802" s="40">
        <v>34298</v>
      </c>
      <c r="G802" s="39">
        <v>2047.7</v>
      </c>
      <c r="H802" s="39">
        <f t="shared" si="84"/>
        <v>4</v>
      </c>
      <c r="I802" s="39">
        <f t="shared" si="85"/>
        <v>0</v>
      </c>
      <c r="K802" s="40">
        <v>38443</v>
      </c>
      <c r="L802" s="39">
        <v>4373.53</v>
      </c>
      <c r="M802" s="39">
        <v>5</v>
      </c>
      <c r="N802" s="39">
        <v>4373.53</v>
      </c>
      <c r="O802" s="219">
        <f t="shared" si="90"/>
        <v>6.8669659883218263E-3</v>
      </c>
      <c r="Q802" s="40">
        <v>34298</v>
      </c>
      <c r="R802" s="39">
        <v>2047.7</v>
      </c>
      <c r="S802" s="39">
        <f t="shared" si="86"/>
        <v>11</v>
      </c>
      <c r="T802" s="39">
        <f t="shared" si="87"/>
        <v>0</v>
      </c>
      <c r="U802" s="39">
        <f t="shared" si="88"/>
        <v>0</v>
      </c>
      <c r="V802" s="40"/>
    </row>
    <row r="803" spans="2:22" x14ac:dyDescent="0.35">
      <c r="B803" s="40">
        <v>34299</v>
      </c>
      <c r="C803" s="39">
        <v>2047.2</v>
      </c>
      <c r="D803" s="219">
        <f t="shared" si="89"/>
        <v>-2.4420620893543375E-4</v>
      </c>
      <c r="F803" s="40">
        <v>34299</v>
      </c>
      <c r="G803" s="39">
        <v>2047.2</v>
      </c>
      <c r="H803" s="39">
        <f t="shared" si="84"/>
        <v>5</v>
      </c>
      <c r="I803" s="39">
        <f t="shared" si="85"/>
        <v>2047.2</v>
      </c>
      <c r="K803" s="40">
        <v>38450</v>
      </c>
      <c r="L803" s="39">
        <v>4400.68</v>
      </c>
      <c r="M803" s="39">
        <v>5</v>
      </c>
      <c r="N803" s="39">
        <v>4400.68</v>
      </c>
      <c r="O803" s="219">
        <f t="shared" si="90"/>
        <v>6.1886110889123325E-3</v>
      </c>
      <c r="Q803" s="40">
        <v>34299</v>
      </c>
      <c r="R803" s="39">
        <v>2047.2</v>
      </c>
      <c r="S803" s="39">
        <f t="shared" si="86"/>
        <v>11</v>
      </c>
      <c r="T803" s="39">
        <f t="shared" si="87"/>
        <v>0</v>
      </c>
      <c r="U803" s="39">
        <f t="shared" si="88"/>
        <v>0</v>
      </c>
      <c r="V803" s="40"/>
    </row>
    <row r="804" spans="2:22" x14ac:dyDescent="0.35">
      <c r="B804" s="40">
        <v>34302</v>
      </c>
      <c r="C804" s="39">
        <v>2043.4</v>
      </c>
      <c r="D804" s="219">
        <f t="shared" si="89"/>
        <v>-1.8579186882557144E-3</v>
      </c>
      <c r="F804" s="40">
        <v>34302</v>
      </c>
      <c r="G804" s="39">
        <v>2043.4</v>
      </c>
      <c r="H804" s="39">
        <f t="shared" si="84"/>
        <v>1</v>
      </c>
      <c r="I804" s="39">
        <f t="shared" si="85"/>
        <v>0</v>
      </c>
      <c r="K804" s="40">
        <v>38457</v>
      </c>
      <c r="L804" s="39">
        <v>4312.25</v>
      </c>
      <c r="M804" s="39">
        <v>5</v>
      </c>
      <c r="N804" s="39">
        <v>4312.25</v>
      </c>
      <c r="O804" s="219">
        <f t="shared" si="90"/>
        <v>-2.0299264775241285E-2</v>
      </c>
      <c r="Q804" s="40">
        <v>34302</v>
      </c>
      <c r="R804" s="39">
        <v>2043.4</v>
      </c>
      <c r="S804" s="39">
        <f t="shared" si="86"/>
        <v>11</v>
      </c>
      <c r="T804" s="39">
        <f t="shared" si="87"/>
        <v>0</v>
      </c>
      <c r="U804" s="39">
        <f t="shared" si="88"/>
        <v>0</v>
      </c>
      <c r="V804" s="40"/>
    </row>
    <row r="805" spans="2:22" x14ac:dyDescent="0.35">
      <c r="B805" s="40">
        <v>34303</v>
      </c>
      <c r="C805" s="39">
        <v>2057.8000000000002</v>
      </c>
      <c r="D805" s="219">
        <f t="shared" si="89"/>
        <v>7.0223637843866843E-3</v>
      </c>
      <c r="F805" s="40">
        <v>34303</v>
      </c>
      <c r="G805" s="39">
        <v>2057.8000000000002</v>
      </c>
      <c r="H805" s="39">
        <f t="shared" si="84"/>
        <v>2</v>
      </c>
      <c r="I805" s="39">
        <f t="shared" si="85"/>
        <v>0</v>
      </c>
      <c r="K805" s="40">
        <v>38464</v>
      </c>
      <c r="L805" s="39">
        <v>4223.04</v>
      </c>
      <c r="M805" s="39">
        <v>5</v>
      </c>
      <c r="N805" s="39">
        <v>4223.04</v>
      </c>
      <c r="O805" s="219">
        <f t="shared" si="90"/>
        <v>-2.0904561816273617E-2</v>
      </c>
      <c r="Q805" s="40">
        <v>34303</v>
      </c>
      <c r="R805" s="39">
        <v>2057.8000000000002</v>
      </c>
      <c r="S805" s="39">
        <f t="shared" si="86"/>
        <v>11</v>
      </c>
      <c r="T805" s="39">
        <f t="shared" si="87"/>
        <v>2057.8000000000002</v>
      </c>
      <c r="U805" s="39">
        <f t="shared" si="88"/>
        <v>2057.8000000000002</v>
      </c>
      <c r="V805" s="40"/>
    </row>
    <row r="806" spans="2:22" x14ac:dyDescent="0.35">
      <c r="B806" s="40">
        <v>34304</v>
      </c>
      <c r="C806" s="39">
        <v>2089.9</v>
      </c>
      <c r="D806" s="219">
        <f t="shared" si="89"/>
        <v>1.5478766982495666E-2</v>
      </c>
      <c r="F806" s="40">
        <v>34304</v>
      </c>
      <c r="G806" s="39">
        <v>2089.9</v>
      </c>
      <c r="H806" s="39">
        <f t="shared" si="84"/>
        <v>3</v>
      </c>
      <c r="I806" s="39">
        <f t="shared" si="85"/>
        <v>0</v>
      </c>
      <c r="K806" s="40">
        <v>38471</v>
      </c>
      <c r="L806" s="39">
        <v>4184.84</v>
      </c>
      <c r="M806" s="39">
        <v>5</v>
      </c>
      <c r="N806" s="39">
        <v>4184.84</v>
      </c>
      <c r="O806" s="219">
        <f t="shared" si="90"/>
        <v>-9.0867764159092441E-3</v>
      </c>
      <c r="Q806" s="40">
        <v>34304</v>
      </c>
      <c r="R806" s="39">
        <v>2089.9</v>
      </c>
      <c r="S806" s="39">
        <f t="shared" si="86"/>
        <v>12</v>
      </c>
      <c r="T806" s="39">
        <f t="shared" si="87"/>
        <v>0</v>
      </c>
      <c r="U806" s="39">
        <f t="shared" si="88"/>
        <v>0</v>
      </c>
      <c r="V806" s="40"/>
    </row>
    <row r="807" spans="2:22" x14ac:dyDescent="0.35">
      <c r="B807" s="40">
        <v>34305</v>
      </c>
      <c r="C807" s="39">
        <v>2110.5</v>
      </c>
      <c r="D807" s="219">
        <f t="shared" si="89"/>
        <v>9.8086682983477575E-3</v>
      </c>
      <c r="F807" s="40">
        <v>34305</v>
      </c>
      <c r="G807" s="39">
        <v>2110.5</v>
      </c>
      <c r="H807" s="39">
        <f t="shared" si="84"/>
        <v>4</v>
      </c>
      <c r="I807" s="39">
        <f t="shared" si="85"/>
        <v>0</v>
      </c>
      <c r="K807" s="40">
        <v>38478</v>
      </c>
      <c r="L807" s="39">
        <v>4311.0600000000004</v>
      </c>
      <c r="M807" s="39">
        <v>5</v>
      </c>
      <c r="N807" s="39">
        <v>4311.0600000000004</v>
      </c>
      <c r="O807" s="219">
        <f t="shared" si="90"/>
        <v>2.9715342122208156E-2</v>
      </c>
      <c r="Q807" s="40">
        <v>34305</v>
      </c>
      <c r="R807" s="39">
        <v>2110.5</v>
      </c>
      <c r="S807" s="39">
        <f t="shared" si="86"/>
        <v>12</v>
      </c>
      <c r="T807" s="39">
        <f t="shared" si="87"/>
        <v>0</v>
      </c>
      <c r="U807" s="39">
        <f t="shared" si="88"/>
        <v>0</v>
      </c>
      <c r="V807" s="40"/>
    </row>
    <row r="808" spans="2:22" x14ac:dyDescent="0.35">
      <c r="B808" s="40">
        <v>34306</v>
      </c>
      <c r="C808" s="39">
        <v>2120.6</v>
      </c>
      <c r="D808" s="219">
        <f t="shared" si="89"/>
        <v>4.7741812691444157E-3</v>
      </c>
      <c r="F808" s="40">
        <v>34306</v>
      </c>
      <c r="G808" s="39">
        <v>2120.6</v>
      </c>
      <c r="H808" s="39">
        <f t="shared" si="84"/>
        <v>5</v>
      </c>
      <c r="I808" s="39">
        <f t="shared" si="85"/>
        <v>2120.6</v>
      </c>
      <c r="K808" s="40">
        <v>38485</v>
      </c>
      <c r="L808" s="39">
        <v>4275.7</v>
      </c>
      <c r="M808" s="39">
        <v>5</v>
      </c>
      <c r="N808" s="39">
        <v>4275.7</v>
      </c>
      <c r="O808" s="219">
        <f t="shared" si="90"/>
        <v>-8.2359818782154742E-3</v>
      </c>
      <c r="Q808" s="40">
        <v>34306</v>
      </c>
      <c r="R808" s="39">
        <v>2120.6</v>
      </c>
      <c r="S808" s="39">
        <f t="shared" si="86"/>
        <v>12</v>
      </c>
      <c r="T808" s="39">
        <f t="shared" si="87"/>
        <v>0</v>
      </c>
      <c r="U808" s="39">
        <f t="shared" si="88"/>
        <v>0</v>
      </c>
      <c r="V808" s="40"/>
    </row>
    <row r="809" spans="2:22" x14ac:dyDescent="0.35">
      <c r="B809" s="40">
        <v>34309</v>
      </c>
      <c r="C809" s="39">
        <v>2118.8000000000002</v>
      </c>
      <c r="D809" s="219">
        <f t="shared" si="89"/>
        <v>-8.4917682132612342E-4</v>
      </c>
      <c r="F809" s="40">
        <v>34309</v>
      </c>
      <c r="G809" s="39">
        <v>2118.8000000000002</v>
      </c>
      <c r="H809" s="39">
        <f t="shared" si="84"/>
        <v>1</v>
      </c>
      <c r="I809" s="39">
        <f t="shared" si="85"/>
        <v>0</v>
      </c>
      <c r="K809" s="40">
        <v>38492</v>
      </c>
      <c r="L809" s="39">
        <v>4360.68</v>
      </c>
      <c r="M809" s="39">
        <v>5</v>
      </c>
      <c r="N809" s="39">
        <v>4360.68</v>
      </c>
      <c r="O809" s="219">
        <f t="shared" si="90"/>
        <v>1.9680176828272868E-2</v>
      </c>
      <c r="Q809" s="40">
        <v>34309</v>
      </c>
      <c r="R809" s="39">
        <v>2118.8000000000002</v>
      </c>
      <c r="S809" s="39">
        <f t="shared" si="86"/>
        <v>12</v>
      </c>
      <c r="T809" s="39">
        <f t="shared" si="87"/>
        <v>0</v>
      </c>
      <c r="U809" s="39">
        <f t="shared" si="88"/>
        <v>0</v>
      </c>
      <c r="V809" s="40"/>
    </row>
    <row r="810" spans="2:22" x14ac:dyDescent="0.35">
      <c r="B810" s="40">
        <v>34310</v>
      </c>
      <c r="C810" s="39">
        <v>2115.5</v>
      </c>
      <c r="D810" s="219">
        <f t="shared" si="89"/>
        <v>-1.5586995102495726E-3</v>
      </c>
      <c r="F810" s="40">
        <v>34310</v>
      </c>
      <c r="G810" s="39">
        <v>2115.5</v>
      </c>
      <c r="H810" s="39">
        <f t="shared" si="84"/>
        <v>2</v>
      </c>
      <c r="I810" s="39">
        <f t="shared" si="85"/>
        <v>0</v>
      </c>
      <c r="K810" s="40">
        <v>38499</v>
      </c>
      <c r="L810" s="39">
        <v>4444.71</v>
      </c>
      <c r="M810" s="39">
        <v>5</v>
      </c>
      <c r="N810" s="39">
        <v>4444.71</v>
      </c>
      <c r="O810" s="219">
        <f t="shared" si="90"/>
        <v>1.9086616490072997E-2</v>
      </c>
      <c r="Q810" s="40">
        <v>34310</v>
      </c>
      <c r="R810" s="39">
        <v>2115.5</v>
      </c>
      <c r="S810" s="39">
        <f t="shared" si="86"/>
        <v>12</v>
      </c>
      <c r="T810" s="39">
        <f t="shared" si="87"/>
        <v>0</v>
      </c>
      <c r="U810" s="39">
        <f t="shared" si="88"/>
        <v>0</v>
      </c>
      <c r="V810" s="40"/>
    </row>
    <row r="811" spans="2:22" x14ac:dyDescent="0.35">
      <c r="B811" s="40">
        <v>34311</v>
      </c>
      <c r="C811" s="39">
        <v>2148.1</v>
      </c>
      <c r="D811" s="219">
        <f t="shared" si="89"/>
        <v>1.5292539319808764E-2</v>
      </c>
      <c r="F811" s="40">
        <v>34311</v>
      </c>
      <c r="G811" s="39">
        <v>2148.1</v>
      </c>
      <c r="H811" s="39">
        <f t="shared" si="84"/>
        <v>3</v>
      </c>
      <c r="I811" s="39">
        <f t="shared" si="85"/>
        <v>0</v>
      </c>
      <c r="K811" s="40">
        <v>38506</v>
      </c>
      <c r="L811" s="39">
        <v>4510.3900000000003</v>
      </c>
      <c r="M811" s="39">
        <v>5</v>
      </c>
      <c r="N811" s="39">
        <v>4510.3900000000003</v>
      </c>
      <c r="O811" s="219">
        <f t="shared" si="90"/>
        <v>1.4668999284234751E-2</v>
      </c>
      <c r="Q811" s="40">
        <v>34311</v>
      </c>
      <c r="R811" s="39">
        <v>2148.1</v>
      </c>
      <c r="S811" s="39">
        <f t="shared" si="86"/>
        <v>12</v>
      </c>
      <c r="T811" s="39">
        <f t="shared" si="87"/>
        <v>0</v>
      </c>
      <c r="U811" s="39">
        <f t="shared" si="88"/>
        <v>0</v>
      </c>
      <c r="V811" s="40"/>
    </row>
    <row r="812" spans="2:22" x14ac:dyDescent="0.35">
      <c r="B812" s="40">
        <v>34312</v>
      </c>
      <c r="C812" s="39">
        <v>2175.8000000000002</v>
      </c>
      <c r="D812" s="219">
        <f t="shared" si="89"/>
        <v>1.2812682507051386E-2</v>
      </c>
      <c r="F812" s="40">
        <v>34312</v>
      </c>
      <c r="G812" s="39">
        <v>2175.8000000000002</v>
      </c>
      <c r="H812" s="39">
        <f t="shared" si="84"/>
        <v>4</v>
      </c>
      <c r="I812" s="39">
        <f t="shared" si="85"/>
        <v>0</v>
      </c>
      <c r="K812" s="40">
        <v>38513</v>
      </c>
      <c r="L812" s="39">
        <v>4586.1000000000004</v>
      </c>
      <c r="M812" s="39">
        <v>5</v>
      </c>
      <c r="N812" s="39">
        <v>4586.1000000000004</v>
      </c>
      <c r="O812" s="219">
        <f t="shared" si="90"/>
        <v>1.6646365415969588E-2</v>
      </c>
      <c r="Q812" s="40">
        <v>34312</v>
      </c>
      <c r="R812" s="39">
        <v>2175.8000000000002</v>
      </c>
      <c r="S812" s="39">
        <f t="shared" si="86"/>
        <v>12</v>
      </c>
      <c r="T812" s="39">
        <f t="shared" si="87"/>
        <v>0</v>
      </c>
      <c r="U812" s="39">
        <f t="shared" si="88"/>
        <v>0</v>
      </c>
      <c r="V812" s="40"/>
    </row>
    <row r="813" spans="2:22" x14ac:dyDescent="0.35">
      <c r="B813" s="40">
        <v>34313</v>
      </c>
      <c r="C813" s="39">
        <v>2161.1</v>
      </c>
      <c r="D813" s="219">
        <f t="shared" si="89"/>
        <v>-6.779061678001283E-3</v>
      </c>
      <c r="F813" s="40">
        <v>34313</v>
      </c>
      <c r="G813" s="39">
        <v>2161.1</v>
      </c>
      <c r="H813" s="39">
        <f t="shared" si="84"/>
        <v>5</v>
      </c>
      <c r="I813" s="39">
        <f t="shared" si="85"/>
        <v>2161.1</v>
      </c>
      <c r="K813" s="40">
        <v>38520</v>
      </c>
      <c r="L813" s="39">
        <v>4604.57</v>
      </c>
      <c r="M813" s="39">
        <v>5</v>
      </c>
      <c r="N813" s="39">
        <v>4604.57</v>
      </c>
      <c r="O813" s="219">
        <f t="shared" si="90"/>
        <v>4.0192988900409525E-3</v>
      </c>
      <c r="Q813" s="40">
        <v>34313</v>
      </c>
      <c r="R813" s="39">
        <v>2161.1</v>
      </c>
      <c r="S813" s="39">
        <f t="shared" si="86"/>
        <v>12</v>
      </c>
      <c r="T813" s="39">
        <f t="shared" si="87"/>
        <v>0</v>
      </c>
      <c r="U813" s="39">
        <f t="shared" si="88"/>
        <v>0</v>
      </c>
      <c r="V813" s="40"/>
    </row>
    <row r="814" spans="2:22" x14ac:dyDescent="0.35">
      <c r="B814" s="40">
        <v>34316</v>
      </c>
      <c r="C814" s="39">
        <v>2172.8000000000002</v>
      </c>
      <c r="D814" s="219">
        <f t="shared" si="89"/>
        <v>5.399307055395864E-3</v>
      </c>
      <c r="F814" s="40">
        <v>34316</v>
      </c>
      <c r="G814" s="39">
        <v>2172.8000000000002</v>
      </c>
      <c r="H814" s="39">
        <f t="shared" si="84"/>
        <v>1</v>
      </c>
      <c r="I814" s="39">
        <f t="shared" si="85"/>
        <v>0</v>
      </c>
      <c r="K814" s="40">
        <v>38527</v>
      </c>
      <c r="L814" s="39">
        <v>4566.4799999999996</v>
      </c>
      <c r="M814" s="39">
        <v>5</v>
      </c>
      <c r="N814" s="39">
        <v>4566.4799999999996</v>
      </c>
      <c r="O814" s="219">
        <f t="shared" si="90"/>
        <v>-8.3066211648842418E-3</v>
      </c>
      <c r="Q814" s="40">
        <v>34316</v>
      </c>
      <c r="R814" s="39">
        <v>2172.8000000000002</v>
      </c>
      <c r="S814" s="39">
        <f t="shared" si="86"/>
        <v>12</v>
      </c>
      <c r="T814" s="39">
        <f t="shared" si="87"/>
        <v>0</v>
      </c>
      <c r="U814" s="39">
        <f t="shared" si="88"/>
        <v>0</v>
      </c>
      <c r="V814" s="40"/>
    </row>
    <row r="815" spans="2:22" x14ac:dyDescent="0.35">
      <c r="B815" s="40">
        <v>34317</v>
      </c>
      <c r="C815" s="39">
        <v>2150</v>
      </c>
      <c r="D815" s="219">
        <f t="shared" si="89"/>
        <v>-1.0548816242668582E-2</v>
      </c>
      <c r="F815" s="40">
        <v>34317</v>
      </c>
      <c r="G815" s="39">
        <v>2150</v>
      </c>
      <c r="H815" s="39">
        <f t="shared" si="84"/>
        <v>2</v>
      </c>
      <c r="I815" s="39">
        <f t="shared" si="85"/>
        <v>0</v>
      </c>
      <c r="K815" s="40">
        <v>38534</v>
      </c>
      <c r="L815" s="39">
        <v>4617.07</v>
      </c>
      <c r="M815" s="39">
        <v>5</v>
      </c>
      <c r="N815" s="39">
        <v>4617.07</v>
      </c>
      <c r="O815" s="219">
        <f t="shared" si="90"/>
        <v>1.1017637351992347E-2</v>
      </c>
      <c r="Q815" s="40">
        <v>34317</v>
      </c>
      <c r="R815" s="39">
        <v>2150</v>
      </c>
      <c r="S815" s="39">
        <f t="shared" si="86"/>
        <v>12</v>
      </c>
      <c r="T815" s="39">
        <f t="shared" si="87"/>
        <v>0</v>
      </c>
      <c r="U815" s="39">
        <f t="shared" si="88"/>
        <v>0</v>
      </c>
      <c r="V815" s="40"/>
    </row>
    <row r="816" spans="2:22" x14ac:dyDescent="0.35">
      <c r="B816" s="40">
        <v>34318</v>
      </c>
      <c r="C816" s="39">
        <v>2110.6999999999998</v>
      </c>
      <c r="D816" s="219">
        <f t="shared" si="89"/>
        <v>-1.8448196115136567E-2</v>
      </c>
      <c r="F816" s="40">
        <v>34318</v>
      </c>
      <c r="G816" s="39">
        <v>2110.6999999999998</v>
      </c>
      <c r="H816" s="39">
        <f t="shared" si="84"/>
        <v>3</v>
      </c>
      <c r="I816" s="39">
        <f t="shared" si="85"/>
        <v>0</v>
      </c>
      <c r="K816" s="40">
        <v>38541</v>
      </c>
      <c r="L816" s="39">
        <v>4597.97</v>
      </c>
      <c r="M816" s="39">
        <v>5</v>
      </c>
      <c r="N816" s="39">
        <v>4597.97</v>
      </c>
      <c r="O816" s="219">
        <f t="shared" si="90"/>
        <v>-4.1454030263079859E-3</v>
      </c>
      <c r="Q816" s="40">
        <v>34318</v>
      </c>
      <c r="R816" s="39">
        <v>2110.6999999999998</v>
      </c>
      <c r="S816" s="39">
        <f t="shared" si="86"/>
        <v>12</v>
      </c>
      <c r="T816" s="39">
        <f t="shared" si="87"/>
        <v>0</v>
      </c>
      <c r="U816" s="39">
        <f t="shared" si="88"/>
        <v>0</v>
      </c>
      <c r="V816" s="40"/>
    </row>
    <row r="817" spans="2:22" x14ac:dyDescent="0.35">
      <c r="B817" s="40">
        <v>34319</v>
      </c>
      <c r="C817" s="39">
        <v>2137.5</v>
      </c>
      <c r="D817" s="219">
        <f t="shared" si="89"/>
        <v>1.2617275804343341E-2</v>
      </c>
      <c r="F817" s="40">
        <v>34319</v>
      </c>
      <c r="G817" s="39">
        <v>2137.5</v>
      </c>
      <c r="H817" s="39">
        <f t="shared" si="84"/>
        <v>4</v>
      </c>
      <c r="I817" s="39">
        <f t="shared" si="85"/>
        <v>0</v>
      </c>
      <c r="K817" s="40">
        <v>38548</v>
      </c>
      <c r="L817" s="39">
        <v>4712.8999999999996</v>
      </c>
      <c r="M817" s="39">
        <v>5</v>
      </c>
      <c r="N817" s="39">
        <v>4712.8999999999996</v>
      </c>
      <c r="O817" s="219">
        <f t="shared" si="90"/>
        <v>2.4688528064774382E-2</v>
      </c>
      <c r="Q817" s="40">
        <v>34319</v>
      </c>
      <c r="R817" s="39">
        <v>2137.5</v>
      </c>
      <c r="S817" s="39">
        <f t="shared" si="86"/>
        <v>12</v>
      </c>
      <c r="T817" s="39">
        <f t="shared" si="87"/>
        <v>0</v>
      </c>
      <c r="U817" s="39">
        <f t="shared" si="88"/>
        <v>0</v>
      </c>
      <c r="V817" s="40"/>
    </row>
    <row r="818" spans="2:22" x14ac:dyDescent="0.35">
      <c r="B818" s="40">
        <v>34320</v>
      </c>
      <c r="C818" s="39">
        <v>2151</v>
      </c>
      <c r="D818" s="219">
        <f t="shared" si="89"/>
        <v>6.2959284568148309E-3</v>
      </c>
      <c r="F818" s="40">
        <v>34320</v>
      </c>
      <c r="G818" s="39">
        <v>2151</v>
      </c>
      <c r="H818" s="39">
        <f t="shared" si="84"/>
        <v>5</v>
      </c>
      <c r="I818" s="39">
        <f t="shared" si="85"/>
        <v>2151</v>
      </c>
      <c r="K818" s="40">
        <v>38555</v>
      </c>
      <c r="L818" s="39">
        <v>4836.8999999999996</v>
      </c>
      <c r="M818" s="39">
        <v>5</v>
      </c>
      <c r="N818" s="39">
        <v>4836.8999999999996</v>
      </c>
      <c r="O818" s="219">
        <f t="shared" si="90"/>
        <v>2.5970589847090164E-2</v>
      </c>
      <c r="Q818" s="40">
        <v>34320</v>
      </c>
      <c r="R818" s="39">
        <v>2151</v>
      </c>
      <c r="S818" s="39">
        <f t="shared" si="86"/>
        <v>12</v>
      </c>
      <c r="T818" s="39">
        <f t="shared" si="87"/>
        <v>0</v>
      </c>
      <c r="U818" s="39">
        <f t="shared" si="88"/>
        <v>0</v>
      </c>
      <c r="V818" s="40"/>
    </row>
    <row r="819" spans="2:22" x14ac:dyDescent="0.35">
      <c r="B819" s="40">
        <v>34323</v>
      </c>
      <c r="C819" s="39">
        <v>2178.1999999999998</v>
      </c>
      <c r="D819" s="219">
        <f t="shared" si="89"/>
        <v>1.2565997373856018E-2</v>
      </c>
      <c r="F819" s="40">
        <v>34323</v>
      </c>
      <c r="G819" s="39">
        <v>2178.1999999999998</v>
      </c>
      <c r="H819" s="39">
        <f t="shared" si="84"/>
        <v>1</v>
      </c>
      <c r="I819" s="39">
        <f t="shared" si="85"/>
        <v>0</v>
      </c>
      <c r="K819" s="40">
        <v>38562</v>
      </c>
      <c r="L819" s="39">
        <v>4886.5</v>
      </c>
      <c r="M819" s="39">
        <v>5</v>
      </c>
      <c r="N819" s="39">
        <v>4886.5</v>
      </c>
      <c r="O819" s="219">
        <f t="shared" si="90"/>
        <v>1.0202281141086763E-2</v>
      </c>
      <c r="Q819" s="40">
        <v>34323</v>
      </c>
      <c r="R819" s="39">
        <v>2178.1999999999998</v>
      </c>
      <c r="S819" s="39">
        <f t="shared" si="86"/>
        <v>12</v>
      </c>
      <c r="T819" s="39">
        <f t="shared" si="87"/>
        <v>0</v>
      </c>
      <c r="U819" s="39">
        <f t="shared" si="88"/>
        <v>0</v>
      </c>
      <c r="V819" s="40"/>
    </row>
    <row r="820" spans="2:22" x14ac:dyDescent="0.35">
      <c r="B820" s="40">
        <v>34324</v>
      </c>
      <c r="C820" s="39">
        <v>2182.9</v>
      </c>
      <c r="D820" s="219">
        <f t="shared" si="89"/>
        <v>2.1554203387308245E-3</v>
      </c>
      <c r="F820" s="40">
        <v>34324</v>
      </c>
      <c r="G820" s="39">
        <v>2182.9</v>
      </c>
      <c r="H820" s="39">
        <f t="shared" si="84"/>
        <v>2</v>
      </c>
      <c r="I820" s="39">
        <f t="shared" si="85"/>
        <v>0</v>
      </c>
      <c r="K820" s="40">
        <v>38569</v>
      </c>
      <c r="L820" s="39">
        <v>4827.18</v>
      </c>
      <c r="M820" s="39">
        <v>5</v>
      </c>
      <c r="N820" s="39">
        <v>4827.18</v>
      </c>
      <c r="O820" s="219">
        <f t="shared" si="90"/>
        <v>-1.2213854571274666E-2</v>
      </c>
      <c r="Q820" s="40">
        <v>34324</v>
      </c>
      <c r="R820" s="39">
        <v>2182.9</v>
      </c>
      <c r="S820" s="39">
        <f t="shared" si="86"/>
        <v>12</v>
      </c>
      <c r="T820" s="39">
        <f t="shared" si="87"/>
        <v>0</v>
      </c>
      <c r="U820" s="39">
        <f t="shared" si="88"/>
        <v>0</v>
      </c>
      <c r="V820" s="40"/>
    </row>
    <row r="821" spans="2:22" x14ac:dyDescent="0.35">
      <c r="B821" s="40">
        <v>34325</v>
      </c>
      <c r="C821" s="39">
        <v>2197.5</v>
      </c>
      <c r="D821" s="219">
        <f t="shared" si="89"/>
        <v>6.6660825790152622E-3</v>
      </c>
      <c r="F821" s="40">
        <v>34325</v>
      </c>
      <c r="G821" s="39">
        <v>2197.5</v>
      </c>
      <c r="H821" s="39">
        <f t="shared" si="84"/>
        <v>3</v>
      </c>
      <c r="I821" s="39">
        <f t="shared" si="85"/>
        <v>0</v>
      </c>
      <c r="K821" s="40">
        <v>38576</v>
      </c>
      <c r="L821" s="39">
        <v>4937.33</v>
      </c>
      <c r="M821" s="39">
        <v>5</v>
      </c>
      <c r="N821" s="39">
        <v>4937.33</v>
      </c>
      <c r="O821" s="219">
        <f t="shared" si="90"/>
        <v>2.2562253029275493E-2</v>
      </c>
      <c r="Q821" s="40">
        <v>34325</v>
      </c>
      <c r="R821" s="39">
        <v>2197.5</v>
      </c>
      <c r="S821" s="39">
        <f t="shared" si="86"/>
        <v>12</v>
      </c>
      <c r="T821" s="39">
        <f t="shared" si="87"/>
        <v>0</v>
      </c>
      <c r="U821" s="39">
        <f t="shared" si="88"/>
        <v>0</v>
      </c>
      <c r="V821" s="40"/>
    </row>
    <row r="822" spans="2:22" x14ac:dyDescent="0.35">
      <c r="B822" s="40">
        <v>34326</v>
      </c>
      <c r="C822" s="39">
        <v>2222.8000000000002</v>
      </c>
      <c r="D822" s="219">
        <f t="shared" si="89"/>
        <v>1.1447311846434299E-2</v>
      </c>
      <c r="F822" s="40">
        <v>34326</v>
      </c>
      <c r="G822" s="39">
        <v>2222.8000000000002</v>
      </c>
      <c r="H822" s="39">
        <f t="shared" si="84"/>
        <v>4</v>
      </c>
      <c r="I822" s="39">
        <f t="shared" si="85"/>
        <v>2222.8000000000002</v>
      </c>
      <c r="K822" s="40">
        <v>38583</v>
      </c>
      <c r="L822" s="39">
        <v>4929.91</v>
      </c>
      <c r="M822" s="39">
        <v>5</v>
      </c>
      <c r="N822" s="39">
        <v>4929.91</v>
      </c>
      <c r="O822" s="219">
        <f t="shared" si="90"/>
        <v>-1.5039669448839493E-3</v>
      </c>
      <c r="Q822" s="40">
        <v>34326</v>
      </c>
      <c r="R822" s="39">
        <v>2222.8000000000002</v>
      </c>
      <c r="S822" s="39">
        <f t="shared" si="86"/>
        <v>12</v>
      </c>
      <c r="T822" s="39">
        <f t="shared" si="87"/>
        <v>0</v>
      </c>
      <c r="U822" s="39">
        <f t="shared" si="88"/>
        <v>0</v>
      </c>
      <c r="V822" s="40"/>
    </row>
    <row r="823" spans="2:22" x14ac:dyDescent="0.35">
      <c r="B823" s="40">
        <v>34330</v>
      </c>
      <c r="C823" s="39">
        <v>2254</v>
      </c>
      <c r="D823" s="219">
        <f t="shared" si="89"/>
        <v>1.393875319395534E-2</v>
      </c>
      <c r="F823" s="40">
        <v>34330</v>
      </c>
      <c r="G823" s="39">
        <v>2254</v>
      </c>
      <c r="H823" s="39">
        <f t="shared" ref="H823:H886" si="91">WEEKDAY(F823,2)</f>
        <v>1</v>
      </c>
      <c r="I823" s="39">
        <f t="shared" ref="I823:I886" si="92">IF(H823&gt;H824,G823,0)</f>
        <v>0</v>
      </c>
      <c r="K823" s="40">
        <v>38590</v>
      </c>
      <c r="L823" s="39">
        <v>4783.8</v>
      </c>
      <c r="M823" s="39">
        <v>5</v>
      </c>
      <c r="N823" s="39">
        <v>4783.8</v>
      </c>
      <c r="O823" s="219">
        <f t="shared" si="90"/>
        <v>-3.0085522555502616E-2</v>
      </c>
      <c r="Q823" s="40">
        <v>34330</v>
      </c>
      <c r="R823" s="39">
        <v>2254</v>
      </c>
      <c r="S823" s="39">
        <f t="shared" ref="S823:S886" si="93">MONTH(Q823)</f>
        <v>12</v>
      </c>
      <c r="T823" s="39">
        <f t="shared" ref="T823:T886" si="94">IF(S824&lt;&gt;S823,R823,0)</f>
        <v>0</v>
      </c>
      <c r="U823" s="39">
        <f t="shared" ref="U823:U886" si="95">IF(S824=S823,0,R823)</f>
        <v>0</v>
      </c>
      <c r="V823" s="40"/>
    </row>
    <row r="824" spans="2:22" x14ac:dyDescent="0.35">
      <c r="B824" s="40">
        <v>34331</v>
      </c>
      <c r="C824" s="39">
        <v>2242.8000000000002</v>
      </c>
      <c r="D824" s="219">
        <f t="shared" ref="D824:D887" si="96">LN(C824/C823)</f>
        <v>-4.9813303502040246E-3</v>
      </c>
      <c r="F824" s="40">
        <v>34331</v>
      </c>
      <c r="G824" s="39">
        <v>2242.8000000000002</v>
      </c>
      <c r="H824" s="39">
        <f t="shared" si="91"/>
        <v>2</v>
      </c>
      <c r="I824" s="39">
        <f t="shared" si="92"/>
        <v>0</v>
      </c>
      <c r="K824" s="40">
        <v>38597</v>
      </c>
      <c r="L824" s="39">
        <v>4837.8100000000004</v>
      </c>
      <c r="M824" s="39">
        <v>5</v>
      </c>
      <c r="N824" s="39">
        <v>4837.8100000000004</v>
      </c>
      <c r="O824" s="219">
        <f t="shared" ref="O824:O887" si="97">LN(N824/N823)</f>
        <v>1.122692923566334E-2</v>
      </c>
      <c r="Q824" s="40">
        <v>34331</v>
      </c>
      <c r="R824" s="39">
        <v>2242.8000000000002</v>
      </c>
      <c r="S824" s="39">
        <f t="shared" si="93"/>
        <v>12</v>
      </c>
      <c r="T824" s="39">
        <f t="shared" si="94"/>
        <v>0</v>
      </c>
      <c r="U824" s="39">
        <f t="shared" si="95"/>
        <v>0</v>
      </c>
      <c r="V824" s="40"/>
    </row>
    <row r="825" spans="2:22" x14ac:dyDescent="0.35">
      <c r="B825" s="40">
        <v>34332</v>
      </c>
      <c r="C825" s="39">
        <v>2214.6999999999998</v>
      </c>
      <c r="D825" s="219">
        <f t="shared" si="96"/>
        <v>-1.2608131123718056E-2</v>
      </c>
      <c r="F825" s="40">
        <v>34332</v>
      </c>
      <c r="G825" s="39">
        <v>2214.6999999999998</v>
      </c>
      <c r="H825" s="39">
        <f t="shared" si="91"/>
        <v>3</v>
      </c>
      <c r="I825" s="39">
        <f t="shared" si="92"/>
        <v>0</v>
      </c>
      <c r="K825" s="40">
        <v>38604</v>
      </c>
      <c r="L825" s="39">
        <v>5005.93</v>
      </c>
      <c r="M825" s="39">
        <v>5</v>
      </c>
      <c r="N825" s="39">
        <v>5005.93</v>
      </c>
      <c r="O825" s="219">
        <f t="shared" si="97"/>
        <v>3.4161070701649421E-2</v>
      </c>
      <c r="Q825" s="40">
        <v>34332</v>
      </c>
      <c r="R825" s="39">
        <v>2214.6999999999998</v>
      </c>
      <c r="S825" s="39">
        <f t="shared" si="93"/>
        <v>12</v>
      </c>
      <c r="T825" s="39">
        <f t="shared" si="94"/>
        <v>0</v>
      </c>
      <c r="U825" s="39">
        <f t="shared" si="95"/>
        <v>0</v>
      </c>
      <c r="V825" s="40"/>
    </row>
    <row r="826" spans="2:22" x14ac:dyDescent="0.35">
      <c r="B826" s="40">
        <v>34333</v>
      </c>
      <c r="C826" s="39">
        <v>2266.6999999999998</v>
      </c>
      <c r="D826" s="219">
        <f t="shared" si="96"/>
        <v>2.3208075144511321E-2</v>
      </c>
      <c r="F826" s="40">
        <v>34333</v>
      </c>
      <c r="G826" s="39">
        <v>2266.6999999999998</v>
      </c>
      <c r="H826" s="39">
        <f t="shared" si="91"/>
        <v>4</v>
      </c>
      <c r="I826" s="39">
        <f t="shared" si="92"/>
        <v>2266.6999999999998</v>
      </c>
      <c r="K826" s="40">
        <v>38611</v>
      </c>
      <c r="L826" s="39">
        <v>4986.5</v>
      </c>
      <c r="M826" s="39">
        <v>5</v>
      </c>
      <c r="N826" s="39">
        <v>4986.5</v>
      </c>
      <c r="O826" s="219">
        <f t="shared" si="97"/>
        <v>-3.8889488318949164E-3</v>
      </c>
      <c r="Q826" s="40">
        <v>34333</v>
      </c>
      <c r="R826" s="39">
        <v>2266.6999999999998</v>
      </c>
      <c r="S826" s="39">
        <f t="shared" si="93"/>
        <v>12</v>
      </c>
      <c r="T826" s="39">
        <f t="shared" si="94"/>
        <v>2266.6999999999998</v>
      </c>
      <c r="U826" s="39">
        <f t="shared" si="95"/>
        <v>2266.6999999999998</v>
      </c>
      <c r="V826" s="40"/>
    </row>
    <row r="827" spans="2:22" x14ac:dyDescent="0.35">
      <c r="B827" s="40">
        <v>34337</v>
      </c>
      <c r="C827" s="39">
        <v>2268</v>
      </c>
      <c r="D827" s="219">
        <f t="shared" si="96"/>
        <v>5.7335657733186506E-4</v>
      </c>
      <c r="F827" s="40">
        <v>34337</v>
      </c>
      <c r="G827" s="39">
        <v>2268</v>
      </c>
      <c r="H827" s="39">
        <f t="shared" si="91"/>
        <v>1</v>
      </c>
      <c r="I827" s="39">
        <f t="shared" si="92"/>
        <v>0</v>
      </c>
      <c r="K827" s="40">
        <v>38618</v>
      </c>
      <c r="L827" s="39">
        <v>4882.58</v>
      </c>
      <c r="M827" s="39">
        <v>5</v>
      </c>
      <c r="N827" s="39">
        <v>4882.58</v>
      </c>
      <c r="O827" s="219">
        <f t="shared" si="97"/>
        <v>-2.1060492176678956E-2</v>
      </c>
      <c r="Q827" s="40">
        <v>34337</v>
      </c>
      <c r="R827" s="39">
        <v>2268</v>
      </c>
      <c r="S827" s="39">
        <f t="shared" si="93"/>
        <v>1</v>
      </c>
      <c r="T827" s="39">
        <f t="shared" si="94"/>
        <v>0</v>
      </c>
      <c r="U827" s="39">
        <f t="shared" si="95"/>
        <v>0</v>
      </c>
      <c r="V827" s="40"/>
    </row>
    <row r="828" spans="2:22" x14ac:dyDescent="0.35">
      <c r="B828" s="40">
        <v>34338</v>
      </c>
      <c r="C828" s="39">
        <v>2253.6</v>
      </c>
      <c r="D828" s="219">
        <f t="shared" si="96"/>
        <v>-6.3694482854799346E-3</v>
      </c>
      <c r="F828" s="40">
        <v>34338</v>
      </c>
      <c r="G828" s="39">
        <v>2253.6</v>
      </c>
      <c r="H828" s="39">
        <f t="shared" si="91"/>
        <v>2</v>
      </c>
      <c r="I828" s="39">
        <f t="shared" si="92"/>
        <v>0</v>
      </c>
      <c r="K828" s="40">
        <v>38625</v>
      </c>
      <c r="L828" s="39">
        <v>5044.12</v>
      </c>
      <c r="M828" s="39">
        <v>5</v>
      </c>
      <c r="N828" s="39">
        <v>5044.12</v>
      </c>
      <c r="O828" s="219">
        <f t="shared" si="97"/>
        <v>3.2549439778921045E-2</v>
      </c>
      <c r="Q828" s="40">
        <v>34338</v>
      </c>
      <c r="R828" s="39">
        <v>2253.6</v>
      </c>
      <c r="S828" s="39">
        <f t="shared" si="93"/>
        <v>1</v>
      </c>
      <c r="T828" s="39">
        <f t="shared" si="94"/>
        <v>0</v>
      </c>
      <c r="U828" s="39">
        <f t="shared" si="95"/>
        <v>0</v>
      </c>
      <c r="V828" s="40"/>
    </row>
    <row r="829" spans="2:22" x14ac:dyDescent="0.35">
      <c r="B829" s="40">
        <v>34339</v>
      </c>
      <c r="C829" s="39">
        <v>2233.4</v>
      </c>
      <c r="D829" s="219">
        <f t="shared" si="96"/>
        <v>-9.0038495504710762E-3</v>
      </c>
      <c r="F829" s="40">
        <v>34339</v>
      </c>
      <c r="G829" s="39">
        <v>2233.4</v>
      </c>
      <c r="H829" s="39">
        <f t="shared" si="91"/>
        <v>3</v>
      </c>
      <c r="I829" s="39">
        <f t="shared" si="92"/>
        <v>0</v>
      </c>
      <c r="K829" s="40">
        <v>38632</v>
      </c>
      <c r="L829" s="39">
        <v>5007.7700000000004</v>
      </c>
      <c r="M829" s="39">
        <v>5</v>
      </c>
      <c r="N829" s="39">
        <v>5007.7700000000004</v>
      </c>
      <c r="O829" s="219">
        <f t="shared" si="97"/>
        <v>-7.2325022364567622E-3</v>
      </c>
      <c r="Q829" s="40">
        <v>34339</v>
      </c>
      <c r="R829" s="39">
        <v>2233.4</v>
      </c>
      <c r="S829" s="39">
        <f t="shared" si="93"/>
        <v>1</v>
      </c>
      <c r="T829" s="39">
        <f t="shared" si="94"/>
        <v>0</v>
      </c>
      <c r="U829" s="39">
        <f t="shared" si="95"/>
        <v>0</v>
      </c>
      <c r="V829" s="40"/>
    </row>
    <row r="830" spans="2:22" x14ac:dyDescent="0.35">
      <c r="B830" s="40">
        <v>34340</v>
      </c>
      <c r="C830" s="39">
        <v>2220.1999999999998</v>
      </c>
      <c r="D830" s="219">
        <f t="shared" si="96"/>
        <v>-5.9278061131451234E-3</v>
      </c>
      <c r="F830" s="40">
        <v>34340</v>
      </c>
      <c r="G830" s="39">
        <v>2220.1999999999998</v>
      </c>
      <c r="H830" s="39">
        <f t="shared" si="91"/>
        <v>4</v>
      </c>
      <c r="I830" s="39">
        <f t="shared" si="92"/>
        <v>0</v>
      </c>
      <c r="K830" s="40">
        <v>38639</v>
      </c>
      <c r="L830" s="39">
        <v>4975.5600000000004</v>
      </c>
      <c r="M830" s="39">
        <v>5</v>
      </c>
      <c r="N830" s="39">
        <v>4975.5600000000004</v>
      </c>
      <c r="O830" s="219">
        <f t="shared" si="97"/>
        <v>-6.4527791356625112E-3</v>
      </c>
      <c r="Q830" s="40">
        <v>34340</v>
      </c>
      <c r="R830" s="39">
        <v>2220.1999999999998</v>
      </c>
      <c r="S830" s="39">
        <f t="shared" si="93"/>
        <v>1</v>
      </c>
      <c r="T830" s="39">
        <f t="shared" si="94"/>
        <v>0</v>
      </c>
      <c r="U830" s="39">
        <f t="shared" si="95"/>
        <v>0</v>
      </c>
      <c r="V830" s="40"/>
    </row>
    <row r="831" spans="2:22" x14ac:dyDescent="0.35">
      <c r="B831" s="40">
        <v>34341</v>
      </c>
      <c r="C831" s="39">
        <v>2211.6</v>
      </c>
      <c r="D831" s="219">
        <f t="shared" si="96"/>
        <v>-3.8810464347687865E-3</v>
      </c>
      <c r="F831" s="40">
        <v>34341</v>
      </c>
      <c r="G831" s="39">
        <v>2211.6</v>
      </c>
      <c r="H831" s="39">
        <f t="shared" si="91"/>
        <v>5</v>
      </c>
      <c r="I831" s="39">
        <f t="shared" si="92"/>
        <v>2211.6</v>
      </c>
      <c r="K831" s="40">
        <v>38646</v>
      </c>
      <c r="L831" s="39">
        <v>4838.3999999999996</v>
      </c>
      <c r="M831" s="39">
        <v>5</v>
      </c>
      <c r="N831" s="39">
        <v>4838.3999999999996</v>
      </c>
      <c r="O831" s="219">
        <f t="shared" si="97"/>
        <v>-2.7953839526886282E-2</v>
      </c>
      <c r="Q831" s="40">
        <v>34341</v>
      </c>
      <c r="R831" s="39">
        <v>2211.6</v>
      </c>
      <c r="S831" s="39">
        <f t="shared" si="93"/>
        <v>1</v>
      </c>
      <c r="T831" s="39">
        <f t="shared" si="94"/>
        <v>0</v>
      </c>
      <c r="U831" s="39">
        <f t="shared" si="95"/>
        <v>0</v>
      </c>
      <c r="V831" s="40"/>
    </row>
    <row r="832" spans="2:22" x14ac:dyDescent="0.35">
      <c r="B832" s="40">
        <v>34344</v>
      </c>
      <c r="C832" s="39">
        <v>2233.8000000000002</v>
      </c>
      <c r="D832" s="219">
        <f t="shared" si="96"/>
        <v>9.9879356429485172E-3</v>
      </c>
      <c r="F832" s="40">
        <v>34344</v>
      </c>
      <c r="G832" s="39">
        <v>2233.8000000000002</v>
      </c>
      <c r="H832" s="39">
        <f t="shared" si="91"/>
        <v>1</v>
      </c>
      <c r="I832" s="39">
        <f t="shared" si="92"/>
        <v>0</v>
      </c>
      <c r="K832" s="40">
        <v>38653</v>
      </c>
      <c r="L832" s="39">
        <v>4825.6400000000003</v>
      </c>
      <c r="M832" s="39">
        <v>5</v>
      </c>
      <c r="N832" s="39">
        <v>4825.6400000000003</v>
      </c>
      <c r="O832" s="219">
        <f t="shared" si="97"/>
        <v>-2.6407190812629089E-3</v>
      </c>
      <c r="Q832" s="40">
        <v>34344</v>
      </c>
      <c r="R832" s="39">
        <v>2233.8000000000002</v>
      </c>
      <c r="S832" s="39">
        <f t="shared" si="93"/>
        <v>1</v>
      </c>
      <c r="T832" s="39">
        <f t="shared" si="94"/>
        <v>0</v>
      </c>
      <c r="U832" s="39">
        <f t="shared" si="95"/>
        <v>0</v>
      </c>
      <c r="V832" s="40"/>
    </row>
    <row r="833" spans="2:22" x14ac:dyDescent="0.35">
      <c r="B833" s="40">
        <v>34345</v>
      </c>
      <c r="C833" s="39">
        <v>2228.8000000000002</v>
      </c>
      <c r="D833" s="219">
        <f t="shared" si="96"/>
        <v>-2.24084708118496E-3</v>
      </c>
      <c r="F833" s="40">
        <v>34345</v>
      </c>
      <c r="G833" s="39">
        <v>2228.8000000000002</v>
      </c>
      <c r="H833" s="39">
        <f t="shared" si="91"/>
        <v>2</v>
      </c>
      <c r="I833" s="39">
        <f t="shared" si="92"/>
        <v>0</v>
      </c>
      <c r="K833" s="40">
        <v>38660</v>
      </c>
      <c r="L833" s="39">
        <v>4995.24</v>
      </c>
      <c r="M833" s="39">
        <v>5</v>
      </c>
      <c r="N833" s="39">
        <v>4995.24</v>
      </c>
      <c r="O833" s="219">
        <f t="shared" si="97"/>
        <v>3.4542090512535324E-2</v>
      </c>
      <c r="Q833" s="40">
        <v>34345</v>
      </c>
      <c r="R833" s="39">
        <v>2228.8000000000002</v>
      </c>
      <c r="S833" s="39">
        <f t="shared" si="93"/>
        <v>1</v>
      </c>
      <c r="T833" s="39">
        <f t="shared" si="94"/>
        <v>0</v>
      </c>
      <c r="U833" s="39">
        <f t="shared" si="95"/>
        <v>0</v>
      </c>
      <c r="V833" s="40"/>
    </row>
    <row r="834" spans="2:22" x14ac:dyDescent="0.35">
      <c r="B834" s="40">
        <v>34346</v>
      </c>
      <c r="C834" s="39">
        <v>2209.1999999999998</v>
      </c>
      <c r="D834" s="219">
        <f t="shared" si="96"/>
        <v>-8.8328649985089502E-3</v>
      </c>
      <c r="F834" s="40">
        <v>34346</v>
      </c>
      <c r="G834" s="39">
        <v>2209.1999999999998</v>
      </c>
      <c r="H834" s="39">
        <f t="shared" si="91"/>
        <v>3</v>
      </c>
      <c r="I834" s="39">
        <f t="shared" si="92"/>
        <v>0</v>
      </c>
      <c r="K834" s="40">
        <v>38667</v>
      </c>
      <c r="L834" s="39">
        <v>5090.75</v>
      </c>
      <c r="M834" s="39">
        <v>5</v>
      </c>
      <c r="N834" s="39">
        <v>5090.75</v>
      </c>
      <c r="O834" s="219">
        <f t="shared" si="97"/>
        <v>1.8939708454192867E-2</v>
      </c>
      <c r="Q834" s="40">
        <v>34346</v>
      </c>
      <c r="R834" s="39">
        <v>2209.1999999999998</v>
      </c>
      <c r="S834" s="39">
        <f t="shared" si="93"/>
        <v>1</v>
      </c>
      <c r="T834" s="39">
        <f t="shared" si="94"/>
        <v>0</v>
      </c>
      <c r="U834" s="39">
        <f t="shared" si="95"/>
        <v>0</v>
      </c>
      <c r="V834" s="40"/>
    </row>
    <row r="835" spans="2:22" x14ac:dyDescent="0.35">
      <c r="B835" s="40">
        <v>34347</v>
      </c>
      <c r="C835" s="39">
        <v>2164.6999999999998</v>
      </c>
      <c r="D835" s="219">
        <f t="shared" si="96"/>
        <v>-2.0348675321222778E-2</v>
      </c>
      <c r="F835" s="40">
        <v>34347</v>
      </c>
      <c r="G835" s="39">
        <v>2164.6999999999998</v>
      </c>
      <c r="H835" s="39">
        <f t="shared" si="91"/>
        <v>4</v>
      </c>
      <c r="I835" s="39">
        <f t="shared" si="92"/>
        <v>0</v>
      </c>
      <c r="K835" s="40">
        <v>38674</v>
      </c>
      <c r="L835" s="39">
        <v>5123.5</v>
      </c>
      <c r="M835" s="39">
        <v>5</v>
      </c>
      <c r="N835" s="39">
        <v>5123.5</v>
      </c>
      <c r="O835" s="219">
        <f t="shared" si="97"/>
        <v>6.412631809148318E-3</v>
      </c>
      <c r="Q835" s="40">
        <v>34347</v>
      </c>
      <c r="R835" s="39">
        <v>2164.6999999999998</v>
      </c>
      <c r="S835" s="39">
        <f t="shared" si="93"/>
        <v>1</v>
      </c>
      <c r="T835" s="39">
        <f t="shared" si="94"/>
        <v>0</v>
      </c>
      <c r="U835" s="39">
        <f t="shared" si="95"/>
        <v>0</v>
      </c>
      <c r="V835" s="40"/>
    </row>
    <row r="836" spans="2:22" x14ac:dyDescent="0.35">
      <c r="B836" s="40">
        <v>34348</v>
      </c>
      <c r="C836" s="39">
        <v>2141.8000000000002</v>
      </c>
      <c r="D836" s="219">
        <f t="shared" si="96"/>
        <v>-1.0635186739034967E-2</v>
      </c>
      <c r="F836" s="40">
        <v>34348</v>
      </c>
      <c r="G836" s="39">
        <v>2141.8000000000002</v>
      </c>
      <c r="H836" s="39">
        <f t="shared" si="91"/>
        <v>5</v>
      </c>
      <c r="I836" s="39">
        <f t="shared" si="92"/>
        <v>2141.8000000000002</v>
      </c>
      <c r="K836" s="40">
        <v>38681</v>
      </c>
      <c r="L836" s="39">
        <v>5194.2700000000004</v>
      </c>
      <c r="M836" s="39">
        <v>5</v>
      </c>
      <c r="N836" s="39">
        <v>5194.2700000000004</v>
      </c>
      <c r="O836" s="219">
        <f t="shared" si="97"/>
        <v>1.3718295689222837E-2</v>
      </c>
      <c r="Q836" s="40">
        <v>34348</v>
      </c>
      <c r="R836" s="39">
        <v>2141.8000000000002</v>
      </c>
      <c r="S836" s="39">
        <f t="shared" si="93"/>
        <v>1</v>
      </c>
      <c r="T836" s="39">
        <f t="shared" si="94"/>
        <v>0</v>
      </c>
      <c r="U836" s="39">
        <f t="shared" si="95"/>
        <v>0</v>
      </c>
      <c r="V836" s="40"/>
    </row>
    <row r="837" spans="2:22" x14ac:dyDescent="0.35">
      <c r="B837" s="40">
        <v>34351</v>
      </c>
      <c r="C837" s="39">
        <v>2137.4</v>
      </c>
      <c r="D837" s="219">
        <f t="shared" si="96"/>
        <v>-2.0564598759783537E-3</v>
      </c>
      <c r="F837" s="40">
        <v>34351</v>
      </c>
      <c r="G837" s="39">
        <v>2137.4</v>
      </c>
      <c r="H837" s="39">
        <f t="shared" si="91"/>
        <v>1</v>
      </c>
      <c r="I837" s="39">
        <f t="shared" si="92"/>
        <v>0</v>
      </c>
      <c r="K837" s="40">
        <v>38688</v>
      </c>
      <c r="L837" s="39">
        <v>5307.99</v>
      </c>
      <c r="M837" s="39">
        <v>5</v>
      </c>
      <c r="N837" s="39">
        <v>5307.99</v>
      </c>
      <c r="O837" s="219">
        <f t="shared" si="97"/>
        <v>2.1657137572571483E-2</v>
      </c>
      <c r="Q837" s="40">
        <v>34351</v>
      </c>
      <c r="R837" s="39">
        <v>2137.4</v>
      </c>
      <c r="S837" s="39">
        <f t="shared" si="93"/>
        <v>1</v>
      </c>
      <c r="T837" s="39">
        <f t="shared" si="94"/>
        <v>0</v>
      </c>
      <c r="U837" s="39">
        <f t="shared" si="95"/>
        <v>0</v>
      </c>
      <c r="V837" s="40"/>
    </row>
    <row r="838" spans="2:22" x14ac:dyDescent="0.35">
      <c r="B838" s="40">
        <v>34352</v>
      </c>
      <c r="C838" s="39">
        <v>2113.8000000000002</v>
      </c>
      <c r="D838" s="219">
        <f t="shared" si="96"/>
        <v>-1.1102861515549321E-2</v>
      </c>
      <c r="F838" s="40">
        <v>34352</v>
      </c>
      <c r="G838" s="39">
        <v>2113.8000000000002</v>
      </c>
      <c r="H838" s="39">
        <f t="shared" si="91"/>
        <v>2</v>
      </c>
      <c r="I838" s="39">
        <f t="shared" si="92"/>
        <v>0</v>
      </c>
      <c r="K838" s="40">
        <v>38695</v>
      </c>
      <c r="L838" s="39">
        <v>5282.13</v>
      </c>
      <c r="M838" s="39">
        <v>5</v>
      </c>
      <c r="N838" s="39">
        <v>5282.13</v>
      </c>
      <c r="O838" s="219">
        <f t="shared" si="97"/>
        <v>-4.8838070579210434E-3</v>
      </c>
      <c r="Q838" s="40">
        <v>34352</v>
      </c>
      <c r="R838" s="39">
        <v>2113.8000000000002</v>
      </c>
      <c r="S838" s="39">
        <f t="shared" si="93"/>
        <v>1</v>
      </c>
      <c r="T838" s="39">
        <f t="shared" si="94"/>
        <v>0</v>
      </c>
      <c r="U838" s="39">
        <f t="shared" si="95"/>
        <v>0</v>
      </c>
      <c r="V838" s="40"/>
    </row>
    <row r="839" spans="2:22" x14ac:dyDescent="0.35">
      <c r="B839" s="40">
        <v>34353</v>
      </c>
      <c r="C839" s="39">
        <v>2134.4</v>
      </c>
      <c r="D839" s="219">
        <f t="shared" si="96"/>
        <v>9.6983011460575145E-3</v>
      </c>
      <c r="F839" s="40">
        <v>34353</v>
      </c>
      <c r="G839" s="39">
        <v>2134.4</v>
      </c>
      <c r="H839" s="39">
        <f t="shared" si="91"/>
        <v>3</v>
      </c>
      <c r="I839" s="39">
        <f t="shared" si="92"/>
        <v>0</v>
      </c>
      <c r="K839" s="40">
        <v>38702</v>
      </c>
      <c r="L839" s="39">
        <v>5353.66</v>
      </c>
      <c r="M839" s="39">
        <v>5</v>
      </c>
      <c r="N839" s="39">
        <v>5353.66</v>
      </c>
      <c r="O839" s="219">
        <f t="shared" si="97"/>
        <v>1.345101369789155E-2</v>
      </c>
      <c r="Q839" s="40">
        <v>34353</v>
      </c>
      <c r="R839" s="39">
        <v>2134.4</v>
      </c>
      <c r="S839" s="39">
        <f t="shared" si="93"/>
        <v>1</v>
      </c>
      <c r="T839" s="39">
        <f t="shared" si="94"/>
        <v>0</v>
      </c>
      <c r="U839" s="39">
        <f t="shared" si="95"/>
        <v>0</v>
      </c>
      <c r="V839" s="40"/>
    </row>
    <row r="840" spans="2:22" x14ac:dyDescent="0.35">
      <c r="B840" s="40">
        <v>34354</v>
      </c>
      <c r="C840" s="39">
        <v>2116.1999999999998</v>
      </c>
      <c r="D840" s="219">
        <f t="shared" si="96"/>
        <v>-8.5635492512434151E-3</v>
      </c>
      <c r="F840" s="40">
        <v>34354</v>
      </c>
      <c r="G840" s="39">
        <v>2116.1999999999998</v>
      </c>
      <c r="H840" s="39">
        <f t="shared" si="91"/>
        <v>4</v>
      </c>
      <c r="I840" s="39">
        <f t="shared" si="92"/>
        <v>0</v>
      </c>
      <c r="K840" s="40">
        <v>38709</v>
      </c>
      <c r="L840" s="39">
        <v>5419.05</v>
      </c>
      <c r="M840" s="39">
        <v>5</v>
      </c>
      <c r="N840" s="39">
        <v>5419.05</v>
      </c>
      <c r="O840" s="219">
        <f t="shared" si="97"/>
        <v>1.2140084176621827E-2</v>
      </c>
      <c r="Q840" s="40">
        <v>34354</v>
      </c>
      <c r="R840" s="39">
        <v>2116.1999999999998</v>
      </c>
      <c r="S840" s="39">
        <f t="shared" si="93"/>
        <v>1</v>
      </c>
      <c r="T840" s="39">
        <f t="shared" si="94"/>
        <v>0</v>
      </c>
      <c r="U840" s="39">
        <f t="shared" si="95"/>
        <v>0</v>
      </c>
      <c r="V840" s="40"/>
    </row>
    <row r="841" spans="2:22" x14ac:dyDescent="0.35">
      <c r="B841" s="40">
        <v>34355</v>
      </c>
      <c r="C841" s="39">
        <v>2075.6</v>
      </c>
      <c r="D841" s="219">
        <f t="shared" si="96"/>
        <v>-1.9371758976476743E-2</v>
      </c>
      <c r="F841" s="40">
        <v>34355</v>
      </c>
      <c r="G841" s="39">
        <v>2075.6</v>
      </c>
      <c r="H841" s="39">
        <f t="shared" si="91"/>
        <v>5</v>
      </c>
      <c r="I841" s="39">
        <f t="shared" si="92"/>
        <v>2075.6</v>
      </c>
      <c r="K841" s="40">
        <v>38716</v>
      </c>
      <c r="L841" s="39">
        <v>5408.26</v>
      </c>
      <c r="M841" s="39">
        <v>5</v>
      </c>
      <c r="N841" s="39">
        <v>5408.26</v>
      </c>
      <c r="O841" s="219">
        <f t="shared" si="97"/>
        <v>-1.9931088279404657E-3</v>
      </c>
      <c r="Q841" s="40">
        <v>34355</v>
      </c>
      <c r="R841" s="39">
        <v>2075.6</v>
      </c>
      <c r="S841" s="39">
        <f t="shared" si="93"/>
        <v>1</v>
      </c>
      <c r="T841" s="39">
        <f t="shared" si="94"/>
        <v>0</v>
      </c>
      <c r="U841" s="39">
        <f t="shared" si="95"/>
        <v>0</v>
      </c>
      <c r="V841" s="40"/>
    </row>
    <row r="842" spans="2:22" x14ac:dyDescent="0.35">
      <c r="B842" s="40">
        <v>34358</v>
      </c>
      <c r="C842" s="39">
        <v>2080</v>
      </c>
      <c r="D842" s="219">
        <f t="shared" si="96"/>
        <v>2.1176252017790281E-3</v>
      </c>
      <c r="F842" s="40">
        <v>34358</v>
      </c>
      <c r="G842" s="39">
        <v>2080</v>
      </c>
      <c r="H842" s="39">
        <f t="shared" si="91"/>
        <v>1</v>
      </c>
      <c r="I842" s="39">
        <f t="shared" si="92"/>
        <v>0</v>
      </c>
      <c r="K842" s="40">
        <v>38723</v>
      </c>
      <c r="L842" s="39">
        <v>5536.32</v>
      </c>
      <c r="M842" s="39">
        <v>5</v>
      </c>
      <c r="N842" s="39">
        <v>5536.32</v>
      </c>
      <c r="O842" s="219">
        <f t="shared" si="97"/>
        <v>2.3402605604938682E-2</v>
      </c>
      <c r="Q842" s="40">
        <v>34358</v>
      </c>
      <c r="R842" s="39">
        <v>2080</v>
      </c>
      <c r="S842" s="39">
        <f t="shared" si="93"/>
        <v>1</v>
      </c>
      <c r="T842" s="39">
        <f t="shared" si="94"/>
        <v>0</v>
      </c>
      <c r="U842" s="39">
        <f t="shared" si="95"/>
        <v>0</v>
      </c>
      <c r="V842" s="40"/>
    </row>
    <row r="843" spans="2:22" x14ac:dyDescent="0.35">
      <c r="B843" s="40">
        <v>34359</v>
      </c>
      <c r="C843" s="39">
        <v>2126.8000000000002</v>
      </c>
      <c r="D843" s="219">
        <f t="shared" si="96"/>
        <v>2.2250608934819942E-2</v>
      </c>
      <c r="F843" s="40">
        <v>34359</v>
      </c>
      <c r="G843" s="39">
        <v>2126.8000000000002</v>
      </c>
      <c r="H843" s="39">
        <f t="shared" si="91"/>
        <v>2</v>
      </c>
      <c r="I843" s="39">
        <f t="shared" si="92"/>
        <v>0</v>
      </c>
      <c r="K843" s="40">
        <v>38730</v>
      </c>
      <c r="L843" s="39">
        <v>5483.09</v>
      </c>
      <c r="M843" s="39">
        <v>5</v>
      </c>
      <c r="N843" s="39">
        <v>5483.09</v>
      </c>
      <c r="O843" s="219">
        <f t="shared" si="97"/>
        <v>-9.6612094541289727E-3</v>
      </c>
      <c r="Q843" s="40">
        <v>34359</v>
      </c>
      <c r="R843" s="39">
        <v>2126.8000000000002</v>
      </c>
      <c r="S843" s="39">
        <f t="shared" si="93"/>
        <v>1</v>
      </c>
      <c r="T843" s="39">
        <f t="shared" si="94"/>
        <v>0</v>
      </c>
      <c r="U843" s="39">
        <f t="shared" si="95"/>
        <v>0</v>
      </c>
      <c r="V843" s="40"/>
    </row>
    <row r="844" spans="2:22" x14ac:dyDescent="0.35">
      <c r="B844" s="40">
        <v>34360</v>
      </c>
      <c r="C844" s="39">
        <v>2119.1999999999998</v>
      </c>
      <c r="D844" s="219">
        <f t="shared" si="96"/>
        <v>-3.5798436723236339E-3</v>
      </c>
      <c r="F844" s="40">
        <v>34360</v>
      </c>
      <c r="G844" s="39">
        <v>2119.1999999999998</v>
      </c>
      <c r="H844" s="39">
        <f t="shared" si="91"/>
        <v>3</v>
      </c>
      <c r="I844" s="39">
        <f t="shared" si="92"/>
        <v>0</v>
      </c>
      <c r="K844" s="40">
        <v>38737</v>
      </c>
      <c r="L844" s="39">
        <v>5349.02</v>
      </c>
      <c r="M844" s="39">
        <v>5</v>
      </c>
      <c r="N844" s="39">
        <v>5349.02</v>
      </c>
      <c r="O844" s="219">
        <f t="shared" si="97"/>
        <v>-2.4755444100129847E-2</v>
      </c>
      <c r="Q844" s="40">
        <v>34360</v>
      </c>
      <c r="R844" s="39">
        <v>2119.1999999999998</v>
      </c>
      <c r="S844" s="39">
        <f t="shared" si="93"/>
        <v>1</v>
      </c>
      <c r="T844" s="39">
        <f t="shared" si="94"/>
        <v>0</v>
      </c>
      <c r="U844" s="39">
        <f t="shared" si="95"/>
        <v>0</v>
      </c>
      <c r="V844" s="40"/>
    </row>
    <row r="845" spans="2:22" x14ac:dyDescent="0.35">
      <c r="B845" s="40">
        <v>34361</v>
      </c>
      <c r="C845" s="39">
        <v>2125.1</v>
      </c>
      <c r="D845" s="219">
        <f t="shared" si="96"/>
        <v>2.7802011169550493E-3</v>
      </c>
      <c r="F845" s="40">
        <v>34361</v>
      </c>
      <c r="G845" s="39">
        <v>2125.1</v>
      </c>
      <c r="H845" s="39">
        <f t="shared" si="91"/>
        <v>4</v>
      </c>
      <c r="I845" s="39">
        <f t="shared" si="92"/>
        <v>0</v>
      </c>
      <c r="K845" s="40">
        <v>38744</v>
      </c>
      <c r="L845" s="39">
        <v>5647.42</v>
      </c>
      <c r="M845" s="39">
        <v>5</v>
      </c>
      <c r="N845" s="39">
        <v>5647.42</v>
      </c>
      <c r="O845" s="219">
        <f t="shared" si="97"/>
        <v>5.4285437140944921E-2</v>
      </c>
      <c r="Q845" s="40">
        <v>34361</v>
      </c>
      <c r="R845" s="39">
        <v>2125.1</v>
      </c>
      <c r="S845" s="39">
        <f t="shared" si="93"/>
        <v>1</v>
      </c>
      <c r="T845" s="39">
        <f t="shared" si="94"/>
        <v>0</v>
      </c>
      <c r="U845" s="39">
        <f t="shared" si="95"/>
        <v>0</v>
      </c>
      <c r="V845" s="40"/>
    </row>
    <row r="846" spans="2:22" x14ac:dyDescent="0.35">
      <c r="B846" s="40">
        <v>34362</v>
      </c>
      <c r="C846" s="39">
        <v>2133.5</v>
      </c>
      <c r="D846" s="219">
        <f t="shared" si="96"/>
        <v>3.9449635532398091E-3</v>
      </c>
      <c r="F846" s="40">
        <v>34362</v>
      </c>
      <c r="G846" s="39">
        <v>2133.5</v>
      </c>
      <c r="H846" s="39">
        <f t="shared" si="91"/>
        <v>5</v>
      </c>
      <c r="I846" s="39">
        <f t="shared" si="92"/>
        <v>2133.5</v>
      </c>
      <c r="K846" s="40">
        <v>38751</v>
      </c>
      <c r="L846" s="39">
        <v>5657.12</v>
      </c>
      <c r="M846" s="39">
        <v>5</v>
      </c>
      <c r="N846" s="39">
        <v>5657.12</v>
      </c>
      <c r="O846" s="219">
        <f t="shared" si="97"/>
        <v>1.7161250932122103E-3</v>
      </c>
      <c r="Q846" s="40">
        <v>34362</v>
      </c>
      <c r="R846" s="39">
        <v>2133.5</v>
      </c>
      <c r="S846" s="39">
        <f t="shared" si="93"/>
        <v>1</v>
      </c>
      <c r="T846" s="39">
        <f t="shared" si="94"/>
        <v>0</v>
      </c>
      <c r="U846" s="39">
        <f t="shared" si="95"/>
        <v>0</v>
      </c>
      <c r="V846" s="40"/>
    </row>
    <row r="847" spans="2:22" x14ac:dyDescent="0.35">
      <c r="B847" s="40">
        <v>34365</v>
      </c>
      <c r="C847" s="39">
        <v>2177.5</v>
      </c>
      <c r="D847" s="219">
        <f t="shared" si="96"/>
        <v>2.04136060986033E-2</v>
      </c>
      <c r="F847" s="40">
        <v>34365</v>
      </c>
      <c r="G847" s="39">
        <v>2177.5</v>
      </c>
      <c r="H847" s="39">
        <f t="shared" si="91"/>
        <v>1</v>
      </c>
      <c r="I847" s="39">
        <f t="shared" si="92"/>
        <v>0</v>
      </c>
      <c r="K847" s="40">
        <v>38758</v>
      </c>
      <c r="L847" s="39">
        <v>5701.47</v>
      </c>
      <c r="M847" s="39">
        <v>5</v>
      </c>
      <c r="N847" s="39">
        <v>5701.47</v>
      </c>
      <c r="O847" s="219">
        <f t="shared" si="97"/>
        <v>7.8091075352966959E-3</v>
      </c>
      <c r="Q847" s="40">
        <v>34365</v>
      </c>
      <c r="R847" s="39">
        <v>2177.5</v>
      </c>
      <c r="S847" s="39">
        <f t="shared" si="93"/>
        <v>1</v>
      </c>
      <c r="T847" s="39">
        <f t="shared" si="94"/>
        <v>2177.5</v>
      </c>
      <c r="U847" s="39">
        <f t="shared" si="95"/>
        <v>2177.5</v>
      </c>
      <c r="V847" s="40"/>
    </row>
    <row r="848" spans="2:22" x14ac:dyDescent="0.35">
      <c r="B848" s="40">
        <v>34366</v>
      </c>
      <c r="C848" s="39">
        <v>2179.6999999999998</v>
      </c>
      <c r="D848" s="219">
        <f t="shared" si="96"/>
        <v>1.009822907809037E-3</v>
      </c>
      <c r="F848" s="40">
        <v>34366</v>
      </c>
      <c r="G848" s="39">
        <v>2179.6999999999998</v>
      </c>
      <c r="H848" s="39">
        <f t="shared" si="91"/>
        <v>2</v>
      </c>
      <c r="I848" s="39">
        <f t="shared" si="92"/>
        <v>0</v>
      </c>
      <c r="K848" s="40">
        <v>38765</v>
      </c>
      <c r="L848" s="39">
        <v>5795.48</v>
      </c>
      <c r="M848" s="39">
        <v>5</v>
      </c>
      <c r="N848" s="39">
        <v>5795.48</v>
      </c>
      <c r="O848" s="219">
        <f t="shared" si="97"/>
        <v>1.6354267059166722E-2</v>
      </c>
      <c r="Q848" s="40">
        <v>34366</v>
      </c>
      <c r="R848" s="39">
        <v>2179.6999999999998</v>
      </c>
      <c r="S848" s="39">
        <f t="shared" si="93"/>
        <v>2</v>
      </c>
      <c r="T848" s="39">
        <f t="shared" si="94"/>
        <v>0</v>
      </c>
      <c r="U848" s="39">
        <f t="shared" si="95"/>
        <v>0</v>
      </c>
      <c r="V848" s="40"/>
    </row>
    <row r="849" spans="2:22" x14ac:dyDescent="0.35">
      <c r="B849" s="40">
        <v>34367</v>
      </c>
      <c r="C849" s="39">
        <v>2184</v>
      </c>
      <c r="D849" s="219">
        <f t="shared" si="96"/>
        <v>1.9708052303288302E-3</v>
      </c>
      <c r="F849" s="40">
        <v>34367</v>
      </c>
      <c r="G849" s="39">
        <v>2184</v>
      </c>
      <c r="H849" s="39">
        <f t="shared" si="91"/>
        <v>3</v>
      </c>
      <c r="I849" s="39">
        <f t="shared" si="92"/>
        <v>0</v>
      </c>
      <c r="K849" s="40">
        <v>38772</v>
      </c>
      <c r="L849" s="39">
        <v>5870.79</v>
      </c>
      <c r="M849" s="39">
        <v>5</v>
      </c>
      <c r="N849" s="39">
        <v>5870.79</v>
      </c>
      <c r="O849" s="219">
        <f t="shared" si="97"/>
        <v>1.2910904020703461E-2</v>
      </c>
      <c r="Q849" s="40">
        <v>34367</v>
      </c>
      <c r="R849" s="39">
        <v>2184</v>
      </c>
      <c r="S849" s="39">
        <f t="shared" si="93"/>
        <v>2</v>
      </c>
      <c r="T849" s="39">
        <f t="shared" si="94"/>
        <v>0</v>
      </c>
      <c r="U849" s="39">
        <f t="shared" si="95"/>
        <v>0</v>
      </c>
      <c r="V849" s="40"/>
    </row>
    <row r="850" spans="2:22" x14ac:dyDescent="0.35">
      <c r="B850" s="40">
        <v>34368</v>
      </c>
      <c r="C850" s="39">
        <v>2151.6999999999998</v>
      </c>
      <c r="D850" s="219">
        <f t="shared" si="96"/>
        <v>-1.4899830505390321E-2</v>
      </c>
      <c r="F850" s="40">
        <v>34368</v>
      </c>
      <c r="G850" s="39">
        <v>2151.6999999999998</v>
      </c>
      <c r="H850" s="39">
        <f t="shared" si="91"/>
        <v>4</v>
      </c>
      <c r="I850" s="39">
        <f t="shared" si="92"/>
        <v>0</v>
      </c>
      <c r="K850" s="40">
        <v>38779</v>
      </c>
      <c r="L850" s="39">
        <v>5721.46</v>
      </c>
      <c r="M850" s="39">
        <v>5</v>
      </c>
      <c r="N850" s="39">
        <v>5721.46</v>
      </c>
      <c r="O850" s="219">
        <f t="shared" si="97"/>
        <v>-2.5765189830534871E-2</v>
      </c>
      <c r="Q850" s="40">
        <v>34368</v>
      </c>
      <c r="R850" s="39">
        <v>2151.6999999999998</v>
      </c>
      <c r="S850" s="39">
        <f t="shared" si="93"/>
        <v>2</v>
      </c>
      <c r="T850" s="39">
        <f t="shared" si="94"/>
        <v>0</v>
      </c>
      <c r="U850" s="39">
        <f t="shared" si="95"/>
        <v>0</v>
      </c>
      <c r="V850" s="40"/>
    </row>
    <row r="851" spans="2:22" x14ac:dyDescent="0.35">
      <c r="B851" s="40">
        <v>34369</v>
      </c>
      <c r="C851" s="39">
        <v>2138.3000000000002</v>
      </c>
      <c r="D851" s="219">
        <f t="shared" si="96"/>
        <v>-6.2471065638157689E-3</v>
      </c>
      <c r="F851" s="40">
        <v>34369</v>
      </c>
      <c r="G851" s="39">
        <v>2138.3000000000002</v>
      </c>
      <c r="H851" s="39">
        <f t="shared" si="91"/>
        <v>5</v>
      </c>
      <c r="I851" s="39">
        <f t="shared" si="92"/>
        <v>2138.3000000000002</v>
      </c>
      <c r="K851" s="40">
        <v>38786</v>
      </c>
      <c r="L851" s="39">
        <v>5804.92</v>
      </c>
      <c r="M851" s="39">
        <v>5</v>
      </c>
      <c r="N851" s="39">
        <v>5804.92</v>
      </c>
      <c r="O851" s="219">
        <f t="shared" si="97"/>
        <v>1.4481816254258659E-2</v>
      </c>
      <c r="Q851" s="40">
        <v>34369</v>
      </c>
      <c r="R851" s="39">
        <v>2138.3000000000002</v>
      </c>
      <c r="S851" s="39">
        <f t="shared" si="93"/>
        <v>2</v>
      </c>
      <c r="T851" s="39">
        <f t="shared" si="94"/>
        <v>0</v>
      </c>
      <c r="U851" s="39">
        <f t="shared" si="95"/>
        <v>0</v>
      </c>
      <c r="V851" s="40"/>
    </row>
    <row r="852" spans="2:22" x14ac:dyDescent="0.35">
      <c r="B852" s="40">
        <v>34372</v>
      </c>
      <c r="C852" s="39">
        <v>2079.4</v>
      </c>
      <c r="D852" s="219">
        <f t="shared" si="96"/>
        <v>-2.7931730251719692E-2</v>
      </c>
      <c r="F852" s="40">
        <v>34372</v>
      </c>
      <c r="G852" s="39">
        <v>2079.4</v>
      </c>
      <c r="H852" s="39">
        <f t="shared" si="91"/>
        <v>1</v>
      </c>
      <c r="I852" s="39">
        <f t="shared" si="92"/>
        <v>0</v>
      </c>
      <c r="K852" s="40">
        <v>38793</v>
      </c>
      <c r="L852" s="39">
        <v>5882.38</v>
      </c>
      <c r="M852" s="39">
        <v>5</v>
      </c>
      <c r="N852" s="39">
        <v>5882.38</v>
      </c>
      <c r="O852" s="219">
        <f t="shared" si="97"/>
        <v>1.3255608089485976E-2</v>
      </c>
      <c r="Q852" s="40">
        <v>34372</v>
      </c>
      <c r="R852" s="39">
        <v>2079.4</v>
      </c>
      <c r="S852" s="39">
        <f t="shared" si="93"/>
        <v>2</v>
      </c>
      <c r="T852" s="39">
        <f t="shared" si="94"/>
        <v>0</v>
      </c>
      <c r="U852" s="39">
        <f t="shared" si="95"/>
        <v>0</v>
      </c>
      <c r="V852" s="40"/>
    </row>
    <row r="853" spans="2:22" x14ac:dyDescent="0.35">
      <c r="B853" s="40">
        <v>34373</v>
      </c>
      <c r="C853" s="39">
        <v>2107.1999999999998</v>
      </c>
      <c r="D853" s="219">
        <f t="shared" si="96"/>
        <v>1.328066144514665E-2</v>
      </c>
      <c r="F853" s="40">
        <v>34373</v>
      </c>
      <c r="G853" s="39">
        <v>2107.1999999999998</v>
      </c>
      <c r="H853" s="39">
        <f t="shared" si="91"/>
        <v>2</v>
      </c>
      <c r="I853" s="39">
        <f t="shared" si="92"/>
        <v>0</v>
      </c>
      <c r="K853" s="40">
        <v>38800</v>
      </c>
      <c r="L853" s="39">
        <v>5973.14</v>
      </c>
      <c r="M853" s="39">
        <v>5</v>
      </c>
      <c r="N853" s="39">
        <v>5973.14</v>
      </c>
      <c r="O853" s="219">
        <f t="shared" si="97"/>
        <v>1.5311310362158218E-2</v>
      </c>
      <c r="Q853" s="40">
        <v>34373</v>
      </c>
      <c r="R853" s="39">
        <v>2107.1999999999998</v>
      </c>
      <c r="S853" s="39">
        <f t="shared" si="93"/>
        <v>2</v>
      </c>
      <c r="T853" s="39">
        <f t="shared" si="94"/>
        <v>0</v>
      </c>
      <c r="U853" s="39">
        <f t="shared" si="95"/>
        <v>0</v>
      </c>
      <c r="V853" s="40"/>
    </row>
    <row r="854" spans="2:22" x14ac:dyDescent="0.35">
      <c r="B854" s="40">
        <v>34374</v>
      </c>
      <c r="C854" s="39">
        <v>2085.3000000000002</v>
      </c>
      <c r="D854" s="219">
        <f t="shared" si="96"/>
        <v>-1.0447322214466504E-2</v>
      </c>
      <c r="F854" s="40">
        <v>34374</v>
      </c>
      <c r="G854" s="39">
        <v>2085.3000000000002</v>
      </c>
      <c r="H854" s="39">
        <f t="shared" si="91"/>
        <v>3</v>
      </c>
      <c r="I854" s="39">
        <f t="shared" si="92"/>
        <v>0</v>
      </c>
      <c r="K854" s="40">
        <v>38807</v>
      </c>
      <c r="L854" s="39">
        <v>5970.08</v>
      </c>
      <c r="M854" s="39">
        <v>5</v>
      </c>
      <c r="N854" s="39">
        <v>5970.08</v>
      </c>
      <c r="O854" s="219">
        <f t="shared" si="97"/>
        <v>-5.1242463371821835E-4</v>
      </c>
      <c r="Q854" s="40">
        <v>34374</v>
      </c>
      <c r="R854" s="39">
        <v>2085.3000000000002</v>
      </c>
      <c r="S854" s="39">
        <f t="shared" si="93"/>
        <v>2</v>
      </c>
      <c r="T854" s="39">
        <f t="shared" si="94"/>
        <v>0</v>
      </c>
      <c r="U854" s="39">
        <f t="shared" si="95"/>
        <v>0</v>
      </c>
      <c r="V854" s="40"/>
    </row>
    <row r="855" spans="2:22" x14ac:dyDescent="0.35">
      <c r="B855" s="40">
        <v>34375</v>
      </c>
      <c r="C855" s="39">
        <v>2119</v>
      </c>
      <c r="D855" s="219">
        <f t="shared" si="96"/>
        <v>1.6031549493749148E-2</v>
      </c>
      <c r="F855" s="40">
        <v>34375</v>
      </c>
      <c r="G855" s="39">
        <v>2119</v>
      </c>
      <c r="H855" s="39">
        <f t="shared" si="91"/>
        <v>4</v>
      </c>
      <c r="I855" s="39">
        <f t="shared" si="92"/>
        <v>0</v>
      </c>
      <c r="K855" s="40">
        <v>38814</v>
      </c>
      <c r="L855" s="39">
        <v>5952.92</v>
      </c>
      <c r="M855" s="39">
        <v>5</v>
      </c>
      <c r="N855" s="39">
        <v>5952.92</v>
      </c>
      <c r="O855" s="219">
        <f t="shared" si="97"/>
        <v>-2.8784721711664833E-3</v>
      </c>
      <c r="Q855" s="40">
        <v>34375</v>
      </c>
      <c r="R855" s="39">
        <v>2119</v>
      </c>
      <c r="S855" s="39">
        <f t="shared" si="93"/>
        <v>2</v>
      </c>
      <c r="T855" s="39">
        <f t="shared" si="94"/>
        <v>0</v>
      </c>
      <c r="U855" s="39">
        <f t="shared" si="95"/>
        <v>0</v>
      </c>
      <c r="V855" s="40"/>
    </row>
    <row r="856" spans="2:22" x14ac:dyDescent="0.35">
      <c r="B856" s="40">
        <v>34376</v>
      </c>
      <c r="C856" s="39">
        <v>2090.6</v>
      </c>
      <c r="D856" s="219">
        <f t="shared" si="96"/>
        <v>-1.3493173169692375E-2</v>
      </c>
      <c r="F856" s="40">
        <v>34376</v>
      </c>
      <c r="G856" s="39">
        <v>2090.6</v>
      </c>
      <c r="H856" s="39">
        <f t="shared" si="91"/>
        <v>5</v>
      </c>
      <c r="I856" s="39">
        <f t="shared" si="92"/>
        <v>2090.6</v>
      </c>
      <c r="K856" s="40">
        <v>38820</v>
      </c>
      <c r="L856" s="39">
        <v>5918.57</v>
      </c>
      <c r="M856" s="39">
        <v>4</v>
      </c>
      <c r="N856" s="39">
        <v>5918.57</v>
      </c>
      <c r="O856" s="219">
        <f t="shared" si="97"/>
        <v>-5.7869898155881285E-3</v>
      </c>
      <c r="Q856" s="40">
        <v>34376</v>
      </c>
      <c r="R856" s="39">
        <v>2090.6</v>
      </c>
      <c r="S856" s="39">
        <f t="shared" si="93"/>
        <v>2</v>
      </c>
      <c r="T856" s="39">
        <f t="shared" si="94"/>
        <v>0</v>
      </c>
      <c r="U856" s="39">
        <f t="shared" si="95"/>
        <v>0</v>
      </c>
      <c r="V856" s="40"/>
    </row>
    <row r="857" spans="2:22" x14ac:dyDescent="0.35">
      <c r="B857" s="40">
        <v>34379</v>
      </c>
      <c r="C857" s="39">
        <v>2116</v>
      </c>
      <c r="D857" s="219">
        <f t="shared" si="96"/>
        <v>1.2076407879583364E-2</v>
      </c>
      <c r="F857" s="40">
        <v>34379</v>
      </c>
      <c r="G857" s="39">
        <v>2116</v>
      </c>
      <c r="H857" s="39">
        <f t="shared" si="91"/>
        <v>1</v>
      </c>
      <c r="I857" s="39">
        <f t="shared" si="92"/>
        <v>0</v>
      </c>
      <c r="K857" s="40">
        <v>38828</v>
      </c>
      <c r="L857" s="39">
        <v>6094.75</v>
      </c>
      <c r="M857" s="39">
        <v>5</v>
      </c>
      <c r="N857" s="39">
        <v>6094.75</v>
      </c>
      <c r="O857" s="219">
        <f t="shared" si="97"/>
        <v>2.9332879201789119E-2</v>
      </c>
      <c r="Q857" s="40">
        <v>34379</v>
      </c>
      <c r="R857" s="39">
        <v>2116</v>
      </c>
      <c r="S857" s="39">
        <f t="shared" si="93"/>
        <v>2</v>
      </c>
      <c r="T857" s="39">
        <f t="shared" si="94"/>
        <v>0</v>
      </c>
      <c r="U857" s="39">
        <f t="shared" si="95"/>
        <v>0</v>
      </c>
      <c r="V857" s="40"/>
    </row>
    <row r="858" spans="2:22" x14ac:dyDescent="0.35">
      <c r="B858" s="40">
        <v>34380</v>
      </c>
      <c r="C858" s="39">
        <v>2115.6</v>
      </c>
      <c r="D858" s="219">
        <f t="shared" si="96"/>
        <v>-1.8905378636523753E-4</v>
      </c>
      <c r="F858" s="40">
        <v>34380</v>
      </c>
      <c r="G858" s="39">
        <v>2115.6</v>
      </c>
      <c r="H858" s="39">
        <f t="shared" si="91"/>
        <v>2</v>
      </c>
      <c r="I858" s="39">
        <f t="shared" si="92"/>
        <v>0</v>
      </c>
      <c r="K858" s="40">
        <v>38835</v>
      </c>
      <c r="L858" s="39">
        <v>6009.89</v>
      </c>
      <c r="M858" s="39">
        <v>5</v>
      </c>
      <c r="N858" s="39">
        <v>6009.89</v>
      </c>
      <c r="O858" s="219">
        <f t="shared" si="97"/>
        <v>-1.4021299313771458E-2</v>
      </c>
      <c r="Q858" s="40">
        <v>34380</v>
      </c>
      <c r="R858" s="39">
        <v>2115.6</v>
      </c>
      <c r="S858" s="39">
        <f t="shared" si="93"/>
        <v>2</v>
      </c>
      <c r="T858" s="39">
        <f t="shared" si="94"/>
        <v>0</v>
      </c>
      <c r="U858" s="39">
        <f t="shared" si="95"/>
        <v>0</v>
      </c>
      <c r="V858" s="40"/>
    </row>
    <row r="859" spans="2:22" x14ac:dyDescent="0.35">
      <c r="B859" s="40">
        <v>34381</v>
      </c>
      <c r="C859" s="39">
        <v>2136.6</v>
      </c>
      <c r="D859" s="219">
        <f t="shared" si="96"/>
        <v>9.8773203199622409E-3</v>
      </c>
      <c r="F859" s="40">
        <v>34381</v>
      </c>
      <c r="G859" s="39">
        <v>2136.6</v>
      </c>
      <c r="H859" s="39">
        <f t="shared" si="91"/>
        <v>3</v>
      </c>
      <c r="I859" s="39">
        <f t="shared" si="92"/>
        <v>0</v>
      </c>
      <c r="K859" s="40">
        <v>38842</v>
      </c>
      <c r="L859" s="39">
        <v>6113.29</v>
      </c>
      <c r="M859" s="39">
        <v>5</v>
      </c>
      <c r="N859" s="39">
        <v>6113.29</v>
      </c>
      <c r="O859" s="219">
        <f t="shared" si="97"/>
        <v>1.7058644252572547E-2</v>
      </c>
      <c r="Q859" s="40">
        <v>34381</v>
      </c>
      <c r="R859" s="39">
        <v>2136.6</v>
      </c>
      <c r="S859" s="39">
        <f t="shared" si="93"/>
        <v>2</v>
      </c>
      <c r="T859" s="39">
        <f t="shared" si="94"/>
        <v>0</v>
      </c>
      <c r="U859" s="39">
        <f t="shared" si="95"/>
        <v>0</v>
      </c>
      <c r="V859" s="40"/>
    </row>
    <row r="860" spans="2:22" x14ac:dyDescent="0.35">
      <c r="B860" s="40">
        <v>34382</v>
      </c>
      <c r="C860" s="39">
        <v>2128.6999999999998</v>
      </c>
      <c r="D860" s="219">
        <f t="shared" si="96"/>
        <v>-3.7043157731548476E-3</v>
      </c>
      <c r="F860" s="40">
        <v>34382</v>
      </c>
      <c r="G860" s="39">
        <v>2128.6999999999998</v>
      </c>
      <c r="H860" s="39">
        <f t="shared" si="91"/>
        <v>4</v>
      </c>
      <c r="I860" s="39">
        <f t="shared" si="92"/>
        <v>0</v>
      </c>
      <c r="K860" s="40">
        <v>38849</v>
      </c>
      <c r="L860" s="39">
        <v>5916.28</v>
      </c>
      <c r="M860" s="39">
        <v>5</v>
      </c>
      <c r="N860" s="39">
        <v>5916.28</v>
      </c>
      <c r="O860" s="219">
        <f t="shared" si="97"/>
        <v>-3.2757216798474292E-2</v>
      </c>
      <c r="Q860" s="40">
        <v>34382</v>
      </c>
      <c r="R860" s="39">
        <v>2128.6999999999998</v>
      </c>
      <c r="S860" s="39">
        <f t="shared" si="93"/>
        <v>2</v>
      </c>
      <c r="T860" s="39">
        <f t="shared" si="94"/>
        <v>0</v>
      </c>
      <c r="U860" s="39">
        <f t="shared" si="95"/>
        <v>0</v>
      </c>
      <c r="V860" s="40"/>
    </row>
    <row r="861" spans="2:22" x14ac:dyDescent="0.35">
      <c r="B861" s="40">
        <v>34383</v>
      </c>
      <c r="C861" s="39">
        <v>2152</v>
      </c>
      <c r="D861" s="219">
        <f t="shared" si="96"/>
        <v>1.0886177543042844E-2</v>
      </c>
      <c r="F861" s="40">
        <v>34383</v>
      </c>
      <c r="G861" s="39">
        <v>2152</v>
      </c>
      <c r="H861" s="39">
        <f t="shared" si="91"/>
        <v>5</v>
      </c>
      <c r="I861" s="39">
        <f t="shared" si="92"/>
        <v>2152</v>
      </c>
      <c r="K861" s="40">
        <v>38856</v>
      </c>
      <c r="L861" s="39">
        <v>5672.28</v>
      </c>
      <c r="M861" s="39">
        <v>5</v>
      </c>
      <c r="N861" s="39">
        <v>5672.28</v>
      </c>
      <c r="O861" s="219">
        <f t="shared" si="97"/>
        <v>-4.2116719690452754E-2</v>
      </c>
      <c r="Q861" s="40">
        <v>34383</v>
      </c>
      <c r="R861" s="39">
        <v>2152</v>
      </c>
      <c r="S861" s="39">
        <f t="shared" si="93"/>
        <v>2</v>
      </c>
      <c r="T861" s="39">
        <f t="shared" si="94"/>
        <v>0</v>
      </c>
      <c r="U861" s="39">
        <f t="shared" si="95"/>
        <v>0</v>
      </c>
      <c r="V861" s="40"/>
    </row>
    <row r="862" spans="2:22" x14ac:dyDescent="0.35">
      <c r="B862" s="40">
        <v>34386</v>
      </c>
      <c r="C862" s="39">
        <v>2119.5</v>
      </c>
      <c r="D862" s="219">
        <f t="shared" si="96"/>
        <v>-1.5217430488983255E-2</v>
      </c>
      <c r="F862" s="40">
        <v>34386</v>
      </c>
      <c r="G862" s="39">
        <v>2119.5</v>
      </c>
      <c r="H862" s="39">
        <f t="shared" si="91"/>
        <v>1</v>
      </c>
      <c r="I862" s="39">
        <f t="shared" si="92"/>
        <v>0</v>
      </c>
      <c r="K862" s="40">
        <v>38863</v>
      </c>
      <c r="L862" s="39">
        <v>5788.36</v>
      </c>
      <c r="M862" s="39">
        <v>5</v>
      </c>
      <c r="N862" s="39">
        <v>5788.36</v>
      </c>
      <c r="O862" s="219">
        <f t="shared" si="97"/>
        <v>2.0257851170710914E-2</v>
      </c>
      <c r="Q862" s="40">
        <v>34386</v>
      </c>
      <c r="R862" s="39">
        <v>2119.5</v>
      </c>
      <c r="S862" s="39">
        <f t="shared" si="93"/>
        <v>2</v>
      </c>
      <c r="T862" s="39">
        <f t="shared" si="94"/>
        <v>0</v>
      </c>
      <c r="U862" s="39">
        <f t="shared" si="95"/>
        <v>0</v>
      </c>
      <c r="V862" s="40"/>
    </row>
    <row r="863" spans="2:22" x14ac:dyDescent="0.35">
      <c r="B863" s="40">
        <v>34387</v>
      </c>
      <c r="C863" s="39">
        <v>2107.6</v>
      </c>
      <c r="D863" s="219">
        <f t="shared" si="96"/>
        <v>-5.6303524575611686E-3</v>
      </c>
      <c r="F863" s="40">
        <v>34387</v>
      </c>
      <c r="G863" s="39">
        <v>2107.6</v>
      </c>
      <c r="H863" s="39">
        <f t="shared" si="91"/>
        <v>2</v>
      </c>
      <c r="I863" s="39">
        <f t="shared" si="92"/>
        <v>0</v>
      </c>
      <c r="K863" s="40">
        <v>38870</v>
      </c>
      <c r="L863" s="39">
        <v>5687.04</v>
      </c>
      <c r="M863" s="39">
        <v>5</v>
      </c>
      <c r="N863" s="39">
        <v>5687.04</v>
      </c>
      <c r="O863" s="219">
        <f t="shared" si="97"/>
        <v>-1.7659102600057441E-2</v>
      </c>
      <c r="Q863" s="40">
        <v>34387</v>
      </c>
      <c r="R863" s="39">
        <v>2107.6</v>
      </c>
      <c r="S863" s="39">
        <f t="shared" si="93"/>
        <v>2</v>
      </c>
      <c r="T863" s="39">
        <f t="shared" si="94"/>
        <v>0</v>
      </c>
      <c r="U863" s="39">
        <f t="shared" si="95"/>
        <v>0</v>
      </c>
      <c r="V863" s="40"/>
    </row>
    <row r="864" spans="2:22" x14ac:dyDescent="0.35">
      <c r="B864" s="40">
        <v>34388</v>
      </c>
      <c r="C864" s="39">
        <v>2127.6999999999998</v>
      </c>
      <c r="D864" s="219">
        <f t="shared" si="96"/>
        <v>9.4917247445414094E-3</v>
      </c>
      <c r="F864" s="40">
        <v>34388</v>
      </c>
      <c r="G864" s="39">
        <v>2127.6999999999998</v>
      </c>
      <c r="H864" s="39">
        <f t="shared" si="91"/>
        <v>3</v>
      </c>
      <c r="I864" s="39">
        <f t="shared" si="92"/>
        <v>0</v>
      </c>
      <c r="K864" s="40">
        <v>38877</v>
      </c>
      <c r="L864" s="39">
        <v>5464.08</v>
      </c>
      <c r="M864" s="39">
        <v>5</v>
      </c>
      <c r="N864" s="39">
        <v>5464.08</v>
      </c>
      <c r="O864" s="219">
        <f t="shared" si="97"/>
        <v>-3.9994138435557547E-2</v>
      </c>
      <c r="Q864" s="40">
        <v>34388</v>
      </c>
      <c r="R864" s="39">
        <v>2127.6999999999998</v>
      </c>
      <c r="S864" s="39">
        <f t="shared" si="93"/>
        <v>2</v>
      </c>
      <c r="T864" s="39">
        <f t="shared" si="94"/>
        <v>0</v>
      </c>
      <c r="U864" s="39">
        <f t="shared" si="95"/>
        <v>0</v>
      </c>
      <c r="V864" s="40"/>
    </row>
    <row r="865" spans="2:22" x14ac:dyDescent="0.35">
      <c r="B865" s="40">
        <v>34389</v>
      </c>
      <c r="C865" s="39">
        <v>2090.3000000000002</v>
      </c>
      <c r="D865" s="219">
        <f t="shared" si="96"/>
        <v>-1.7733987751935062E-2</v>
      </c>
      <c r="F865" s="40">
        <v>34389</v>
      </c>
      <c r="G865" s="39">
        <v>2090.3000000000002</v>
      </c>
      <c r="H865" s="39">
        <f t="shared" si="91"/>
        <v>4</v>
      </c>
      <c r="I865" s="39">
        <f t="shared" si="92"/>
        <v>0</v>
      </c>
      <c r="K865" s="40">
        <v>38884</v>
      </c>
      <c r="L865" s="39">
        <v>5376.01</v>
      </c>
      <c r="M865" s="39">
        <v>5</v>
      </c>
      <c r="N865" s="39">
        <v>5376.01</v>
      </c>
      <c r="O865" s="219">
        <f t="shared" si="97"/>
        <v>-1.6249300111573651E-2</v>
      </c>
      <c r="Q865" s="40">
        <v>34389</v>
      </c>
      <c r="R865" s="39">
        <v>2090.3000000000002</v>
      </c>
      <c r="S865" s="39">
        <f t="shared" si="93"/>
        <v>2</v>
      </c>
      <c r="T865" s="39">
        <f t="shared" si="94"/>
        <v>0</v>
      </c>
      <c r="U865" s="39">
        <f t="shared" si="95"/>
        <v>0</v>
      </c>
      <c r="V865" s="40"/>
    </row>
    <row r="866" spans="2:22" x14ac:dyDescent="0.35">
      <c r="B866" s="40">
        <v>34390</v>
      </c>
      <c r="C866" s="39">
        <v>2075</v>
      </c>
      <c r="D866" s="219">
        <f t="shared" si="96"/>
        <v>-7.3464426629383604E-3</v>
      </c>
      <c r="F866" s="40">
        <v>34390</v>
      </c>
      <c r="G866" s="39">
        <v>2075</v>
      </c>
      <c r="H866" s="39">
        <f t="shared" si="91"/>
        <v>5</v>
      </c>
      <c r="I866" s="39">
        <f t="shared" si="92"/>
        <v>2075</v>
      </c>
      <c r="K866" s="40">
        <v>38891</v>
      </c>
      <c r="L866" s="39">
        <v>5529.74</v>
      </c>
      <c r="M866" s="39">
        <v>5</v>
      </c>
      <c r="N866" s="39">
        <v>5529.74</v>
      </c>
      <c r="O866" s="219">
        <f t="shared" si="97"/>
        <v>2.8194334815913335E-2</v>
      </c>
      <c r="Q866" s="40">
        <v>34390</v>
      </c>
      <c r="R866" s="39">
        <v>2075</v>
      </c>
      <c r="S866" s="39">
        <f t="shared" si="93"/>
        <v>2</v>
      </c>
      <c r="T866" s="39">
        <f t="shared" si="94"/>
        <v>0</v>
      </c>
      <c r="U866" s="39">
        <f t="shared" si="95"/>
        <v>0</v>
      </c>
      <c r="V866" s="40"/>
    </row>
    <row r="867" spans="2:22" x14ac:dyDescent="0.35">
      <c r="B867" s="40">
        <v>34393</v>
      </c>
      <c r="C867" s="39">
        <v>2091.6</v>
      </c>
      <c r="D867" s="219">
        <f t="shared" si="96"/>
        <v>7.9681696491768813E-3</v>
      </c>
      <c r="F867" s="40">
        <v>34393</v>
      </c>
      <c r="G867" s="39">
        <v>2091.6</v>
      </c>
      <c r="H867" s="39">
        <f t="shared" si="91"/>
        <v>1</v>
      </c>
      <c r="I867" s="39">
        <f t="shared" si="92"/>
        <v>0</v>
      </c>
      <c r="K867" s="40">
        <v>38898</v>
      </c>
      <c r="L867" s="39">
        <v>5683.31</v>
      </c>
      <c r="M867" s="39">
        <v>5</v>
      </c>
      <c r="N867" s="39">
        <v>5683.31</v>
      </c>
      <c r="O867" s="219">
        <f t="shared" si="97"/>
        <v>2.7393011327061383E-2</v>
      </c>
      <c r="Q867" s="40">
        <v>34393</v>
      </c>
      <c r="R867" s="39">
        <v>2091.6</v>
      </c>
      <c r="S867" s="39">
        <f t="shared" si="93"/>
        <v>2</v>
      </c>
      <c r="T867" s="39">
        <f t="shared" si="94"/>
        <v>2091.6</v>
      </c>
      <c r="U867" s="39">
        <f t="shared" si="95"/>
        <v>2091.6</v>
      </c>
      <c r="V867" s="40"/>
    </row>
    <row r="868" spans="2:22" x14ac:dyDescent="0.35">
      <c r="B868" s="40">
        <v>34394</v>
      </c>
      <c r="C868" s="39">
        <v>2067.1</v>
      </c>
      <c r="D868" s="219">
        <f t="shared" si="96"/>
        <v>-1.1782664508785292E-2</v>
      </c>
      <c r="F868" s="40">
        <v>34394</v>
      </c>
      <c r="G868" s="39">
        <v>2067.1</v>
      </c>
      <c r="H868" s="39">
        <f t="shared" si="91"/>
        <v>2</v>
      </c>
      <c r="I868" s="39">
        <f t="shared" si="92"/>
        <v>0</v>
      </c>
      <c r="K868" s="40">
        <v>38905</v>
      </c>
      <c r="L868" s="39">
        <v>5681.85</v>
      </c>
      <c r="M868" s="39">
        <v>5</v>
      </c>
      <c r="N868" s="39">
        <v>5681.85</v>
      </c>
      <c r="O868" s="219">
        <f t="shared" si="97"/>
        <v>-2.5692555283543322E-4</v>
      </c>
      <c r="Q868" s="40">
        <v>34394</v>
      </c>
      <c r="R868" s="39">
        <v>2067.1</v>
      </c>
      <c r="S868" s="39">
        <f t="shared" si="93"/>
        <v>3</v>
      </c>
      <c r="T868" s="39">
        <f t="shared" si="94"/>
        <v>0</v>
      </c>
      <c r="U868" s="39">
        <f t="shared" si="95"/>
        <v>0</v>
      </c>
      <c r="V868" s="40"/>
    </row>
    <row r="869" spans="2:22" x14ac:dyDescent="0.35">
      <c r="B869" s="40">
        <v>34395</v>
      </c>
      <c r="C869" s="39">
        <v>2020.3</v>
      </c>
      <c r="D869" s="219">
        <f t="shared" si="96"/>
        <v>-2.2900643585693478E-2</v>
      </c>
      <c r="F869" s="40">
        <v>34395</v>
      </c>
      <c r="G869" s="39">
        <v>2020.3</v>
      </c>
      <c r="H869" s="39">
        <f t="shared" si="91"/>
        <v>3</v>
      </c>
      <c r="I869" s="39">
        <f t="shared" si="92"/>
        <v>0</v>
      </c>
      <c r="K869" s="40">
        <v>38912</v>
      </c>
      <c r="L869" s="39">
        <v>5422.22</v>
      </c>
      <c r="M869" s="39">
        <v>5</v>
      </c>
      <c r="N869" s="39">
        <v>5422.22</v>
      </c>
      <c r="O869" s="219">
        <f t="shared" si="97"/>
        <v>-4.677155824157285E-2</v>
      </c>
      <c r="Q869" s="40">
        <v>34395</v>
      </c>
      <c r="R869" s="39">
        <v>2020.3</v>
      </c>
      <c r="S869" s="39">
        <f t="shared" si="93"/>
        <v>3</v>
      </c>
      <c r="T869" s="39">
        <f t="shared" si="94"/>
        <v>0</v>
      </c>
      <c r="U869" s="39">
        <f t="shared" si="95"/>
        <v>0</v>
      </c>
      <c r="V869" s="40"/>
    </row>
    <row r="870" spans="2:22" x14ac:dyDescent="0.35">
      <c r="B870" s="40">
        <v>34396</v>
      </c>
      <c r="C870" s="39">
        <v>2038</v>
      </c>
      <c r="D870" s="219">
        <f t="shared" si="96"/>
        <v>8.7229195631732277E-3</v>
      </c>
      <c r="F870" s="40">
        <v>34396</v>
      </c>
      <c r="G870" s="39">
        <v>2038</v>
      </c>
      <c r="H870" s="39">
        <f t="shared" si="91"/>
        <v>4</v>
      </c>
      <c r="I870" s="39">
        <f t="shared" si="92"/>
        <v>0</v>
      </c>
      <c r="K870" s="40">
        <v>38919</v>
      </c>
      <c r="L870" s="39">
        <v>5451.01</v>
      </c>
      <c r="M870" s="39">
        <v>5</v>
      </c>
      <c r="N870" s="39">
        <v>5451.01</v>
      </c>
      <c r="O870" s="219">
        <f t="shared" si="97"/>
        <v>5.2955869195036248E-3</v>
      </c>
      <c r="Q870" s="40">
        <v>34396</v>
      </c>
      <c r="R870" s="39">
        <v>2038</v>
      </c>
      <c r="S870" s="39">
        <f t="shared" si="93"/>
        <v>3</v>
      </c>
      <c r="T870" s="39">
        <f t="shared" si="94"/>
        <v>0</v>
      </c>
      <c r="U870" s="39">
        <f t="shared" si="95"/>
        <v>0</v>
      </c>
      <c r="V870" s="40"/>
    </row>
    <row r="871" spans="2:22" x14ac:dyDescent="0.35">
      <c r="B871" s="40">
        <v>34397</v>
      </c>
      <c r="C871" s="39">
        <v>2060.1</v>
      </c>
      <c r="D871" s="219">
        <f t="shared" si="96"/>
        <v>1.0785590512070328E-2</v>
      </c>
      <c r="F871" s="40">
        <v>34397</v>
      </c>
      <c r="G871" s="39">
        <v>2060.1</v>
      </c>
      <c r="H871" s="39">
        <f t="shared" si="91"/>
        <v>5</v>
      </c>
      <c r="I871" s="39">
        <f t="shared" si="92"/>
        <v>2060.1</v>
      </c>
      <c r="K871" s="40">
        <v>38926</v>
      </c>
      <c r="L871" s="39">
        <v>5705.42</v>
      </c>
      <c r="M871" s="39">
        <v>5</v>
      </c>
      <c r="N871" s="39">
        <v>5705.42</v>
      </c>
      <c r="O871" s="219">
        <f t="shared" si="97"/>
        <v>4.5615687629912478E-2</v>
      </c>
      <c r="Q871" s="40">
        <v>34397</v>
      </c>
      <c r="R871" s="39">
        <v>2060.1</v>
      </c>
      <c r="S871" s="39">
        <f t="shared" si="93"/>
        <v>3</v>
      </c>
      <c r="T871" s="39">
        <f t="shared" si="94"/>
        <v>0</v>
      </c>
      <c r="U871" s="39">
        <f t="shared" si="95"/>
        <v>0</v>
      </c>
      <c r="V871" s="40"/>
    </row>
    <row r="872" spans="2:22" x14ac:dyDescent="0.35">
      <c r="B872" s="40">
        <v>34400</v>
      </c>
      <c r="C872" s="39">
        <v>2109</v>
      </c>
      <c r="D872" s="219">
        <f t="shared" si="96"/>
        <v>2.3459376184034285E-2</v>
      </c>
      <c r="F872" s="40">
        <v>34400</v>
      </c>
      <c r="G872" s="39">
        <v>2109</v>
      </c>
      <c r="H872" s="39">
        <f t="shared" si="91"/>
        <v>1</v>
      </c>
      <c r="I872" s="39">
        <f t="shared" si="92"/>
        <v>0</v>
      </c>
      <c r="K872" s="40">
        <v>38933</v>
      </c>
      <c r="L872" s="39">
        <v>5723.03</v>
      </c>
      <c r="M872" s="39">
        <v>5</v>
      </c>
      <c r="N872" s="39">
        <v>5723.03</v>
      </c>
      <c r="O872" s="219">
        <f t="shared" si="97"/>
        <v>3.0817851830181979E-3</v>
      </c>
      <c r="Q872" s="40">
        <v>34400</v>
      </c>
      <c r="R872" s="39">
        <v>2109</v>
      </c>
      <c r="S872" s="39">
        <f t="shared" si="93"/>
        <v>3</v>
      </c>
      <c r="T872" s="39">
        <f t="shared" si="94"/>
        <v>0</v>
      </c>
      <c r="U872" s="39">
        <f t="shared" si="95"/>
        <v>0</v>
      </c>
      <c r="V872" s="40"/>
    </row>
    <row r="873" spans="2:22" x14ac:dyDescent="0.35">
      <c r="B873" s="40">
        <v>34401</v>
      </c>
      <c r="C873" s="39">
        <v>2124</v>
      </c>
      <c r="D873" s="219">
        <f t="shared" si="96"/>
        <v>7.0872018830548311E-3</v>
      </c>
      <c r="F873" s="40">
        <v>34401</v>
      </c>
      <c r="G873" s="39">
        <v>2124</v>
      </c>
      <c r="H873" s="39">
        <f t="shared" si="91"/>
        <v>2</v>
      </c>
      <c r="I873" s="39">
        <f t="shared" si="92"/>
        <v>0</v>
      </c>
      <c r="K873" s="40">
        <v>38940</v>
      </c>
      <c r="L873" s="39">
        <v>5628.37</v>
      </c>
      <c r="M873" s="39">
        <v>5</v>
      </c>
      <c r="N873" s="39">
        <v>5628.37</v>
      </c>
      <c r="O873" s="219">
        <f t="shared" si="97"/>
        <v>-1.6678505612985329E-2</v>
      </c>
      <c r="Q873" s="40">
        <v>34401</v>
      </c>
      <c r="R873" s="39">
        <v>2124</v>
      </c>
      <c r="S873" s="39">
        <f t="shared" si="93"/>
        <v>3</v>
      </c>
      <c r="T873" s="39">
        <f t="shared" si="94"/>
        <v>0</v>
      </c>
      <c r="U873" s="39">
        <f t="shared" si="95"/>
        <v>0</v>
      </c>
      <c r="V873" s="40"/>
    </row>
    <row r="874" spans="2:22" x14ac:dyDescent="0.35">
      <c r="B874" s="40">
        <v>34402</v>
      </c>
      <c r="C874" s="39">
        <v>2115.1</v>
      </c>
      <c r="D874" s="219">
        <f t="shared" si="96"/>
        <v>-4.1990106753006622E-3</v>
      </c>
      <c r="F874" s="40">
        <v>34402</v>
      </c>
      <c r="G874" s="39">
        <v>2115.1</v>
      </c>
      <c r="H874" s="39">
        <f t="shared" si="91"/>
        <v>3</v>
      </c>
      <c r="I874" s="39">
        <f t="shared" si="92"/>
        <v>0</v>
      </c>
      <c r="K874" s="40">
        <v>38947</v>
      </c>
      <c r="L874" s="39">
        <v>5817.02</v>
      </c>
      <c r="M874" s="39">
        <v>5</v>
      </c>
      <c r="N874" s="39">
        <v>5817.02</v>
      </c>
      <c r="O874" s="219">
        <f t="shared" si="97"/>
        <v>3.2968223314916445E-2</v>
      </c>
      <c r="Q874" s="40">
        <v>34402</v>
      </c>
      <c r="R874" s="39">
        <v>2115.1</v>
      </c>
      <c r="S874" s="39">
        <f t="shared" si="93"/>
        <v>3</v>
      </c>
      <c r="T874" s="39">
        <f t="shared" si="94"/>
        <v>0</v>
      </c>
      <c r="U874" s="39">
        <f t="shared" si="95"/>
        <v>0</v>
      </c>
      <c r="V874" s="40"/>
    </row>
    <row r="875" spans="2:22" x14ac:dyDescent="0.35">
      <c r="B875" s="40">
        <v>34403</v>
      </c>
      <c r="C875" s="39">
        <v>2141.1</v>
      </c>
      <c r="D875" s="219">
        <f t="shared" si="96"/>
        <v>1.2217622958602457E-2</v>
      </c>
      <c r="F875" s="40">
        <v>34403</v>
      </c>
      <c r="G875" s="39">
        <v>2141.1</v>
      </c>
      <c r="H875" s="39">
        <f t="shared" si="91"/>
        <v>4</v>
      </c>
      <c r="I875" s="39">
        <f t="shared" si="92"/>
        <v>0</v>
      </c>
      <c r="K875" s="40">
        <v>38954</v>
      </c>
      <c r="L875" s="39">
        <v>5811.47</v>
      </c>
      <c r="M875" s="39">
        <v>5</v>
      </c>
      <c r="N875" s="39">
        <v>5811.47</v>
      </c>
      <c r="O875" s="219">
        <f t="shared" si="97"/>
        <v>-9.5455221123576066E-4</v>
      </c>
      <c r="Q875" s="40">
        <v>34403</v>
      </c>
      <c r="R875" s="39">
        <v>2141.1</v>
      </c>
      <c r="S875" s="39">
        <f t="shared" si="93"/>
        <v>3</v>
      </c>
      <c r="T875" s="39">
        <f t="shared" si="94"/>
        <v>0</v>
      </c>
      <c r="U875" s="39">
        <f t="shared" si="95"/>
        <v>0</v>
      </c>
      <c r="V875" s="40"/>
    </row>
    <row r="876" spans="2:22" x14ac:dyDescent="0.35">
      <c r="B876" s="40">
        <v>34404</v>
      </c>
      <c r="C876" s="39">
        <v>2103.5</v>
      </c>
      <c r="D876" s="219">
        <f t="shared" si="96"/>
        <v>-1.7717091614555761E-2</v>
      </c>
      <c r="F876" s="40">
        <v>34404</v>
      </c>
      <c r="G876" s="39">
        <v>2103.5</v>
      </c>
      <c r="H876" s="39">
        <f t="shared" si="91"/>
        <v>5</v>
      </c>
      <c r="I876" s="39">
        <f t="shared" si="92"/>
        <v>2103.5</v>
      </c>
      <c r="K876" s="40">
        <v>38961</v>
      </c>
      <c r="L876" s="39">
        <v>5876.54</v>
      </c>
      <c r="M876" s="39">
        <v>5</v>
      </c>
      <c r="N876" s="39">
        <v>5876.54</v>
      </c>
      <c r="O876" s="219">
        <f t="shared" si="97"/>
        <v>1.1134602430482355E-2</v>
      </c>
      <c r="Q876" s="40">
        <v>34404</v>
      </c>
      <c r="R876" s="39">
        <v>2103.5</v>
      </c>
      <c r="S876" s="39">
        <f t="shared" si="93"/>
        <v>3</v>
      </c>
      <c r="T876" s="39">
        <f t="shared" si="94"/>
        <v>0</v>
      </c>
      <c r="U876" s="39">
        <f t="shared" si="95"/>
        <v>0</v>
      </c>
      <c r="V876" s="40"/>
    </row>
    <row r="877" spans="2:22" x14ac:dyDescent="0.35">
      <c r="B877" s="40">
        <v>34407</v>
      </c>
      <c r="C877" s="39">
        <v>2145.1999999999998</v>
      </c>
      <c r="D877" s="219">
        <f t="shared" si="96"/>
        <v>1.9630164078194574E-2</v>
      </c>
      <c r="F877" s="40">
        <v>34407</v>
      </c>
      <c r="G877" s="39">
        <v>2145.1999999999998</v>
      </c>
      <c r="H877" s="39">
        <f t="shared" si="91"/>
        <v>1</v>
      </c>
      <c r="I877" s="39">
        <f t="shared" si="92"/>
        <v>0</v>
      </c>
      <c r="K877" s="40">
        <v>38968</v>
      </c>
      <c r="L877" s="39">
        <v>5795.26</v>
      </c>
      <c r="M877" s="39">
        <v>5</v>
      </c>
      <c r="N877" s="39">
        <v>5795.26</v>
      </c>
      <c r="O877" s="219">
        <f t="shared" si="97"/>
        <v>-1.3927811291069606E-2</v>
      </c>
      <c r="Q877" s="40">
        <v>34407</v>
      </c>
      <c r="R877" s="39">
        <v>2145.1999999999998</v>
      </c>
      <c r="S877" s="39">
        <f t="shared" si="93"/>
        <v>3</v>
      </c>
      <c r="T877" s="39">
        <f t="shared" si="94"/>
        <v>0</v>
      </c>
      <c r="U877" s="39">
        <f t="shared" si="95"/>
        <v>0</v>
      </c>
      <c r="V877" s="40"/>
    </row>
    <row r="878" spans="2:22" x14ac:dyDescent="0.35">
      <c r="B878" s="40">
        <v>34408</v>
      </c>
      <c r="C878" s="39">
        <v>2165.6</v>
      </c>
      <c r="D878" s="219">
        <f t="shared" si="96"/>
        <v>9.4646711913212514E-3</v>
      </c>
      <c r="F878" s="40">
        <v>34408</v>
      </c>
      <c r="G878" s="39">
        <v>2165.6</v>
      </c>
      <c r="H878" s="39">
        <f t="shared" si="91"/>
        <v>2</v>
      </c>
      <c r="I878" s="39">
        <f t="shared" si="92"/>
        <v>0</v>
      </c>
      <c r="K878" s="40">
        <v>38975</v>
      </c>
      <c r="L878" s="39">
        <v>5937.87</v>
      </c>
      <c r="M878" s="39">
        <v>5</v>
      </c>
      <c r="N878" s="39">
        <v>5937.87</v>
      </c>
      <c r="O878" s="219">
        <f t="shared" si="97"/>
        <v>2.4310141159410058E-2</v>
      </c>
      <c r="Q878" s="40">
        <v>34408</v>
      </c>
      <c r="R878" s="39">
        <v>2165.6</v>
      </c>
      <c r="S878" s="39">
        <f t="shared" si="93"/>
        <v>3</v>
      </c>
      <c r="T878" s="39">
        <f t="shared" si="94"/>
        <v>0</v>
      </c>
      <c r="U878" s="39">
        <f t="shared" si="95"/>
        <v>0</v>
      </c>
      <c r="V878" s="40"/>
    </row>
    <row r="879" spans="2:22" x14ac:dyDescent="0.35">
      <c r="B879" s="40">
        <v>34409</v>
      </c>
      <c r="C879" s="39">
        <v>2172.6999999999998</v>
      </c>
      <c r="D879" s="219">
        <f t="shared" si="96"/>
        <v>3.273174441103927E-3</v>
      </c>
      <c r="F879" s="40">
        <v>34409</v>
      </c>
      <c r="G879" s="39">
        <v>2172.6999999999998</v>
      </c>
      <c r="H879" s="39">
        <f t="shared" si="91"/>
        <v>3</v>
      </c>
      <c r="I879" s="39">
        <f t="shared" si="92"/>
        <v>0</v>
      </c>
      <c r="K879" s="40">
        <v>38982</v>
      </c>
      <c r="L879" s="39">
        <v>5883.32</v>
      </c>
      <c r="M879" s="39">
        <v>5</v>
      </c>
      <c r="N879" s="39">
        <v>5883.32</v>
      </c>
      <c r="O879" s="219">
        <f t="shared" si="97"/>
        <v>-9.2292547890089911E-3</v>
      </c>
      <c r="Q879" s="40">
        <v>34409</v>
      </c>
      <c r="R879" s="39">
        <v>2172.6999999999998</v>
      </c>
      <c r="S879" s="39">
        <f t="shared" si="93"/>
        <v>3</v>
      </c>
      <c r="T879" s="39">
        <f t="shared" si="94"/>
        <v>0</v>
      </c>
      <c r="U879" s="39">
        <f t="shared" si="95"/>
        <v>0</v>
      </c>
      <c r="V879" s="40"/>
    </row>
    <row r="880" spans="2:22" x14ac:dyDescent="0.35">
      <c r="B880" s="40">
        <v>34410</v>
      </c>
      <c r="C880" s="39">
        <v>2175.1</v>
      </c>
      <c r="D880" s="219">
        <f t="shared" si="96"/>
        <v>1.1040067361729208E-3</v>
      </c>
      <c r="F880" s="40">
        <v>34410</v>
      </c>
      <c r="G880" s="39">
        <v>2175.1</v>
      </c>
      <c r="H880" s="39">
        <f t="shared" si="91"/>
        <v>4</v>
      </c>
      <c r="I880" s="39">
        <f t="shared" si="92"/>
        <v>0</v>
      </c>
      <c r="K880" s="40">
        <v>38989</v>
      </c>
      <c r="L880" s="39">
        <v>6004.33</v>
      </c>
      <c r="M880" s="39">
        <v>5</v>
      </c>
      <c r="N880" s="39">
        <v>6004.33</v>
      </c>
      <c r="O880" s="219">
        <f t="shared" si="97"/>
        <v>2.0359647198870789E-2</v>
      </c>
      <c r="Q880" s="40">
        <v>34410</v>
      </c>
      <c r="R880" s="39">
        <v>2175.1</v>
      </c>
      <c r="S880" s="39">
        <f t="shared" si="93"/>
        <v>3</v>
      </c>
      <c r="T880" s="39">
        <f t="shared" si="94"/>
        <v>0</v>
      </c>
      <c r="U880" s="39">
        <f t="shared" si="95"/>
        <v>0</v>
      </c>
      <c r="V880" s="40"/>
    </row>
    <row r="881" spans="2:22" x14ac:dyDescent="0.35">
      <c r="B881" s="40">
        <v>34411</v>
      </c>
      <c r="C881" s="39">
        <v>2155.6</v>
      </c>
      <c r="D881" s="219">
        <f t="shared" si="96"/>
        <v>-9.0055334180266892E-3</v>
      </c>
      <c r="F881" s="40">
        <v>34411</v>
      </c>
      <c r="G881" s="39">
        <v>2155.6</v>
      </c>
      <c r="H881" s="39">
        <f t="shared" si="91"/>
        <v>5</v>
      </c>
      <c r="I881" s="39">
        <f t="shared" si="92"/>
        <v>2155.6</v>
      </c>
      <c r="K881" s="40">
        <v>38996</v>
      </c>
      <c r="L881" s="39">
        <v>6085.82</v>
      </c>
      <c r="M881" s="39">
        <v>5</v>
      </c>
      <c r="N881" s="39">
        <v>6085.82</v>
      </c>
      <c r="O881" s="219">
        <f t="shared" si="97"/>
        <v>1.3480599342610941E-2</v>
      </c>
      <c r="Q881" s="40">
        <v>34411</v>
      </c>
      <c r="R881" s="39">
        <v>2155.6</v>
      </c>
      <c r="S881" s="39">
        <f t="shared" si="93"/>
        <v>3</v>
      </c>
      <c r="T881" s="39">
        <f t="shared" si="94"/>
        <v>0</v>
      </c>
      <c r="U881" s="39">
        <f t="shared" si="95"/>
        <v>0</v>
      </c>
      <c r="V881" s="40"/>
    </row>
    <row r="882" spans="2:22" x14ac:dyDescent="0.35">
      <c r="B882" s="40">
        <v>34414</v>
      </c>
      <c r="C882" s="39">
        <v>2131.3000000000002</v>
      </c>
      <c r="D882" s="219">
        <f t="shared" si="96"/>
        <v>-1.1336984892148547E-2</v>
      </c>
      <c r="F882" s="40">
        <v>34414</v>
      </c>
      <c r="G882" s="39">
        <v>2131.3000000000002</v>
      </c>
      <c r="H882" s="39">
        <f t="shared" si="91"/>
        <v>1</v>
      </c>
      <c r="I882" s="39">
        <f t="shared" si="92"/>
        <v>0</v>
      </c>
      <c r="K882" s="40">
        <v>39003</v>
      </c>
      <c r="L882" s="39">
        <v>6173.68</v>
      </c>
      <c r="M882" s="39">
        <v>5</v>
      </c>
      <c r="N882" s="39">
        <v>6173.68</v>
      </c>
      <c r="O882" s="219">
        <f t="shared" si="97"/>
        <v>1.4333619519663545E-2</v>
      </c>
      <c r="Q882" s="40">
        <v>34414</v>
      </c>
      <c r="R882" s="39">
        <v>2131.3000000000002</v>
      </c>
      <c r="S882" s="39">
        <f t="shared" si="93"/>
        <v>3</v>
      </c>
      <c r="T882" s="39">
        <f t="shared" si="94"/>
        <v>0</v>
      </c>
      <c r="U882" s="39">
        <f t="shared" si="95"/>
        <v>0</v>
      </c>
      <c r="V882" s="40"/>
    </row>
    <row r="883" spans="2:22" x14ac:dyDescent="0.35">
      <c r="B883" s="40">
        <v>34415</v>
      </c>
      <c r="C883" s="39">
        <v>2141.3000000000002</v>
      </c>
      <c r="D883" s="219">
        <f t="shared" si="96"/>
        <v>4.6809990449781366E-3</v>
      </c>
      <c r="F883" s="40">
        <v>34415</v>
      </c>
      <c r="G883" s="39">
        <v>2141.3000000000002</v>
      </c>
      <c r="H883" s="39">
        <f t="shared" si="91"/>
        <v>2</v>
      </c>
      <c r="I883" s="39">
        <f t="shared" si="92"/>
        <v>0</v>
      </c>
      <c r="K883" s="40">
        <v>39010</v>
      </c>
      <c r="L883" s="39">
        <v>6202.82</v>
      </c>
      <c r="M883" s="39">
        <v>5</v>
      </c>
      <c r="N883" s="39">
        <v>6202.82</v>
      </c>
      <c r="O883" s="219">
        <f t="shared" si="97"/>
        <v>4.7089328721304944E-3</v>
      </c>
      <c r="Q883" s="40">
        <v>34415</v>
      </c>
      <c r="R883" s="39">
        <v>2141.3000000000002</v>
      </c>
      <c r="S883" s="39">
        <f t="shared" si="93"/>
        <v>3</v>
      </c>
      <c r="T883" s="39">
        <f t="shared" si="94"/>
        <v>0</v>
      </c>
      <c r="U883" s="39">
        <f t="shared" si="95"/>
        <v>0</v>
      </c>
      <c r="V883" s="40"/>
    </row>
    <row r="884" spans="2:22" x14ac:dyDescent="0.35">
      <c r="B884" s="40">
        <v>34416</v>
      </c>
      <c r="C884" s="39">
        <v>2161.1</v>
      </c>
      <c r="D884" s="219">
        <f t="shared" si="96"/>
        <v>9.204230096809974E-3</v>
      </c>
      <c r="F884" s="40">
        <v>34416</v>
      </c>
      <c r="G884" s="39">
        <v>2161.1</v>
      </c>
      <c r="H884" s="39">
        <f t="shared" si="91"/>
        <v>3</v>
      </c>
      <c r="I884" s="39">
        <f t="shared" si="92"/>
        <v>0</v>
      </c>
      <c r="K884" s="40">
        <v>39017</v>
      </c>
      <c r="L884" s="39">
        <v>6262.54</v>
      </c>
      <c r="M884" s="39">
        <v>5</v>
      </c>
      <c r="N884" s="39">
        <v>6262.54</v>
      </c>
      <c r="O884" s="219">
        <f t="shared" si="97"/>
        <v>9.5818262631817194E-3</v>
      </c>
      <c r="Q884" s="40">
        <v>34416</v>
      </c>
      <c r="R884" s="39">
        <v>2161.1</v>
      </c>
      <c r="S884" s="39">
        <f t="shared" si="93"/>
        <v>3</v>
      </c>
      <c r="T884" s="39">
        <f t="shared" si="94"/>
        <v>0</v>
      </c>
      <c r="U884" s="39">
        <f t="shared" si="95"/>
        <v>0</v>
      </c>
      <c r="V884" s="40"/>
    </row>
    <row r="885" spans="2:22" x14ac:dyDescent="0.35">
      <c r="B885" s="40">
        <v>34417</v>
      </c>
      <c r="C885" s="39">
        <v>2161.6999999999998</v>
      </c>
      <c r="D885" s="219">
        <f t="shared" si="96"/>
        <v>2.7759785502578843E-4</v>
      </c>
      <c r="F885" s="40">
        <v>34417</v>
      </c>
      <c r="G885" s="39">
        <v>2161.6999999999998</v>
      </c>
      <c r="H885" s="39">
        <f t="shared" si="91"/>
        <v>4</v>
      </c>
      <c r="I885" s="39">
        <f t="shared" si="92"/>
        <v>0</v>
      </c>
      <c r="K885" s="40">
        <v>39024</v>
      </c>
      <c r="L885" s="39">
        <v>6241.15</v>
      </c>
      <c r="M885" s="39">
        <v>5</v>
      </c>
      <c r="N885" s="39">
        <v>6241.15</v>
      </c>
      <c r="O885" s="219">
        <f t="shared" si="97"/>
        <v>-3.4213933432163833E-3</v>
      </c>
      <c r="Q885" s="40">
        <v>34417</v>
      </c>
      <c r="R885" s="39">
        <v>2161.6999999999998</v>
      </c>
      <c r="S885" s="39">
        <f t="shared" si="93"/>
        <v>3</v>
      </c>
      <c r="T885" s="39">
        <f t="shared" si="94"/>
        <v>0</v>
      </c>
      <c r="U885" s="39">
        <f t="shared" si="95"/>
        <v>0</v>
      </c>
      <c r="V885" s="40"/>
    </row>
    <row r="886" spans="2:22" x14ac:dyDescent="0.35">
      <c r="B886" s="40">
        <v>34418</v>
      </c>
      <c r="C886" s="39">
        <v>2130.1</v>
      </c>
      <c r="D886" s="219">
        <f t="shared" si="96"/>
        <v>-1.4726022205768357E-2</v>
      </c>
      <c r="F886" s="40">
        <v>34418</v>
      </c>
      <c r="G886" s="39">
        <v>2130.1</v>
      </c>
      <c r="H886" s="39">
        <f t="shared" si="91"/>
        <v>5</v>
      </c>
      <c r="I886" s="39">
        <f t="shared" si="92"/>
        <v>2130.1</v>
      </c>
      <c r="K886" s="40">
        <v>39031</v>
      </c>
      <c r="L886" s="39">
        <v>6357.77</v>
      </c>
      <c r="M886" s="39">
        <v>5</v>
      </c>
      <c r="N886" s="39">
        <v>6357.77</v>
      </c>
      <c r="O886" s="219">
        <f t="shared" si="97"/>
        <v>1.8513226663599672E-2</v>
      </c>
      <c r="Q886" s="40">
        <v>34418</v>
      </c>
      <c r="R886" s="39">
        <v>2130.1</v>
      </c>
      <c r="S886" s="39">
        <f t="shared" si="93"/>
        <v>3</v>
      </c>
      <c r="T886" s="39">
        <f t="shared" si="94"/>
        <v>0</v>
      </c>
      <c r="U886" s="39">
        <f t="shared" si="95"/>
        <v>0</v>
      </c>
      <c r="V886" s="40"/>
    </row>
    <row r="887" spans="2:22" x14ac:dyDescent="0.35">
      <c r="B887" s="40">
        <v>34421</v>
      </c>
      <c r="C887" s="39">
        <v>2161.4</v>
      </c>
      <c r="D887" s="219">
        <f t="shared" si="96"/>
        <v>1.4587232910826552E-2</v>
      </c>
      <c r="F887" s="40">
        <v>34421</v>
      </c>
      <c r="G887" s="39">
        <v>2161.4</v>
      </c>
      <c r="H887" s="39">
        <f t="shared" ref="H887:H950" si="98">WEEKDAY(F887,2)</f>
        <v>1</v>
      </c>
      <c r="I887" s="39">
        <f t="shared" ref="I887:I950" si="99">IF(H887&gt;H888,G887,0)</f>
        <v>0</v>
      </c>
      <c r="K887" s="40">
        <v>39038</v>
      </c>
      <c r="L887" s="39">
        <v>6412.36</v>
      </c>
      <c r="M887" s="39">
        <v>5</v>
      </c>
      <c r="N887" s="39">
        <v>6412.36</v>
      </c>
      <c r="O887" s="219">
        <f t="shared" si="97"/>
        <v>8.5496909633668589E-3</v>
      </c>
      <c r="Q887" s="40">
        <v>34421</v>
      </c>
      <c r="R887" s="39">
        <v>2161.4</v>
      </c>
      <c r="S887" s="39">
        <f t="shared" ref="S887:S950" si="100">MONTH(Q887)</f>
        <v>3</v>
      </c>
      <c r="T887" s="39">
        <f t="shared" ref="T887:T950" si="101">IF(S888&lt;&gt;S887,R887,0)</f>
        <v>0</v>
      </c>
      <c r="U887" s="39">
        <f t="shared" ref="U887:U950" si="102">IF(S888=S887,0,R887)</f>
        <v>0</v>
      </c>
      <c r="V887" s="40"/>
    </row>
    <row r="888" spans="2:22" x14ac:dyDescent="0.35">
      <c r="B888" s="40">
        <v>34422</v>
      </c>
      <c r="C888" s="39">
        <v>2168.4</v>
      </c>
      <c r="D888" s="219">
        <f t="shared" ref="D888:D951" si="103">LN(C888/C887)</f>
        <v>3.2334085171177858E-3</v>
      </c>
      <c r="F888" s="40">
        <v>34422</v>
      </c>
      <c r="G888" s="39">
        <v>2168.4</v>
      </c>
      <c r="H888" s="39">
        <f t="shared" si="98"/>
        <v>2</v>
      </c>
      <c r="I888" s="39">
        <f t="shared" si="99"/>
        <v>0</v>
      </c>
      <c r="K888" s="40">
        <v>39045</v>
      </c>
      <c r="L888" s="39">
        <v>6411.96</v>
      </c>
      <c r="M888" s="39">
        <v>5</v>
      </c>
      <c r="N888" s="39">
        <v>6411.96</v>
      </c>
      <c r="O888" s="219">
        <f t="shared" ref="O888:O951" si="104">LN(N888/N887)</f>
        <v>-6.2381475217351674E-5</v>
      </c>
      <c r="Q888" s="40">
        <v>34422</v>
      </c>
      <c r="R888" s="39">
        <v>2168.4</v>
      </c>
      <c r="S888" s="39">
        <f t="shared" si="100"/>
        <v>3</v>
      </c>
      <c r="T888" s="39">
        <f t="shared" si="101"/>
        <v>0</v>
      </c>
      <c r="U888" s="39">
        <f t="shared" si="102"/>
        <v>0</v>
      </c>
      <c r="V888" s="40"/>
    </row>
    <row r="889" spans="2:22" x14ac:dyDescent="0.35">
      <c r="B889" s="40">
        <v>34423</v>
      </c>
      <c r="C889" s="39">
        <v>2147.5</v>
      </c>
      <c r="D889" s="219">
        <f t="shared" si="103"/>
        <v>-9.6851935277726744E-3</v>
      </c>
      <c r="F889" s="40">
        <v>34423</v>
      </c>
      <c r="G889" s="39">
        <v>2147.5</v>
      </c>
      <c r="H889" s="39">
        <f t="shared" si="98"/>
        <v>3</v>
      </c>
      <c r="I889" s="39">
        <f t="shared" si="99"/>
        <v>0</v>
      </c>
      <c r="K889" s="40">
        <v>39052</v>
      </c>
      <c r="L889" s="39">
        <v>6241.13</v>
      </c>
      <c r="M889" s="39">
        <v>5</v>
      </c>
      <c r="N889" s="39">
        <v>6241.13</v>
      </c>
      <c r="O889" s="219">
        <f t="shared" si="104"/>
        <v>-2.7003740694508997E-2</v>
      </c>
      <c r="Q889" s="40">
        <v>34423</v>
      </c>
      <c r="R889" s="39">
        <v>2147.5</v>
      </c>
      <c r="S889" s="39">
        <f t="shared" si="100"/>
        <v>3</v>
      </c>
      <c r="T889" s="39">
        <f t="shared" si="101"/>
        <v>0</v>
      </c>
      <c r="U889" s="39">
        <f t="shared" si="102"/>
        <v>0</v>
      </c>
      <c r="V889" s="40"/>
    </row>
    <row r="890" spans="2:22" x14ac:dyDescent="0.35">
      <c r="B890" s="40">
        <v>34424</v>
      </c>
      <c r="C890" s="39">
        <v>2133.1</v>
      </c>
      <c r="D890" s="219">
        <f t="shared" si="103"/>
        <v>-6.7280541606384121E-3</v>
      </c>
      <c r="F890" s="40">
        <v>34424</v>
      </c>
      <c r="G890" s="39">
        <v>2133.1</v>
      </c>
      <c r="H890" s="39">
        <f t="shared" si="98"/>
        <v>4</v>
      </c>
      <c r="I890" s="39">
        <f t="shared" si="99"/>
        <v>2133.1</v>
      </c>
      <c r="K890" s="40">
        <v>39059</v>
      </c>
      <c r="L890" s="39">
        <v>6427.41</v>
      </c>
      <c r="M890" s="39">
        <v>5</v>
      </c>
      <c r="N890" s="39">
        <v>6427.41</v>
      </c>
      <c r="O890" s="219">
        <f t="shared" si="104"/>
        <v>2.9410401995993918E-2</v>
      </c>
      <c r="Q890" s="40">
        <v>34424</v>
      </c>
      <c r="R890" s="39">
        <v>2133.1</v>
      </c>
      <c r="S890" s="39">
        <f t="shared" si="100"/>
        <v>3</v>
      </c>
      <c r="T890" s="39">
        <f t="shared" si="101"/>
        <v>2133.1</v>
      </c>
      <c r="U890" s="39">
        <f t="shared" si="102"/>
        <v>2133.1</v>
      </c>
      <c r="V890" s="40"/>
    </row>
    <row r="891" spans="2:22" x14ac:dyDescent="0.35">
      <c r="B891" s="40">
        <v>34429</v>
      </c>
      <c r="C891" s="39">
        <v>2158.3000000000002</v>
      </c>
      <c r="D891" s="219">
        <f t="shared" si="103"/>
        <v>1.1744554067152749E-2</v>
      </c>
      <c r="F891" s="40">
        <v>34429</v>
      </c>
      <c r="G891" s="39">
        <v>2158.3000000000002</v>
      </c>
      <c r="H891" s="39">
        <f t="shared" si="98"/>
        <v>2</v>
      </c>
      <c r="I891" s="39">
        <f t="shared" si="99"/>
        <v>0</v>
      </c>
      <c r="K891" s="40">
        <v>39066</v>
      </c>
      <c r="L891" s="39">
        <v>6588.83</v>
      </c>
      <c r="M891" s="39">
        <v>5</v>
      </c>
      <c r="N891" s="39">
        <v>6588.83</v>
      </c>
      <c r="O891" s="219">
        <f t="shared" si="104"/>
        <v>2.4804133295971861E-2</v>
      </c>
      <c r="Q891" s="40">
        <v>34429</v>
      </c>
      <c r="R891" s="39">
        <v>2158.3000000000002</v>
      </c>
      <c r="S891" s="39">
        <f t="shared" si="100"/>
        <v>4</v>
      </c>
      <c r="T891" s="39">
        <f t="shared" si="101"/>
        <v>0</v>
      </c>
      <c r="U891" s="39">
        <f t="shared" si="102"/>
        <v>0</v>
      </c>
      <c r="V891" s="40"/>
    </row>
    <row r="892" spans="2:22" x14ac:dyDescent="0.35">
      <c r="B892" s="40">
        <v>34430</v>
      </c>
      <c r="C892" s="39">
        <v>2191.1999999999998</v>
      </c>
      <c r="D892" s="219">
        <f t="shared" si="103"/>
        <v>1.5128464183943468E-2</v>
      </c>
      <c r="F892" s="40">
        <v>34430</v>
      </c>
      <c r="G892" s="39">
        <v>2191.1999999999998</v>
      </c>
      <c r="H892" s="39">
        <f t="shared" si="98"/>
        <v>3</v>
      </c>
      <c r="I892" s="39">
        <f t="shared" si="99"/>
        <v>0</v>
      </c>
      <c r="K892" s="40">
        <v>39073</v>
      </c>
      <c r="L892" s="39">
        <v>6503.13</v>
      </c>
      <c r="M892" s="39">
        <v>5</v>
      </c>
      <c r="N892" s="39">
        <v>6503.13</v>
      </c>
      <c r="O892" s="219">
        <f t="shared" si="104"/>
        <v>-1.3092191561432374E-2</v>
      </c>
      <c r="Q892" s="40">
        <v>34430</v>
      </c>
      <c r="R892" s="39">
        <v>2191.1999999999998</v>
      </c>
      <c r="S892" s="39">
        <f t="shared" si="100"/>
        <v>4</v>
      </c>
      <c r="T892" s="39">
        <f t="shared" si="101"/>
        <v>0</v>
      </c>
      <c r="U892" s="39">
        <f t="shared" si="102"/>
        <v>0</v>
      </c>
      <c r="V892" s="40"/>
    </row>
    <row r="893" spans="2:22" x14ac:dyDescent="0.35">
      <c r="B893" s="40">
        <v>34431</v>
      </c>
      <c r="C893" s="39">
        <v>2201.4</v>
      </c>
      <c r="D893" s="219">
        <f t="shared" si="103"/>
        <v>4.6441826404231583E-3</v>
      </c>
      <c r="F893" s="40">
        <v>34431</v>
      </c>
      <c r="G893" s="39">
        <v>2201.4</v>
      </c>
      <c r="H893" s="39">
        <f t="shared" si="98"/>
        <v>4</v>
      </c>
      <c r="I893" s="39">
        <f t="shared" si="99"/>
        <v>0</v>
      </c>
      <c r="K893" s="40">
        <v>39080</v>
      </c>
      <c r="L893" s="39">
        <v>6596.92</v>
      </c>
      <c r="M893" s="39">
        <v>5</v>
      </c>
      <c r="N893" s="39">
        <v>6596.92</v>
      </c>
      <c r="O893" s="219">
        <f t="shared" si="104"/>
        <v>1.4319273982244729E-2</v>
      </c>
      <c r="Q893" s="40">
        <v>34431</v>
      </c>
      <c r="R893" s="39">
        <v>2201.4</v>
      </c>
      <c r="S893" s="39">
        <f t="shared" si="100"/>
        <v>4</v>
      </c>
      <c r="T893" s="39">
        <f t="shared" si="101"/>
        <v>0</v>
      </c>
      <c r="U893" s="39">
        <f t="shared" si="102"/>
        <v>0</v>
      </c>
      <c r="V893" s="40"/>
    </row>
    <row r="894" spans="2:22" x14ac:dyDescent="0.35">
      <c r="B894" s="40">
        <v>34432</v>
      </c>
      <c r="C894" s="39">
        <v>2203.4</v>
      </c>
      <c r="D894" s="219">
        <f t="shared" si="103"/>
        <v>9.0810031667308653E-4</v>
      </c>
      <c r="F894" s="40">
        <v>34432</v>
      </c>
      <c r="G894" s="39">
        <v>2203.4</v>
      </c>
      <c r="H894" s="39">
        <f t="shared" si="98"/>
        <v>5</v>
      </c>
      <c r="I894" s="39">
        <f t="shared" si="99"/>
        <v>2203.4</v>
      </c>
      <c r="K894" s="40">
        <v>39087</v>
      </c>
      <c r="L894" s="39">
        <v>6593.09</v>
      </c>
      <c r="M894" s="39">
        <v>5</v>
      </c>
      <c r="N894" s="39">
        <v>6593.09</v>
      </c>
      <c r="O894" s="219">
        <f t="shared" si="104"/>
        <v>-5.8074256314325553E-4</v>
      </c>
      <c r="Q894" s="40">
        <v>34432</v>
      </c>
      <c r="R894" s="39">
        <v>2203.4</v>
      </c>
      <c r="S894" s="39">
        <f t="shared" si="100"/>
        <v>4</v>
      </c>
      <c r="T894" s="39">
        <f t="shared" si="101"/>
        <v>0</v>
      </c>
      <c r="U894" s="39">
        <f t="shared" si="102"/>
        <v>0</v>
      </c>
      <c r="V894" s="40"/>
    </row>
    <row r="895" spans="2:22" x14ac:dyDescent="0.35">
      <c r="B895" s="40">
        <v>34435</v>
      </c>
      <c r="C895" s="39">
        <v>2225.3000000000002</v>
      </c>
      <c r="D895" s="219">
        <f t="shared" si="103"/>
        <v>9.8901160661057728E-3</v>
      </c>
      <c r="F895" s="40">
        <v>34435</v>
      </c>
      <c r="G895" s="39">
        <v>2225.3000000000002</v>
      </c>
      <c r="H895" s="39">
        <f t="shared" si="98"/>
        <v>1</v>
      </c>
      <c r="I895" s="39">
        <f t="shared" si="99"/>
        <v>0</v>
      </c>
      <c r="K895" s="40">
        <v>39094</v>
      </c>
      <c r="L895" s="39">
        <v>6705.17</v>
      </c>
      <c r="M895" s="39">
        <v>5</v>
      </c>
      <c r="N895" s="39">
        <v>6705.17</v>
      </c>
      <c r="O895" s="219">
        <f t="shared" si="104"/>
        <v>1.6856739745710156E-2</v>
      </c>
      <c r="Q895" s="40">
        <v>34435</v>
      </c>
      <c r="R895" s="39">
        <v>2225.3000000000002</v>
      </c>
      <c r="S895" s="39">
        <f t="shared" si="100"/>
        <v>4</v>
      </c>
      <c r="T895" s="39">
        <f t="shared" si="101"/>
        <v>0</v>
      </c>
      <c r="U895" s="39">
        <f t="shared" si="102"/>
        <v>0</v>
      </c>
      <c r="V895" s="40"/>
    </row>
    <row r="896" spans="2:22" x14ac:dyDescent="0.35">
      <c r="B896" s="40">
        <v>34436</v>
      </c>
      <c r="C896" s="39">
        <v>2210.6</v>
      </c>
      <c r="D896" s="219">
        <f t="shared" si="103"/>
        <v>-6.6277660952154165E-3</v>
      </c>
      <c r="F896" s="40">
        <v>34436</v>
      </c>
      <c r="G896" s="39">
        <v>2210.6</v>
      </c>
      <c r="H896" s="39">
        <f t="shared" si="98"/>
        <v>2</v>
      </c>
      <c r="I896" s="39">
        <f t="shared" si="99"/>
        <v>0</v>
      </c>
      <c r="K896" s="40">
        <v>39101</v>
      </c>
      <c r="L896" s="39">
        <v>6747.17</v>
      </c>
      <c r="M896" s="39">
        <v>5</v>
      </c>
      <c r="N896" s="39">
        <v>6747.17</v>
      </c>
      <c r="O896" s="219">
        <f t="shared" si="104"/>
        <v>6.2442870859398276E-3</v>
      </c>
      <c r="Q896" s="40">
        <v>34436</v>
      </c>
      <c r="R896" s="39">
        <v>2210.6</v>
      </c>
      <c r="S896" s="39">
        <f t="shared" si="100"/>
        <v>4</v>
      </c>
      <c r="T896" s="39">
        <f t="shared" si="101"/>
        <v>0</v>
      </c>
      <c r="U896" s="39">
        <f t="shared" si="102"/>
        <v>0</v>
      </c>
      <c r="V896" s="40"/>
    </row>
    <row r="897" spans="2:22" x14ac:dyDescent="0.35">
      <c r="B897" s="40">
        <v>34437</v>
      </c>
      <c r="C897" s="39">
        <v>2209.1999999999998</v>
      </c>
      <c r="D897" s="219">
        <f t="shared" si="103"/>
        <v>-6.3351284982258874E-4</v>
      </c>
      <c r="F897" s="40">
        <v>34437</v>
      </c>
      <c r="G897" s="39">
        <v>2209.1999999999998</v>
      </c>
      <c r="H897" s="39">
        <f t="shared" si="98"/>
        <v>3</v>
      </c>
      <c r="I897" s="39">
        <f t="shared" si="99"/>
        <v>0</v>
      </c>
      <c r="K897" s="40">
        <v>39108</v>
      </c>
      <c r="L897" s="39">
        <v>6690.34</v>
      </c>
      <c r="M897" s="39">
        <v>5</v>
      </c>
      <c r="N897" s="39">
        <v>6690.34</v>
      </c>
      <c r="O897" s="219">
        <f t="shared" si="104"/>
        <v>-8.4584627401349134E-3</v>
      </c>
      <c r="Q897" s="40">
        <v>34437</v>
      </c>
      <c r="R897" s="39">
        <v>2209.1999999999998</v>
      </c>
      <c r="S897" s="39">
        <f t="shared" si="100"/>
        <v>4</v>
      </c>
      <c r="T897" s="39">
        <f t="shared" si="101"/>
        <v>0</v>
      </c>
      <c r="U897" s="39">
        <f t="shared" si="102"/>
        <v>0</v>
      </c>
      <c r="V897" s="40"/>
    </row>
    <row r="898" spans="2:22" x14ac:dyDescent="0.35">
      <c r="B898" s="40">
        <v>34438</v>
      </c>
      <c r="C898" s="39">
        <v>2198.6999999999998</v>
      </c>
      <c r="D898" s="219">
        <f t="shared" si="103"/>
        <v>-4.7641824271182727E-3</v>
      </c>
      <c r="F898" s="40">
        <v>34438</v>
      </c>
      <c r="G898" s="39">
        <v>2198.6999999999998</v>
      </c>
      <c r="H898" s="39">
        <f t="shared" si="98"/>
        <v>4</v>
      </c>
      <c r="I898" s="39">
        <f t="shared" si="99"/>
        <v>0</v>
      </c>
      <c r="K898" s="40">
        <v>39115</v>
      </c>
      <c r="L898" s="39">
        <v>6885.76</v>
      </c>
      <c r="M898" s="39">
        <v>5</v>
      </c>
      <c r="N898" s="39">
        <v>6885.76</v>
      </c>
      <c r="O898" s="219">
        <f t="shared" si="104"/>
        <v>2.8790816012044945E-2</v>
      </c>
      <c r="Q898" s="40">
        <v>34438</v>
      </c>
      <c r="R898" s="39">
        <v>2198.6999999999998</v>
      </c>
      <c r="S898" s="39">
        <f t="shared" si="100"/>
        <v>4</v>
      </c>
      <c r="T898" s="39">
        <f t="shared" si="101"/>
        <v>0</v>
      </c>
      <c r="U898" s="39">
        <f t="shared" si="102"/>
        <v>0</v>
      </c>
      <c r="V898" s="40"/>
    </row>
    <row r="899" spans="2:22" x14ac:dyDescent="0.35">
      <c r="B899" s="40">
        <v>34439</v>
      </c>
      <c r="C899" s="39">
        <v>2200.4</v>
      </c>
      <c r="D899" s="219">
        <f t="shared" si="103"/>
        <v>7.7288540138894645E-4</v>
      </c>
      <c r="F899" s="40">
        <v>34439</v>
      </c>
      <c r="G899" s="39">
        <v>2200.4</v>
      </c>
      <c r="H899" s="39">
        <f t="shared" si="98"/>
        <v>5</v>
      </c>
      <c r="I899" s="39">
        <f t="shared" si="99"/>
        <v>2200.4</v>
      </c>
      <c r="K899" s="40">
        <v>39122</v>
      </c>
      <c r="L899" s="39">
        <v>6911.11</v>
      </c>
      <c r="M899" s="39">
        <v>5</v>
      </c>
      <c r="N899" s="39">
        <v>6911.11</v>
      </c>
      <c r="O899" s="219">
        <f t="shared" si="104"/>
        <v>3.6747506538446209E-3</v>
      </c>
      <c r="Q899" s="40">
        <v>34439</v>
      </c>
      <c r="R899" s="39">
        <v>2200.4</v>
      </c>
      <c r="S899" s="39">
        <f t="shared" si="100"/>
        <v>4</v>
      </c>
      <c r="T899" s="39">
        <f t="shared" si="101"/>
        <v>0</v>
      </c>
      <c r="U899" s="39">
        <f t="shared" si="102"/>
        <v>0</v>
      </c>
      <c r="V899" s="40"/>
    </row>
    <row r="900" spans="2:22" x14ac:dyDescent="0.35">
      <c r="B900" s="40">
        <v>34442</v>
      </c>
      <c r="C900" s="39">
        <v>2228.8000000000002</v>
      </c>
      <c r="D900" s="219">
        <f t="shared" si="103"/>
        <v>1.2824162024238278E-2</v>
      </c>
      <c r="F900" s="40">
        <v>34442</v>
      </c>
      <c r="G900" s="39">
        <v>2228.8000000000002</v>
      </c>
      <c r="H900" s="39">
        <f t="shared" si="98"/>
        <v>1</v>
      </c>
      <c r="I900" s="39">
        <f t="shared" si="99"/>
        <v>0</v>
      </c>
      <c r="K900" s="40">
        <v>39129</v>
      </c>
      <c r="L900" s="39">
        <v>6957.07</v>
      </c>
      <c r="M900" s="39">
        <v>5</v>
      </c>
      <c r="N900" s="39">
        <v>6957.07</v>
      </c>
      <c r="O900" s="219">
        <f t="shared" si="104"/>
        <v>6.6281470619381066E-3</v>
      </c>
      <c r="Q900" s="40">
        <v>34442</v>
      </c>
      <c r="R900" s="39">
        <v>2228.8000000000002</v>
      </c>
      <c r="S900" s="39">
        <f t="shared" si="100"/>
        <v>4</v>
      </c>
      <c r="T900" s="39">
        <f t="shared" si="101"/>
        <v>0</v>
      </c>
      <c r="U900" s="39">
        <f t="shared" si="102"/>
        <v>0</v>
      </c>
      <c r="V900" s="40"/>
    </row>
    <row r="901" spans="2:22" x14ac:dyDescent="0.35">
      <c r="B901" s="40">
        <v>34443</v>
      </c>
      <c r="C901" s="39">
        <v>2172.4</v>
      </c>
      <c r="D901" s="219">
        <f t="shared" si="103"/>
        <v>-2.5630776864851136E-2</v>
      </c>
      <c r="F901" s="40">
        <v>34443</v>
      </c>
      <c r="G901" s="39">
        <v>2172.4</v>
      </c>
      <c r="H901" s="39">
        <f t="shared" si="98"/>
        <v>2</v>
      </c>
      <c r="I901" s="39">
        <f t="shared" si="99"/>
        <v>0</v>
      </c>
      <c r="K901" s="40">
        <v>39136</v>
      </c>
      <c r="L901" s="39">
        <v>6992.58</v>
      </c>
      <c r="M901" s="39">
        <v>5</v>
      </c>
      <c r="N901" s="39">
        <v>6992.58</v>
      </c>
      <c r="O901" s="219">
        <f t="shared" si="104"/>
        <v>5.0911781588568834E-3</v>
      </c>
      <c r="Q901" s="40">
        <v>34443</v>
      </c>
      <c r="R901" s="39">
        <v>2172.4</v>
      </c>
      <c r="S901" s="39">
        <f t="shared" si="100"/>
        <v>4</v>
      </c>
      <c r="T901" s="39">
        <f t="shared" si="101"/>
        <v>0</v>
      </c>
      <c r="U901" s="39">
        <f t="shared" si="102"/>
        <v>0</v>
      </c>
      <c r="V901" s="40"/>
    </row>
    <row r="902" spans="2:22" x14ac:dyDescent="0.35">
      <c r="B902" s="40">
        <v>34444</v>
      </c>
      <c r="C902" s="39">
        <v>2182.6</v>
      </c>
      <c r="D902" s="219">
        <f t="shared" si="103"/>
        <v>4.6842795182992485E-3</v>
      </c>
      <c r="F902" s="40">
        <v>34444</v>
      </c>
      <c r="G902" s="39">
        <v>2182.6</v>
      </c>
      <c r="H902" s="39">
        <f t="shared" si="98"/>
        <v>3</v>
      </c>
      <c r="I902" s="39">
        <f t="shared" si="99"/>
        <v>0</v>
      </c>
      <c r="K902" s="40">
        <v>39143</v>
      </c>
      <c r="L902" s="39">
        <v>6603.32</v>
      </c>
      <c r="M902" s="39">
        <v>5</v>
      </c>
      <c r="N902" s="39">
        <v>6603.32</v>
      </c>
      <c r="O902" s="219">
        <f t="shared" si="104"/>
        <v>-5.727703399991204E-2</v>
      </c>
      <c r="Q902" s="40">
        <v>34444</v>
      </c>
      <c r="R902" s="39">
        <v>2182.6</v>
      </c>
      <c r="S902" s="39">
        <f t="shared" si="100"/>
        <v>4</v>
      </c>
      <c r="T902" s="39">
        <f t="shared" si="101"/>
        <v>0</v>
      </c>
      <c r="U902" s="39">
        <f t="shared" si="102"/>
        <v>0</v>
      </c>
      <c r="V902" s="40"/>
    </row>
    <row r="903" spans="2:22" x14ac:dyDescent="0.35">
      <c r="B903" s="40">
        <v>34445</v>
      </c>
      <c r="C903" s="39">
        <v>2197</v>
      </c>
      <c r="D903" s="219">
        <f t="shared" si="103"/>
        <v>6.5759667056208802E-3</v>
      </c>
      <c r="F903" s="40">
        <v>34445</v>
      </c>
      <c r="G903" s="39">
        <v>2197</v>
      </c>
      <c r="H903" s="39">
        <f t="shared" si="98"/>
        <v>4</v>
      </c>
      <c r="I903" s="39">
        <f t="shared" si="99"/>
        <v>0</v>
      </c>
      <c r="K903" s="40">
        <v>39150</v>
      </c>
      <c r="L903" s="39">
        <v>6716.52</v>
      </c>
      <c r="M903" s="39">
        <v>5</v>
      </c>
      <c r="N903" s="39">
        <v>6716.52</v>
      </c>
      <c r="O903" s="219">
        <f t="shared" si="104"/>
        <v>1.6997610399800484E-2</v>
      </c>
      <c r="Q903" s="40">
        <v>34445</v>
      </c>
      <c r="R903" s="39">
        <v>2197</v>
      </c>
      <c r="S903" s="39">
        <f t="shared" si="100"/>
        <v>4</v>
      </c>
      <c r="T903" s="39">
        <f t="shared" si="101"/>
        <v>0</v>
      </c>
      <c r="U903" s="39">
        <f t="shared" si="102"/>
        <v>0</v>
      </c>
      <c r="V903" s="40"/>
    </row>
    <row r="904" spans="2:22" x14ac:dyDescent="0.35">
      <c r="B904" s="40">
        <v>34446</v>
      </c>
      <c r="C904" s="39">
        <v>2213.9</v>
      </c>
      <c r="D904" s="219">
        <f t="shared" si="103"/>
        <v>7.6628727455690972E-3</v>
      </c>
      <c r="F904" s="40">
        <v>34446</v>
      </c>
      <c r="G904" s="39">
        <v>2213.9</v>
      </c>
      <c r="H904" s="39">
        <f t="shared" si="98"/>
        <v>5</v>
      </c>
      <c r="I904" s="39">
        <f t="shared" si="99"/>
        <v>2213.9</v>
      </c>
      <c r="K904" s="40">
        <v>39157</v>
      </c>
      <c r="L904" s="39">
        <v>6579.87</v>
      </c>
      <c r="M904" s="39">
        <v>5</v>
      </c>
      <c r="N904" s="39">
        <v>6579.87</v>
      </c>
      <c r="O904" s="219">
        <f t="shared" si="104"/>
        <v>-2.0555174954729461E-2</v>
      </c>
      <c r="Q904" s="40">
        <v>34446</v>
      </c>
      <c r="R904" s="39">
        <v>2213.9</v>
      </c>
      <c r="S904" s="39">
        <f t="shared" si="100"/>
        <v>4</v>
      </c>
      <c r="T904" s="39">
        <f t="shared" si="101"/>
        <v>0</v>
      </c>
      <c r="U904" s="39">
        <f t="shared" si="102"/>
        <v>0</v>
      </c>
      <c r="V904" s="40"/>
    </row>
    <row r="905" spans="2:22" x14ac:dyDescent="0.35">
      <c r="B905" s="40">
        <v>34449</v>
      </c>
      <c r="C905" s="39">
        <v>2202.1999999999998</v>
      </c>
      <c r="D905" s="219">
        <f t="shared" si="103"/>
        <v>-5.2988054506887495E-3</v>
      </c>
      <c r="F905" s="40">
        <v>34449</v>
      </c>
      <c r="G905" s="39">
        <v>2202.1999999999998</v>
      </c>
      <c r="H905" s="39">
        <f t="shared" si="98"/>
        <v>1</v>
      </c>
      <c r="I905" s="39">
        <f t="shared" si="99"/>
        <v>0</v>
      </c>
      <c r="K905" s="40">
        <v>39164</v>
      </c>
      <c r="L905" s="39">
        <v>6899.06</v>
      </c>
      <c r="M905" s="39">
        <v>5</v>
      </c>
      <c r="N905" s="39">
        <v>6899.06</v>
      </c>
      <c r="O905" s="219">
        <f t="shared" si="104"/>
        <v>4.7370182135598592E-2</v>
      </c>
      <c r="Q905" s="40">
        <v>34449</v>
      </c>
      <c r="R905" s="39">
        <v>2202.1999999999998</v>
      </c>
      <c r="S905" s="39">
        <f t="shared" si="100"/>
        <v>4</v>
      </c>
      <c r="T905" s="39">
        <f t="shared" si="101"/>
        <v>0</v>
      </c>
      <c r="U905" s="39">
        <f t="shared" si="102"/>
        <v>0</v>
      </c>
      <c r="V905" s="40"/>
    </row>
    <row r="906" spans="2:22" x14ac:dyDescent="0.35">
      <c r="B906" s="40">
        <v>34450</v>
      </c>
      <c r="C906" s="39">
        <v>2243.1999999999998</v>
      </c>
      <c r="D906" s="219">
        <f t="shared" si="103"/>
        <v>1.8446557160780305E-2</v>
      </c>
      <c r="F906" s="40">
        <v>34450</v>
      </c>
      <c r="G906" s="39">
        <v>2243.1999999999998</v>
      </c>
      <c r="H906" s="39">
        <f t="shared" si="98"/>
        <v>2</v>
      </c>
      <c r="I906" s="39">
        <f t="shared" si="99"/>
        <v>0</v>
      </c>
      <c r="K906" s="40">
        <v>39171</v>
      </c>
      <c r="L906" s="39">
        <v>6917.03</v>
      </c>
      <c r="M906" s="39">
        <v>5</v>
      </c>
      <c r="N906" s="39">
        <v>6917.03</v>
      </c>
      <c r="O906" s="219">
        <f t="shared" si="104"/>
        <v>2.6013163106712528E-3</v>
      </c>
      <c r="Q906" s="40">
        <v>34450</v>
      </c>
      <c r="R906" s="39">
        <v>2243.1999999999998</v>
      </c>
      <c r="S906" s="39">
        <f t="shared" si="100"/>
        <v>4</v>
      </c>
      <c r="T906" s="39">
        <f t="shared" si="101"/>
        <v>0</v>
      </c>
      <c r="U906" s="39">
        <f t="shared" si="102"/>
        <v>0</v>
      </c>
      <c r="V906" s="40"/>
    </row>
    <row r="907" spans="2:22" x14ac:dyDescent="0.35">
      <c r="B907" s="40">
        <v>34451</v>
      </c>
      <c r="C907" s="39">
        <v>2253.6</v>
      </c>
      <c r="D907" s="219">
        <f t="shared" si="103"/>
        <v>4.6255197218918447E-3</v>
      </c>
      <c r="F907" s="40">
        <v>34451</v>
      </c>
      <c r="G907" s="39">
        <v>2253.6</v>
      </c>
      <c r="H907" s="39">
        <f t="shared" si="98"/>
        <v>3</v>
      </c>
      <c r="I907" s="39">
        <f t="shared" si="99"/>
        <v>0</v>
      </c>
      <c r="K907" s="40">
        <v>39177</v>
      </c>
      <c r="L907" s="39">
        <v>7099.91</v>
      </c>
      <c r="M907" s="39">
        <v>4</v>
      </c>
      <c r="N907" s="39">
        <v>7099.91</v>
      </c>
      <c r="O907" s="219">
        <f t="shared" si="104"/>
        <v>2.6095621161168748E-2</v>
      </c>
      <c r="Q907" s="40">
        <v>34451</v>
      </c>
      <c r="R907" s="39">
        <v>2253.6</v>
      </c>
      <c r="S907" s="39">
        <f t="shared" si="100"/>
        <v>4</v>
      </c>
      <c r="T907" s="39">
        <f t="shared" si="101"/>
        <v>0</v>
      </c>
      <c r="U907" s="39">
        <f t="shared" si="102"/>
        <v>0</v>
      </c>
      <c r="V907" s="40"/>
    </row>
    <row r="908" spans="2:22" x14ac:dyDescent="0.35">
      <c r="B908" s="40">
        <v>34452</v>
      </c>
      <c r="C908" s="39">
        <v>2251.1999999999998</v>
      </c>
      <c r="D908" s="219">
        <f t="shared" si="103"/>
        <v>-1.0655302020382848E-3</v>
      </c>
      <c r="F908" s="40">
        <v>34452</v>
      </c>
      <c r="G908" s="39">
        <v>2251.1999999999998</v>
      </c>
      <c r="H908" s="39">
        <f t="shared" si="98"/>
        <v>4</v>
      </c>
      <c r="I908" s="39">
        <f t="shared" si="99"/>
        <v>0</v>
      </c>
      <c r="K908" s="40">
        <v>39185</v>
      </c>
      <c r="L908" s="39">
        <v>7212.07</v>
      </c>
      <c r="M908" s="39">
        <v>5</v>
      </c>
      <c r="N908" s="39">
        <v>7212.07</v>
      </c>
      <c r="O908" s="219">
        <f t="shared" si="104"/>
        <v>1.5673903428857341E-2</v>
      </c>
      <c r="Q908" s="40">
        <v>34452</v>
      </c>
      <c r="R908" s="39">
        <v>2251.1999999999998</v>
      </c>
      <c r="S908" s="39">
        <f t="shared" si="100"/>
        <v>4</v>
      </c>
      <c r="T908" s="39">
        <f t="shared" si="101"/>
        <v>0</v>
      </c>
      <c r="U908" s="39">
        <f t="shared" si="102"/>
        <v>0</v>
      </c>
      <c r="V908" s="40"/>
    </row>
    <row r="909" spans="2:22" x14ac:dyDescent="0.35">
      <c r="B909" s="40">
        <v>34453</v>
      </c>
      <c r="C909" s="39">
        <v>2246</v>
      </c>
      <c r="D909" s="219">
        <f t="shared" si="103"/>
        <v>-2.3125510617360021E-3</v>
      </c>
      <c r="F909" s="40">
        <v>34453</v>
      </c>
      <c r="G909" s="39">
        <v>2246</v>
      </c>
      <c r="H909" s="39">
        <f t="shared" si="98"/>
        <v>5</v>
      </c>
      <c r="I909" s="39">
        <f t="shared" si="99"/>
        <v>2246</v>
      </c>
      <c r="K909" s="40">
        <v>39192</v>
      </c>
      <c r="L909" s="39">
        <v>7342.54</v>
      </c>
      <c r="M909" s="39">
        <v>5</v>
      </c>
      <c r="N909" s="39">
        <v>7342.54</v>
      </c>
      <c r="O909" s="219">
        <f t="shared" si="104"/>
        <v>1.79288204721368E-2</v>
      </c>
      <c r="Q909" s="40">
        <v>34453</v>
      </c>
      <c r="R909" s="39">
        <v>2246</v>
      </c>
      <c r="S909" s="39">
        <f t="shared" si="100"/>
        <v>4</v>
      </c>
      <c r="T909" s="39">
        <f t="shared" si="101"/>
        <v>2246</v>
      </c>
      <c r="U909" s="39">
        <f t="shared" si="102"/>
        <v>2246</v>
      </c>
      <c r="V909" s="40"/>
    </row>
    <row r="910" spans="2:22" x14ac:dyDescent="0.35">
      <c r="B910" s="40">
        <v>34456</v>
      </c>
      <c r="C910" s="39">
        <v>2268.6999999999998</v>
      </c>
      <c r="D910" s="219">
        <f t="shared" si="103"/>
        <v>1.0056123904426376E-2</v>
      </c>
      <c r="F910" s="40">
        <v>34456</v>
      </c>
      <c r="G910" s="39">
        <v>2268.6999999999998</v>
      </c>
      <c r="H910" s="39">
        <f t="shared" si="98"/>
        <v>1</v>
      </c>
      <c r="I910" s="39">
        <f t="shared" si="99"/>
        <v>0</v>
      </c>
      <c r="K910" s="40">
        <v>39199</v>
      </c>
      <c r="L910" s="39">
        <v>7378.12</v>
      </c>
      <c r="M910" s="39">
        <v>5</v>
      </c>
      <c r="N910" s="39">
        <v>7378.12</v>
      </c>
      <c r="O910" s="219">
        <f t="shared" si="104"/>
        <v>4.8340318009774145E-3</v>
      </c>
      <c r="Q910" s="40">
        <v>34456</v>
      </c>
      <c r="R910" s="39">
        <v>2268.6999999999998</v>
      </c>
      <c r="S910" s="39">
        <f t="shared" si="100"/>
        <v>5</v>
      </c>
      <c r="T910" s="39">
        <f t="shared" si="101"/>
        <v>0</v>
      </c>
      <c r="U910" s="39">
        <f t="shared" si="102"/>
        <v>0</v>
      </c>
      <c r="V910" s="40"/>
    </row>
    <row r="911" spans="2:22" x14ac:dyDescent="0.35">
      <c r="B911" s="40">
        <v>34457</v>
      </c>
      <c r="C911" s="39">
        <v>2252.3000000000002</v>
      </c>
      <c r="D911" s="219">
        <f t="shared" si="103"/>
        <v>-7.2550638954823349E-3</v>
      </c>
      <c r="F911" s="40">
        <v>34457</v>
      </c>
      <c r="G911" s="39">
        <v>2252.3000000000002</v>
      </c>
      <c r="H911" s="39">
        <f t="shared" si="98"/>
        <v>2</v>
      </c>
      <c r="I911" s="39">
        <f t="shared" si="99"/>
        <v>0</v>
      </c>
      <c r="K911" s="40">
        <v>39206</v>
      </c>
      <c r="L911" s="39">
        <v>7516.76</v>
      </c>
      <c r="M911" s="39">
        <v>5</v>
      </c>
      <c r="N911" s="39">
        <v>7516.76</v>
      </c>
      <c r="O911" s="219">
        <f t="shared" si="104"/>
        <v>1.8616330442368982E-2</v>
      </c>
      <c r="Q911" s="40">
        <v>34457</v>
      </c>
      <c r="R911" s="39">
        <v>2252.3000000000002</v>
      </c>
      <c r="S911" s="39">
        <f t="shared" si="100"/>
        <v>5</v>
      </c>
      <c r="T911" s="39">
        <f t="shared" si="101"/>
        <v>0</v>
      </c>
      <c r="U911" s="39">
        <f t="shared" si="102"/>
        <v>0</v>
      </c>
      <c r="V911" s="40"/>
    </row>
    <row r="912" spans="2:22" x14ac:dyDescent="0.35">
      <c r="B912" s="40">
        <v>34458</v>
      </c>
      <c r="C912" s="39">
        <v>2249</v>
      </c>
      <c r="D912" s="219">
        <f t="shared" si="103"/>
        <v>-1.4662433480169745E-3</v>
      </c>
      <c r="F912" s="40">
        <v>34458</v>
      </c>
      <c r="G912" s="39">
        <v>2249</v>
      </c>
      <c r="H912" s="39">
        <f t="shared" si="98"/>
        <v>3</v>
      </c>
      <c r="I912" s="39">
        <f t="shared" si="99"/>
        <v>0</v>
      </c>
      <c r="K912" s="40">
        <v>39213</v>
      </c>
      <c r="L912" s="39">
        <v>7479.34</v>
      </c>
      <c r="M912" s="39">
        <v>5</v>
      </c>
      <c r="N912" s="39">
        <v>7479.34</v>
      </c>
      <c r="O912" s="219">
        <f t="shared" si="104"/>
        <v>-4.9906412556248343E-3</v>
      </c>
      <c r="Q912" s="40">
        <v>34458</v>
      </c>
      <c r="R912" s="39">
        <v>2249</v>
      </c>
      <c r="S912" s="39">
        <f t="shared" si="100"/>
        <v>5</v>
      </c>
      <c r="T912" s="39">
        <f t="shared" si="101"/>
        <v>0</v>
      </c>
      <c r="U912" s="39">
        <f t="shared" si="102"/>
        <v>0</v>
      </c>
      <c r="V912" s="40"/>
    </row>
    <row r="913" spans="2:22" x14ac:dyDescent="0.35">
      <c r="B913" s="40">
        <v>34459</v>
      </c>
      <c r="C913" s="39">
        <v>2235.8000000000002</v>
      </c>
      <c r="D913" s="219">
        <f t="shared" si="103"/>
        <v>-5.8865671230902902E-3</v>
      </c>
      <c r="F913" s="40">
        <v>34459</v>
      </c>
      <c r="G913" s="39">
        <v>2235.8000000000002</v>
      </c>
      <c r="H913" s="39">
        <f t="shared" si="98"/>
        <v>4</v>
      </c>
      <c r="I913" s="39">
        <f t="shared" si="99"/>
        <v>0</v>
      </c>
      <c r="K913" s="40">
        <v>39220</v>
      </c>
      <c r="L913" s="39">
        <v>7607.54</v>
      </c>
      <c r="M913" s="39">
        <v>5</v>
      </c>
      <c r="N913" s="39">
        <v>7607.54</v>
      </c>
      <c r="O913" s="219">
        <f t="shared" si="104"/>
        <v>1.6995307944969815E-2</v>
      </c>
      <c r="Q913" s="40">
        <v>34459</v>
      </c>
      <c r="R913" s="39">
        <v>2235.8000000000002</v>
      </c>
      <c r="S913" s="39">
        <f t="shared" si="100"/>
        <v>5</v>
      </c>
      <c r="T913" s="39">
        <f t="shared" si="101"/>
        <v>0</v>
      </c>
      <c r="U913" s="39">
        <f t="shared" si="102"/>
        <v>0</v>
      </c>
      <c r="V913" s="40"/>
    </row>
    <row r="914" spans="2:22" x14ac:dyDescent="0.35">
      <c r="B914" s="40">
        <v>34460</v>
      </c>
      <c r="C914" s="39">
        <v>2237</v>
      </c>
      <c r="D914" s="219">
        <f t="shared" si="103"/>
        <v>5.3657665390421548E-4</v>
      </c>
      <c r="F914" s="40">
        <v>34460</v>
      </c>
      <c r="G914" s="39">
        <v>2237</v>
      </c>
      <c r="H914" s="39">
        <f t="shared" si="98"/>
        <v>5</v>
      </c>
      <c r="I914" s="39">
        <f t="shared" si="99"/>
        <v>2237</v>
      </c>
      <c r="K914" s="40">
        <v>39227</v>
      </c>
      <c r="L914" s="39">
        <v>7739.2</v>
      </c>
      <c r="M914" s="39">
        <v>5</v>
      </c>
      <c r="N914" s="39">
        <v>7739.2</v>
      </c>
      <c r="O914" s="219">
        <f t="shared" si="104"/>
        <v>1.715846234230629E-2</v>
      </c>
      <c r="Q914" s="40">
        <v>34460</v>
      </c>
      <c r="R914" s="39">
        <v>2237</v>
      </c>
      <c r="S914" s="39">
        <f t="shared" si="100"/>
        <v>5</v>
      </c>
      <c r="T914" s="39">
        <f t="shared" si="101"/>
        <v>0</v>
      </c>
      <c r="U914" s="39">
        <f t="shared" si="102"/>
        <v>0</v>
      </c>
      <c r="V914" s="40"/>
    </row>
    <row r="915" spans="2:22" x14ac:dyDescent="0.35">
      <c r="B915" s="40">
        <v>34463</v>
      </c>
      <c r="C915" s="39">
        <v>2218.9</v>
      </c>
      <c r="D915" s="219">
        <f t="shared" si="103"/>
        <v>-8.1241049177586989E-3</v>
      </c>
      <c r="F915" s="40">
        <v>34463</v>
      </c>
      <c r="G915" s="39">
        <v>2218.9</v>
      </c>
      <c r="H915" s="39">
        <f t="shared" si="98"/>
        <v>1</v>
      </c>
      <c r="I915" s="39">
        <f t="shared" si="99"/>
        <v>0</v>
      </c>
      <c r="K915" s="40">
        <v>39234</v>
      </c>
      <c r="L915" s="39">
        <v>7987.85</v>
      </c>
      <c r="M915" s="39">
        <v>5</v>
      </c>
      <c r="N915" s="39">
        <v>7987.85</v>
      </c>
      <c r="O915" s="219">
        <f t="shared" si="104"/>
        <v>3.1623314123424347E-2</v>
      </c>
      <c r="Q915" s="40">
        <v>34463</v>
      </c>
      <c r="R915" s="39">
        <v>2218.9</v>
      </c>
      <c r="S915" s="39">
        <f t="shared" si="100"/>
        <v>5</v>
      </c>
      <c r="T915" s="39">
        <f t="shared" si="101"/>
        <v>0</v>
      </c>
      <c r="U915" s="39">
        <f t="shared" si="102"/>
        <v>0</v>
      </c>
      <c r="V915" s="40"/>
    </row>
    <row r="916" spans="2:22" x14ac:dyDescent="0.35">
      <c r="B916" s="40">
        <v>34464</v>
      </c>
      <c r="C916" s="39">
        <v>2235.1999999999998</v>
      </c>
      <c r="D916" s="219">
        <f t="shared" si="103"/>
        <v>7.3191319303263745E-3</v>
      </c>
      <c r="F916" s="40">
        <v>34464</v>
      </c>
      <c r="G916" s="39">
        <v>2235.1999999999998</v>
      </c>
      <c r="H916" s="39">
        <f t="shared" si="98"/>
        <v>2</v>
      </c>
      <c r="I916" s="39">
        <f t="shared" si="99"/>
        <v>0</v>
      </c>
      <c r="K916" s="40">
        <v>39241</v>
      </c>
      <c r="L916" s="39">
        <v>7590.5</v>
      </c>
      <c r="M916" s="39">
        <v>5</v>
      </c>
      <c r="N916" s="39">
        <v>7590.5</v>
      </c>
      <c r="O916" s="219">
        <f t="shared" si="104"/>
        <v>-5.1024171819373139E-2</v>
      </c>
      <c r="Q916" s="40">
        <v>34464</v>
      </c>
      <c r="R916" s="39">
        <v>2235.1999999999998</v>
      </c>
      <c r="S916" s="39">
        <f t="shared" si="100"/>
        <v>5</v>
      </c>
      <c r="T916" s="39">
        <f t="shared" si="101"/>
        <v>0</v>
      </c>
      <c r="U916" s="39">
        <f t="shared" si="102"/>
        <v>0</v>
      </c>
      <c r="V916" s="40"/>
    </row>
    <row r="917" spans="2:22" x14ac:dyDescent="0.35">
      <c r="B917" s="40">
        <v>34465</v>
      </c>
      <c r="C917" s="39">
        <v>2243.6</v>
      </c>
      <c r="D917" s="219">
        <f t="shared" si="103"/>
        <v>3.7510091314844327E-3</v>
      </c>
      <c r="F917" s="40">
        <v>34465</v>
      </c>
      <c r="G917" s="39">
        <v>2243.6</v>
      </c>
      <c r="H917" s="39">
        <f t="shared" si="98"/>
        <v>3</v>
      </c>
      <c r="I917" s="39">
        <f t="shared" si="99"/>
        <v>0</v>
      </c>
      <c r="K917" s="40">
        <v>39248</v>
      </c>
      <c r="L917" s="39">
        <v>8030.64</v>
      </c>
      <c r="M917" s="39">
        <v>5</v>
      </c>
      <c r="N917" s="39">
        <v>8030.64</v>
      </c>
      <c r="O917" s="219">
        <f t="shared" si="104"/>
        <v>5.6366760512868951E-2</v>
      </c>
      <c r="Q917" s="40">
        <v>34465</v>
      </c>
      <c r="R917" s="39">
        <v>2243.6</v>
      </c>
      <c r="S917" s="39">
        <f t="shared" si="100"/>
        <v>5</v>
      </c>
      <c r="T917" s="39">
        <f t="shared" si="101"/>
        <v>0</v>
      </c>
      <c r="U917" s="39">
        <f t="shared" si="102"/>
        <v>0</v>
      </c>
      <c r="V917" s="40"/>
    </row>
    <row r="918" spans="2:22" x14ac:dyDescent="0.35">
      <c r="B918" s="40">
        <v>34467</v>
      </c>
      <c r="C918" s="39">
        <v>2258.8000000000002</v>
      </c>
      <c r="D918" s="219">
        <f t="shared" si="103"/>
        <v>6.7519801644999235E-3</v>
      </c>
      <c r="F918" s="40">
        <v>34467</v>
      </c>
      <c r="G918" s="39">
        <v>2258.8000000000002</v>
      </c>
      <c r="H918" s="39">
        <f t="shared" si="98"/>
        <v>5</v>
      </c>
      <c r="I918" s="39">
        <f t="shared" si="99"/>
        <v>2258.8000000000002</v>
      </c>
      <c r="K918" s="40">
        <v>39255</v>
      </c>
      <c r="L918" s="39">
        <v>7949.63</v>
      </c>
      <c r="M918" s="39">
        <v>5</v>
      </c>
      <c r="N918" s="39">
        <v>7949.63</v>
      </c>
      <c r="O918" s="219">
        <f t="shared" si="104"/>
        <v>-1.0138839200824796E-2</v>
      </c>
      <c r="Q918" s="40">
        <v>34467</v>
      </c>
      <c r="R918" s="39">
        <v>2258.8000000000002</v>
      </c>
      <c r="S918" s="39">
        <f t="shared" si="100"/>
        <v>5</v>
      </c>
      <c r="T918" s="39">
        <f t="shared" si="101"/>
        <v>0</v>
      </c>
      <c r="U918" s="39">
        <f t="shared" si="102"/>
        <v>0</v>
      </c>
      <c r="V918" s="40"/>
    </row>
    <row r="919" spans="2:22" x14ac:dyDescent="0.35">
      <c r="B919" s="40">
        <v>34470</v>
      </c>
      <c r="C919" s="39">
        <v>2271.1</v>
      </c>
      <c r="D919" s="219">
        <f t="shared" si="103"/>
        <v>5.4305968028658938E-3</v>
      </c>
      <c r="F919" s="40">
        <v>34470</v>
      </c>
      <c r="G919" s="39">
        <v>2271.1</v>
      </c>
      <c r="H919" s="39">
        <f t="shared" si="98"/>
        <v>1</v>
      </c>
      <c r="I919" s="39">
        <f t="shared" si="99"/>
        <v>0</v>
      </c>
      <c r="K919" s="40">
        <v>39262</v>
      </c>
      <c r="L919" s="39">
        <v>8007.32</v>
      </c>
      <c r="M919" s="39">
        <v>5</v>
      </c>
      <c r="N919" s="39">
        <v>8007.32</v>
      </c>
      <c r="O919" s="219">
        <f t="shared" si="104"/>
        <v>7.2307366198373271E-3</v>
      </c>
      <c r="Q919" s="40">
        <v>34470</v>
      </c>
      <c r="R919" s="39">
        <v>2271.1</v>
      </c>
      <c r="S919" s="39">
        <f t="shared" si="100"/>
        <v>5</v>
      </c>
      <c r="T919" s="39">
        <f t="shared" si="101"/>
        <v>0</v>
      </c>
      <c r="U919" s="39">
        <f t="shared" si="102"/>
        <v>0</v>
      </c>
      <c r="V919" s="40"/>
    </row>
    <row r="920" spans="2:22" x14ac:dyDescent="0.35">
      <c r="B920" s="40">
        <v>34471</v>
      </c>
      <c r="C920" s="39">
        <v>2259.6999999999998</v>
      </c>
      <c r="D920" s="219">
        <f t="shared" si="103"/>
        <v>-5.032234509227922E-3</v>
      </c>
      <c r="F920" s="40">
        <v>34471</v>
      </c>
      <c r="G920" s="39">
        <v>2259.6999999999998</v>
      </c>
      <c r="H920" s="39">
        <f t="shared" si="98"/>
        <v>2</v>
      </c>
      <c r="I920" s="39">
        <f t="shared" si="99"/>
        <v>0</v>
      </c>
      <c r="K920" s="40">
        <v>39269</v>
      </c>
      <c r="L920" s="39">
        <v>8048.32</v>
      </c>
      <c r="M920" s="39">
        <v>5</v>
      </c>
      <c r="N920" s="39">
        <v>8048.32</v>
      </c>
      <c r="O920" s="219">
        <f t="shared" si="104"/>
        <v>5.1072506758157816E-3</v>
      </c>
      <c r="Q920" s="40">
        <v>34471</v>
      </c>
      <c r="R920" s="39">
        <v>2259.6999999999998</v>
      </c>
      <c r="S920" s="39">
        <f t="shared" si="100"/>
        <v>5</v>
      </c>
      <c r="T920" s="39">
        <f t="shared" si="101"/>
        <v>0</v>
      </c>
      <c r="U920" s="39">
        <f t="shared" si="102"/>
        <v>0</v>
      </c>
      <c r="V920" s="40"/>
    </row>
    <row r="921" spans="2:22" x14ac:dyDescent="0.35">
      <c r="B921" s="40">
        <v>34472</v>
      </c>
      <c r="C921" s="39">
        <v>2267.4</v>
      </c>
      <c r="D921" s="219">
        <f t="shared" si="103"/>
        <v>3.4017394911786663E-3</v>
      </c>
      <c r="F921" s="40">
        <v>34472</v>
      </c>
      <c r="G921" s="39">
        <v>2267.4</v>
      </c>
      <c r="H921" s="39">
        <f t="shared" si="98"/>
        <v>3</v>
      </c>
      <c r="I921" s="39">
        <f t="shared" si="99"/>
        <v>0</v>
      </c>
      <c r="K921" s="40">
        <v>39276</v>
      </c>
      <c r="L921" s="39">
        <v>8092.77</v>
      </c>
      <c r="M921" s="39">
        <v>5</v>
      </c>
      <c r="N921" s="39">
        <v>8092.77</v>
      </c>
      <c r="O921" s="219">
        <f t="shared" si="104"/>
        <v>5.5076964894941894E-3</v>
      </c>
      <c r="Q921" s="40">
        <v>34472</v>
      </c>
      <c r="R921" s="39">
        <v>2267.4</v>
      </c>
      <c r="S921" s="39">
        <f t="shared" si="100"/>
        <v>5</v>
      </c>
      <c r="T921" s="39">
        <f t="shared" si="101"/>
        <v>0</v>
      </c>
      <c r="U921" s="39">
        <f t="shared" si="102"/>
        <v>0</v>
      </c>
      <c r="V921" s="40"/>
    </row>
    <row r="922" spans="2:22" x14ac:dyDescent="0.35">
      <c r="B922" s="40">
        <v>34473</v>
      </c>
      <c r="C922" s="39">
        <v>2247.8000000000002</v>
      </c>
      <c r="D922" s="219">
        <f t="shared" si="103"/>
        <v>-8.6818404993314856E-3</v>
      </c>
      <c r="F922" s="40">
        <v>34473</v>
      </c>
      <c r="G922" s="39">
        <v>2247.8000000000002</v>
      </c>
      <c r="H922" s="39">
        <f t="shared" si="98"/>
        <v>4</v>
      </c>
      <c r="I922" s="39">
        <f t="shared" si="99"/>
        <v>0</v>
      </c>
      <c r="K922" s="40">
        <v>39283</v>
      </c>
      <c r="L922" s="39">
        <v>7874.85</v>
      </c>
      <c r="M922" s="39">
        <v>5</v>
      </c>
      <c r="N922" s="39">
        <v>7874.85</v>
      </c>
      <c r="O922" s="219">
        <f t="shared" si="104"/>
        <v>-2.729693357658337E-2</v>
      </c>
      <c r="Q922" s="40">
        <v>34473</v>
      </c>
      <c r="R922" s="39">
        <v>2247.8000000000002</v>
      </c>
      <c r="S922" s="39">
        <f t="shared" si="100"/>
        <v>5</v>
      </c>
      <c r="T922" s="39">
        <f t="shared" si="101"/>
        <v>0</v>
      </c>
      <c r="U922" s="39">
        <f t="shared" si="102"/>
        <v>0</v>
      </c>
      <c r="V922" s="40"/>
    </row>
    <row r="923" spans="2:22" x14ac:dyDescent="0.35">
      <c r="B923" s="40">
        <v>34474</v>
      </c>
      <c r="C923" s="39">
        <v>2249.6999999999998</v>
      </c>
      <c r="D923" s="219">
        <f t="shared" si="103"/>
        <v>8.4491389128651538E-4</v>
      </c>
      <c r="F923" s="40">
        <v>34474</v>
      </c>
      <c r="G923" s="39">
        <v>2249.6999999999998</v>
      </c>
      <c r="H923" s="39">
        <f t="shared" si="98"/>
        <v>5</v>
      </c>
      <c r="I923" s="39">
        <f t="shared" si="99"/>
        <v>2249.6999999999998</v>
      </c>
      <c r="K923" s="40">
        <v>39290</v>
      </c>
      <c r="L923" s="39">
        <v>7451.68</v>
      </c>
      <c r="M923" s="39">
        <v>5</v>
      </c>
      <c r="N923" s="39">
        <v>7451.68</v>
      </c>
      <c r="O923" s="219">
        <f t="shared" si="104"/>
        <v>-5.5234626586128079E-2</v>
      </c>
      <c r="Q923" s="40">
        <v>34474</v>
      </c>
      <c r="R923" s="39">
        <v>2249.6999999999998</v>
      </c>
      <c r="S923" s="39">
        <f t="shared" si="100"/>
        <v>5</v>
      </c>
      <c r="T923" s="39">
        <f t="shared" si="101"/>
        <v>0</v>
      </c>
      <c r="U923" s="39">
        <f t="shared" si="102"/>
        <v>0</v>
      </c>
      <c r="V923" s="40"/>
    </row>
    <row r="924" spans="2:22" x14ac:dyDescent="0.35">
      <c r="B924" s="40">
        <v>34478</v>
      </c>
      <c r="C924" s="39">
        <v>2198.6999999999998</v>
      </c>
      <c r="D924" s="219">
        <f t="shared" si="103"/>
        <v>-2.2930597375539243E-2</v>
      </c>
      <c r="F924" s="40">
        <v>34478</v>
      </c>
      <c r="G924" s="39">
        <v>2198.6999999999998</v>
      </c>
      <c r="H924" s="39">
        <f t="shared" si="98"/>
        <v>2</v>
      </c>
      <c r="I924" s="39">
        <f t="shared" si="99"/>
        <v>0</v>
      </c>
      <c r="K924" s="40">
        <v>39297</v>
      </c>
      <c r="L924" s="39">
        <v>7435.67</v>
      </c>
      <c r="M924" s="39">
        <v>5</v>
      </c>
      <c r="N924" s="39">
        <v>7435.67</v>
      </c>
      <c r="O924" s="219">
        <f t="shared" si="104"/>
        <v>-2.1508201489037911E-3</v>
      </c>
      <c r="Q924" s="40">
        <v>34478</v>
      </c>
      <c r="R924" s="39">
        <v>2198.6999999999998</v>
      </c>
      <c r="S924" s="39">
        <f t="shared" si="100"/>
        <v>5</v>
      </c>
      <c r="T924" s="39">
        <f t="shared" si="101"/>
        <v>0</v>
      </c>
      <c r="U924" s="39">
        <f t="shared" si="102"/>
        <v>0</v>
      </c>
      <c r="V924" s="40"/>
    </row>
    <row r="925" spans="2:22" x14ac:dyDescent="0.35">
      <c r="B925" s="40">
        <v>34479</v>
      </c>
      <c r="C925" s="39">
        <v>2158.8000000000002</v>
      </c>
      <c r="D925" s="219">
        <f t="shared" si="103"/>
        <v>-1.8313764855426327E-2</v>
      </c>
      <c r="F925" s="40">
        <v>34479</v>
      </c>
      <c r="G925" s="39">
        <v>2158.8000000000002</v>
      </c>
      <c r="H925" s="39">
        <f t="shared" si="98"/>
        <v>3</v>
      </c>
      <c r="I925" s="39">
        <f t="shared" si="99"/>
        <v>0</v>
      </c>
      <c r="K925" s="40">
        <v>39304</v>
      </c>
      <c r="L925" s="39">
        <v>7343.26</v>
      </c>
      <c r="M925" s="39">
        <v>5</v>
      </c>
      <c r="N925" s="39">
        <v>7343.26</v>
      </c>
      <c r="O925" s="219">
        <f t="shared" si="104"/>
        <v>-1.2505804462137459E-2</v>
      </c>
      <c r="Q925" s="40">
        <v>34479</v>
      </c>
      <c r="R925" s="39">
        <v>2158.8000000000002</v>
      </c>
      <c r="S925" s="39">
        <f t="shared" si="100"/>
        <v>5</v>
      </c>
      <c r="T925" s="39">
        <f t="shared" si="101"/>
        <v>0</v>
      </c>
      <c r="U925" s="39">
        <f t="shared" si="102"/>
        <v>0</v>
      </c>
      <c r="V925" s="40"/>
    </row>
    <row r="926" spans="2:22" x14ac:dyDescent="0.35">
      <c r="B926" s="40">
        <v>34480</v>
      </c>
      <c r="C926" s="39">
        <v>2130.3000000000002</v>
      </c>
      <c r="D926" s="219">
        <f t="shared" si="103"/>
        <v>-1.328969688833005E-2</v>
      </c>
      <c r="F926" s="40">
        <v>34480</v>
      </c>
      <c r="G926" s="39">
        <v>2130.3000000000002</v>
      </c>
      <c r="H926" s="39">
        <f t="shared" si="98"/>
        <v>4</v>
      </c>
      <c r="I926" s="39">
        <f t="shared" si="99"/>
        <v>0</v>
      </c>
      <c r="K926" s="40">
        <v>39311</v>
      </c>
      <c r="L926" s="39">
        <v>7378.29</v>
      </c>
      <c r="M926" s="39">
        <v>5</v>
      </c>
      <c r="N926" s="39">
        <v>7378.29</v>
      </c>
      <c r="O926" s="219">
        <f t="shared" si="104"/>
        <v>4.7590187329484947E-3</v>
      </c>
      <c r="Q926" s="40">
        <v>34480</v>
      </c>
      <c r="R926" s="39">
        <v>2130.3000000000002</v>
      </c>
      <c r="S926" s="39">
        <f t="shared" si="100"/>
        <v>5</v>
      </c>
      <c r="T926" s="39">
        <f t="shared" si="101"/>
        <v>0</v>
      </c>
      <c r="U926" s="39">
        <f t="shared" si="102"/>
        <v>0</v>
      </c>
      <c r="V926" s="40"/>
    </row>
    <row r="927" spans="2:22" x14ac:dyDescent="0.35">
      <c r="B927" s="40">
        <v>34481</v>
      </c>
      <c r="C927" s="39">
        <v>2141</v>
      </c>
      <c r="D927" s="219">
        <f t="shared" si="103"/>
        <v>5.0101947335250419E-3</v>
      </c>
      <c r="F927" s="40">
        <v>34481</v>
      </c>
      <c r="G927" s="39">
        <v>2141</v>
      </c>
      <c r="H927" s="39">
        <f t="shared" si="98"/>
        <v>5</v>
      </c>
      <c r="I927" s="39">
        <f t="shared" si="99"/>
        <v>2141</v>
      </c>
      <c r="K927" s="40">
        <v>39318</v>
      </c>
      <c r="L927" s="39">
        <v>7507.27</v>
      </c>
      <c r="M927" s="39">
        <v>5</v>
      </c>
      <c r="N927" s="39">
        <v>7507.27</v>
      </c>
      <c r="O927" s="219">
        <f t="shared" si="104"/>
        <v>1.7329979928399346E-2</v>
      </c>
      <c r="Q927" s="40">
        <v>34481</v>
      </c>
      <c r="R927" s="39">
        <v>2141</v>
      </c>
      <c r="S927" s="39">
        <f t="shared" si="100"/>
        <v>5</v>
      </c>
      <c r="T927" s="39">
        <f t="shared" si="101"/>
        <v>0</v>
      </c>
      <c r="U927" s="39">
        <f t="shared" si="102"/>
        <v>0</v>
      </c>
      <c r="V927" s="40"/>
    </row>
    <row r="928" spans="2:22" x14ac:dyDescent="0.35">
      <c r="B928" s="40">
        <v>34484</v>
      </c>
      <c r="C928" s="39">
        <v>2118.1999999999998</v>
      </c>
      <c r="D928" s="219">
        <f t="shared" si="103"/>
        <v>-1.0706338180114034E-2</v>
      </c>
      <c r="F928" s="40">
        <v>34484</v>
      </c>
      <c r="G928" s="39">
        <v>2118.1999999999998</v>
      </c>
      <c r="H928" s="39">
        <f t="shared" si="98"/>
        <v>1</v>
      </c>
      <c r="I928" s="39">
        <f t="shared" si="99"/>
        <v>0</v>
      </c>
      <c r="K928" s="40">
        <v>39325</v>
      </c>
      <c r="L928" s="39">
        <v>7638.17</v>
      </c>
      <c r="M928" s="39">
        <v>5</v>
      </c>
      <c r="N928" s="39">
        <v>7638.17</v>
      </c>
      <c r="O928" s="219">
        <f t="shared" si="104"/>
        <v>1.7286161315594264E-2</v>
      </c>
      <c r="Q928" s="40">
        <v>34484</v>
      </c>
      <c r="R928" s="39">
        <v>2118.1999999999998</v>
      </c>
      <c r="S928" s="39">
        <f t="shared" si="100"/>
        <v>5</v>
      </c>
      <c r="T928" s="39">
        <f t="shared" si="101"/>
        <v>0</v>
      </c>
      <c r="U928" s="39">
        <f t="shared" si="102"/>
        <v>0</v>
      </c>
      <c r="V928" s="40"/>
    </row>
    <row r="929" spans="2:22" x14ac:dyDescent="0.35">
      <c r="B929" s="40">
        <v>34485</v>
      </c>
      <c r="C929" s="39">
        <v>2127.6999999999998</v>
      </c>
      <c r="D929" s="219">
        <f t="shared" si="103"/>
        <v>4.4749126701031953E-3</v>
      </c>
      <c r="F929" s="40">
        <v>34485</v>
      </c>
      <c r="G929" s="39">
        <v>2127.6999999999998</v>
      </c>
      <c r="H929" s="39">
        <f t="shared" si="98"/>
        <v>2</v>
      </c>
      <c r="I929" s="39">
        <f t="shared" si="99"/>
        <v>0</v>
      </c>
      <c r="K929" s="40">
        <v>39332</v>
      </c>
      <c r="L929" s="39">
        <v>7436.63</v>
      </c>
      <c r="M929" s="39">
        <v>5</v>
      </c>
      <c r="N929" s="39">
        <v>7436.63</v>
      </c>
      <c r="O929" s="219">
        <f t="shared" si="104"/>
        <v>-2.6740256451265976E-2</v>
      </c>
      <c r="Q929" s="40">
        <v>34485</v>
      </c>
      <c r="R929" s="39">
        <v>2127.6999999999998</v>
      </c>
      <c r="S929" s="39">
        <f t="shared" si="100"/>
        <v>5</v>
      </c>
      <c r="T929" s="39">
        <f t="shared" si="101"/>
        <v>2127.6999999999998</v>
      </c>
      <c r="U929" s="39">
        <f t="shared" si="102"/>
        <v>2127.6999999999998</v>
      </c>
      <c r="V929" s="40"/>
    </row>
    <row r="930" spans="2:22" x14ac:dyDescent="0.35">
      <c r="B930" s="40">
        <v>34486</v>
      </c>
      <c r="C930" s="39">
        <v>2129.6999999999998</v>
      </c>
      <c r="D930" s="219">
        <f t="shared" si="103"/>
        <v>9.3954063377775022E-4</v>
      </c>
      <c r="F930" s="40">
        <v>34486</v>
      </c>
      <c r="G930" s="39">
        <v>2129.6999999999998</v>
      </c>
      <c r="H930" s="39">
        <f t="shared" si="98"/>
        <v>3</v>
      </c>
      <c r="I930" s="39">
        <f t="shared" si="99"/>
        <v>0</v>
      </c>
      <c r="K930" s="40">
        <v>39339</v>
      </c>
      <c r="L930" s="39">
        <v>7497.74</v>
      </c>
      <c r="M930" s="39">
        <v>5</v>
      </c>
      <c r="N930" s="39">
        <v>7497.74</v>
      </c>
      <c r="O930" s="219">
        <f t="shared" si="104"/>
        <v>8.1838525591720005E-3</v>
      </c>
      <c r="Q930" s="40">
        <v>34486</v>
      </c>
      <c r="R930" s="39">
        <v>2129.6999999999998</v>
      </c>
      <c r="S930" s="39">
        <f t="shared" si="100"/>
        <v>6</v>
      </c>
      <c r="T930" s="39">
        <f t="shared" si="101"/>
        <v>0</v>
      </c>
      <c r="U930" s="39">
        <f t="shared" si="102"/>
        <v>0</v>
      </c>
      <c r="V930" s="40"/>
    </row>
    <row r="931" spans="2:22" x14ac:dyDescent="0.35">
      <c r="B931" s="40">
        <v>34488</v>
      </c>
      <c r="C931" s="39">
        <v>2148.4</v>
      </c>
      <c r="D931" s="219">
        <f t="shared" si="103"/>
        <v>8.7422543178546155E-3</v>
      </c>
      <c r="F931" s="40">
        <v>34488</v>
      </c>
      <c r="G931" s="39">
        <v>2148.4</v>
      </c>
      <c r="H931" s="39">
        <f t="shared" si="98"/>
        <v>5</v>
      </c>
      <c r="I931" s="39">
        <f t="shared" si="99"/>
        <v>2148.4</v>
      </c>
      <c r="K931" s="40">
        <v>39346</v>
      </c>
      <c r="L931" s="39">
        <v>7794.43</v>
      </c>
      <c r="M931" s="39">
        <v>5</v>
      </c>
      <c r="N931" s="39">
        <v>7794.43</v>
      </c>
      <c r="O931" s="219">
        <f t="shared" si="104"/>
        <v>3.8807734239838729E-2</v>
      </c>
      <c r="Q931" s="40">
        <v>34488</v>
      </c>
      <c r="R931" s="39">
        <v>2148.4</v>
      </c>
      <c r="S931" s="39">
        <f t="shared" si="100"/>
        <v>6</v>
      </c>
      <c r="T931" s="39">
        <f t="shared" si="101"/>
        <v>0</v>
      </c>
      <c r="U931" s="39">
        <f t="shared" si="102"/>
        <v>0</v>
      </c>
      <c r="V931" s="40"/>
    </row>
    <row r="932" spans="2:22" x14ac:dyDescent="0.35">
      <c r="B932" s="40">
        <v>34491</v>
      </c>
      <c r="C932" s="39">
        <v>2163.1</v>
      </c>
      <c r="D932" s="219">
        <f t="shared" si="103"/>
        <v>6.8189989381515562E-3</v>
      </c>
      <c r="F932" s="40">
        <v>34491</v>
      </c>
      <c r="G932" s="39">
        <v>2163.1</v>
      </c>
      <c r="H932" s="39">
        <f t="shared" si="98"/>
        <v>1</v>
      </c>
      <c r="I932" s="39">
        <f t="shared" si="99"/>
        <v>0</v>
      </c>
      <c r="K932" s="40">
        <v>39353</v>
      </c>
      <c r="L932" s="39">
        <v>7861.51</v>
      </c>
      <c r="M932" s="39">
        <v>5</v>
      </c>
      <c r="N932" s="39">
        <v>7861.51</v>
      </c>
      <c r="O932" s="219">
        <f t="shared" si="104"/>
        <v>8.5693239105047048E-3</v>
      </c>
      <c r="Q932" s="40">
        <v>34491</v>
      </c>
      <c r="R932" s="39">
        <v>2163.1</v>
      </c>
      <c r="S932" s="39">
        <f t="shared" si="100"/>
        <v>6</v>
      </c>
      <c r="T932" s="39">
        <f t="shared" si="101"/>
        <v>0</v>
      </c>
      <c r="U932" s="39">
        <f t="shared" si="102"/>
        <v>0</v>
      </c>
      <c r="V932" s="40"/>
    </row>
    <row r="933" spans="2:22" x14ac:dyDescent="0.35">
      <c r="B933" s="40">
        <v>34492</v>
      </c>
      <c r="C933" s="39">
        <v>2135.1</v>
      </c>
      <c r="D933" s="219">
        <f t="shared" si="103"/>
        <v>-1.3028893996120731E-2</v>
      </c>
      <c r="F933" s="40">
        <v>34492</v>
      </c>
      <c r="G933" s="39">
        <v>2135.1</v>
      </c>
      <c r="H933" s="39">
        <f t="shared" si="98"/>
        <v>2</v>
      </c>
      <c r="I933" s="39">
        <f t="shared" si="99"/>
        <v>0</v>
      </c>
      <c r="K933" s="40">
        <v>39360</v>
      </c>
      <c r="L933" s="39">
        <v>8002.18</v>
      </c>
      <c r="M933" s="39">
        <v>5</v>
      </c>
      <c r="N933" s="39">
        <v>8002.18</v>
      </c>
      <c r="O933" s="219">
        <f t="shared" si="104"/>
        <v>1.7735304609191066E-2</v>
      </c>
      <c r="Q933" s="40">
        <v>34492</v>
      </c>
      <c r="R933" s="39">
        <v>2135.1</v>
      </c>
      <c r="S933" s="39">
        <f t="shared" si="100"/>
        <v>6</v>
      </c>
      <c r="T933" s="39">
        <f t="shared" si="101"/>
        <v>0</v>
      </c>
      <c r="U933" s="39">
        <f t="shared" si="102"/>
        <v>0</v>
      </c>
      <c r="V933" s="40"/>
    </row>
    <row r="934" spans="2:22" x14ac:dyDescent="0.35">
      <c r="B934" s="40">
        <v>34493</v>
      </c>
      <c r="C934" s="39">
        <v>2145.1999999999998</v>
      </c>
      <c r="D934" s="219">
        <f t="shared" si="103"/>
        <v>4.7193041354349615E-3</v>
      </c>
      <c r="F934" s="40">
        <v>34493</v>
      </c>
      <c r="G934" s="39">
        <v>2145.1999999999998</v>
      </c>
      <c r="H934" s="39">
        <f t="shared" si="98"/>
        <v>3</v>
      </c>
      <c r="I934" s="39">
        <f t="shared" si="99"/>
        <v>0</v>
      </c>
      <c r="K934" s="40">
        <v>39367</v>
      </c>
      <c r="L934" s="39">
        <v>8041.26</v>
      </c>
      <c r="M934" s="39">
        <v>5</v>
      </c>
      <c r="N934" s="39">
        <v>8041.26</v>
      </c>
      <c r="O934" s="219">
        <f t="shared" si="104"/>
        <v>4.8717827715960586E-3</v>
      </c>
      <c r="Q934" s="40">
        <v>34493</v>
      </c>
      <c r="R934" s="39">
        <v>2145.1999999999998</v>
      </c>
      <c r="S934" s="39">
        <f t="shared" si="100"/>
        <v>6</v>
      </c>
      <c r="T934" s="39">
        <f t="shared" si="101"/>
        <v>0</v>
      </c>
      <c r="U934" s="39">
        <f t="shared" si="102"/>
        <v>0</v>
      </c>
      <c r="V934" s="40"/>
    </row>
    <row r="935" spans="2:22" x14ac:dyDescent="0.35">
      <c r="B935" s="40">
        <v>34494</v>
      </c>
      <c r="C935" s="39">
        <v>2129.3000000000002</v>
      </c>
      <c r="D935" s="219">
        <f t="shared" si="103"/>
        <v>-7.4395009164171253E-3</v>
      </c>
      <c r="F935" s="40">
        <v>34494</v>
      </c>
      <c r="G935" s="39">
        <v>2129.3000000000002</v>
      </c>
      <c r="H935" s="39">
        <f t="shared" si="98"/>
        <v>4</v>
      </c>
      <c r="I935" s="39">
        <f t="shared" si="99"/>
        <v>0</v>
      </c>
      <c r="K935" s="40">
        <v>39374</v>
      </c>
      <c r="L935" s="39">
        <v>7884.12</v>
      </c>
      <c r="M935" s="39">
        <v>5</v>
      </c>
      <c r="N935" s="39">
        <v>7884.12</v>
      </c>
      <c r="O935" s="219">
        <f t="shared" si="104"/>
        <v>-1.9735177455258227E-2</v>
      </c>
      <c r="Q935" s="40">
        <v>34494</v>
      </c>
      <c r="R935" s="39">
        <v>2129.3000000000002</v>
      </c>
      <c r="S935" s="39">
        <f t="shared" si="100"/>
        <v>6</v>
      </c>
      <c r="T935" s="39">
        <f t="shared" si="101"/>
        <v>0</v>
      </c>
      <c r="U935" s="39">
        <f t="shared" si="102"/>
        <v>0</v>
      </c>
      <c r="V935" s="40"/>
    </row>
    <row r="936" spans="2:22" x14ac:dyDescent="0.35">
      <c r="B936" s="40">
        <v>34495</v>
      </c>
      <c r="C936" s="39">
        <v>2133.1</v>
      </c>
      <c r="D936" s="219">
        <f t="shared" si="103"/>
        <v>1.7830335054190242E-3</v>
      </c>
      <c r="F936" s="40">
        <v>34495</v>
      </c>
      <c r="G936" s="39">
        <v>2133.1</v>
      </c>
      <c r="H936" s="39">
        <f t="shared" si="98"/>
        <v>5</v>
      </c>
      <c r="I936" s="39">
        <f t="shared" si="99"/>
        <v>2133.1</v>
      </c>
      <c r="K936" s="40">
        <v>39381</v>
      </c>
      <c r="L936" s="39">
        <v>7949.17</v>
      </c>
      <c r="M936" s="39">
        <v>5</v>
      </c>
      <c r="N936" s="39">
        <v>7949.17</v>
      </c>
      <c r="O936" s="219">
        <f t="shared" si="104"/>
        <v>8.2169108254029569E-3</v>
      </c>
      <c r="Q936" s="40">
        <v>34495</v>
      </c>
      <c r="R936" s="39">
        <v>2133.1</v>
      </c>
      <c r="S936" s="39">
        <f t="shared" si="100"/>
        <v>6</v>
      </c>
      <c r="T936" s="39">
        <f t="shared" si="101"/>
        <v>0</v>
      </c>
      <c r="U936" s="39">
        <f t="shared" si="102"/>
        <v>0</v>
      </c>
      <c r="V936" s="40"/>
    </row>
    <row r="937" spans="2:22" x14ac:dyDescent="0.35">
      <c r="B937" s="40">
        <v>34498</v>
      </c>
      <c r="C937" s="39">
        <v>2105.8000000000002</v>
      </c>
      <c r="D937" s="219">
        <f t="shared" si="103"/>
        <v>-1.2880878275112939E-2</v>
      </c>
      <c r="F937" s="40">
        <v>34498</v>
      </c>
      <c r="G937" s="39">
        <v>2105.8000000000002</v>
      </c>
      <c r="H937" s="39">
        <f t="shared" si="98"/>
        <v>1</v>
      </c>
      <c r="I937" s="39">
        <f t="shared" si="99"/>
        <v>0</v>
      </c>
      <c r="K937" s="40">
        <v>39388</v>
      </c>
      <c r="L937" s="39">
        <v>7849.49</v>
      </c>
      <c r="M937" s="39">
        <v>5</v>
      </c>
      <c r="N937" s="39">
        <v>7849.49</v>
      </c>
      <c r="O937" s="219">
        <f t="shared" si="104"/>
        <v>-1.2618959169266291E-2</v>
      </c>
      <c r="Q937" s="40">
        <v>34498</v>
      </c>
      <c r="R937" s="39">
        <v>2105.8000000000002</v>
      </c>
      <c r="S937" s="39">
        <f t="shared" si="100"/>
        <v>6</v>
      </c>
      <c r="T937" s="39">
        <f t="shared" si="101"/>
        <v>0</v>
      </c>
      <c r="U937" s="39">
        <f t="shared" si="102"/>
        <v>0</v>
      </c>
      <c r="V937" s="40"/>
    </row>
    <row r="938" spans="2:22" x14ac:dyDescent="0.35">
      <c r="B938" s="40">
        <v>34499</v>
      </c>
      <c r="C938" s="39">
        <v>2074.6999999999998</v>
      </c>
      <c r="D938" s="219">
        <f t="shared" si="103"/>
        <v>-1.4878877523565254E-2</v>
      </c>
      <c r="F938" s="40">
        <v>34499</v>
      </c>
      <c r="G938" s="39">
        <v>2074.6999999999998</v>
      </c>
      <c r="H938" s="39">
        <f t="shared" si="98"/>
        <v>2</v>
      </c>
      <c r="I938" s="39">
        <f t="shared" si="99"/>
        <v>0</v>
      </c>
      <c r="K938" s="40">
        <v>39395</v>
      </c>
      <c r="L938" s="39">
        <v>7812.4</v>
      </c>
      <c r="M938" s="39">
        <v>5</v>
      </c>
      <c r="N938" s="39">
        <v>7812.4</v>
      </c>
      <c r="O938" s="219">
        <f t="shared" si="104"/>
        <v>-4.7363465503297841E-3</v>
      </c>
      <c r="Q938" s="40">
        <v>34499</v>
      </c>
      <c r="R938" s="39">
        <v>2074.6999999999998</v>
      </c>
      <c r="S938" s="39">
        <f t="shared" si="100"/>
        <v>6</v>
      </c>
      <c r="T938" s="39">
        <f t="shared" si="101"/>
        <v>0</v>
      </c>
      <c r="U938" s="39">
        <f t="shared" si="102"/>
        <v>0</v>
      </c>
      <c r="V938" s="40"/>
    </row>
    <row r="939" spans="2:22" x14ac:dyDescent="0.35">
      <c r="B939" s="40">
        <v>34500</v>
      </c>
      <c r="C939" s="39">
        <v>2074.6999999999998</v>
      </c>
      <c r="D939" s="219">
        <f t="shared" si="103"/>
        <v>0</v>
      </c>
      <c r="F939" s="40">
        <v>34500</v>
      </c>
      <c r="G939" s="39">
        <v>2074.6999999999998</v>
      </c>
      <c r="H939" s="39">
        <f t="shared" si="98"/>
        <v>3</v>
      </c>
      <c r="I939" s="39">
        <f t="shared" si="99"/>
        <v>0</v>
      </c>
      <c r="K939" s="40">
        <v>39402</v>
      </c>
      <c r="L939" s="39">
        <v>7612.26</v>
      </c>
      <c r="M939" s="39">
        <v>5</v>
      </c>
      <c r="N939" s="39">
        <v>7612.26</v>
      </c>
      <c r="O939" s="219">
        <f t="shared" si="104"/>
        <v>-2.5952109535169056E-2</v>
      </c>
      <c r="Q939" s="40">
        <v>34500</v>
      </c>
      <c r="R939" s="39">
        <v>2074.6999999999998</v>
      </c>
      <c r="S939" s="39">
        <f t="shared" si="100"/>
        <v>6</v>
      </c>
      <c r="T939" s="39">
        <f t="shared" si="101"/>
        <v>0</v>
      </c>
      <c r="U939" s="39">
        <f t="shared" si="102"/>
        <v>0</v>
      </c>
      <c r="V939" s="40"/>
    </row>
    <row r="940" spans="2:22" x14ac:dyDescent="0.35">
      <c r="B940" s="40">
        <v>34501</v>
      </c>
      <c r="C940" s="39">
        <v>2054.9</v>
      </c>
      <c r="D940" s="219">
        <f t="shared" si="103"/>
        <v>-9.5893799532692035E-3</v>
      </c>
      <c r="F940" s="40">
        <v>34501</v>
      </c>
      <c r="G940" s="39">
        <v>2054.9</v>
      </c>
      <c r="H940" s="39">
        <f t="shared" si="98"/>
        <v>4</v>
      </c>
      <c r="I940" s="39">
        <f t="shared" si="99"/>
        <v>0</v>
      </c>
      <c r="K940" s="40">
        <v>39409</v>
      </c>
      <c r="L940" s="39">
        <v>7608.96</v>
      </c>
      <c r="M940" s="39">
        <v>5</v>
      </c>
      <c r="N940" s="39">
        <v>7608.96</v>
      </c>
      <c r="O940" s="219">
        <f t="shared" si="104"/>
        <v>-4.3360519744196235E-4</v>
      </c>
      <c r="Q940" s="40">
        <v>34501</v>
      </c>
      <c r="R940" s="39">
        <v>2054.9</v>
      </c>
      <c r="S940" s="39">
        <f t="shared" si="100"/>
        <v>6</v>
      </c>
      <c r="T940" s="39">
        <f t="shared" si="101"/>
        <v>0</v>
      </c>
      <c r="U940" s="39">
        <f t="shared" si="102"/>
        <v>0</v>
      </c>
      <c r="V940" s="40"/>
    </row>
    <row r="941" spans="2:22" x14ac:dyDescent="0.35">
      <c r="B941" s="40">
        <v>34502</v>
      </c>
      <c r="C941" s="39">
        <v>2050.6999999999998</v>
      </c>
      <c r="D941" s="219">
        <f t="shared" si="103"/>
        <v>-2.0459866841005532E-3</v>
      </c>
      <c r="F941" s="40">
        <v>34502</v>
      </c>
      <c r="G941" s="39">
        <v>2050.6999999999998</v>
      </c>
      <c r="H941" s="39">
        <f t="shared" si="98"/>
        <v>5</v>
      </c>
      <c r="I941" s="39">
        <f t="shared" si="99"/>
        <v>2050.6999999999998</v>
      </c>
      <c r="K941" s="40">
        <v>39416</v>
      </c>
      <c r="L941" s="39">
        <v>7870.52</v>
      </c>
      <c r="M941" s="39">
        <v>5</v>
      </c>
      <c r="N941" s="39">
        <v>7870.52</v>
      </c>
      <c r="O941" s="219">
        <f t="shared" si="104"/>
        <v>3.3797633696138848E-2</v>
      </c>
      <c r="Q941" s="40">
        <v>34502</v>
      </c>
      <c r="R941" s="39">
        <v>2050.6999999999998</v>
      </c>
      <c r="S941" s="39">
        <f t="shared" si="100"/>
        <v>6</v>
      </c>
      <c r="T941" s="39">
        <f t="shared" si="101"/>
        <v>0</v>
      </c>
      <c r="U941" s="39">
        <f t="shared" si="102"/>
        <v>0</v>
      </c>
      <c r="V941" s="40"/>
    </row>
    <row r="942" spans="2:22" x14ac:dyDescent="0.35">
      <c r="B942" s="40">
        <v>34505</v>
      </c>
      <c r="C942" s="39">
        <v>1968.8</v>
      </c>
      <c r="D942" s="219">
        <f t="shared" si="103"/>
        <v>-4.0756978184877952E-2</v>
      </c>
      <c r="F942" s="40">
        <v>34505</v>
      </c>
      <c r="G942" s="39">
        <v>1968.8</v>
      </c>
      <c r="H942" s="39">
        <f t="shared" si="98"/>
        <v>1</v>
      </c>
      <c r="I942" s="39">
        <f t="shared" si="99"/>
        <v>0</v>
      </c>
      <c r="K942" s="40">
        <v>39423</v>
      </c>
      <c r="L942" s="39">
        <v>7994.07</v>
      </c>
      <c r="M942" s="39">
        <v>5</v>
      </c>
      <c r="N942" s="39">
        <v>7994.07</v>
      </c>
      <c r="O942" s="219">
        <f t="shared" si="104"/>
        <v>1.5575882874091616E-2</v>
      </c>
      <c r="Q942" s="40">
        <v>34505</v>
      </c>
      <c r="R942" s="39">
        <v>1968.8</v>
      </c>
      <c r="S942" s="39">
        <f t="shared" si="100"/>
        <v>6</v>
      </c>
      <c r="T942" s="39">
        <f t="shared" si="101"/>
        <v>0</v>
      </c>
      <c r="U942" s="39">
        <f t="shared" si="102"/>
        <v>0</v>
      </c>
      <c r="V942" s="40"/>
    </row>
    <row r="943" spans="2:22" x14ac:dyDescent="0.35">
      <c r="B943" s="40">
        <v>34506</v>
      </c>
      <c r="C943" s="39">
        <v>1983.3</v>
      </c>
      <c r="D943" s="219">
        <f t="shared" si="103"/>
        <v>7.3379039307959731E-3</v>
      </c>
      <c r="F943" s="40">
        <v>34506</v>
      </c>
      <c r="G943" s="39">
        <v>1983.3</v>
      </c>
      <c r="H943" s="39">
        <f t="shared" si="98"/>
        <v>2</v>
      </c>
      <c r="I943" s="39">
        <f t="shared" si="99"/>
        <v>0</v>
      </c>
      <c r="K943" s="40">
        <v>39430</v>
      </c>
      <c r="L943" s="39">
        <v>7948.36</v>
      </c>
      <c r="M943" s="39">
        <v>5</v>
      </c>
      <c r="N943" s="39">
        <v>7948.36</v>
      </c>
      <c r="O943" s="219">
        <f t="shared" si="104"/>
        <v>-5.7343987407204536E-3</v>
      </c>
      <c r="Q943" s="40">
        <v>34506</v>
      </c>
      <c r="R943" s="39">
        <v>1983.3</v>
      </c>
      <c r="S943" s="39">
        <f t="shared" si="100"/>
        <v>6</v>
      </c>
      <c r="T943" s="39">
        <f t="shared" si="101"/>
        <v>0</v>
      </c>
      <c r="U943" s="39">
        <f t="shared" si="102"/>
        <v>0</v>
      </c>
      <c r="V943" s="40"/>
    </row>
    <row r="944" spans="2:22" x14ac:dyDescent="0.35">
      <c r="B944" s="40">
        <v>34507</v>
      </c>
      <c r="C944" s="39">
        <v>1994.4</v>
      </c>
      <c r="D944" s="219">
        <f t="shared" si="103"/>
        <v>5.5811292017059911E-3</v>
      </c>
      <c r="F944" s="40">
        <v>34507</v>
      </c>
      <c r="G944" s="39">
        <v>1994.4</v>
      </c>
      <c r="H944" s="39">
        <f t="shared" si="98"/>
        <v>3</v>
      </c>
      <c r="I944" s="39">
        <f t="shared" si="99"/>
        <v>0</v>
      </c>
      <c r="K944" s="40">
        <v>39437</v>
      </c>
      <c r="L944" s="39">
        <v>8002.67</v>
      </c>
      <c r="M944" s="39">
        <v>5</v>
      </c>
      <c r="N944" s="39">
        <v>8002.67</v>
      </c>
      <c r="O944" s="219">
        <f t="shared" si="104"/>
        <v>6.8096179201951844E-3</v>
      </c>
      <c r="Q944" s="40">
        <v>34507</v>
      </c>
      <c r="R944" s="39">
        <v>1994.4</v>
      </c>
      <c r="S944" s="39">
        <f t="shared" si="100"/>
        <v>6</v>
      </c>
      <c r="T944" s="39">
        <f t="shared" si="101"/>
        <v>0</v>
      </c>
      <c r="U944" s="39">
        <f t="shared" si="102"/>
        <v>0</v>
      </c>
      <c r="V944" s="40"/>
    </row>
    <row r="945" spans="2:22" x14ac:dyDescent="0.35">
      <c r="B945" s="40">
        <v>34508</v>
      </c>
      <c r="C945" s="39">
        <v>2022.1</v>
      </c>
      <c r="D945" s="219">
        <f t="shared" si="103"/>
        <v>1.3793322132335769E-2</v>
      </c>
      <c r="F945" s="40">
        <v>34508</v>
      </c>
      <c r="G945" s="39">
        <v>2022.1</v>
      </c>
      <c r="H945" s="39">
        <f t="shared" si="98"/>
        <v>4</v>
      </c>
      <c r="I945" s="39">
        <f t="shared" si="99"/>
        <v>0</v>
      </c>
      <c r="K945" s="40">
        <v>39444</v>
      </c>
      <c r="L945" s="39">
        <v>8067.32</v>
      </c>
      <c r="M945" s="39">
        <v>5</v>
      </c>
      <c r="N945" s="39">
        <v>8067.32</v>
      </c>
      <c r="O945" s="219">
        <f t="shared" si="104"/>
        <v>8.0460969527211181E-3</v>
      </c>
      <c r="Q945" s="40">
        <v>34508</v>
      </c>
      <c r="R945" s="39">
        <v>2022.1</v>
      </c>
      <c r="S945" s="39">
        <f t="shared" si="100"/>
        <v>6</v>
      </c>
      <c r="T945" s="39">
        <f t="shared" si="101"/>
        <v>0</v>
      </c>
      <c r="U945" s="39">
        <f t="shared" si="102"/>
        <v>0</v>
      </c>
      <c r="V945" s="40"/>
    </row>
    <row r="946" spans="2:22" x14ac:dyDescent="0.35">
      <c r="B946" s="40">
        <v>34509</v>
      </c>
      <c r="C946" s="39">
        <v>2005.3</v>
      </c>
      <c r="D946" s="219">
        <f t="shared" si="103"/>
        <v>-8.342899858695978E-3</v>
      </c>
      <c r="F946" s="40">
        <v>34509</v>
      </c>
      <c r="G946" s="39">
        <v>2005.3</v>
      </c>
      <c r="H946" s="39">
        <f t="shared" si="98"/>
        <v>5</v>
      </c>
      <c r="I946" s="39">
        <f t="shared" si="99"/>
        <v>2005.3</v>
      </c>
      <c r="K946" s="40">
        <v>39451</v>
      </c>
      <c r="L946" s="39">
        <v>7808.69</v>
      </c>
      <c r="M946" s="39">
        <v>5</v>
      </c>
      <c r="N946" s="39">
        <v>7808.69</v>
      </c>
      <c r="O946" s="219">
        <f t="shared" si="104"/>
        <v>-3.2584116842462138E-2</v>
      </c>
      <c r="Q946" s="40">
        <v>34509</v>
      </c>
      <c r="R946" s="39">
        <v>2005.3</v>
      </c>
      <c r="S946" s="39">
        <f t="shared" si="100"/>
        <v>6</v>
      </c>
      <c r="T946" s="39">
        <f t="shared" si="101"/>
        <v>0</v>
      </c>
      <c r="U946" s="39">
        <f t="shared" si="102"/>
        <v>0</v>
      </c>
      <c r="V946" s="40"/>
    </row>
    <row r="947" spans="2:22" x14ac:dyDescent="0.35">
      <c r="B947" s="40">
        <v>34512</v>
      </c>
      <c r="C947" s="39">
        <v>1988.6</v>
      </c>
      <c r="D947" s="219">
        <f t="shared" si="103"/>
        <v>-8.3628019370146668E-3</v>
      </c>
      <c r="F947" s="40">
        <v>34512</v>
      </c>
      <c r="G947" s="39">
        <v>1988.6</v>
      </c>
      <c r="H947" s="39">
        <f t="shared" si="98"/>
        <v>1</v>
      </c>
      <c r="I947" s="39">
        <f t="shared" si="99"/>
        <v>0</v>
      </c>
      <c r="K947" s="40">
        <v>39458</v>
      </c>
      <c r="L947" s="39">
        <v>7717.95</v>
      </c>
      <c r="M947" s="39">
        <v>5</v>
      </c>
      <c r="N947" s="39">
        <v>7717.95</v>
      </c>
      <c r="O947" s="219">
        <f t="shared" si="104"/>
        <v>-1.1688431375780288E-2</v>
      </c>
      <c r="Q947" s="40">
        <v>34512</v>
      </c>
      <c r="R947" s="39">
        <v>1988.6</v>
      </c>
      <c r="S947" s="39">
        <f t="shared" si="100"/>
        <v>6</v>
      </c>
      <c r="T947" s="39">
        <f t="shared" si="101"/>
        <v>0</v>
      </c>
      <c r="U947" s="39">
        <f t="shared" si="102"/>
        <v>0</v>
      </c>
      <c r="V947" s="40"/>
    </row>
    <row r="948" spans="2:22" x14ac:dyDescent="0.35">
      <c r="B948" s="40">
        <v>34513</v>
      </c>
      <c r="C948" s="39">
        <v>2018.3</v>
      </c>
      <c r="D948" s="219">
        <f t="shared" si="103"/>
        <v>1.4824699360100273E-2</v>
      </c>
      <c r="F948" s="40">
        <v>34513</v>
      </c>
      <c r="G948" s="39">
        <v>2018.3</v>
      </c>
      <c r="H948" s="39">
        <f t="shared" si="98"/>
        <v>2</v>
      </c>
      <c r="I948" s="39">
        <f t="shared" si="99"/>
        <v>0</v>
      </c>
      <c r="K948" s="40">
        <v>39465</v>
      </c>
      <c r="L948" s="39">
        <v>7314.17</v>
      </c>
      <c r="M948" s="39">
        <v>5</v>
      </c>
      <c r="N948" s="39">
        <v>7314.17</v>
      </c>
      <c r="O948" s="219">
        <f t="shared" si="104"/>
        <v>-5.3735222179665955E-2</v>
      </c>
      <c r="Q948" s="40">
        <v>34513</v>
      </c>
      <c r="R948" s="39">
        <v>2018.3</v>
      </c>
      <c r="S948" s="39">
        <f t="shared" si="100"/>
        <v>6</v>
      </c>
      <c r="T948" s="39">
        <f t="shared" si="101"/>
        <v>0</v>
      </c>
      <c r="U948" s="39">
        <f t="shared" si="102"/>
        <v>0</v>
      </c>
      <c r="V948" s="40"/>
    </row>
    <row r="949" spans="2:22" x14ac:dyDescent="0.35">
      <c r="B949" s="40">
        <v>34514</v>
      </c>
      <c r="C949" s="39">
        <v>2046.3</v>
      </c>
      <c r="D949" s="219">
        <f t="shared" si="103"/>
        <v>1.3777711422709909E-2</v>
      </c>
      <c r="F949" s="40">
        <v>34514</v>
      </c>
      <c r="G949" s="39">
        <v>2046.3</v>
      </c>
      <c r="H949" s="39">
        <f t="shared" si="98"/>
        <v>3</v>
      </c>
      <c r="I949" s="39">
        <f t="shared" si="99"/>
        <v>0</v>
      </c>
      <c r="K949" s="40">
        <v>39472</v>
      </c>
      <c r="L949" s="39">
        <v>6816.74</v>
      </c>
      <c r="M949" s="39">
        <v>5</v>
      </c>
      <c r="N949" s="39">
        <v>6816.74</v>
      </c>
      <c r="O949" s="219">
        <f t="shared" si="104"/>
        <v>-7.0432210843461351E-2</v>
      </c>
      <c r="Q949" s="40">
        <v>34514</v>
      </c>
      <c r="R949" s="39">
        <v>2046.3</v>
      </c>
      <c r="S949" s="39">
        <f t="shared" si="100"/>
        <v>6</v>
      </c>
      <c r="T949" s="39">
        <f t="shared" si="101"/>
        <v>0</v>
      </c>
      <c r="U949" s="39">
        <f t="shared" si="102"/>
        <v>0</v>
      </c>
      <c r="V949" s="40"/>
    </row>
    <row r="950" spans="2:22" x14ac:dyDescent="0.35">
      <c r="B950" s="40">
        <v>34515</v>
      </c>
      <c r="C950" s="39">
        <v>2025.3</v>
      </c>
      <c r="D950" s="219">
        <f t="shared" si="103"/>
        <v>-1.0315446612848908E-2</v>
      </c>
      <c r="F950" s="40">
        <v>34515</v>
      </c>
      <c r="G950" s="39">
        <v>2025.3</v>
      </c>
      <c r="H950" s="39">
        <f t="shared" si="98"/>
        <v>4</v>
      </c>
      <c r="I950" s="39">
        <f t="shared" si="99"/>
        <v>0</v>
      </c>
      <c r="K950" s="40">
        <v>39479</v>
      </c>
      <c r="L950" s="39">
        <v>6968.67</v>
      </c>
      <c r="M950" s="39">
        <v>5</v>
      </c>
      <c r="N950" s="39">
        <v>6968.67</v>
      </c>
      <c r="O950" s="219">
        <f t="shared" si="104"/>
        <v>2.2043037064825712E-2</v>
      </c>
      <c r="Q950" s="40">
        <v>34515</v>
      </c>
      <c r="R950" s="39">
        <v>2025.3</v>
      </c>
      <c r="S950" s="39">
        <f t="shared" si="100"/>
        <v>6</v>
      </c>
      <c r="T950" s="39">
        <f t="shared" si="101"/>
        <v>2025.3</v>
      </c>
      <c r="U950" s="39">
        <f t="shared" si="102"/>
        <v>2025.3</v>
      </c>
      <c r="V950" s="40"/>
    </row>
    <row r="951" spans="2:22" x14ac:dyDescent="0.35">
      <c r="B951" s="40">
        <v>34516</v>
      </c>
      <c r="C951" s="39">
        <v>2036.5</v>
      </c>
      <c r="D951" s="219">
        <f t="shared" si="103"/>
        <v>5.5148103725328424E-3</v>
      </c>
      <c r="F951" s="40">
        <v>34516</v>
      </c>
      <c r="G951" s="39">
        <v>2036.5</v>
      </c>
      <c r="H951" s="39">
        <f t="shared" ref="H951:H1014" si="105">WEEKDAY(F951,2)</f>
        <v>5</v>
      </c>
      <c r="I951" s="39">
        <f t="shared" ref="I951:I1014" si="106">IF(H951&gt;H952,G951,0)</f>
        <v>2036.5</v>
      </c>
      <c r="K951" s="40">
        <v>39486</v>
      </c>
      <c r="L951" s="39">
        <v>6767.28</v>
      </c>
      <c r="M951" s="39">
        <v>5</v>
      </c>
      <c r="N951" s="39">
        <v>6767.28</v>
      </c>
      <c r="O951" s="219">
        <f t="shared" si="104"/>
        <v>-2.9325155107742511E-2</v>
      </c>
      <c r="Q951" s="40">
        <v>34516</v>
      </c>
      <c r="R951" s="39">
        <v>2036.5</v>
      </c>
      <c r="S951" s="39">
        <f t="shared" ref="S951:S1014" si="107">MONTH(Q951)</f>
        <v>7</v>
      </c>
      <c r="T951" s="39">
        <f t="shared" ref="T951:T1014" si="108">IF(S952&lt;&gt;S951,R951,0)</f>
        <v>0</v>
      </c>
      <c r="U951" s="39">
        <f t="shared" ref="U951:U1014" si="109">IF(S952=S951,0,R951)</f>
        <v>0</v>
      </c>
      <c r="V951" s="40"/>
    </row>
    <row r="952" spans="2:22" x14ac:dyDescent="0.35">
      <c r="B952" s="40">
        <v>34519</v>
      </c>
      <c r="C952" s="39">
        <v>2054.4</v>
      </c>
      <c r="D952" s="219">
        <f t="shared" ref="D952:D1015" si="110">LN(C952/C951)</f>
        <v>8.7511864071747655E-3</v>
      </c>
      <c r="F952" s="40">
        <v>34519</v>
      </c>
      <c r="G952" s="39">
        <v>2054.4</v>
      </c>
      <c r="H952" s="39">
        <f t="shared" si="105"/>
        <v>1</v>
      </c>
      <c r="I952" s="39">
        <f t="shared" si="106"/>
        <v>0</v>
      </c>
      <c r="K952" s="40">
        <v>39493</v>
      </c>
      <c r="L952" s="39">
        <v>6832.43</v>
      </c>
      <c r="M952" s="39">
        <v>5</v>
      </c>
      <c r="N952" s="39">
        <v>6832.43</v>
      </c>
      <c r="O952" s="219">
        <f t="shared" ref="O952:O1015" si="111">LN(N952/N951)</f>
        <v>9.5811599496280382E-3</v>
      </c>
      <c r="Q952" s="40">
        <v>34519</v>
      </c>
      <c r="R952" s="39">
        <v>2054.4</v>
      </c>
      <c r="S952" s="39">
        <f t="shared" si="107"/>
        <v>7</v>
      </c>
      <c r="T952" s="39">
        <f t="shared" si="108"/>
        <v>0</v>
      </c>
      <c r="U952" s="39">
        <f t="shared" si="109"/>
        <v>0</v>
      </c>
      <c r="V952" s="40"/>
    </row>
    <row r="953" spans="2:22" x14ac:dyDescent="0.35">
      <c r="B953" s="40">
        <v>34520</v>
      </c>
      <c r="C953" s="39">
        <v>2032.7</v>
      </c>
      <c r="D953" s="219">
        <f t="shared" si="110"/>
        <v>-1.0618875930725863E-2</v>
      </c>
      <c r="F953" s="40">
        <v>34520</v>
      </c>
      <c r="G953" s="39">
        <v>2032.7</v>
      </c>
      <c r="H953" s="39">
        <f t="shared" si="105"/>
        <v>2</v>
      </c>
      <c r="I953" s="39">
        <f t="shared" si="106"/>
        <v>0</v>
      </c>
      <c r="K953" s="40">
        <v>39500</v>
      </c>
      <c r="L953" s="39">
        <v>6806.29</v>
      </c>
      <c r="M953" s="39">
        <v>5</v>
      </c>
      <c r="N953" s="39">
        <v>6806.29</v>
      </c>
      <c r="O953" s="219">
        <f t="shared" si="111"/>
        <v>-3.8332089825604942E-3</v>
      </c>
      <c r="Q953" s="40">
        <v>34520</v>
      </c>
      <c r="R953" s="39">
        <v>2032.7</v>
      </c>
      <c r="S953" s="39">
        <f t="shared" si="107"/>
        <v>7</v>
      </c>
      <c r="T953" s="39">
        <f t="shared" si="108"/>
        <v>0</v>
      </c>
      <c r="U953" s="39">
        <f t="shared" si="109"/>
        <v>0</v>
      </c>
      <c r="V953" s="40"/>
    </row>
    <row r="954" spans="2:22" x14ac:dyDescent="0.35">
      <c r="B954" s="40">
        <v>34521</v>
      </c>
      <c r="C954" s="39">
        <v>2035.7</v>
      </c>
      <c r="D954" s="219">
        <f t="shared" si="110"/>
        <v>1.474781508084207E-3</v>
      </c>
      <c r="F954" s="40">
        <v>34521</v>
      </c>
      <c r="G954" s="39">
        <v>2035.7</v>
      </c>
      <c r="H954" s="39">
        <f t="shared" si="105"/>
        <v>3</v>
      </c>
      <c r="I954" s="39">
        <f t="shared" si="106"/>
        <v>0</v>
      </c>
      <c r="K954" s="40">
        <v>39507</v>
      </c>
      <c r="L954" s="39">
        <v>6748.13</v>
      </c>
      <c r="M954" s="39">
        <v>5</v>
      </c>
      <c r="N954" s="39">
        <v>6748.13</v>
      </c>
      <c r="O954" s="219">
        <f t="shared" si="111"/>
        <v>-8.5817551676433106E-3</v>
      </c>
      <c r="Q954" s="40">
        <v>34521</v>
      </c>
      <c r="R954" s="39">
        <v>2035.7</v>
      </c>
      <c r="S954" s="39">
        <f t="shared" si="107"/>
        <v>7</v>
      </c>
      <c r="T954" s="39">
        <f t="shared" si="108"/>
        <v>0</v>
      </c>
      <c r="U954" s="39">
        <f t="shared" si="109"/>
        <v>0</v>
      </c>
      <c r="V954" s="40"/>
    </row>
    <row r="955" spans="2:22" x14ac:dyDescent="0.35">
      <c r="B955" s="40">
        <v>34522</v>
      </c>
      <c r="C955" s="39">
        <v>2043.9</v>
      </c>
      <c r="D955" s="219">
        <f t="shared" si="110"/>
        <v>4.0200073747315799E-3</v>
      </c>
      <c r="F955" s="40">
        <v>34522</v>
      </c>
      <c r="G955" s="39">
        <v>2043.9</v>
      </c>
      <c r="H955" s="39">
        <f t="shared" si="105"/>
        <v>4</v>
      </c>
      <c r="I955" s="39">
        <f t="shared" si="106"/>
        <v>0</v>
      </c>
      <c r="K955" s="40">
        <v>39514</v>
      </c>
      <c r="L955" s="39">
        <v>6513.99</v>
      </c>
      <c r="M955" s="39">
        <v>5</v>
      </c>
      <c r="N955" s="39">
        <v>6513.99</v>
      </c>
      <c r="O955" s="219">
        <f t="shared" si="111"/>
        <v>-3.5313257767739831E-2</v>
      </c>
      <c r="Q955" s="40">
        <v>34522</v>
      </c>
      <c r="R955" s="39">
        <v>2043.9</v>
      </c>
      <c r="S955" s="39">
        <f t="shared" si="107"/>
        <v>7</v>
      </c>
      <c r="T955" s="39">
        <f t="shared" si="108"/>
        <v>0</v>
      </c>
      <c r="U955" s="39">
        <f t="shared" si="109"/>
        <v>0</v>
      </c>
      <c r="V955" s="40"/>
    </row>
    <row r="956" spans="2:22" x14ac:dyDescent="0.35">
      <c r="B956" s="40">
        <v>34523</v>
      </c>
      <c r="C956" s="39">
        <v>2050.9</v>
      </c>
      <c r="D956" s="219">
        <f t="shared" si="110"/>
        <v>3.4189737319549199E-3</v>
      </c>
      <c r="F956" s="40">
        <v>34523</v>
      </c>
      <c r="G956" s="39">
        <v>2050.9</v>
      </c>
      <c r="H956" s="39">
        <f t="shared" si="105"/>
        <v>5</v>
      </c>
      <c r="I956" s="39">
        <f t="shared" si="106"/>
        <v>2050.9</v>
      </c>
      <c r="K956" s="40">
        <v>39521</v>
      </c>
      <c r="L956" s="39">
        <v>6451.9</v>
      </c>
      <c r="M956" s="39">
        <v>5</v>
      </c>
      <c r="N956" s="39">
        <v>6451.9</v>
      </c>
      <c r="O956" s="219">
        <f t="shared" si="111"/>
        <v>-9.5775106250179272E-3</v>
      </c>
      <c r="Q956" s="40">
        <v>34523</v>
      </c>
      <c r="R956" s="39">
        <v>2050.9</v>
      </c>
      <c r="S956" s="39">
        <f t="shared" si="107"/>
        <v>7</v>
      </c>
      <c r="T956" s="39">
        <f t="shared" si="108"/>
        <v>0</v>
      </c>
      <c r="U956" s="39">
        <f t="shared" si="109"/>
        <v>0</v>
      </c>
      <c r="V956" s="40"/>
    </row>
    <row r="957" spans="2:22" x14ac:dyDescent="0.35">
      <c r="B957" s="40">
        <v>34526</v>
      </c>
      <c r="C957" s="39">
        <v>2065.6999999999998</v>
      </c>
      <c r="D957" s="219">
        <f t="shared" si="110"/>
        <v>7.1904308245197557E-3</v>
      </c>
      <c r="F957" s="40">
        <v>34526</v>
      </c>
      <c r="G957" s="39">
        <v>2065.6999999999998</v>
      </c>
      <c r="H957" s="39">
        <f t="shared" si="105"/>
        <v>1</v>
      </c>
      <c r="I957" s="39">
        <f t="shared" si="106"/>
        <v>0</v>
      </c>
      <c r="K957" s="40">
        <v>39527</v>
      </c>
      <c r="L957" s="39">
        <v>6319.99</v>
      </c>
      <c r="M957" s="39">
        <v>4</v>
      </c>
      <c r="N957" s="39">
        <v>6319.99</v>
      </c>
      <c r="O957" s="219">
        <f t="shared" si="111"/>
        <v>-2.0657035193761501E-2</v>
      </c>
      <c r="Q957" s="40">
        <v>34526</v>
      </c>
      <c r="R957" s="39">
        <v>2065.6999999999998</v>
      </c>
      <c r="S957" s="39">
        <f t="shared" si="107"/>
        <v>7</v>
      </c>
      <c r="T957" s="39">
        <f t="shared" si="108"/>
        <v>0</v>
      </c>
      <c r="U957" s="39">
        <f t="shared" si="109"/>
        <v>0</v>
      </c>
      <c r="V957" s="40"/>
    </row>
    <row r="958" spans="2:22" x14ac:dyDescent="0.35">
      <c r="B958" s="40">
        <v>34527</v>
      </c>
      <c r="C958" s="39">
        <v>2048.1</v>
      </c>
      <c r="D958" s="219">
        <f t="shared" si="110"/>
        <v>-8.5566179118626243E-3</v>
      </c>
      <c r="F958" s="40">
        <v>34527</v>
      </c>
      <c r="G958" s="39">
        <v>2048.1</v>
      </c>
      <c r="H958" s="39">
        <f t="shared" si="105"/>
        <v>2</v>
      </c>
      <c r="I958" s="39">
        <f t="shared" si="106"/>
        <v>0</v>
      </c>
      <c r="K958" s="40">
        <v>39535</v>
      </c>
      <c r="L958" s="39">
        <v>6559.9</v>
      </c>
      <c r="M958" s="39">
        <v>5</v>
      </c>
      <c r="N958" s="39">
        <v>6559.9</v>
      </c>
      <c r="O958" s="219">
        <f t="shared" si="111"/>
        <v>3.7257733058335865E-2</v>
      </c>
      <c r="Q958" s="40">
        <v>34527</v>
      </c>
      <c r="R958" s="39">
        <v>2048.1</v>
      </c>
      <c r="S958" s="39">
        <f t="shared" si="107"/>
        <v>7</v>
      </c>
      <c r="T958" s="39">
        <f t="shared" si="108"/>
        <v>0</v>
      </c>
      <c r="U958" s="39">
        <f t="shared" si="109"/>
        <v>0</v>
      </c>
      <c r="V958" s="40"/>
    </row>
    <row r="959" spans="2:22" x14ac:dyDescent="0.35">
      <c r="B959" s="40">
        <v>34528</v>
      </c>
      <c r="C959" s="39">
        <v>2054</v>
      </c>
      <c r="D959" s="219">
        <f t="shared" si="110"/>
        <v>2.8765773961592009E-3</v>
      </c>
      <c r="F959" s="40">
        <v>34528</v>
      </c>
      <c r="G959" s="39">
        <v>2054</v>
      </c>
      <c r="H959" s="39">
        <f t="shared" si="105"/>
        <v>3</v>
      </c>
      <c r="I959" s="39">
        <f t="shared" si="106"/>
        <v>0</v>
      </c>
      <c r="K959" s="40">
        <v>39542</v>
      </c>
      <c r="L959" s="39">
        <v>6763.39</v>
      </c>
      <c r="M959" s="39">
        <v>5</v>
      </c>
      <c r="N959" s="39">
        <v>6763.39</v>
      </c>
      <c r="O959" s="219">
        <f t="shared" si="111"/>
        <v>3.0548884708727173E-2</v>
      </c>
      <c r="Q959" s="40">
        <v>34528</v>
      </c>
      <c r="R959" s="39">
        <v>2054</v>
      </c>
      <c r="S959" s="39">
        <f t="shared" si="107"/>
        <v>7</v>
      </c>
      <c r="T959" s="39">
        <f t="shared" si="108"/>
        <v>0</v>
      </c>
      <c r="U959" s="39">
        <f t="shared" si="109"/>
        <v>0</v>
      </c>
      <c r="V959" s="40"/>
    </row>
    <row r="960" spans="2:22" x14ac:dyDescent="0.35">
      <c r="B960" s="40">
        <v>34529</v>
      </c>
      <c r="C960" s="39">
        <v>2055.6</v>
      </c>
      <c r="D960" s="219">
        <f t="shared" si="110"/>
        <v>7.7866462957089648E-4</v>
      </c>
      <c r="F960" s="40">
        <v>34529</v>
      </c>
      <c r="G960" s="39">
        <v>2055.6</v>
      </c>
      <c r="H960" s="39">
        <f t="shared" si="105"/>
        <v>4</v>
      </c>
      <c r="I960" s="39">
        <f t="shared" si="106"/>
        <v>0</v>
      </c>
      <c r="K960" s="40">
        <v>39549</v>
      </c>
      <c r="L960" s="39">
        <v>6603.57</v>
      </c>
      <c r="M960" s="39">
        <v>5</v>
      </c>
      <c r="N960" s="39">
        <v>6603.57</v>
      </c>
      <c r="O960" s="219">
        <f t="shared" si="111"/>
        <v>-2.3913831761397497E-2</v>
      </c>
      <c r="Q960" s="40">
        <v>34529</v>
      </c>
      <c r="R960" s="39">
        <v>2055.6</v>
      </c>
      <c r="S960" s="39">
        <f t="shared" si="107"/>
        <v>7</v>
      </c>
      <c r="T960" s="39">
        <f t="shared" si="108"/>
        <v>0</v>
      </c>
      <c r="U960" s="39">
        <f t="shared" si="109"/>
        <v>0</v>
      </c>
      <c r="V960" s="40"/>
    </row>
    <row r="961" spans="2:22" x14ac:dyDescent="0.35">
      <c r="B961" s="40">
        <v>34530</v>
      </c>
      <c r="C961" s="39">
        <v>2093.6</v>
      </c>
      <c r="D961" s="219">
        <f t="shared" si="110"/>
        <v>1.8317296097861532E-2</v>
      </c>
      <c r="F961" s="40">
        <v>34530</v>
      </c>
      <c r="G961" s="39">
        <v>2093.6</v>
      </c>
      <c r="H961" s="39">
        <f t="shared" si="105"/>
        <v>5</v>
      </c>
      <c r="I961" s="39">
        <f t="shared" si="106"/>
        <v>2093.6</v>
      </c>
      <c r="K961" s="40">
        <v>39556</v>
      </c>
      <c r="L961" s="39">
        <v>6843.08</v>
      </c>
      <c r="M961" s="39">
        <v>5</v>
      </c>
      <c r="N961" s="39">
        <v>6843.08</v>
      </c>
      <c r="O961" s="219">
        <f t="shared" si="111"/>
        <v>3.5627510796223387E-2</v>
      </c>
      <c r="Q961" s="40">
        <v>34530</v>
      </c>
      <c r="R961" s="39">
        <v>2093.6</v>
      </c>
      <c r="S961" s="39">
        <f t="shared" si="107"/>
        <v>7</v>
      </c>
      <c r="T961" s="39">
        <f t="shared" si="108"/>
        <v>0</v>
      </c>
      <c r="U961" s="39">
        <f t="shared" si="109"/>
        <v>0</v>
      </c>
      <c r="V961" s="40"/>
    </row>
    <row r="962" spans="2:22" x14ac:dyDescent="0.35">
      <c r="B962" s="40">
        <v>34533</v>
      </c>
      <c r="C962" s="39">
        <v>2098.1999999999998</v>
      </c>
      <c r="D962" s="219">
        <f t="shared" si="110"/>
        <v>2.194762081449116E-3</v>
      </c>
      <c r="F962" s="40">
        <v>34533</v>
      </c>
      <c r="G962" s="39">
        <v>2098.1999999999998</v>
      </c>
      <c r="H962" s="39">
        <f t="shared" si="105"/>
        <v>1</v>
      </c>
      <c r="I962" s="39">
        <f t="shared" si="106"/>
        <v>0</v>
      </c>
      <c r="K962" s="40">
        <v>39563</v>
      </c>
      <c r="L962" s="39">
        <v>6896.58</v>
      </c>
      <c r="M962" s="39">
        <v>5</v>
      </c>
      <c r="N962" s="39">
        <v>6896.58</v>
      </c>
      <c r="O962" s="219">
        <f t="shared" si="111"/>
        <v>7.7877138722354721E-3</v>
      </c>
      <c r="Q962" s="40">
        <v>34533</v>
      </c>
      <c r="R962" s="39">
        <v>2098.1999999999998</v>
      </c>
      <c r="S962" s="39">
        <f t="shared" si="107"/>
        <v>7</v>
      </c>
      <c r="T962" s="39">
        <f t="shared" si="108"/>
        <v>0</v>
      </c>
      <c r="U962" s="39">
        <f t="shared" si="109"/>
        <v>0</v>
      </c>
      <c r="V962" s="40"/>
    </row>
    <row r="963" spans="2:22" x14ac:dyDescent="0.35">
      <c r="B963" s="40">
        <v>34534</v>
      </c>
      <c r="C963" s="39">
        <v>2128.8000000000002</v>
      </c>
      <c r="D963" s="219">
        <f t="shared" si="110"/>
        <v>1.447860636609454E-2</v>
      </c>
      <c r="F963" s="40">
        <v>34534</v>
      </c>
      <c r="G963" s="39">
        <v>2128.8000000000002</v>
      </c>
      <c r="H963" s="39">
        <f t="shared" si="105"/>
        <v>2</v>
      </c>
      <c r="I963" s="39">
        <f t="shared" si="106"/>
        <v>0</v>
      </c>
      <c r="K963" s="40">
        <v>39570</v>
      </c>
      <c r="L963" s="39">
        <v>7043.23</v>
      </c>
      <c r="M963" s="39">
        <v>5</v>
      </c>
      <c r="N963" s="39">
        <v>7043.23</v>
      </c>
      <c r="O963" s="219">
        <f t="shared" si="111"/>
        <v>2.104123521530929E-2</v>
      </c>
      <c r="Q963" s="40">
        <v>34534</v>
      </c>
      <c r="R963" s="39">
        <v>2128.8000000000002</v>
      </c>
      <c r="S963" s="39">
        <f t="shared" si="107"/>
        <v>7</v>
      </c>
      <c r="T963" s="39">
        <f t="shared" si="108"/>
        <v>0</v>
      </c>
      <c r="U963" s="39">
        <f t="shared" si="109"/>
        <v>0</v>
      </c>
      <c r="V963" s="40"/>
    </row>
    <row r="964" spans="2:22" x14ac:dyDescent="0.35">
      <c r="B964" s="40">
        <v>34535</v>
      </c>
      <c r="C964" s="39">
        <v>2138.6999999999998</v>
      </c>
      <c r="D964" s="219">
        <f t="shared" si="110"/>
        <v>4.6397271282129313E-3</v>
      </c>
      <c r="F964" s="40">
        <v>34535</v>
      </c>
      <c r="G964" s="39">
        <v>2138.6999999999998</v>
      </c>
      <c r="H964" s="39">
        <f t="shared" si="105"/>
        <v>3</v>
      </c>
      <c r="I964" s="39">
        <f t="shared" si="106"/>
        <v>0</v>
      </c>
      <c r="K964" s="40">
        <v>39577</v>
      </c>
      <c r="L964" s="39">
        <v>7003.17</v>
      </c>
      <c r="M964" s="39">
        <v>5</v>
      </c>
      <c r="N964" s="39">
        <v>7003.17</v>
      </c>
      <c r="O964" s="219">
        <f t="shared" si="111"/>
        <v>-5.7039680791457414E-3</v>
      </c>
      <c r="Q964" s="40">
        <v>34535</v>
      </c>
      <c r="R964" s="39">
        <v>2138.6999999999998</v>
      </c>
      <c r="S964" s="39">
        <f t="shared" si="107"/>
        <v>7</v>
      </c>
      <c r="T964" s="39">
        <f t="shared" si="108"/>
        <v>0</v>
      </c>
      <c r="U964" s="39">
        <f t="shared" si="109"/>
        <v>0</v>
      </c>
      <c r="V964" s="40"/>
    </row>
    <row r="965" spans="2:22" x14ac:dyDescent="0.35">
      <c r="B965" s="40">
        <v>34536</v>
      </c>
      <c r="C965" s="39">
        <v>2113.3000000000002</v>
      </c>
      <c r="D965" s="219">
        <f t="shared" si="110"/>
        <v>-1.1947461023585895E-2</v>
      </c>
      <c r="F965" s="40">
        <v>34536</v>
      </c>
      <c r="G965" s="39">
        <v>2113.3000000000002</v>
      </c>
      <c r="H965" s="39">
        <f t="shared" si="105"/>
        <v>4</v>
      </c>
      <c r="I965" s="39">
        <f t="shared" si="106"/>
        <v>0</v>
      </c>
      <c r="K965" s="40">
        <v>39584</v>
      </c>
      <c r="L965" s="39">
        <v>7156.55</v>
      </c>
      <c r="M965" s="39">
        <v>5</v>
      </c>
      <c r="N965" s="39">
        <v>7156.55</v>
      </c>
      <c r="O965" s="219">
        <f t="shared" si="111"/>
        <v>2.1665117583894632E-2</v>
      </c>
      <c r="Q965" s="40">
        <v>34536</v>
      </c>
      <c r="R965" s="39">
        <v>2113.3000000000002</v>
      </c>
      <c r="S965" s="39">
        <f t="shared" si="107"/>
        <v>7</v>
      </c>
      <c r="T965" s="39">
        <f t="shared" si="108"/>
        <v>0</v>
      </c>
      <c r="U965" s="39">
        <f t="shared" si="109"/>
        <v>0</v>
      </c>
      <c r="V965" s="40"/>
    </row>
    <row r="966" spans="2:22" x14ac:dyDescent="0.35">
      <c r="B966" s="40">
        <v>34537</v>
      </c>
      <c r="C966" s="39">
        <v>2150.3000000000002</v>
      </c>
      <c r="D966" s="219">
        <f t="shared" si="110"/>
        <v>1.7356660503236501E-2</v>
      </c>
      <c r="F966" s="40">
        <v>34537</v>
      </c>
      <c r="G966" s="39">
        <v>2150.3000000000002</v>
      </c>
      <c r="H966" s="39">
        <f t="shared" si="105"/>
        <v>5</v>
      </c>
      <c r="I966" s="39">
        <f t="shared" si="106"/>
        <v>2150.3000000000002</v>
      </c>
      <c r="K966" s="40">
        <v>39591</v>
      </c>
      <c r="L966" s="39">
        <v>6944.05</v>
      </c>
      <c r="M966" s="39">
        <v>5</v>
      </c>
      <c r="N966" s="39">
        <v>6944.05</v>
      </c>
      <c r="O966" s="219">
        <f t="shared" si="111"/>
        <v>-3.0142843480260487E-2</v>
      </c>
      <c r="Q966" s="40">
        <v>34537</v>
      </c>
      <c r="R966" s="39">
        <v>2150.3000000000002</v>
      </c>
      <c r="S966" s="39">
        <f t="shared" si="107"/>
        <v>7</v>
      </c>
      <c r="T966" s="39">
        <f t="shared" si="108"/>
        <v>0</v>
      </c>
      <c r="U966" s="39">
        <f t="shared" si="109"/>
        <v>0</v>
      </c>
      <c r="V966" s="40"/>
    </row>
    <row r="967" spans="2:22" x14ac:dyDescent="0.35">
      <c r="B967" s="40">
        <v>34540</v>
      </c>
      <c r="C967" s="39">
        <v>2136.1999999999998</v>
      </c>
      <c r="D967" s="219">
        <f t="shared" si="110"/>
        <v>-6.5788176157481138E-3</v>
      </c>
      <c r="F967" s="40">
        <v>34540</v>
      </c>
      <c r="G967" s="39">
        <v>2136.1999999999998</v>
      </c>
      <c r="H967" s="39">
        <f t="shared" si="105"/>
        <v>1</v>
      </c>
      <c r="I967" s="39">
        <f t="shared" si="106"/>
        <v>0</v>
      </c>
      <c r="K967" s="40">
        <v>39598</v>
      </c>
      <c r="L967" s="39">
        <v>7096.79</v>
      </c>
      <c r="M967" s="39">
        <v>5</v>
      </c>
      <c r="N967" s="39">
        <v>7096.79</v>
      </c>
      <c r="O967" s="219">
        <f t="shared" si="111"/>
        <v>2.1757391344506744E-2</v>
      </c>
      <c r="Q967" s="40">
        <v>34540</v>
      </c>
      <c r="R967" s="39">
        <v>2136.1999999999998</v>
      </c>
      <c r="S967" s="39">
        <f t="shared" si="107"/>
        <v>7</v>
      </c>
      <c r="T967" s="39">
        <f t="shared" si="108"/>
        <v>0</v>
      </c>
      <c r="U967" s="39">
        <f t="shared" si="109"/>
        <v>0</v>
      </c>
      <c r="V967" s="40"/>
    </row>
    <row r="968" spans="2:22" x14ac:dyDescent="0.35">
      <c r="B968" s="40">
        <v>34541</v>
      </c>
      <c r="C968" s="39">
        <v>2152</v>
      </c>
      <c r="D968" s="219">
        <f t="shared" si="110"/>
        <v>7.3690926260799438E-3</v>
      </c>
      <c r="F968" s="40">
        <v>34541</v>
      </c>
      <c r="G968" s="39">
        <v>2152</v>
      </c>
      <c r="H968" s="39">
        <f t="shared" si="105"/>
        <v>2</v>
      </c>
      <c r="I968" s="39">
        <f t="shared" si="106"/>
        <v>0</v>
      </c>
      <c r="K968" s="40">
        <v>39605</v>
      </c>
      <c r="L968" s="39">
        <v>6803.81</v>
      </c>
      <c r="M968" s="39">
        <v>5</v>
      </c>
      <c r="N968" s="39">
        <v>6803.81</v>
      </c>
      <c r="O968" s="219">
        <f t="shared" si="111"/>
        <v>-4.2159819743896813E-2</v>
      </c>
      <c r="Q968" s="40">
        <v>34541</v>
      </c>
      <c r="R968" s="39">
        <v>2152</v>
      </c>
      <c r="S968" s="39">
        <f t="shared" si="107"/>
        <v>7</v>
      </c>
      <c r="T968" s="39">
        <f t="shared" si="108"/>
        <v>0</v>
      </c>
      <c r="U968" s="39">
        <f t="shared" si="109"/>
        <v>0</v>
      </c>
      <c r="V968" s="40"/>
    </row>
    <row r="969" spans="2:22" x14ac:dyDescent="0.35">
      <c r="B969" s="40">
        <v>34542</v>
      </c>
      <c r="C969" s="39">
        <v>2140.4</v>
      </c>
      <c r="D969" s="219">
        <f t="shared" si="110"/>
        <v>-5.4049148445254888E-3</v>
      </c>
      <c r="F969" s="40">
        <v>34542</v>
      </c>
      <c r="G969" s="39">
        <v>2140.4</v>
      </c>
      <c r="H969" s="39">
        <f t="shared" si="105"/>
        <v>3</v>
      </c>
      <c r="I969" s="39">
        <f t="shared" si="106"/>
        <v>0</v>
      </c>
      <c r="K969" s="40">
        <v>39612</v>
      </c>
      <c r="L969" s="39">
        <v>6765.32</v>
      </c>
      <c r="M969" s="39">
        <v>5</v>
      </c>
      <c r="N969" s="39">
        <v>6765.32</v>
      </c>
      <c r="O969" s="219">
        <f t="shared" si="111"/>
        <v>-5.6731865983274069E-3</v>
      </c>
      <c r="Q969" s="40">
        <v>34542</v>
      </c>
      <c r="R969" s="39">
        <v>2140.4</v>
      </c>
      <c r="S969" s="39">
        <f t="shared" si="107"/>
        <v>7</v>
      </c>
      <c r="T969" s="39">
        <f t="shared" si="108"/>
        <v>0</v>
      </c>
      <c r="U969" s="39">
        <f t="shared" si="109"/>
        <v>0</v>
      </c>
      <c r="V969" s="40"/>
    </row>
    <row r="970" spans="2:22" x14ac:dyDescent="0.35">
      <c r="B970" s="40">
        <v>34543</v>
      </c>
      <c r="C970" s="39">
        <v>2122.8000000000002</v>
      </c>
      <c r="D970" s="219">
        <f t="shared" si="110"/>
        <v>-8.2567554834096588E-3</v>
      </c>
      <c r="F970" s="40">
        <v>34543</v>
      </c>
      <c r="G970" s="39">
        <v>2122.8000000000002</v>
      </c>
      <c r="H970" s="39">
        <f t="shared" si="105"/>
        <v>4</v>
      </c>
      <c r="I970" s="39">
        <f t="shared" si="106"/>
        <v>0</v>
      </c>
      <c r="K970" s="40">
        <v>39619</v>
      </c>
      <c r="L970" s="39">
        <v>6578.44</v>
      </c>
      <c r="M970" s="39">
        <v>5</v>
      </c>
      <c r="N970" s="39">
        <v>6578.44</v>
      </c>
      <c r="O970" s="219">
        <f t="shared" si="111"/>
        <v>-2.801192763327744E-2</v>
      </c>
      <c r="Q970" s="40">
        <v>34543</v>
      </c>
      <c r="R970" s="39">
        <v>2122.8000000000002</v>
      </c>
      <c r="S970" s="39">
        <f t="shared" si="107"/>
        <v>7</v>
      </c>
      <c r="T970" s="39">
        <f t="shared" si="108"/>
        <v>0</v>
      </c>
      <c r="U970" s="39">
        <f t="shared" si="109"/>
        <v>0</v>
      </c>
      <c r="V970" s="40"/>
    </row>
    <row r="971" spans="2:22" x14ac:dyDescent="0.35">
      <c r="B971" s="40">
        <v>34544</v>
      </c>
      <c r="C971" s="39">
        <v>2146.6</v>
      </c>
      <c r="D971" s="219">
        <f t="shared" si="110"/>
        <v>1.1149223093683956E-2</v>
      </c>
      <c r="F971" s="40">
        <v>34544</v>
      </c>
      <c r="G971" s="39">
        <v>2146.6</v>
      </c>
      <c r="H971" s="39">
        <f t="shared" si="105"/>
        <v>5</v>
      </c>
      <c r="I971" s="39">
        <f t="shared" si="106"/>
        <v>2146.6</v>
      </c>
      <c r="K971" s="40">
        <v>39626</v>
      </c>
      <c r="L971" s="39">
        <v>6421.91</v>
      </c>
      <c r="M971" s="39">
        <v>5</v>
      </c>
      <c r="N971" s="39">
        <v>6421.91</v>
      </c>
      <c r="O971" s="219">
        <f t="shared" si="111"/>
        <v>-2.4082053918595081E-2</v>
      </c>
      <c r="Q971" s="40">
        <v>34544</v>
      </c>
      <c r="R971" s="39">
        <v>2146.6</v>
      </c>
      <c r="S971" s="39">
        <f t="shared" si="107"/>
        <v>7</v>
      </c>
      <c r="T971" s="39">
        <f t="shared" si="108"/>
        <v>2146.6</v>
      </c>
      <c r="U971" s="39">
        <f t="shared" si="109"/>
        <v>2146.6</v>
      </c>
      <c r="V971" s="40"/>
    </row>
    <row r="972" spans="2:22" x14ac:dyDescent="0.35">
      <c r="B972" s="40">
        <v>34547</v>
      </c>
      <c r="C972" s="39">
        <v>2153.8000000000002</v>
      </c>
      <c r="D972" s="219">
        <f t="shared" si="110"/>
        <v>3.3485288473566357E-3</v>
      </c>
      <c r="F972" s="40">
        <v>34547</v>
      </c>
      <c r="G972" s="39">
        <v>2153.8000000000002</v>
      </c>
      <c r="H972" s="39">
        <f t="shared" si="105"/>
        <v>1</v>
      </c>
      <c r="I972" s="39">
        <f t="shared" si="106"/>
        <v>0</v>
      </c>
      <c r="K972" s="40">
        <v>39633</v>
      </c>
      <c r="L972" s="39">
        <v>6272.21</v>
      </c>
      <c r="M972" s="39">
        <v>5</v>
      </c>
      <c r="N972" s="39">
        <v>6272.21</v>
      </c>
      <c r="O972" s="219">
        <f t="shared" si="111"/>
        <v>-2.3586816612915937E-2</v>
      </c>
      <c r="Q972" s="40">
        <v>34547</v>
      </c>
      <c r="R972" s="39">
        <v>2153.8000000000002</v>
      </c>
      <c r="S972" s="39">
        <f t="shared" si="107"/>
        <v>8</v>
      </c>
      <c r="T972" s="39">
        <f t="shared" si="108"/>
        <v>0</v>
      </c>
      <c r="U972" s="39">
        <f t="shared" si="109"/>
        <v>0</v>
      </c>
      <c r="V972" s="40"/>
    </row>
    <row r="973" spans="2:22" x14ac:dyDescent="0.35">
      <c r="B973" s="40">
        <v>34548</v>
      </c>
      <c r="C973" s="39">
        <v>2186.4</v>
      </c>
      <c r="D973" s="219">
        <f t="shared" si="110"/>
        <v>1.5022631719077556E-2</v>
      </c>
      <c r="F973" s="40">
        <v>34548</v>
      </c>
      <c r="G973" s="39">
        <v>2186.4</v>
      </c>
      <c r="H973" s="39">
        <f t="shared" si="105"/>
        <v>2</v>
      </c>
      <c r="I973" s="39">
        <f t="shared" si="106"/>
        <v>0</v>
      </c>
      <c r="K973" s="40">
        <v>39640</v>
      </c>
      <c r="L973" s="39">
        <v>6153.3</v>
      </c>
      <c r="M973" s="39">
        <v>5</v>
      </c>
      <c r="N973" s="39">
        <v>6153.3</v>
      </c>
      <c r="O973" s="219">
        <f t="shared" si="111"/>
        <v>-1.9140241356618855E-2</v>
      </c>
      <c r="Q973" s="40">
        <v>34548</v>
      </c>
      <c r="R973" s="39">
        <v>2186.4</v>
      </c>
      <c r="S973" s="39">
        <f t="shared" si="107"/>
        <v>8</v>
      </c>
      <c r="T973" s="39">
        <f t="shared" si="108"/>
        <v>0</v>
      </c>
      <c r="U973" s="39">
        <f t="shared" si="109"/>
        <v>0</v>
      </c>
      <c r="V973" s="40"/>
    </row>
    <row r="974" spans="2:22" x14ac:dyDescent="0.35">
      <c r="B974" s="40">
        <v>34549</v>
      </c>
      <c r="C974" s="39">
        <v>2198.9</v>
      </c>
      <c r="D974" s="219">
        <f t="shared" si="110"/>
        <v>5.7008796908667551E-3</v>
      </c>
      <c r="F974" s="40">
        <v>34549</v>
      </c>
      <c r="G974" s="39">
        <v>2198.9</v>
      </c>
      <c r="H974" s="39">
        <f t="shared" si="105"/>
        <v>3</v>
      </c>
      <c r="I974" s="39">
        <f t="shared" si="106"/>
        <v>0</v>
      </c>
      <c r="K974" s="40">
        <v>39647</v>
      </c>
      <c r="L974" s="39">
        <v>6382.65</v>
      </c>
      <c r="M974" s="39">
        <v>5</v>
      </c>
      <c r="N974" s="39">
        <v>6382.65</v>
      </c>
      <c r="O974" s="219">
        <f t="shared" si="111"/>
        <v>3.6594848346141295E-2</v>
      </c>
      <c r="Q974" s="40">
        <v>34549</v>
      </c>
      <c r="R974" s="39">
        <v>2198.9</v>
      </c>
      <c r="S974" s="39">
        <f t="shared" si="107"/>
        <v>8</v>
      </c>
      <c r="T974" s="39">
        <f t="shared" si="108"/>
        <v>0</v>
      </c>
      <c r="U974" s="39">
        <f t="shared" si="109"/>
        <v>0</v>
      </c>
      <c r="V974" s="40"/>
    </row>
    <row r="975" spans="2:22" x14ac:dyDescent="0.35">
      <c r="B975" s="40">
        <v>34550</v>
      </c>
      <c r="C975" s="39">
        <v>2183.4</v>
      </c>
      <c r="D975" s="219">
        <f t="shared" si="110"/>
        <v>-7.0739404585557896E-3</v>
      </c>
      <c r="F975" s="40">
        <v>34550</v>
      </c>
      <c r="G975" s="39">
        <v>2183.4</v>
      </c>
      <c r="H975" s="39">
        <f t="shared" si="105"/>
        <v>4</v>
      </c>
      <c r="I975" s="39">
        <f t="shared" si="106"/>
        <v>0</v>
      </c>
      <c r="K975" s="40">
        <v>39654</v>
      </c>
      <c r="L975" s="39">
        <v>6436.71</v>
      </c>
      <c r="M975" s="39">
        <v>5</v>
      </c>
      <c r="N975" s="39">
        <v>6436.71</v>
      </c>
      <c r="O975" s="219">
        <f t="shared" si="111"/>
        <v>8.4341683927561355E-3</v>
      </c>
      <c r="Q975" s="40">
        <v>34550</v>
      </c>
      <c r="R975" s="39">
        <v>2183.4</v>
      </c>
      <c r="S975" s="39">
        <f t="shared" si="107"/>
        <v>8</v>
      </c>
      <c r="T975" s="39">
        <f t="shared" si="108"/>
        <v>0</v>
      </c>
      <c r="U975" s="39">
        <f t="shared" si="109"/>
        <v>0</v>
      </c>
      <c r="V975" s="40"/>
    </row>
    <row r="976" spans="2:22" x14ac:dyDescent="0.35">
      <c r="B976" s="40">
        <v>34551</v>
      </c>
      <c r="C976" s="39">
        <v>2184.8000000000002</v>
      </c>
      <c r="D976" s="219">
        <f t="shared" si="110"/>
        <v>6.4099631332606292E-4</v>
      </c>
      <c r="F976" s="40">
        <v>34551</v>
      </c>
      <c r="G976" s="39">
        <v>2184.8000000000002</v>
      </c>
      <c r="H976" s="39">
        <f t="shared" si="105"/>
        <v>5</v>
      </c>
      <c r="I976" s="39">
        <f t="shared" si="106"/>
        <v>2184.8000000000002</v>
      </c>
      <c r="K976" s="40">
        <v>39661</v>
      </c>
      <c r="L976" s="39">
        <v>6396.46</v>
      </c>
      <c r="M976" s="39">
        <v>5</v>
      </c>
      <c r="N976" s="39">
        <v>6396.46</v>
      </c>
      <c r="O976" s="219">
        <f t="shared" si="111"/>
        <v>-6.2728276771669717E-3</v>
      </c>
      <c r="Q976" s="40">
        <v>34551</v>
      </c>
      <c r="R976" s="39">
        <v>2184.8000000000002</v>
      </c>
      <c r="S976" s="39">
        <f t="shared" si="107"/>
        <v>8</v>
      </c>
      <c r="T976" s="39">
        <f t="shared" si="108"/>
        <v>0</v>
      </c>
      <c r="U976" s="39">
        <f t="shared" si="109"/>
        <v>0</v>
      </c>
      <c r="V976" s="40"/>
    </row>
    <row r="977" spans="2:22" x14ac:dyDescent="0.35">
      <c r="B977" s="40">
        <v>34554</v>
      </c>
      <c r="C977" s="39">
        <v>2184.6999999999998</v>
      </c>
      <c r="D977" s="219">
        <f t="shared" si="110"/>
        <v>-4.5771827448396069E-5</v>
      </c>
      <c r="F977" s="40">
        <v>34554</v>
      </c>
      <c r="G977" s="39">
        <v>2184.6999999999998</v>
      </c>
      <c r="H977" s="39">
        <f t="shared" si="105"/>
        <v>1</v>
      </c>
      <c r="I977" s="39">
        <f t="shared" si="106"/>
        <v>0</v>
      </c>
      <c r="K977" s="40">
        <v>39668</v>
      </c>
      <c r="L977" s="39">
        <v>6561.65</v>
      </c>
      <c r="M977" s="39">
        <v>5</v>
      </c>
      <c r="N977" s="39">
        <v>6561.65</v>
      </c>
      <c r="O977" s="219">
        <f t="shared" si="111"/>
        <v>2.5497383383724353E-2</v>
      </c>
      <c r="Q977" s="40">
        <v>34554</v>
      </c>
      <c r="R977" s="39">
        <v>2184.6999999999998</v>
      </c>
      <c r="S977" s="39">
        <f t="shared" si="107"/>
        <v>8</v>
      </c>
      <c r="T977" s="39">
        <f t="shared" si="108"/>
        <v>0</v>
      </c>
      <c r="U977" s="39">
        <f t="shared" si="109"/>
        <v>0</v>
      </c>
      <c r="V977" s="40"/>
    </row>
    <row r="978" spans="2:22" x14ac:dyDescent="0.35">
      <c r="B978" s="40">
        <v>34555</v>
      </c>
      <c r="C978" s="39">
        <v>2164.1999999999998</v>
      </c>
      <c r="D978" s="219">
        <f t="shared" si="110"/>
        <v>-9.4277411944986879E-3</v>
      </c>
      <c r="F978" s="40">
        <v>34555</v>
      </c>
      <c r="G978" s="39">
        <v>2164.1999999999998</v>
      </c>
      <c r="H978" s="39">
        <f t="shared" si="105"/>
        <v>2</v>
      </c>
      <c r="I978" s="39">
        <f t="shared" si="106"/>
        <v>0</v>
      </c>
      <c r="K978" s="40">
        <v>39675</v>
      </c>
      <c r="L978" s="39">
        <v>6446.02</v>
      </c>
      <c r="M978" s="39">
        <v>5</v>
      </c>
      <c r="N978" s="39">
        <v>6446.02</v>
      </c>
      <c r="O978" s="219">
        <f t="shared" si="111"/>
        <v>-1.7779209631503982E-2</v>
      </c>
      <c r="Q978" s="40">
        <v>34555</v>
      </c>
      <c r="R978" s="39">
        <v>2164.1999999999998</v>
      </c>
      <c r="S978" s="39">
        <f t="shared" si="107"/>
        <v>8</v>
      </c>
      <c r="T978" s="39">
        <f t="shared" si="108"/>
        <v>0</v>
      </c>
      <c r="U978" s="39">
        <f t="shared" si="109"/>
        <v>0</v>
      </c>
      <c r="V978" s="40"/>
    </row>
    <row r="979" spans="2:22" x14ac:dyDescent="0.35">
      <c r="B979" s="40">
        <v>34556</v>
      </c>
      <c r="C979" s="39">
        <v>2160.4</v>
      </c>
      <c r="D979" s="219">
        <f t="shared" si="110"/>
        <v>-1.7573884188121004E-3</v>
      </c>
      <c r="F979" s="40">
        <v>34556</v>
      </c>
      <c r="G979" s="39">
        <v>2160.4</v>
      </c>
      <c r="H979" s="39">
        <f t="shared" si="105"/>
        <v>3</v>
      </c>
      <c r="I979" s="39">
        <f t="shared" si="106"/>
        <v>0</v>
      </c>
      <c r="K979" s="40">
        <v>39682</v>
      </c>
      <c r="L979" s="39">
        <v>6342.42</v>
      </c>
      <c r="M979" s="39">
        <v>5</v>
      </c>
      <c r="N979" s="39">
        <v>6342.42</v>
      </c>
      <c r="O979" s="219">
        <f t="shared" si="111"/>
        <v>-1.6202486998852177E-2</v>
      </c>
      <c r="Q979" s="40">
        <v>34556</v>
      </c>
      <c r="R979" s="39">
        <v>2160.4</v>
      </c>
      <c r="S979" s="39">
        <f t="shared" si="107"/>
        <v>8</v>
      </c>
      <c r="T979" s="39">
        <f t="shared" si="108"/>
        <v>0</v>
      </c>
      <c r="U979" s="39">
        <f t="shared" si="109"/>
        <v>0</v>
      </c>
      <c r="V979" s="40"/>
    </row>
    <row r="980" spans="2:22" x14ac:dyDescent="0.35">
      <c r="B980" s="40">
        <v>34557</v>
      </c>
      <c r="C980" s="39">
        <v>2155.3000000000002</v>
      </c>
      <c r="D980" s="219">
        <f t="shared" si="110"/>
        <v>-2.3634647329680526E-3</v>
      </c>
      <c r="F980" s="40">
        <v>34557</v>
      </c>
      <c r="G980" s="39">
        <v>2155.3000000000002</v>
      </c>
      <c r="H980" s="39">
        <f t="shared" si="105"/>
        <v>4</v>
      </c>
      <c r="I980" s="39">
        <f t="shared" si="106"/>
        <v>0</v>
      </c>
      <c r="K980" s="40">
        <v>39689</v>
      </c>
      <c r="L980" s="39">
        <v>6422.3</v>
      </c>
      <c r="M980" s="39">
        <v>5</v>
      </c>
      <c r="N980" s="39">
        <v>6422.3</v>
      </c>
      <c r="O980" s="219">
        <f t="shared" si="111"/>
        <v>1.2515909906492829E-2</v>
      </c>
      <c r="Q980" s="40">
        <v>34557</v>
      </c>
      <c r="R980" s="39">
        <v>2155.3000000000002</v>
      </c>
      <c r="S980" s="39">
        <f t="shared" si="107"/>
        <v>8</v>
      </c>
      <c r="T980" s="39">
        <f t="shared" si="108"/>
        <v>0</v>
      </c>
      <c r="U980" s="39">
        <f t="shared" si="109"/>
        <v>0</v>
      </c>
      <c r="V980" s="40"/>
    </row>
    <row r="981" spans="2:22" x14ac:dyDescent="0.35">
      <c r="B981" s="40">
        <v>34558</v>
      </c>
      <c r="C981" s="39">
        <v>2124.6999999999998</v>
      </c>
      <c r="D981" s="219">
        <f t="shared" si="110"/>
        <v>-1.4299309064175179E-2</v>
      </c>
      <c r="F981" s="40">
        <v>34558</v>
      </c>
      <c r="G981" s="39">
        <v>2124.6999999999998</v>
      </c>
      <c r="H981" s="39">
        <f t="shared" si="105"/>
        <v>5</v>
      </c>
      <c r="I981" s="39">
        <f t="shared" si="106"/>
        <v>2124.6999999999998</v>
      </c>
      <c r="K981" s="40">
        <v>39696</v>
      </c>
      <c r="L981" s="39">
        <v>6127.44</v>
      </c>
      <c r="M981" s="39">
        <v>5</v>
      </c>
      <c r="N981" s="39">
        <v>6127.44</v>
      </c>
      <c r="O981" s="219">
        <f t="shared" si="111"/>
        <v>-4.6999264544897099E-2</v>
      </c>
      <c r="Q981" s="40">
        <v>34558</v>
      </c>
      <c r="R981" s="39">
        <v>2124.6999999999998</v>
      </c>
      <c r="S981" s="39">
        <f t="shared" si="107"/>
        <v>8</v>
      </c>
      <c r="T981" s="39">
        <f t="shared" si="108"/>
        <v>0</v>
      </c>
      <c r="U981" s="39">
        <f t="shared" si="109"/>
        <v>0</v>
      </c>
      <c r="V981" s="40"/>
    </row>
    <row r="982" spans="2:22" x14ac:dyDescent="0.35">
      <c r="B982" s="40">
        <v>34561</v>
      </c>
      <c r="C982" s="39">
        <v>2138.8000000000002</v>
      </c>
      <c r="D982" s="219">
        <f t="shared" si="110"/>
        <v>6.6143081529835652E-3</v>
      </c>
      <c r="F982" s="40">
        <v>34561</v>
      </c>
      <c r="G982" s="39">
        <v>2138.8000000000002</v>
      </c>
      <c r="H982" s="39">
        <f t="shared" si="105"/>
        <v>1</v>
      </c>
      <c r="I982" s="39">
        <f t="shared" si="106"/>
        <v>0</v>
      </c>
      <c r="K982" s="40">
        <v>39703</v>
      </c>
      <c r="L982" s="39">
        <v>6234.89</v>
      </c>
      <c r="M982" s="39">
        <v>5</v>
      </c>
      <c r="N982" s="39">
        <v>6234.89</v>
      </c>
      <c r="O982" s="219">
        <f t="shared" si="111"/>
        <v>1.738389218422727E-2</v>
      </c>
      <c r="Q982" s="40">
        <v>34561</v>
      </c>
      <c r="R982" s="39">
        <v>2138.8000000000002</v>
      </c>
      <c r="S982" s="39">
        <f t="shared" si="107"/>
        <v>8</v>
      </c>
      <c r="T982" s="39">
        <f t="shared" si="108"/>
        <v>0</v>
      </c>
      <c r="U982" s="39">
        <f t="shared" si="109"/>
        <v>0</v>
      </c>
      <c r="V982" s="40"/>
    </row>
    <row r="983" spans="2:22" x14ac:dyDescent="0.35">
      <c r="B983" s="40">
        <v>34562</v>
      </c>
      <c r="C983" s="39">
        <v>2143.1</v>
      </c>
      <c r="D983" s="219">
        <f t="shared" si="110"/>
        <v>2.0084548660535871E-3</v>
      </c>
      <c r="F983" s="40">
        <v>34562</v>
      </c>
      <c r="G983" s="39">
        <v>2143.1</v>
      </c>
      <c r="H983" s="39">
        <f t="shared" si="105"/>
        <v>2</v>
      </c>
      <c r="I983" s="39">
        <f t="shared" si="106"/>
        <v>0</v>
      </c>
      <c r="K983" s="40">
        <v>39710</v>
      </c>
      <c r="L983" s="39">
        <v>6143.42</v>
      </c>
      <c r="M983" s="39">
        <v>5</v>
      </c>
      <c r="N983" s="39">
        <v>6143.42</v>
      </c>
      <c r="O983" s="219">
        <f t="shared" si="111"/>
        <v>-1.4779346287106332E-2</v>
      </c>
      <c r="Q983" s="40">
        <v>34562</v>
      </c>
      <c r="R983" s="39">
        <v>2143.1</v>
      </c>
      <c r="S983" s="39">
        <f t="shared" si="107"/>
        <v>8</v>
      </c>
      <c r="T983" s="39">
        <f t="shared" si="108"/>
        <v>0</v>
      </c>
      <c r="U983" s="39">
        <f t="shared" si="109"/>
        <v>0</v>
      </c>
      <c r="V983" s="40"/>
    </row>
    <row r="984" spans="2:22" x14ac:dyDescent="0.35">
      <c r="B984" s="40">
        <v>34563</v>
      </c>
      <c r="C984" s="39">
        <v>2162.3000000000002</v>
      </c>
      <c r="D984" s="219">
        <f t="shared" si="110"/>
        <v>8.9190910392193037E-3</v>
      </c>
      <c r="F984" s="40">
        <v>34563</v>
      </c>
      <c r="G984" s="39">
        <v>2162.3000000000002</v>
      </c>
      <c r="H984" s="39">
        <f t="shared" si="105"/>
        <v>3</v>
      </c>
      <c r="I984" s="39">
        <f t="shared" si="106"/>
        <v>0</v>
      </c>
      <c r="K984" s="40">
        <v>39717</v>
      </c>
      <c r="L984" s="39">
        <v>6063.5</v>
      </c>
      <c r="M984" s="39">
        <v>5</v>
      </c>
      <c r="N984" s="39">
        <v>6063.5</v>
      </c>
      <c r="O984" s="219">
        <f t="shared" si="111"/>
        <v>-1.3094399232936151E-2</v>
      </c>
      <c r="Q984" s="40">
        <v>34563</v>
      </c>
      <c r="R984" s="39">
        <v>2162.3000000000002</v>
      </c>
      <c r="S984" s="39">
        <f t="shared" si="107"/>
        <v>8</v>
      </c>
      <c r="T984" s="39">
        <f t="shared" si="108"/>
        <v>0</v>
      </c>
      <c r="U984" s="39">
        <f t="shared" si="109"/>
        <v>0</v>
      </c>
      <c r="V984" s="40"/>
    </row>
    <row r="985" spans="2:22" x14ac:dyDescent="0.35">
      <c r="B985" s="40">
        <v>34564</v>
      </c>
      <c r="C985" s="39">
        <v>2153.6</v>
      </c>
      <c r="D985" s="219">
        <f t="shared" si="110"/>
        <v>-4.031609529440797E-3</v>
      </c>
      <c r="F985" s="40">
        <v>34564</v>
      </c>
      <c r="G985" s="39">
        <v>2153.6</v>
      </c>
      <c r="H985" s="39">
        <f t="shared" si="105"/>
        <v>4</v>
      </c>
      <c r="I985" s="39">
        <f t="shared" si="106"/>
        <v>0</v>
      </c>
      <c r="K985" s="40">
        <v>39724</v>
      </c>
      <c r="L985" s="39">
        <v>5797.03</v>
      </c>
      <c r="M985" s="39">
        <v>5</v>
      </c>
      <c r="N985" s="39">
        <v>5797.03</v>
      </c>
      <c r="O985" s="219">
        <f t="shared" si="111"/>
        <v>-4.494147367994035E-2</v>
      </c>
      <c r="Q985" s="40">
        <v>34564</v>
      </c>
      <c r="R985" s="39">
        <v>2153.6</v>
      </c>
      <c r="S985" s="39">
        <f t="shared" si="107"/>
        <v>8</v>
      </c>
      <c r="T985" s="39">
        <f t="shared" si="108"/>
        <v>0</v>
      </c>
      <c r="U985" s="39">
        <f t="shared" si="109"/>
        <v>0</v>
      </c>
      <c r="V985" s="40"/>
    </row>
    <row r="986" spans="2:22" x14ac:dyDescent="0.35">
      <c r="B986" s="40">
        <v>34565</v>
      </c>
      <c r="C986" s="39">
        <v>2149.6</v>
      </c>
      <c r="D986" s="219">
        <f t="shared" si="110"/>
        <v>-1.8590821491271915E-3</v>
      </c>
      <c r="F986" s="40">
        <v>34565</v>
      </c>
      <c r="G986" s="39">
        <v>2149.6</v>
      </c>
      <c r="H986" s="39">
        <f t="shared" si="105"/>
        <v>5</v>
      </c>
      <c r="I986" s="39">
        <f t="shared" si="106"/>
        <v>2149.6</v>
      </c>
      <c r="K986" s="40">
        <v>39731</v>
      </c>
      <c r="L986" s="39">
        <v>4544.3100000000004</v>
      </c>
      <c r="M986" s="39">
        <v>5</v>
      </c>
      <c r="N986" s="39">
        <v>4544.3100000000004</v>
      </c>
      <c r="O986" s="219">
        <f t="shared" si="111"/>
        <v>-0.24346981651193622</v>
      </c>
      <c r="Q986" s="40">
        <v>34565</v>
      </c>
      <c r="R986" s="39">
        <v>2149.6</v>
      </c>
      <c r="S986" s="39">
        <f t="shared" si="107"/>
        <v>8</v>
      </c>
      <c r="T986" s="39">
        <f t="shared" si="108"/>
        <v>0</v>
      </c>
      <c r="U986" s="39">
        <f t="shared" si="109"/>
        <v>0</v>
      </c>
      <c r="V986" s="40"/>
    </row>
    <row r="987" spans="2:22" x14ac:dyDescent="0.35">
      <c r="B987" s="40">
        <v>34568</v>
      </c>
      <c r="C987" s="39">
        <v>2123.8000000000002</v>
      </c>
      <c r="D987" s="219">
        <f t="shared" si="110"/>
        <v>-1.2074841331536199E-2</v>
      </c>
      <c r="F987" s="40">
        <v>34568</v>
      </c>
      <c r="G987" s="39">
        <v>2123.8000000000002</v>
      </c>
      <c r="H987" s="39">
        <f t="shared" si="105"/>
        <v>1</v>
      </c>
      <c r="I987" s="39">
        <f t="shared" si="106"/>
        <v>0</v>
      </c>
      <c r="K987" s="40">
        <v>39738</v>
      </c>
      <c r="L987" s="39">
        <v>4781.33</v>
      </c>
      <c r="M987" s="39">
        <v>5</v>
      </c>
      <c r="N987" s="39">
        <v>4781.33</v>
      </c>
      <c r="O987" s="219">
        <f t="shared" si="111"/>
        <v>5.0842849556040903E-2</v>
      </c>
      <c r="Q987" s="40">
        <v>34568</v>
      </c>
      <c r="R987" s="39">
        <v>2123.8000000000002</v>
      </c>
      <c r="S987" s="39">
        <f t="shared" si="107"/>
        <v>8</v>
      </c>
      <c r="T987" s="39">
        <f t="shared" si="108"/>
        <v>0</v>
      </c>
      <c r="U987" s="39">
        <f t="shared" si="109"/>
        <v>0</v>
      </c>
      <c r="V987" s="40"/>
    </row>
    <row r="988" spans="2:22" x14ac:dyDescent="0.35">
      <c r="B988" s="40">
        <v>34569</v>
      </c>
      <c r="C988" s="39">
        <v>2107.9</v>
      </c>
      <c r="D988" s="219">
        <f t="shared" si="110"/>
        <v>-7.5147457638962654E-3</v>
      </c>
      <c r="F988" s="40">
        <v>34569</v>
      </c>
      <c r="G988" s="39">
        <v>2107.9</v>
      </c>
      <c r="H988" s="39">
        <f t="shared" si="105"/>
        <v>2</v>
      </c>
      <c r="I988" s="39">
        <f t="shared" si="106"/>
        <v>0</v>
      </c>
      <c r="K988" s="40">
        <v>39745</v>
      </c>
      <c r="L988" s="39">
        <v>4295.67</v>
      </c>
      <c r="M988" s="39">
        <v>5</v>
      </c>
      <c r="N988" s="39">
        <v>4295.67</v>
      </c>
      <c r="O988" s="219">
        <f t="shared" si="111"/>
        <v>-0.107111211865241</v>
      </c>
      <c r="Q988" s="40">
        <v>34569</v>
      </c>
      <c r="R988" s="39">
        <v>2107.9</v>
      </c>
      <c r="S988" s="39">
        <f t="shared" si="107"/>
        <v>8</v>
      </c>
      <c r="T988" s="39">
        <f t="shared" si="108"/>
        <v>0</v>
      </c>
      <c r="U988" s="39">
        <f t="shared" si="109"/>
        <v>0</v>
      </c>
      <c r="V988" s="40"/>
    </row>
    <row r="989" spans="2:22" x14ac:dyDescent="0.35">
      <c r="B989" s="40">
        <v>34570</v>
      </c>
      <c r="C989" s="39">
        <v>2126.4</v>
      </c>
      <c r="D989" s="219">
        <f t="shared" si="110"/>
        <v>8.7382177531318099E-3</v>
      </c>
      <c r="F989" s="40">
        <v>34570</v>
      </c>
      <c r="G989" s="39">
        <v>2126.4</v>
      </c>
      <c r="H989" s="39">
        <f t="shared" si="105"/>
        <v>3</v>
      </c>
      <c r="I989" s="39">
        <f t="shared" si="106"/>
        <v>0</v>
      </c>
      <c r="K989" s="40">
        <v>39752</v>
      </c>
      <c r="L989" s="39">
        <v>4987.97</v>
      </c>
      <c r="M989" s="39">
        <v>5</v>
      </c>
      <c r="N989" s="39">
        <v>4987.97</v>
      </c>
      <c r="O989" s="219">
        <f t="shared" si="111"/>
        <v>0.14942147475142722</v>
      </c>
      <c r="Q989" s="40">
        <v>34570</v>
      </c>
      <c r="R989" s="39">
        <v>2126.4</v>
      </c>
      <c r="S989" s="39">
        <f t="shared" si="107"/>
        <v>8</v>
      </c>
      <c r="T989" s="39">
        <f t="shared" si="108"/>
        <v>0</v>
      </c>
      <c r="U989" s="39">
        <f t="shared" si="109"/>
        <v>0</v>
      </c>
      <c r="V989" s="40"/>
    </row>
    <row r="990" spans="2:22" x14ac:dyDescent="0.35">
      <c r="B990" s="40">
        <v>34571</v>
      </c>
      <c r="C990" s="39">
        <v>2152.1999999999998</v>
      </c>
      <c r="D990" s="219">
        <f t="shared" si="110"/>
        <v>1.2060165807310914E-2</v>
      </c>
      <c r="F990" s="40">
        <v>34571</v>
      </c>
      <c r="G990" s="39">
        <v>2152.1999999999998</v>
      </c>
      <c r="H990" s="39">
        <f t="shared" si="105"/>
        <v>4</v>
      </c>
      <c r="I990" s="39">
        <f t="shared" si="106"/>
        <v>0</v>
      </c>
      <c r="K990" s="40">
        <v>39759</v>
      </c>
      <c r="L990" s="39">
        <v>4938.46</v>
      </c>
      <c r="M990" s="39">
        <v>5</v>
      </c>
      <c r="N990" s="39">
        <v>4938.46</v>
      </c>
      <c r="O990" s="219">
        <f t="shared" si="111"/>
        <v>-9.975471657209611E-3</v>
      </c>
      <c r="Q990" s="40">
        <v>34571</v>
      </c>
      <c r="R990" s="39">
        <v>2152.1999999999998</v>
      </c>
      <c r="S990" s="39">
        <f t="shared" si="107"/>
        <v>8</v>
      </c>
      <c r="T990" s="39">
        <f t="shared" si="108"/>
        <v>0</v>
      </c>
      <c r="U990" s="39">
        <f t="shared" si="109"/>
        <v>0</v>
      </c>
      <c r="V990" s="40"/>
    </row>
    <row r="991" spans="2:22" x14ac:dyDescent="0.35">
      <c r="B991" s="40">
        <v>34572</v>
      </c>
      <c r="C991" s="39">
        <v>2161.5</v>
      </c>
      <c r="D991" s="219">
        <f t="shared" si="110"/>
        <v>4.3118503413947483E-3</v>
      </c>
      <c r="F991" s="40">
        <v>34572</v>
      </c>
      <c r="G991" s="39">
        <v>2161.5</v>
      </c>
      <c r="H991" s="39">
        <f t="shared" si="105"/>
        <v>5</v>
      </c>
      <c r="I991" s="39">
        <f t="shared" si="106"/>
        <v>2161.5</v>
      </c>
      <c r="K991" s="40">
        <v>39766</v>
      </c>
      <c r="L991" s="39">
        <v>4710.24</v>
      </c>
      <c r="M991" s="39">
        <v>5</v>
      </c>
      <c r="N991" s="39">
        <v>4710.24</v>
      </c>
      <c r="O991" s="219">
        <f t="shared" si="111"/>
        <v>-4.7314679563694423E-2</v>
      </c>
      <c r="Q991" s="40">
        <v>34572</v>
      </c>
      <c r="R991" s="39">
        <v>2161.5</v>
      </c>
      <c r="S991" s="39">
        <f t="shared" si="107"/>
        <v>8</v>
      </c>
      <c r="T991" s="39">
        <f t="shared" si="108"/>
        <v>0</v>
      </c>
      <c r="U991" s="39">
        <f t="shared" si="109"/>
        <v>0</v>
      </c>
      <c r="V991" s="40"/>
    </row>
    <row r="992" spans="2:22" x14ac:dyDescent="0.35">
      <c r="B992" s="40">
        <v>34575</v>
      </c>
      <c r="C992" s="39">
        <v>2193.1999999999998</v>
      </c>
      <c r="D992" s="219">
        <f t="shared" si="110"/>
        <v>1.4559239422206754E-2</v>
      </c>
      <c r="F992" s="40">
        <v>34575</v>
      </c>
      <c r="G992" s="39">
        <v>2193.1999999999998</v>
      </c>
      <c r="H992" s="39">
        <f t="shared" si="105"/>
        <v>1</v>
      </c>
      <c r="I992" s="39">
        <f t="shared" si="106"/>
        <v>0</v>
      </c>
      <c r="K992" s="40">
        <v>39773</v>
      </c>
      <c r="L992" s="39">
        <v>4127.41</v>
      </c>
      <c r="M992" s="39">
        <v>5</v>
      </c>
      <c r="N992" s="39">
        <v>4127.41</v>
      </c>
      <c r="O992" s="219">
        <f t="shared" si="111"/>
        <v>-0.13208877053642862</v>
      </c>
      <c r="Q992" s="40">
        <v>34575</v>
      </c>
      <c r="R992" s="39">
        <v>2193.1999999999998</v>
      </c>
      <c r="S992" s="39">
        <f t="shared" si="107"/>
        <v>8</v>
      </c>
      <c r="T992" s="39">
        <f t="shared" si="108"/>
        <v>0</v>
      </c>
      <c r="U992" s="39">
        <f t="shared" si="109"/>
        <v>0</v>
      </c>
      <c r="V992" s="40"/>
    </row>
    <row r="993" spans="2:22" x14ac:dyDescent="0.35">
      <c r="B993" s="40">
        <v>34576</v>
      </c>
      <c r="C993" s="39">
        <v>2210.9</v>
      </c>
      <c r="D993" s="219">
        <f t="shared" si="110"/>
        <v>8.0380079012805569E-3</v>
      </c>
      <c r="F993" s="40">
        <v>34576</v>
      </c>
      <c r="G993" s="39">
        <v>2210.9</v>
      </c>
      <c r="H993" s="39">
        <f t="shared" si="105"/>
        <v>2</v>
      </c>
      <c r="I993" s="39">
        <f t="shared" si="106"/>
        <v>0</v>
      </c>
      <c r="K993" s="40">
        <v>39780</v>
      </c>
      <c r="L993" s="39">
        <v>4669.4399999999996</v>
      </c>
      <c r="M993" s="39">
        <v>5</v>
      </c>
      <c r="N993" s="39">
        <v>4669.4399999999996</v>
      </c>
      <c r="O993" s="219">
        <f t="shared" si="111"/>
        <v>0.12338905853588325</v>
      </c>
      <c r="Q993" s="40">
        <v>34576</v>
      </c>
      <c r="R993" s="39">
        <v>2210.9</v>
      </c>
      <c r="S993" s="39">
        <f t="shared" si="107"/>
        <v>8</v>
      </c>
      <c r="T993" s="39">
        <f t="shared" si="108"/>
        <v>0</v>
      </c>
      <c r="U993" s="39">
        <f t="shared" si="109"/>
        <v>0</v>
      </c>
      <c r="V993" s="40"/>
    </row>
    <row r="994" spans="2:22" x14ac:dyDescent="0.35">
      <c r="B994" s="40">
        <v>34577</v>
      </c>
      <c r="C994" s="39">
        <v>2212.9</v>
      </c>
      <c r="D994" s="219">
        <f t="shared" si="110"/>
        <v>9.0420007064640471E-4</v>
      </c>
      <c r="F994" s="40">
        <v>34577</v>
      </c>
      <c r="G994" s="39">
        <v>2212.9</v>
      </c>
      <c r="H994" s="39">
        <f t="shared" si="105"/>
        <v>3</v>
      </c>
      <c r="I994" s="39">
        <f t="shared" si="106"/>
        <v>0</v>
      </c>
      <c r="K994" s="40">
        <v>39787</v>
      </c>
      <c r="L994" s="39">
        <v>4381.47</v>
      </c>
      <c r="M994" s="39">
        <v>5</v>
      </c>
      <c r="N994" s="39">
        <v>4381.47</v>
      </c>
      <c r="O994" s="219">
        <f t="shared" si="111"/>
        <v>-6.3654865623498591E-2</v>
      </c>
      <c r="Q994" s="40">
        <v>34577</v>
      </c>
      <c r="R994" s="39">
        <v>2212.9</v>
      </c>
      <c r="S994" s="39">
        <f t="shared" si="107"/>
        <v>8</v>
      </c>
      <c r="T994" s="39">
        <f t="shared" si="108"/>
        <v>2212.9</v>
      </c>
      <c r="U994" s="39">
        <f t="shared" si="109"/>
        <v>2212.9</v>
      </c>
      <c r="V994" s="40"/>
    </row>
    <row r="995" spans="2:22" x14ac:dyDescent="0.35">
      <c r="B995" s="40">
        <v>34578</v>
      </c>
      <c r="C995" s="39">
        <v>2200.8000000000002</v>
      </c>
      <c r="D995" s="219">
        <f t="shared" si="110"/>
        <v>-5.4829418914555689E-3</v>
      </c>
      <c r="F995" s="40">
        <v>34578</v>
      </c>
      <c r="G995" s="39">
        <v>2200.8000000000002</v>
      </c>
      <c r="H995" s="39">
        <f t="shared" si="105"/>
        <v>4</v>
      </c>
      <c r="I995" s="39">
        <f t="shared" si="106"/>
        <v>0</v>
      </c>
      <c r="K995" s="40">
        <v>39794</v>
      </c>
      <c r="L995" s="39">
        <v>4663.37</v>
      </c>
      <c r="M995" s="39">
        <v>5</v>
      </c>
      <c r="N995" s="39">
        <v>4663.37</v>
      </c>
      <c r="O995" s="219">
        <f t="shared" si="111"/>
        <v>6.2354078217370421E-2</v>
      </c>
      <c r="Q995" s="40">
        <v>34578</v>
      </c>
      <c r="R995" s="39">
        <v>2200.8000000000002</v>
      </c>
      <c r="S995" s="39">
        <f t="shared" si="107"/>
        <v>9</v>
      </c>
      <c r="T995" s="39">
        <f t="shared" si="108"/>
        <v>0</v>
      </c>
      <c r="U995" s="39">
        <f t="shared" si="109"/>
        <v>0</v>
      </c>
      <c r="V995" s="40"/>
    </row>
    <row r="996" spans="2:22" x14ac:dyDescent="0.35">
      <c r="B996" s="40">
        <v>34579</v>
      </c>
      <c r="C996" s="39">
        <v>2204.6999999999998</v>
      </c>
      <c r="D996" s="219">
        <f t="shared" si="110"/>
        <v>1.7705145925702669E-3</v>
      </c>
      <c r="F996" s="40">
        <v>34579</v>
      </c>
      <c r="G996" s="39">
        <v>2204.6999999999998</v>
      </c>
      <c r="H996" s="39">
        <f t="shared" si="105"/>
        <v>5</v>
      </c>
      <c r="I996" s="39">
        <f t="shared" si="106"/>
        <v>2204.6999999999998</v>
      </c>
      <c r="K996" s="40">
        <v>39801</v>
      </c>
      <c r="L996" s="39">
        <v>4696.7</v>
      </c>
      <c r="M996" s="39">
        <v>5</v>
      </c>
      <c r="N996" s="39">
        <v>4696.7</v>
      </c>
      <c r="O996" s="219">
        <f t="shared" si="111"/>
        <v>7.1217717118909479E-3</v>
      </c>
      <c r="Q996" s="40">
        <v>34579</v>
      </c>
      <c r="R996" s="39">
        <v>2204.6999999999998</v>
      </c>
      <c r="S996" s="39">
        <f t="shared" si="107"/>
        <v>9</v>
      </c>
      <c r="T996" s="39">
        <f t="shared" si="108"/>
        <v>0</v>
      </c>
      <c r="U996" s="39">
        <f t="shared" si="109"/>
        <v>0</v>
      </c>
      <c r="V996" s="40"/>
    </row>
    <row r="997" spans="2:22" x14ac:dyDescent="0.35">
      <c r="B997" s="40">
        <v>34582</v>
      </c>
      <c r="C997" s="39">
        <v>2174.5</v>
      </c>
      <c r="D997" s="219">
        <f t="shared" si="110"/>
        <v>-1.3792692165242112E-2</v>
      </c>
      <c r="F997" s="40">
        <v>34582</v>
      </c>
      <c r="G997" s="39">
        <v>2174.5</v>
      </c>
      <c r="H997" s="39">
        <f t="shared" si="105"/>
        <v>1</v>
      </c>
      <c r="I997" s="39">
        <f t="shared" si="106"/>
        <v>0</v>
      </c>
      <c r="K997" s="40">
        <v>39808</v>
      </c>
      <c r="L997" s="39">
        <v>4629.38</v>
      </c>
      <c r="M997" s="39">
        <v>5</v>
      </c>
      <c r="N997" s="39">
        <v>4629.38</v>
      </c>
      <c r="O997" s="219">
        <f t="shared" si="111"/>
        <v>-1.4437184605136771E-2</v>
      </c>
      <c r="Q997" s="40">
        <v>34582</v>
      </c>
      <c r="R997" s="39">
        <v>2174.5</v>
      </c>
      <c r="S997" s="39">
        <f t="shared" si="107"/>
        <v>9</v>
      </c>
      <c r="T997" s="39">
        <f t="shared" si="108"/>
        <v>0</v>
      </c>
      <c r="U997" s="39">
        <f t="shared" si="109"/>
        <v>0</v>
      </c>
      <c r="V997" s="40"/>
    </row>
    <row r="998" spans="2:22" x14ac:dyDescent="0.35">
      <c r="B998" s="40">
        <v>34583</v>
      </c>
      <c r="C998" s="39">
        <v>2165.9</v>
      </c>
      <c r="D998" s="219">
        <f t="shared" si="110"/>
        <v>-3.9627735942426873E-3</v>
      </c>
      <c r="F998" s="40">
        <v>34583</v>
      </c>
      <c r="G998" s="39">
        <v>2165.9</v>
      </c>
      <c r="H998" s="39">
        <f t="shared" si="105"/>
        <v>2</v>
      </c>
      <c r="I998" s="39">
        <f t="shared" si="106"/>
        <v>0</v>
      </c>
      <c r="K998" s="40">
        <v>39815</v>
      </c>
      <c r="L998" s="39">
        <v>4973.07</v>
      </c>
      <c r="M998" s="39">
        <v>5</v>
      </c>
      <c r="N998" s="39">
        <v>4973.07</v>
      </c>
      <c r="O998" s="219">
        <f t="shared" si="111"/>
        <v>7.1614405799755157E-2</v>
      </c>
      <c r="Q998" s="40">
        <v>34583</v>
      </c>
      <c r="R998" s="39">
        <v>2165.9</v>
      </c>
      <c r="S998" s="39">
        <f t="shared" si="107"/>
        <v>9</v>
      </c>
      <c r="T998" s="39">
        <f t="shared" si="108"/>
        <v>0</v>
      </c>
      <c r="U998" s="39">
        <f t="shared" si="109"/>
        <v>0</v>
      </c>
      <c r="V998" s="40"/>
    </row>
    <row r="999" spans="2:22" x14ac:dyDescent="0.35">
      <c r="B999" s="40">
        <v>34584</v>
      </c>
      <c r="C999" s="39">
        <v>2163.8000000000002</v>
      </c>
      <c r="D999" s="219">
        <f t="shared" si="110"/>
        <v>-9.7004418997733398E-4</v>
      </c>
      <c r="F999" s="40">
        <v>34584</v>
      </c>
      <c r="G999" s="39">
        <v>2163.8000000000002</v>
      </c>
      <c r="H999" s="39">
        <f t="shared" si="105"/>
        <v>3</v>
      </c>
      <c r="I999" s="39">
        <f t="shared" si="106"/>
        <v>0</v>
      </c>
      <c r="K999" s="40">
        <v>39822</v>
      </c>
      <c r="L999" s="39">
        <v>4783.8900000000003</v>
      </c>
      <c r="M999" s="39">
        <v>5</v>
      </c>
      <c r="N999" s="39">
        <v>4783.8900000000003</v>
      </c>
      <c r="O999" s="219">
        <f t="shared" si="111"/>
        <v>-3.878333257104815E-2</v>
      </c>
      <c r="Q999" s="40">
        <v>34584</v>
      </c>
      <c r="R999" s="39">
        <v>2163.8000000000002</v>
      </c>
      <c r="S999" s="39">
        <f t="shared" si="107"/>
        <v>9</v>
      </c>
      <c r="T999" s="39">
        <f t="shared" si="108"/>
        <v>0</v>
      </c>
      <c r="U999" s="39">
        <f t="shared" si="109"/>
        <v>0</v>
      </c>
      <c r="V999" s="40"/>
    </row>
    <row r="1000" spans="2:22" x14ac:dyDescent="0.35">
      <c r="B1000" s="40">
        <v>34585</v>
      </c>
      <c r="C1000" s="39">
        <v>2172.4</v>
      </c>
      <c r="D1000" s="219">
        <f t="shared" si="110"/>
        <v>3.9666119072171106E-3</v>
      </c>
      <c r="F1000" s="40">
        <v>34585</v>
      </c>
      <c r="G1000" s="39">
        <v>2172.4</v>
      </c>
      <c r="H1000" s="39">
        <f t="shared" si="105"/>
        <v>4</v>
      </c>
      <c r="I1000" s="39">
        <f t="shared" si="106"/>
        <v>0</v>
      </c>
      <c r="K1000" s="40">
        <v>39829</v>
      </c>
      <c r="L1000" s="39">
        <v>4366.28</v>
      </c>
      <c r="M1000" s="39">
        <v>5</v>
      </c>
      <c r="N1000" s="39">
        <v>4366.28</v>
      </c>
      <c r="O1000" s="219">
        <f t="shared" si="111"/>
        <v>-9.1342635073017125E-2</v>
      </c>
      <c r="Q1000" s="40">
        <v>34585</v>
      </c>
      <c r="R1000" s="39">
        <v>2172.4</v>
      </c>
      <c r="S1000" s="39">
        <f t="shared" si="107"/>
        <v>9</v>
      </c>
      <c r="T1000" s="39">
        <f t="shared" si="108"/>
        <v>0</v>
      </c>
      <c r="U1000" s="39">
        <f t="shared" si="109"/>
        <v>0</v>
      </c>
      <c r="V1000" s="40"/>
    </row>
    <row r="1001" spans="2:22" x14ac:dyDescent="0.35">
      <c r="B1001" s="40">
        <v>34586</v>
      </c>
      <c r="C1001" s="39">
        <v>2185.1999999999998</v>
      </c>
      <c r="D1001" s="219">
        <f t="shared" si="110"/>
        <v>5.8748103608723332E-3</v>
      </c>
      <c r="F1001" s="40">
        <v>34586</v>
      </c>
      <c r="G1001" s="39">
        <v>2185.1999999999998</v>
      </c>
      <c r="H1001" s="39">
        <f t="shared" si="105"/>
        <v>5</v>
      </c>
      <c r="I1001" s="39">
        <f t="shared" si="106"/>
        <v>2185.1999999999998</v>
      </c>
      <c r="K1001" s="40">
        <v>39836</v>
      </c>
      <c r="L1001" s="39">
        <v>4178.9399999999996</v>
      </c>
      <c r="M1001" s="39">
        <v>5</v>
      </c>
      <c r="N1001" s="39">
        <v>4178.9399999999996</v>
      </c>
      <c r="O1001" s="219">
        <f t="shared" si="111"/>
        <v>-4.3853762139012945E-2</v>
      </c>
      <c r="Q1001" s="40">
        <v>34586</v>
      </c>
      <c r="R1001" s="39">
        <v>2185.1999999999998</v>
      </c>
      <c r="S1001" s="39">
        <f t="shared" si="107"/>
        <v>9</v>
      </c>
      <c r="T1001" s="39">
        <f t="shared" si="108"/>
        <v>0</v>
      </c>
      <c r="U1001" s="39">
        <f t="shared" si="109"/>
        <v>0</v>
      </c>
      <c r="V1001" s="40"/>
    </row>
    <row r="1002" spans="2:22" x14ac:dyDescent="0.35">
      <c r="B1002" s="40">
        <v>34589</v>
      </c>
      <c r="C1002" s="39">
        <v>2154.6</v>
      </c>
      <c r="D1002" s="219">
        <f t="shared" si="110"/>
        <v>-1.4102266061470406E-2</v>
      </c>
      <c r="F1002" s="40">
        <v>34589</v>
      </c>
      <c r="G1002" s="39">
        <v>2154.6</v>
      </c>
      <c r="H1002" s="39">
        <f t="shared" si="105"/>
        <v>1</v>
      </c>
      <c r="I1002" s="39">
        <f t="shared" si="106"/>
        <v>0</v>
      </c>
      <c r="K1002" s="40">
        <v>39843</v>
      </c>
      <c r="L1002" s="39">
        <v>4338.3500000000004</v>
      </c>
      <c r="M1002" s="39">
        <v>5</v>
      </c>
      <c r="N1002" s="39">
        <v>4338.3500000000004</v>
      </c>
      <c r="O1002" s="219">
        <f t="shared" si="111"/>
        <v>3.7436465631217122E-2</v>
      </c>
      <c r="Q1002" s="40">
        <v>34589</v>
      </c>
      <c r="R1002" s="39">
        <v>2154.6</v>
      </c>
      <c r="S1002" s="39">
        <f t="shared" si="107"/>
        <v>9</v>
      </c>
      <c r="T1002" s="39">
        <f t="shared" si="108"/>
        <v>0</v>
      </c>
      <c r="U1002" s="39">
        <f t="shared" si="109"/>
        <v>0</v>
      </c>
      <c r="V1002" s="40"/>
    </row>
    <row r="1003" spans="2:22" x14ac:dyDescent="0.35">
      <c r="B1003" s="40">
        <v>34590</v>
      </c>
      <c r="C1003" s="39">
        <v>2136.1</v>
      </c>
      <c r="D1003" s="219">
        <f t="shared" si="110"/>
        <v>-8.6233549964631461E-3</v>
      </c>
      <c r="F1003" s="40">
        <v>34590</v>
      </c>
      <c r="G1003" s="39">
        <v>2136.1</v>
      </c>
      <c r="H1003" s="39">
        <f t="shared" si="105"/>
        <v>2</v>
      </c>
      <c r="I1003" s="39">
        <f t="shared" si="106"/>
        <v>0</v>
      </c>
      <c r="K1003" s="40">
        <v>39850</v>
      </c>
      <c r="L1003" s="39">
        <v>4644.63</v>
      </c>
      <c r="M1003" s="39">
        <v>5</v>
      </c>
      <c r="N1003" s="39">
        <v>4644.63</v>
      </c>
      <c r="O1003" s="219">
        <f t="shared" si="111"/>
        <v>6.8217622057404462E-2</v>
      </c>
      <c r="Q1003" s="40">
        <v>34590</v>
      </c>
      <c r="R1003" s="39">
        <v>2136.1</v>
      </c>
      <c r="S1003" s="39">
        <f t="shared" si="107"/>
        <v>9</v>
      </c>
      <c r="T1003" s="39">
        <f t="shared" si="108"/>
        <v>0</v>
      </c>
      <c r="U1003" s="39">
        <f t="shared" si="109"/>
        <v>0</v>
      </c>
      <c r="V1003" s="40"/>
    </row>
    <row r="1004" spans="2:22" x14ac:dyDescent="0.35">
      <c r="B1004" s="40">
        <v>34591</v>
      </c>
      <c r="C1004" s="39">
        <v>2124.1</v>
      </c>
      <c r="D1004" s="219">
        <f t="shared" si="110"/>
        <v>-5.6335532307897843E-3</v>
      </c>
      <c r="F1004" s="40">
        <v>34591</v>
      </c>
      <c r="G1004" s="39">
        <v>2124.1</v>
      </c>
      <c r="H1004" s="39">
        <f t="shared" si="105"/>
        <v>3</v>
      </c>
      <c r="I1004" s="39">
        <f t="shared" si="106"/>
        <v>0</v>
      </c>
      <c r="K1004" s="40">
        <v>39857</v>
      </c>
      <c r="L1004" s="39">
        <v>4413.3900000000003</v>
      </c>
      <c r="M1004" s="39">
        <v>5</v>
      </c>
      <c r="N1004" s="39">
        <v>4413.3900000000003</v>
      </c>
      <c r="O1004" s="219">
        <f t="shared" si="111"/>
        <v>-5.1068611912059289E-2</v>
      </c>
      <c r="Q1004" s="40">
        <v>34591</v>
      </c>
      <c r="R1004" s="39">
        <v>2124.1</v>
      </c>
      <c r="S1004" s="39">
        <f t="shared" si="107"/>
        <v>9</v>
      </c>
      <c r="T1004" s="39">
        <f t="shared" si="108"/>
        <v>0</v>
      </c>
      <c r="U1004" s="39">
        <f t="shared" si="109"/>
        <v>0</v>
      </c>
      <c r="V1004" s="40"/>
    </row>
    <row r="1005" spans="2:22" x14ac:dyDescent="0.35">
      <c r="B1005" s="40">
        <v>34592</v>
      </c>
      <c r="C1005" s="39">
        <v>2114</v>
      </c>
      <c r="D1005" s="219">
        <f t="shared" si="110"/>
        <v>-4.7662958026563201E-3</v>
      </c>
      <c r="F1005" s="40">
        <v>34592</v>
      </c>
      <c r="G1005" s="39">
        <v>2114</v>
      </c>
      <c r="H1005" s="39">
        <f t="shared" si="105"/>
        <v>4</v>
      </c>
      <c r="I1005" s="39">
        <f t="shared" si="106"/>
        <v>0</v>
      </c>
      <c r="K1005" s="40">
        <v>39864</v>
      </c>
      <c r="L1005" s="39">
        <v>4014.66</v>
      </c>
      <c r="M1005" s="39">
        <v>5</v>
      </c>
      <c r="N1005" s="39">
        <v>4014.66</v>
      </c>
      <c r="O1005" s="219">
        <f t="shared" si="111"/>
        <v>-9.4690440265358208E-2</v>
      </c>
      <c r="Q1005" s="40">
        <v>34592</v>
      </c>
      <c r="R1005" s="39">
        <v>2114</v>
      </c>
      <c r="S1005" s="39">
        <f t="shared" si="107"/>
        <v>9</v>
      </c>
      <c r="T1005" s="39">
        <f t="shared" si="108"/>
        <v>0</v>
      </c>
      <c r="U1005" s="39">
        <f t="shared" si="109"/>
        <v>0</v>
      </c>
      <c r="V1005" s="40"/>
    </row>
    <row r="1006" spans="2:22" x14ac:dyDescent="0.35">
      <c r="B1006" s="40">
        <v>34593</v>
      </c>
      <c r="C1006" s="39">
        <v>2118.6999999999998</v>
      </c>
      <c r="D1006" s="219">
        <f t="shared" si="110"/>
        <v>2.2208056000617635E-3</v>
      </c>
      <c r="F1006" s="40">
        <v>34593</v>
      </c>
      <c r="G1006" s="39">
        <v>2118.6999999999998</v>
      </c>
      <c r="H1006" s="39">
        <f t="shared" si="105"/>
        <v>5</v>
      </c>
      <c r="I1006" s="39">
        <f t="shared" si="106"/>
        <v>2118.6999999999998</v>
      </c>
      <c r="K1006" s="40">
        <v>39871</v>
      </c>
      <c r="L1006" s="39">
        <v>3843.74</v>
      </c>
      <c r="M1006" s="39">
        <v>5</v>
      </c>
      <c r="N1006" s="39">
        <v>3843.74</v>
      </c>
      <c r="O1006" s="219">
        <f t="shared" si="111"/>
        <v>-4.3506810428827467E-2</v>
      </c>
      <c r="Q1006" s="40">
        <v>34593</v>
      </c>
      <c r="R1006" s="39">
        <v>2118.6999999999998</v>
      </c>
      <c r="S1006" s="39">
        <f t="shared" si="107"/>
        <v>9</v>
      </c>
      <c r="T1006" s="39">
        <f t="shared" si="108"/>
        <v>0</v>
      </c>
      <c r="U1006" s="39">
        <f t="shared" si="109"/>
        <v>0</v>
      </c>
      <c r="V1006" s="40"/>
    </row>
    <row r="1007" spans="2:22" x14ac:dyDescent="0.35">
      <c r="B1007" s="40">
        <v>34596</v>
      </c>
      <c r="C1007" s="39">
        <v>2096.8000000000002</v>
      </c>
      <c r="D1007" s="219">
        <f t="shared" si="110"/>
        <v>-1.0390320021048128E-2</v>
      </c>
      <c r="F1007" s="40">
        <v>34596</v>
      </c>
      <c r="G1007" s="39">
        <v>2096.8000000000002</v>
      </c>
      <c r="H1007" s="39">
        <f t="shared" si="105"/>
        <v>1</v>
      </c>
      <c r="I1007" s="39">
        <f t="shared" si="106"/>
        <v>0</v>
      </c>
      <c r="K1007" s="40">
        <v>39878</v>
      </c>
      <c r="L1007" s="39">
        <v>3666.41</v>
      </c>
      <c r="M1007" s="39">
        <v>5</v>
      </c>
      <c r="N1007" s="39">
        <v>3666.41</v>
      </c>
      <c r="O1007" s="219">
        <f t="shared" si="111"/>
        <v>-4.7232869263143969E-2</v>
      </c>
      <c r="Q1007" s="40">
        <v>34596</v>
      </c>
      <c r="R1007" s="39">
        <v>2096.8000000000002</v>
      </c>
      <c r="S1007" s="39">
        <f t="shared" si="107"/>
        <v>9</v>
      </c>
      <c r="T1007" s="39">
        <f t="shared" si="108"/>
        <v>0</v>
      </c>
      <c r="U1007" s="39">
        <f t="shared" si="109"/>
        <v>0</v>
      </c>
      <c r="V1007" s="40"/>
    </row>
    <row r="1008" spans="2:22" x14ac:dyDescent="0.35">
      <c r="B1008" s="40">
        <v>34597</v>
      </c>
      <c r="C1008" s="39">
        <v>2079</v>
      </c>
      <c r="D1008" s="219">
        <f t="shared" si="110"/>
        <v>-8.5253641511837102E-3</v>
      </c>
      <c r="F1008" s="40">
        <v>34597</v>
      </c>
      <c r="G1008" s="39">
        <v>2079</v>
      </c>
      <c r="H1008" s="39">
        <f t="shared" si="105"/>
        <v>2</v>
      </c>
      <c r="I1008" s="39">
        <f t="shared" si="106"/>
        <v>0</v>
      </c>
      <c r="K1008" s="40">
        <v>39885</v>
      </c>
      <c r="L1008" s="39">
        <v>3953.6</v>
      </c>
      <c r="M1008" s="39">
        <v>5</v>
      </c>
      <c r="N1008" s="39">
        <v>3953.6</v>
      </c>
      <c r="O1008" s="219">
        <f t="shared" si="111"/>
        <v>7.5413574572062117E-2</v>
      </c>
      <c r="Q1008" s="40">
        <v>34597</v>
      </c>
      <c r="R1008" s="39">
        <v>2079</v>
      </c>
      <c r="S1008" s="39">
        <f t="shared" si="107"/>
        <v>9</v>
      </c>
      <c r="T1008" s="39">
        <f t="shared" si="108"/>
        <v>0</v>
      </c>
      <c r="U1008" s="39">
        <f t="shared" si="109"/>
        <v>0</v>
      </c>
      <c r="V1008" s="40"/>
    </row>
    <row r="1009" spans="2:22" x14ac:dyDescent="0.35">
      <c r="B1009" s="40">
        <v>34598</v>
      </c>
      <c r="C1009" s="39">
        <v>2079.5</v>
      </c>
      <c r="D1009" s="219">
        <f t="shared" si="110"/>
        <v>2.404713249533496E-4</v>
      </c>
      <c r="F1009" s="40">
        <v>34598</v>
      </c>
      <c r="G1009" s="39">
        <v>2079.5</v>
      </c>
      <c r="H1009" s="39">
        <f t="shared" si="105"/>
        <v>3</v>
      </c>
      <c r="I1009" s="39">
        <f t="shared" si="106"/>
        <v>0</v>
      </c>
      <c r="K1009" s="40">
        <v>39892</v>
      </c>
      <c r="L1009" s="39">
        <v>4068.74</v>
      </c>
      <c r="M1009" s="39">
        <v>5</v>
      </c>
      <c r="N1009" s="39">
        <v>4068.74</v>
      </c>
      <c r="O1009" s="219">
        <f t="shared" si="111"/>
        <v>2.8706812962216853E-2</v>
      </c>
      <c r="Q1009" s="40">
        <v>34598</v>
      </c>
      <c r="R1009" s="39">
        <v>2079.5</v>
      </c>
      <c r="S1009" s="39">
        <f t="shared" si="107"/>
        <v>9</v>
      </c>
      <c r="T1009" s="39">
        <f t="shared" si="108"/>
        <v>0</v>
      </c>
      <c r="U1009" s="39">
        <f t="shared" si="109"/>
        <v>0</v>
      </c>
      <c r="V1009" s="40"/>
    </row>
    <row r="1010" spans="2:22" x14ac:dyDescent="0.35">
      <c r="B1010" s="40">
        <v>34599</v>
      </c>
      <c r="C1010" s="39">
        <v>2073</v>
      </c>
      <c r="D1010" s="219">
        <f t="shared" si="110"/>
        <v>-3.1306467471867881E-3</v>
      </c>
      <c r="F1010" s="40">
        <v>34599</v>
      </c>
      <c r="G1010" s="39">
        <v>2073</v>
      </c>
      <c r="H1010" s="39">
        <f t="shared" si="105"/>
        <v>4</v>
      </c>
      <c r="I1010" s="39">
        <f t="shared" si="106"/>
        <v>0</v>
      </c>
      <c r="K1010" s="40">
        <v>39899</v>
      </c>
      <c r="L1010" s="39">
        <v>4203.55</v>
      </c>
      <c r="M1010" s="39">
        <v>5</v>
      </c>
      <c r="N1010" s="39">
        <v>4203.55</v>
      </c>
      <c r="O1010" s="219">
        <f t="shared" si="111"/>
        <v>3.2596037157576009E-2</v>
      </c>
      <c r="Q1010" s="40">
        <v>34599</v>
      </c>
      <c r="R1010" s="39">
        <v>2073</v>
      </c>
      <c r="S1010" s="39">
        <f t="shared" si="107"/>
        <v>9</v>
      </c>
      <c r="T1010" s="39">
        <f t="shared" si="108"/>
        <v>0</v>
      </c>
      <c r="U1010" s="39">
        <f t="shared" si="109"/>
        <v>0</v>
      </c>
      <c r="V1010" s="40"/>
    </row>
    <row r="1011" spans="2:22" x14ac:dyDescent="0.35">
      <c r="B1011" s="40">
        <v>34600</v>
      </c>
      <c r="C1011" s="39">
        <v>2089.1</v>
      </c>
      <c r="D1011" s="219">
        <f t="shared" si="110"/>
        <v>7.7365177692239632E-3</v>
      </c>
      <c r="F1011" s="40">
        <v>34600</v>
      </c>
      <c r="G1011" s="39">
        <v>2089.1</v>
      </c>
      <c r="H1011" s="39">
        <f t="shared" si="105"/>
        <v>5</v>
      </c>
      <c r="I1011" s="39">
        <f t="shared" si="106"/>
        <v>2089.1</v>
      </c>
      <c r="K1011" s="40">
        <v>39906</v>
      </c>
      <c r="L1011" s="39">
        <v>4384.99</v>
      </c>
      <c r="M1011" s="39">
        <v>5</v>
      </c>
      <c r="N1011" s="39">
        <v>4384.99</v>
      </c>
      <c r="O1011" s="219">
        <f t="shared" si="111"/>
        <v>4.2257938947834014E-2</v>
      </c>
      <c r="Q1011" s="40">
        <v>34600</v>
      </c>
      <c r="R1011" s="39">
        <v>2089.1</v>
      </c>
      <c r="S1011" s="39">
        <f t="shared" si="107"/>
        <v>9</v>
      </c>
      <c r="T1011" s="39">
        <f t="shared" si="108"/>
        <v>0</v>
      </c>
      <c r="U1011" s="39">
        <f t="shared" si="109"/>
        <v>0</v>
      </c>
      <c r="V1011" s="40"/>
    </row>
    <row r="1012" spans="2:22" x14ac:dyDescent="0.35">
      <c r="B1012" s="40">
        <v>34603</v>
      </c>
      <c r="C1012" s="39">
        <v>2068.6999999999998</v>
      </c>
      <c r="D1012" s="219">
        <f t="shared" si="110"/>
        <v>-9.812960556000113E-3</v>
      </c>
      <c r="F1012" s="40">
        <v>34603</v>
      </c>
      <c r="G1012" s="39">
        <v>2068.6999999999998</v>
      </c>
      <c r="H1012" s="39">
        <f t="shared" si="105"/>
        <v>1</v>
      </c>
      <c r="I1012" s="39">
        <f t="shared" si="106"/>
        <v>0</v>
      </c>
      <c r="K1012" s="40">
        <v>39912</v>
      </c>
      <c r="L1012" s="39">
        <v>4491.12</v>
      </c>
      <c r="M1012" s="39">
        <v>4</v>
      </c>
      <c r="N1012" s="39">
        <v>4491.12</v>
      </c>
      <c r="O1012" s="219">
        <f t="shared" si="111"/>
        <v>2.3914768535670036E-2</v>
      </c>
      <c r="Q1012" s="40">
        <v>34603</v>
      </c>
      <c r="R1012" s="39">
        <v>2068.6999999999998</v>
      </c>
      <c r="S1012" s="39">
        <f t="shared" si="107"/>
        <v>9</v>
      </c>
      <c r="T1012" s="39">
        <f t="shared" si="108"/>
        <v>0</v>
      </c>
      <c r="U1012" s="39">
        <f t="shared" si="109"/>
        <v>0</v>
      </c>
      <c r="V1012" s="40"/>
    </row>
    <row r="1013" spans="2:22" x14ac:dyDescent="0.35">
      <c r="B1013" s="40">
        <v>34604</v>
      </c>
      <c r="C1013" s="39">
        <v>2058.6999999999998</v>
      </c>
      <c r="D1013" s="219">
        <f t="shared" si="110"/>
        <v>-4.8456750337408597E-3</v>
      </c>
      <c r="F1013" s="40">
        <v>34604</v>
      </c>
      <c r="G1013" s="39">
        <v>2058.6999999999998</v>
      </c>
      <c r="H1013" s="39">
        <f t="shared" si="105"/>
        <v>2</v>
      </c>
      <c r="I1013" s="39">
        <f t="shared" si="106"/>
        <v>0</v>
      </c>
      <c r="K1013" s="40">
        <v>39920</v>
      </c>
      <c r="L1013" s="39">
        <v>4676.84</v>
      </c>
      <c r="M1013" s="39">
        <v>5</v>
      </c>
      <c r="N1013" s="39">
        <v>4676.84</v>
      </c>
      <c r="O1013" s="219">
        <f t="shared" si="111"/>
        <v>4.0520554339417425E-2</v>
      </c>
      <c r="Q1013" s="40">
        <v>34604</v>
      </c>
      <c r="R1013" s="39">
        <v>2058.6999999999998</v>
      </c>
      <c r="S1013" s="39">
        <f t="shared" si="107"/>
        <v>9</v>
      </c>
      <c r="T1013" s="39">
        <f t="shared" si="108"/>
        <v>0</v>
      </c>
      <c r="U1013" s="39">
        <f t="shared" si="109"/>
        <v>0</v>
      </c>
      <c r="V1013" s="40"/>
    </row>
    <row r="1014" spans="2:22" x14ac:dyDescent="0.35">
      <c r="B1014" s="40">
        <v>34605</v>
      </c>
      <c r="C1014" s="39">
        <v>2068.1</v>
      </c>
      <c r="D1014" s="219">
        <f t="shared" si="110"/>
        <v>4.5555957433681179E-3</v>
      </c>
      <c r="F1014" s="40">
        <v>34605</v>
      </c>
      <c r="G1014" s="39">
        <v>2068.1</v>
      </c>
      <c r="H1014" s="39">
        <f t="shared" si="105"/>
        <v>3</v>
      </c>
      <c r="I1014" s="39">
        <f t="shared" si="106"/>
        <v>0</v>
      </c>
      <c r="K1014" s="40">
        <v>39927</v>
      </c>
      <c r="L1014" s="39">
        <v>4674.32</v>
      </c>
      <c r="M1014" s="39">
        <v>5</v>
      </c>
      <c r="N1014" s="39">
        <v>4674.32</v>
      </c>
      <c r="O1014" s="219">
        <f t="shared" si="111"/>
        <v>-5.389705792656779E-4</v>
      </c>
      <c r="Q1014" s="40">
        <v>34605</v>
      </c>
      <c r="R1014" s="39">
        <v>2068.1</v>
      </c>
      <c r="S1014" s="39">
        <f t="shared" si="107"/>
        <v>9</v>
      </c>
      <c r="T1014" s="39">
        <f t="shared" si="108"/>
        <v>0</v>
      </c>
      <c r="U1014" s="39">
        <f t="shared" si="109"/>
        <v>0</v>
      </c>
      <c r="V1014" s="40"/>
    </row>
    <row r="1015" spans="2:22" x14ac:dyDescent="0.35">
      <c r="B1015" s="40">
        <v>34606</v>
      </c>
      <c r="C1015" s="39">
        <v>2043.6</v>
      </c>
      <c r="D1015" s="219">
        <f t="shared" si="110"/>
        <v>-1.1917352901987706E-2</v>
      </c>
      <c r="F1015" s="40">
        <v>34606</v>
      </c>
      <c r="G1015" s="39">
        <v>2043.6</v>
      </c>
      <c r="H1015" s="39">
        <f t="shared" ref="H1015:H1078" si="112">WEEKDAY(F1015,2)</f>
        <v>4</v>
      </c>
      <c r="I1015" s="39">
        <f t="shared" ref="I1015:I1078" si="113">IF(H1015&gt;H1016,G1015,0)</f>
        <v>0</v>
      </c>
      <c r="K1015" s="40">
        <v>39934</v>
      </c>
      <c r="L1015" s="39">
        <v>4769.45</v>
      </c>
      <c r="M1015" s="39">
        <v>5</v>
      </c>
      <c r="N1015" s="39">
        <v>4769.45</v>
      </c>
      <c r="O1015" s="219">
        <f t="shared" si="111"/>
        <v>2.0147296653348541E-2</v>
      </c>
      <c r="Q1015" s="40">
        <v>34606</v>
      </c>
      <c r="R1015" s="39">
        <v>2043.6</v>
      </c>
      <c r="S1015" s="39">
        <f t="shared" ref="S1015:S1078" si="114">MONTH(Q1015)</f>
        <v>9</v>
      </c>
      <c r="T1015" s="39">
        <f t="shared" ref="T1015:T1078" si="115">IF(S1016&lt;&gt;S1015,R1015,0)</f>
        <v>0</v>
      </c>
      <c r="U1015" s="39">
        <f t="shared" ref="U1015:U1078" si="116">IF(S1016=S1015,0,R1015)</f>
        <v>0</v>
      </c>
      <c r="V1015" s="40"/>
    </row>
    <row r="1016" spans="2:22" x14ac:dyDescent="0.35">
      <c r="B1016" s="40">
        <v>34607</v>
      </c>
      <c r="C1016" s="39">
        <v>2011.8</v>
      </c>
      <c r="D1016" s="219">
        <f t="shared" ref="D1016:D1079" si="117">LN(C1016/C1015)</f>
        <v>-1.5683114756404985E-2</v>
      </c>
      <c r="F1016" s="40">
        <v>34607</v>
      </c>
      <c r="G1016" s="39">
        <v>2011.8</v>
      </c>
      <c r="H1016" s="39">
        <f t="shared" si="112"/>
        <v>5</v>
      </c>
      <c r="I1016" s="39">
        <f t="shared" si="113"/>
        <v>2011.8</v>
      </c>
      <c r="K1016" s="40">
        <v>39941</v>
      </c>
      <c r="L1016" s="39">
        <v>4913.8999999999996</v>
      </c>
      <c r="M1016" s="39">
        <v>5</v>
      </c>
      <c r="N1016" s="39">
        <v>4913.8999999999996</v>
      </c>
      <c r="O1016" s="219">
        <f t="shared" ref="O1016:O1067" si="118">LN(N1016/N1015)</f>
        <v>2.9836929602566748E-2</v>
      </c>
      <c r="Q1016" s="40">
        <v>34607</v>
      </c>
      <c r="R1016" s="39">
        <v>2011.8</v>
      </c>
      <c r="S1016" s="39">
        <f t="shared" si="114"/>
        <v>9</v>
      </c>
      <c r="T1016" s="39">
        <f t="shared" si="115"/>
        <v>2011.8</v>
      </c>
      <c r="U1016" s="39">
        <f t="shared" si="116"/>
        <v>2011.8</v>
      </c>
      <c r="V1016" s="40"/>
    </row>
    <row r="1017" spans="2:22" x14ac:dyDescent="0.35">
      <c r="B1017" s="40">
        <v>34611</v>
      </c>
      <c r="C1017" s="39">
        <v>1995</v>
      </c>
      <c r="D1017" s="219">
        <f t="shared" si="117"/>
        <v>-8.3857933762739589E-3</v>
      </c>
      <c r="F1017" s="40">
        <v>34611</v>
      </c>
      <c r="G1017" s="39">
        <v>1995</v>
      </c>
      <c r="H1017" s="39">
        <f t="shared" si="112"/>
        <v>2</v>
      </c>
      <c r="I1017" s="39">
        <f t="shared" si="113"/>
        <v>0</v>
      </c>
      <c r="K1017" s="40">
        <v>39948</v>
      </c>
      <c r="L1017" s="39">
        <v>4737.5</v>
      </c>
      <c r="M1017" s="39">
        <v>5</v>
      </c>
      <c r="N1017" s="39">
        <v>4737.5</v>
      </c>
      <c r="O1017" s="219">
        <f t="shared" si="118"/>
        <v>-3.6558353463028034E-2</v>
      </c>
      <c r="Q1017" s="40">
        <v>34611</v>
      </c>
      <c r="R1017" s="39">
        <v>1995</v>
      </c>
      <c r="S1017" s="39">
        <f t="shared" si="114"/>
        <v>10</v>
      </c>
      <c r="T1017" s="39">
        <f t="shared" si="115"/>
        <v>0</v>
      </c>
      <c r="U1017" s="39">
        <f t="shared" si="116"/>
        <v>0</v>
      </c>
      <c r="V1017" s="40"/>
    </row>
    <row r="1018" spans="2:22" x14ac:dyDescent="0.35">
      <c r="B1018" s="40">
        <v>34612</v>
      </c>
      <c r="C1018" s="39">
        <v>1968.7</v>
      </c>
      <c r="D1018" s="219">
        <f t="shared" si="117"/>
        <v>-1.3270623897922326E-2</v>
      </c>
      <c r="F1018" s="40">
        <v>34612</v>
      </c>
      <c r="G1018" s="39">
        <v>1968.7</v>
      </c>
      <c r="H1018" s="39">
        <f t="shared" si="112"/>
        <v>3</v>
      </c>
      <c r="I1018" s="39">
        <f t="shared" si="113"/>
        <v>0</v>
      </c>
      <c r="K1018" s="40">
        <v>39955</v>
      </c>
      <c r="L1018" s="39">
        <v>4918.75</v>
      </c>
      <c r="M1018" s="39">
        <v>5</v>
      </c>
      <c r="N1018" s="39">
        <v>4918.75</v>
      </c>
      <c r="O1018" s="219">
        <f t="shared" si="118"/>
        <v>3.7544862775031607E-2</v>
      </c>
      <c r="Q1018" s="40">
        <v>34612</v>
      </c>
      <c r="R1018" s="39">
        <v>1968.7</v>
      </c>
      <c r="S1018" s="39">
        <f t="shared" si="114"/>
        <v>10</v>
      </c>
      <c r="T1018" s="39">
        <f t="shared" si="115"/>
        <v>0</v>
      </c>
      <c r="U1018" s="39">
        <f t="shared" si="116"/>
        <v>0</v>
      </c>
      <c r="V1018" s="40"/>
    </row>
    <row r="1019" spans="2:22" x14ac:dyDescent="0.35">
      <c r="B1019" s="40">
        <v>34613</v>
      </c>
      <c r="C1019" s="39">
        <v>1961</v>
      </c>
      <c r="D1019" s="219">
        <f t="shared" si="117"/>
        <v>-3.9188792296953193E-3</v>
      </c>
      <c r="F1019" s="40">
        <v>34613</v>
      </c>
      <c r="G1019" s="39">
        <v>1961</v>
      </c>
      <c r="H1019" s="39">
        <f t="shared" si="112"/>
        <v>4</v>
      </c>
      <c r="I1019" s="39">
        <f t="shared" si="113"/>
        <v>0</v>
      </c>
      <c r="K1019" s="40">
        <v>39962</v>
      </c>
      <c r="L1019" s="39">
        <v>4940.82</v>
      </c>
      <c r="M1019" s="39">
        <v>5</v>
      </c>
      <c r="N1019" s="39">
        <v>4940.82</v>
      </c>
      <c r="O1019" s="219">
        <f t="shared" si="118"/>
        <v>4.4768761439571468E-3</v>
      </c>
      <c r="Q1019" s="40">
        <v>34613</v>
      </c>
      <c r="R1019" s="39">
        <v>1961</v>
      </c>
      <c r="S1019" s="39">
        <f t="shared" si="114"/>
        <v>10</v>
      </c>
      <c r="T1019" s="39">
        <f t="shared" si="115"/>
        <v>0</v>
      </c>
      <c r="U1019" s="39">
        <f t="shared" si="116"/>
        <v>0</v>
      </c>
      <c r="V1019" s="40"/>
    </row>
    <row r="1020" spans="2:22" x14ac:dyDescent="0.35">
      <c r="B1020" s="40">
        <v>34614</v>
      </c>
      <c r="C1020" s="39">
        <v>1960.6</v>
      </c>
      <c r="D1020" s="219">
        <f t="shared" si="117"/>
        <v>-2.0399836872053188E-4</v>
      </c>
      <c r="F1020" s="40">
        <v>34614</v>
      </c>
      <c r="G1020" s="39">
        <v>1960.6</v>
      </c>
      <c r="H1020" s="39">
        <f t="shared" si="112"/>
        <v>5</v>
      </c>
      <c r="I1020" s="39">
        <f t="shared" si="113"/>
        <v>1960.6</v>
      </c>
      <c r="K1020" s="40">
        <v>39969</v>
      </c>
      <c r="L1020" s="39">
        <v>5077.03</v>
      </c>
      <c r="M1020" s="39">
        <v>5</v>
      </c>
      <c r="N1020" s="39">
        <v>5077.03</v>
      </c>
      <c r="O1020" s="219">
        <f t="shared" si="118"/>
        <v>2.7195135621644443E-2</v>
      </c>
      <c r="Q1020" s="40">
        <v>34614</v>
      </c>
      <c r="R1020" s="39">
        <v>1960.6</v>
      </c>
      <c r="S1020" s="39">
        <f t="shared" si="114"/>
        <v>10</v>
      </c>
      <c r="T1020" s="39">
        <f t="shared" si="115"/>
        <v>0</v>
      </c>
      <c r="U1020" s="39">
        <f t="shared" si="116"/>
        <v>0</v>
      </c>
      <c r="V1020" s="40"/>
    </row>
    <row r="1021" spans="2:22" x14ac:dyDescent="0.35">
      <c r="B1021" s="40">
        <v>34617</v>
      </c>
      <c r="C1021" s="39">
        <v>2024.8</v>
      </c>
      <c r="D1021" s="219">
        <f t="shared" si="117"/>
        <v>3.2220381403288527E-2</v>
      </c>
      <c r="F1021" s="40">
        <v>34617</v>
      </c>
      <c r="G1021" s="39">
        <v>2024.8</v>
      </c>
      <c r="H1021" s="39">
        <f t="shared" si="112"/>
        <v>1</v>
      </c>
      <c r="I1021" s="39">
        <f t="shared" si="113"/>
        <v>0</v>
      </c>
      <c r="K1021" s="40">
        <v>39976</v>
      </c>
      <c r="L1021" s="39">
        <v>5069.24</v>
      </c>
      <c r="M1021" s="39">
        <v>5</v>
      </c>
      <c r="N1021" s="39">
        <v>5069.24</v>
      </c>
      <c r="O1021" s="219">
        <f t="shared" si="118"/>
        <v>-1.535539963091693E-3</v>
      </c>
      <c r="Q1021" s="40">
        <v>34617</v>
      </c>
      <c r="R1021" s="39">
        <v>2024.8</v>
      </c>
      <c r="S1021" s="39">
        <f t="shared" si="114"/>
        <v>10</v>
      </c>
      <c r="T1021" s="39">
        <f t="shared" si="115"/>
        <v>0</v>
      </c>
      <c r="U1021" s="39">
        <f t="shared" si="116"/>
        <v>0</v>
      </c>
      <c r="V1021" s="40"/>
    </row>
    <row r="1022" spans="2:22" x14ac:dyDescent="0.35">
      <c r="B1022" s="40">
        <v>34618</v>
      </c>
      <c r="C1022" s="39">
        <v>2071.1</v>
      </c>
      <c r="D1022" s="219">
        <f t="shared" si="117"/>
        <v>2.2608936851190968E-2</v>
      </c>
      <c r="F1022" s="40">
        <v>34618</v>
      </c>
      <c r="G1022" s="39">
        <v>2071.1</v>
      </c>
      <c r="H1022" s="39">
        <f t="shared" si="112"/>
        <v>2</v>
      </c>
      <c r="I1022" s="39">
        <f t="shared" si="113"/>
        <v>0</v>
      </c>
      <c r="K1022" s="40">
        <v>39983</v>
      </c>
      <c r="L1022" s="39">
        <v>4839.46</v>
      </c>
      <c r="M1022" s="39">
        <v>5</v>
      </c>
      <c r="N1022" s="39">
        <v>4839.46</v>
      </c>
      <c r="O1022" s="219">
        <f t="shared" si="118"/>
        <v>-4.638776072990284E-2</v>
      </c>
      <c r="Q1022" s="40">
        <v>34618</v>
      </c>
      <c r="R1022" s="39">
        <v>2071.1</v>
      </c>
      <c r="S1022" s="39">
        <f t="shared" si="114"/>
        <v>10</v>
      </c>
      <c r="T1022" s="39">
        <f t="shared" si="115"/>
        <v>0</v>
      </c>
      <c r="U1022" s="39">
        <f t="shared" si="116"/>
        <v>0</v>
      </c>
      <c r="V1022" s="40"/>
    </row>
    <row r="1023" spans="2:22" x14ac:dyDescent="0.35">
      <c r="B1023" s="40">
        <v>34619</v>
      </c>
      <c r="C1023" s="39">
        <v>2077.6</v>
      </c>
      <c r="D1023" s="219">
        <f t="shared" si="117"/>
        <v>3.1335142664334135E-3</v>
      </c>
      <c r="F1023" s="40">
        <v>34619</v>
      </c>
      <c r="G1023" s="39">
        <v>2077.6</v>
      </c>
      <c r="H1023" s="39">
        <f t="shared" si="112"/>
        <v>3</v>
      </c>
      <c r="I1023" s="39">
        <f t="shared" si="113"/>
        <v>0</v>
      </c>
      <c r="K1023" s="40">
        <v>39990</v>
      </c>
      <c r="L1023" s="39">
        <v>4776.47</v>
      </c>
      <c r="M1023" s="39">
        <v>5</v>
      </c>
      <c r="N1023" s="39">
        <v>4776.47</v>
      </c>
      <c r="O1023" s="219">
        <f t="shared" si="118"/>
        <v>-1.3101364297484118E-2</v>
      </c>
      <c r="Q1023" s="40">
        <v>34619</v>
      </c>
      <c r="R1023" s="39">
        <v>2077.6</v>
      </c>
      <c r="S1023" s="39">
        <f t="shared" si="114"/>
        <v>10</v>
      </c>
      <c r="T1023" s="39">
        <f t="shared" si="115"/>
        <v>0</v>
      </c>
      <c r="U1023" s="39">
        <f t="shared" si="116"/>
        <v>0</v>
      </c>
      <c r="V1023" s="40"/>
    </row>
    <row r="1024" spans="2:22" x14ac:dyDescent="0.35">
      <c r="B1024" s="40">
        <v>34620</v>
      </c>
      <c r="C1024" s="39">
        <v>2082.6</v>
      </c>
      <c r="D1024" s="219">
        <f t="shared" si="117"/>
        <v>2.4037317472569079E-3</v>
      </c>
      <c r="F1024" s="40">
        <v>34620</v>
      </c>
      <c r="G1024" s="39">
        <v>2082.6</v>
      </c>
      <c r="H1024" s="39">
        <f t="shared" si="112"/>
        <v>4</v>
      </c>
      <c r="I1024" s="39">
        <f t="shared" si="113"/>
        <v>0</v>
      </c>
      <c r="K1024" s="40">
        <v>39997</v>
      </c>
      <c r="L1024" s="39">
        <v>4708.21</v>
      </c>
      <c r="M1024" s="39">
        <v>5</v>
      </c>
      <c r="N1024" s="39">
        <v>4708.21</v>
      </c>
      <c r="O1024" s="219">
        <f t="shared" si="118"/>
        <v>-1.4393986627656671E-2</v>
      </c>
      <c r="Q1024" s="40">
        <v>34620</v>
      </c>
      <c r="R1024" s="39">
        <v>2082.6</v>
      </c>
      <c r="S1024" s="39">
        <f t="shared" si="114"/>
        <v>10</v>
      </c>
      <c r="T1024" s="39">
        <f t="shared" si="115"/>
        <v>0</v>
      </c>
      <c r="U1024" s="39">
        <f t="shared" si="116"/>
        <v>0</v>
      </c>
      <c r="V1024" s="40"/>
    </row>
    <row r="1025" spans="2:22" x14ac:dyDescent="0.35">
      <c r="B1025" s="40">
        <v>34621</v>
      </c>
      <c r="C1025" s="39">
        <v>2105.6999999999998</v>
      </c>
      <c r="D1025" s="219">
        <f t="shared" si="117"/>
        <v>1.1030840308689839E-2</v>
      </c>
      <c r="F1025" s="40">
        <v>34621</v>
      </c>
      <c r="G1025" s="39">
        <v>2105.6999999999998</v>
      </c>
      <c r="H1025" s="39">
        <f t="shared" si="112"/>
        <v>5</v>
      </c>
      <c r="I1025" s="39">
        <f t="shared" si="113"/>
        <v>2105.6999999999998</v>
      </c>
      <c r="K1025" s="40">
        <v>40004</v>
      </c>
      <c r="L1025" s="39">
        <v>4576.3100000000004</v>
      </c>
      <c r="M1025" s="39">
        <v>5</v>
      </c>
      <c r="N1025" s="39">
        <v>4576.3100000000004</v>
      </c>
      <c r="O1025" s="219">
        <f t="shared" si="118"/>
        <v>-2.8414796792873311E-2</v>
      </c>
      <c r="Q1025" s="40">
        <v>34621</v>
      </c>
      <c r="R1025" s="39">
        <v>2105.6999999999998</v>
      </c>
      <c r="S1025" s="39">
        <f t="shared" si="114"/>
        <v>10</v>
      </c>
      <c r="T1025" s="39">
        <f t="shared" si="115"/>
        <v>0</v>
      </c>
      <c r="U1025" s="39">
        <f t="shared" si="116"/>
        <v>0</v>
      </c>
      <c r="V1025" s="40"/>
    </row>
    <row r="1026" spans="2:22" x14ac:dyDescent="0.35">
      <c r="B1026" s="40">
        <v>34624</v>
      </c>
      <c r="C1026" s="39">
        <v>2090.9</v>
      </c>
      <c r="D1026" s="219">
        <f t="shared" si="117"/>
        <v>-7.0533581271079856E-3</v>
      </c>
      <c r="F1026" s="40">
        <v>34624</v>
      </c>
      <c r="G1026" s="39">
        <v>2090.9</v>
      </c>
      <c r="H1026" s="39">
        <f t="shared" si="112"/>
        <v>1</v>
      </c>
      <c r="I1026" s="39">
        <f t="shared" si="113"/>
        <v>0</v>
      </c>
      <c r="K1026" s="40">
        <v>40011</v>
      </c>
      <c r="L1026" s="39">
        <v>4978.3999999999996</v>
      </c>
      <c r="M1026" s="39">
        <v>5</v>
      </c>
      <c r="N1026" s="39">
        <v>4978.3999999999996</v>
      </c>
      <c r="O1026" s="219">
        <f t="shared" si="118"/>
        <v>8.4215557734701726E-2</v>
      </c>
      <c r="Q1026" s="40">
        <v>34624</v>
      </c>
      <c r="R1026" s="39">
        <v>2090.9</v>
      </c>
      <c r="S1026" s="39">
        <f t="shared" si="114"/>
        <v>10</v>
      </c>
      <c r="T1026" s="39">
        <f t="shared" si="115"/>
        <v>0</v>
      </c>
      <c r="U1026" s="39">
        <f t="shared" si="116"/>
        <v>0</v>
      </c>
      <c r="V1026" s="40"/>
    </row>
    <row r="1027" spans="2:22" x14ac:dyDescent="0.35">
      <c r="B1027" s="40">
        <v>34625</v>
      </c>
      <c r="C1027" s="39">
        <v>2084.8000000000002</v>
      </c>
      <c r="D1027" s="219">
        <f t="shared" si="117"/>
        <v>-2.9216679067967386E-3</v>
      </c>
      <c r="F1027" s="40">
        <v>34625</v>
      </c>
      <c r="G1027" s="39">
        <v>2084.8000000000002</v>
      </c>
      <c r="H1027" s="39">
        <f t="shared" si="112"/>
        <v>2</v>
      </c>
      <c r="I1027" s="39">
        <f t="shared" si="113"/>
        <v>0</v>
      </c>
      <c r="K1027" s="40">
        <v>40018</v>
      </c>
      <c r="L1027" s="39">
        <v>5229.3599999999997</v>
      </c>
      <c r="M1027" s="39">
        <v>5</v>
      </c>
      <c r="N1027" s="39">
        <v>5229.3599999999997</v>
      </c>
      <c r="O1027" s="219">
        <f t="shared" si="118"/>
        <v>4.9180345379123906E-2</v>
      </c>
      <c r="Q1027" s="40">
        <v>34625</v>
      </c>
      <c r="R1027" s="39">
        <v>2084.8000000000002</v>
      </c>
      <c r="S1027" s="39">
        <f t="shared" si="114"/>
        <v>10</v>
      </c>
      <c r="T1027" s="39">
        <f t="shared" si="115"/>
        <v>0</v>
      </c>
      <c r="U1027" s="39">
        <f t="shared" si="116"/>
        <v>0</v>
      </c>
      <c r="V1027" s="40"/>
    </row>
    <row r="1028" spans="2:22" x14ac:dyDescent="0.35">
      <c r="B1028" s="40">
        <v>34626</v>
      </c>
      <c r="C1028" s="39">
        <v>2051.1999999999998</v>
      </c>
      <c r="D1028" s="219">
        <f t="shared" si="117"/>
        <v>-1.6247939644229981E-2</v>
      </c>
      <c r="F1028" s="40">
        <v>34626</v>
      </c>
      <c r="G1028" s="39">
        <v>2051.1999999999998</v>
      </c>
      <c r="H1028" s="39">
        <f t="shared" si="112"/>
        <v>3</v>
      </c>
      <c r="I1028" s="39">
        <f t="shared" si="113"/>
        <v>0</v>
      </c>
      <c r="K1028" s="40">
        <v>40025</v>
      </c>
      <c r="L1028" s="39">
        <v>5332.14</v>
      </c>
      <c r="M1028" s="39">
        <v>5</v>
      </c>
      <c r="N1028" s="39">
        <v>5332.14</v>
      </c>
      <c r="O1028" s="219">
        <f t="shared" si="118"/>
        <v>1.9463758883910751E-2</v>
      </c>
      <c r="Q1028" s="40">
        <v>34626</v>
      </c>
      <c r="R1028" s="39">
        <v>2051.1999999999998</v>
      </c>
      <c r="S1028" s="39">
        <f t="shared" si="114"/>
        <v>10</v>
      </c>
      <c r="T1028" s="39">
        <f t="shared" si="115"/>
        <v>0</v>
      </c>
      <c r="U1028" s="39">
        <f t="shared" si="116"/>
        <v>0</v>
      </c>
      <c r="V1028" s="40"/>
    </row>
    <row r="1029" spans="2:22" x14ac:dyDescent="0.35">
      <c r="B1029" s="40">
        <v>34627</v>
      </c>
      <c r="C1029" s="39">
        <v>2070</v>
      </c>
      <c r="D1029" s="219">
        <f t="shared" si="117"/>
        <v>9.1236195330639831E-3</v>
      </c>
      <c r="F1029" s="40">
        <v>34627</v>
      </c>
      <c r="G1029" s="39">
        <v>2070</v>
      </c>
      <c r="H1029" s="39">
        <f t="shared" si="112"/>
        <v>4</v>
      </c>
      <c r="I1029" s="39">
        <f t="shared" si="113"/>
        <v>0</v>
      </c>
      <c r="K1029" s="40">
        <v>40032</v>
      </c>
      <c r="L1029" s="39">
        <v>5458.96</v>
      </c>
      <c r="M1029" s="39">
        <v>5</v>
      </c>
      <c r="N1029" s="39">
        <v>5458.96</v>
      </c>
      <c r="O1029" s="219">
        <f t="shared" si="118"/>
        <v>2.3505636887538338E-2</v>
      </c>
      <c r="Q1029" s="40">
        <v>34627</v>
      </c>
      <c r="R1029" s="39">
        <v>2070</v>
      </c>
      <c r="S1029" s="39">
        <f t="shared" si="114"/>
        <v>10</v>
      </c>
      <c r="T1029" s="39">
        <f t="shared" si="115"/>
        <v>0</v>
      </c>
      <c r="U1029" s="39">
        <f t="shared" si="116"/>
        <v>0</v>
      </c>
      <c r="V1029" s="40"/>
    </row>
    <row r="1030" spans="2:22" x14ac:dyDescent="0.35">
      <c r="B1030" s="40">
        <v>34628</v>
      </c>
      <c r="C1030" s="39">
        <v>2022.2</v>
      </c>
      <c r="D1030" s="219">
        <f t="shared" si="117"/>
        <v>-2.3362579602116015E-2</v>
      </c>
      <c r="F1030" s="40">
        <v>34628</v>
      </c>
      <c r="G1030" s="39">
        <v>2022.2</v>
      </c>
      <c r="H1030" s="39">
        <f t="shared" si="112"/>
        <v>5</v>
      </c>
      <c r="I1030" s="39">
        <f t="shared" si="113"/>
        <v>2022.2</v>
      </c>
      <c r="K1030" s="40">
        <v>40039</v>
      </c>
      <c r="L1030" s="39">
        <v>5309.11</v>
      </c>
      <c r="M1030" s="39">
        <v>5</v>
      </c>
      <c r="N1030" s="39">
        <v>5309.11</v>
      </c>
      <c r="O1030" s="219">
        <f t="shared" si="118"/>
        <v>-2.7834082503687546E-2</v>
      </c>
      <c r="Q1030" s="40">
        <v>34628</v>
      </c>
      <c r="R1030" s="39">
        <v>2022.2</v>
      </c>
      <c r="S1030" s="39">
        <f t="shared" si="114"/>
        <v>10</v>
      </c>
      <c r="T1030" s="39">
        <f t="shared" si="115"/>
        <v>0</v>
      </c>
      <c r="U1030" s="39">
        <f t="shared" si="116"/>
        <v>0</v>
      </c>
      <c r="V1030" s="40"/>
    </row>
    <row r="1031" spans="2:22" x14ac:dyDescent="0.35">
      <c r="B1031" s="40">
        <v>34631</v>
      </c>
      <c r="C1031" s="39">
        <v>2025.4</v>
      </c>
      <c r="D1031" s="219">
        <f t="shared" si="117"/>
        <v>1.5811842408860316E-3</v>
      </c>
      <c r="F1031" s="40">
        <v>34631</v>
      </c>
      <c r="G1031" s="39">
        <v>2025.4</v>
      </c>
      <c r="H1031" s="39">
        <f t="shared" si="112"/>
        <v>1</v>
      </c>
      <c r="I1031" s="39">
        <f t="shared" si="113"/>
        <v>0</v>
      </c>
      <c r="K1031" s="40">
        <v>40046</v>
      </c>
      <c r="L1031" s="39">
        <v>5462.74</v>
      </c>
      <c r="M1031" s="39">
        <v>5</v>
      </c>
      <c r="N1031" s="39">
        <v>5462.74</v>
      </c>
      <c r="O1031" s="219">
        <f t="shared" si="118"/>
        <v>2.8526282463570887E-2</v>
      </c>
      <c r="Q1031" s="40">
        <v>34631</v>
      </c>
      <c r="R1031" s="39">
        <v>2025.4</v>
      </c>
      <c r="S1031" s="39">
        <f t="shared" si="114"/>
        <v>10</v>
      </c>
      <c r="T1031" s="39">
        <f t="shared" si="115"/>
        <v>0</v>
      </c>
      <c r="U1031" s="39">
        <f t="shared" si="116"/>
        <v>0</v>
      </c>
      <c r="V1031" s="40"/>
    </row>
    <row r="1032" spans="2:22" x14ac:dyDescent="0.35">
      <c r="B1032" s="40">
        <v>34632</v>
      </c>
      <c r="C1032" s="39">
        <v>1974.6</v>
      </c>
      <c r="D1032" s="219">
        <f t="shared" si="117"/>
        <v>-2.5401365720835498E-2</v>
      </c>
      <c r="F1032" s="40">
        <v>34632</v>
      </c>
      <c r="G1032" s="39">
        <v>1974.6</v>
      </c>
      <c r="H1032" s="39">
        <f t="shared" si="112"/>
        <v>2</v>
      </c>
      <c r="I1032" s="39">
        <f t="shared" si="113"/>
        <v>0</v>
      </c>
      <c r="K1032" s="40">
        <v>40053</v>
      </c>
      <c r="L1032" s="39">
        <v>5517.35</v>
      </c>
      <c r="M1032" s="39">
        <v>5</v>
      </c>
      <c r="N1032" s="39">
        <v>5517.35</v>
      </c>
      <c r="O1032" s="219">
        <f t="shared" si="118"/>
        <v>9.9471771702293824E-3</v>
      </c>
      <c r="Q1032" s="40">
        <v>34632</v>
      </c>
      <c r="R1032" s="39">
        <v>1974.6</v>
      </c>
      <c r="S1032" s="39">
        <f t="shared" si="114"/>
        <v>10</v>
      </c>
      <c r="T1032" s="39">
        <f t="shared" si="115"/>
        <v>0</v>
      </c>
      <c r="U1032" s="39">
        <f t="shared" si="116"/>
        <v>0</v>
      </c>
      <c r="V1032" s="40"/>
    </row>
    <row r="1033" spans="2:22" x14ac:dyDescent="0.35">
      <c r="B1033" s="40">
        <v>34633</v>
      </c>
      <c r="C1033" s="39">
        <v>2020.5</v>
      </c>
      <c r="D1033" s="219">
        <f t="shared" si="117"/>
        <v>2.2979159341179133E-2</v>
      </c>
      <c r="F1033" s="40">
        <v>34633</v>
      </c>
      <c r="G1033" s="39">
        <v>2020.5</v>
      </c>
      <c r="H1033" s="39">
        <f t="shared" si="112"/>
        <v>3</v>
      </c>
      <c r="I1033" s="39">
        <f t="shared" si="113"/>
        <v>0</v>
      </c>
      <c r="K1033" s="40">
        <v>40060</v>
      </c>
      <c r="L1033" s="39">
        <v>5384.43</v>
      </c>
      <c r="M1033" s="39">
        <v>5</v>
      </c>
      <c r="N1033" s="39">
        <v>5384.43</v>
      </c>
      <c r="O1033" s="219">
        <f t="shared" si="118"/>
        <v>-2.4386217129839818E-2</v>
      </c>
      <c r="Q1033" s="40">
        <v>34633</v>
      </c>
      <c r="R1033" s="39">
        <v>2020.5</v>
      </c>
      <c r="S1033" s="39">
        <f t="shared" si="114"/>
        <v>10</v>
      </c>
      <c r="T1033" s="39">
        <f t="shared" si="115"/>
        <v>0</v>
      </c>
      <c r="U1033" s="39">
        <f t="shared" si="116"/>
        <v>0</v>
      </c>
      <c r="V1033" s="40"/>
    </row>
    <row r="1034" spans="2:22" x14ac:dyDescent="0.35">
      <c r="B1034" s="40">
        <v>34634</v>
      </c>
      <c r="C1034" s="39">
        <v>2013.2</v>
      </c>
      <c r="D1034" s="219">
        <f t="shared" si="117"/>
        <v>-3.6195096163234132E-3</v>
      </c>
      <c r="F1034" s="40">
        <v>34634</v>
      </c>
      <c r="G1034" s="39">
        <v>2013.2</v>
      </c>
      <c r="H1034" s="39">
        <f t="shared" si="112"/>
        <v>4</v>
      </c>
      <c r="I1034" s="39">
        <f t="shared" si="113"/>
        <v>0</v>
      </c>
      <c r="K1034" s="40">
        <v>40067</v>
      </c>
      <c r="L1034" s="39">
        <v>5624.02</v>
      </c>
      <c r="M1034" s="39">
        <v>5</v>
      </c>
      <c r="N1034" s="39">
        <v>5624.02</v>
      </c>
      <c r="O1034" s="219">
        <f t="shared" si="118"/>
        <v>4.3535255266090582E-2</v>
      </c>
      <c r="Q1034" s="40">
        <v>34634</v>
      </c>
      <c r="R1034" s="39">
        <v>2013.2</v>
      </c>
      <c r="S1034" s="39">
        <f t="shared" si="114"/>
        <v>10</v>
      </c>
      <c r="T1034" s="39">
        <f t="shared" si="115"/>
        <v>0</v>
      </c>
      <c r="U1034" s="39">
        <f t="shared" si="116"/>
        <v>0</v>
      </c>
      <c r="V1034" s="40"/>
    </row>
    <row r="1035" spans="2:22" x14ac:dyDescent="0.35">
      <c r="B1035" s="40">
        <v>34635</v>
      </c>
      <c r="C1035" s="39">
        <v>2040.3</v>
      </c>
      <c r="D1035" s="219">
        <f t="shared" si="117"/>
        <v>1.3371359947497781E-2</v>
      </c>
      <c r="F1035" s="40">
        <v>34635</v>
      </c>
      <c r="G1035" s="39">
        <v>2040.3</v>
      </c>
      <c r="H1035" s="39">
        <f t="shared" si="112"/>
        <v>5</v>
      </c>
      <c r="I1035" s="39">
        <f t="shared" si="113"/>
        <v>2040.3</v>
      </c>
      <c r="K1035" s="40">
        <v>40074</v>
      </c>
      <c r="L1035" s="39">
        <v>5703.83</v>
      </c>
      <c r="M1035" s="39">
        <v>5</v>
      </c>
      <c r="N1035" s="39">
        <v>5703.83</v>
      </c>
      <c r="O1035" s="219">
        <f t="shared" si="118"/>
        <v>1.4091168331486081E-2</v>
      </c>
      <c r="Q1035" s="40">
        <v>34635</v>
      </c>
      <c r="R1035" s="39">
        <v>2040.3</v>
      </c>
      <c r="S1035" s="39">
        <f t="shared" si="114"/>
        <v>10</v>
      </c>
      <c r="T1035" s="39">
        <f t="shared" si="115"/>
        <v>0</v>
      </c>
      <c r="U1035" s="39">
        <f t="shared" si="116"/>
        <v>0</v>
      </c>
      <c r="V1035" s="40"/>
    </row>
    <row r="1036" spans="2:22" x14ac:dyDescent="0.35">
      <c r="B1036" s="40">
        <v>34638</v>
      </c>
      <c r="C1036" s="39">
        <v>2071.6</v>
      </c>
      <c r="D1036" s="219">
        <f t="shared" si="117"/>
        <v>1.5224399700033753E-2</v>
      </c>
      <c r="F1036" s="40">
        <v>34638</v>
      </c>
      <c r="G1036" s="39">
        <v>2071.6</v>
      </c>
      <c r="H1036" s="39">
        <f t="shared" si="112"/>
        <v>1</v>
      </c>
      <c r="I1036" s="39">
        <f t="shared" si="113"/>
        <v>0</v>
      </c>
      <c r="K1036" s="40">
        <v>40081</v>
      </c>
      <c r="L1036" s="39">
        <v>5581.41</v>
      </c>
      <c r="M1036" s="39">
        <v>5</v>
      </c>
      <c r="N1036" s="39">
        <v>5581.41</v>
      </c>
      <c r="O1036" s="219">
        <f t="shared" si="118"/>
        <v>-2.1696446376309905E-2</v>
      </c>
      <c r="Q1036" s="40">
        <v>34638</v>
      </c>
      <c r="R1036" s="39">
        <v>2071.6</v>
      </c>
      <c r="S1036" s="39">
        <f t="shared" si="114"/>
        <v>10</v>
      </c>
      <c r="T1036" s="39">
        <f t="shared" si="115"/>
        <v>2071.6</v>
      </c>
      <c r="U1036" s="39">
        <f t="shared" si="116"/>
        <v>2071.6</v>
      </c>
      <c r="V1036" s="40"/>
    </row>
    <row r="1037" spans="2:22" x14ac:dyDescent="0.35">
      <c r="B1037" s="40">
        <v>34639</v>
      </c>
      <c r="C1037" s="39">
        <v>2069.6999999999998</v>
      </c>
      <c r="D1037" s="219">
        <f t="shared" si="117"/>
        <v>-9.1758632956374518E-4</v>
      </c>
      <c r="F1037" s="40">
        <v>34639</v>
      </c>
      <c r="G1037" s="39">
        <v>2069.6999999999998</v>
      </c>
      <c r="H1037" s="39">
        <f t="shared" si="112"/>
        <v>2</v>
      </c>
      <c r="I1037" s="39">
        <f t="shared" si="113"/>
        <v>0</v>
      </c>
      <c r="K1037" s="40">
        <v>40088</v>
      </c>
      <c r="L1037" s="39">
        <v>5467.9</v>
      </c>
      <c r="M1037" s="39">
        <v>5</v>
      </c>
      <c r="N1037" s="39">
        <v>5467.9</v>
      </c>
      <c r="O1037" s="219">
        <f t="shared" si="118"/>
        <v>-2.0546802172896901E-2</v>
      </c>
      <c r="Q1037" s="40">
        <v>34639</v>
      </c>
      <c r="R1037" s="39">
        <v>2069.6999999999998</v>
      </c>
      <c r="S1037" s="39">
        <f t="shared" si="114"/>
        <v>11</v>
      </c>
      <c r="T1037" s="39">
        <f t="shared" si="115"/>
        <v>0</v>
      </c>
      <c r="U1037" s="39">
        <f t="shared" si="116"/>
        <v>0</v>
      </c>
      <c r="V1037" s="40"/>
    </row>
    <row r="1038" spans="2:22" x14ac:dyDescent="0.35">
      <c r="B1038" s="40">
        <v>34640</v>
      </c>
      <c r="C1038" s="39">
        <v>2042.4</v>
      </c>
      <c r="D1038" s="219">
        <f t="shared" si="117"/>
        <v>-1.3278082292898456E-2</v>
      </c>
      <c r="F1038" s="40">
        <v>34640</v>
      </c>
      <c r="G1038" s="39">
        <v>2042.4</v>
      </c>
      <c r="H1038" s="39">
        <f t="shared" si="112"/>
        <v>3</v>
      </c>
      <c r="I1038" s="39">
        <f t="shared" si="113"/>
        <v>0</v>
      </c>
      <c r="K1038" s="40">
        <v>40095</v>
      </c>
      <c r="L1038" s="39">
        <v>5711.88</v>
      </c>
      <c r="M1038" s="39">
        <v>5</v>
      </c>
      <c r="N1038" s="39">
        <v>5711.88</v>
      </c>
      <c r="O1038" s="219">
        <f t="shared" si="118"/>
        <v>4.3653585941155551E-2</v>
      </c>
      <c r="Q1038" s="40">
        <v>34640</v>
      </c>
      <c r="R1038" s="39">
        <v>2042.4</v>
      </c>
      <c r="S1038" s="39">
        <f t="shared" si="114"/>
        <v>11</v>
      </c>
      <c r="T1038" s="39">
        <f t="shared" si="115"/>
        <v>0</v>
      </c>
      <c r="U1038" s="39">
        <f t="shared" si="116"/>
        <v>0</v>
      </c>
      <c r="V1038" s="40"/>
    </row>
    <row r="1039" spans="2:22" x14ac:dyDescent="0.35">
      <c r="B1039" s="40">
        <v>34641</v>
      </c>
      <c r="C1039" s="39">
        <v>2051.5</v>
      </c>
      <c r="D1039" s="219">
        <f t="shared" si="117"/>
        <v>4.4456459549666386E-3</v>
      </c>
      <c r="F1039" s="40">
        <v>34641</v>
      </c>
      <c r="G1039" s="39">
        <v>2051.5</v>
      </c>
      <c r="H1039" s="39">
        <f t="shared" si="112"/>
        <v>4</v>
      </c>
      <c r="I1039" s="39">
        <f t="shared" si="113"/>
        <v>0</v>
      </c>
      <c r="K1039" s="40">
        <v>40102</v>
      </c>
      <c r="L1039" s="39">
        <v>5743.39</v>
      </c>
      <c r="M1039" s="39">
        <v>5</v>
      </c>
      <c r="N1039" s="39">
        <v>5743.39</v>
      </c>
      <c r="O1039" s="219">
        <f t="shared" si="118"/>
        <v>5.501411921710323E-3</v>
      </c>
      <c r="Q1039" s="40">
        <v>34641</v>
      </c>
      <c r="R1039" s="39">
        <v>2051.5</v>
      </c>
      <c r="S1039" s="39">
        <f t="shared" si="114"/>
        <v>11</v>
      </c>
      <c r="T1039" s="39">
        <f t="shared" si="115"/>
        <v>0</v>
      </c>
      <c r="U1039" s="39">
        <f t="shared" si="116"/>
        <v>0</v>
      </c>
      <c r="V1039" s="40"/>
    </row>
    <row r="1040" spans="2:22" x14ac:dyDescent="0.35">
      <c r="B1040" s="40">
        <v>34642</v>
      </c>
      <c r="C1040" s="39">
        <v>2067.6</v>
      </c>
      <c r="D1040" s="219">
        <f t="shared" si="117"/>
        <v>7.8172814396433657E-3</v>
      </c>
      <c r="F1040" s="40">
        <v>34642</v>
      </c>
      <c r="G1040" s="39">
        <v>2067.6</v>
      </c>
      <c r="H1040" s="39">
        <f t="shared" si="112"/>
        <v>5</v>
      </c>
      <c r="I1040" s="39">
        <f t="shared" si="113"/>
        <v>2067.6</v>
      </c>
      <c r="K1040" s="40">
        <v>40109</v>
      </c>
      <c r="L1040" s="39">
        <v>5740.25</v>
      </c>
      <c r="M1040" s="39">
        <v>5</v>
      </c>
      <c r="N1040" s="39">
        <v>5740.25</v>
      </c>
      <c r="O1040" s="219">
        <f t="shared" si="118"/>
        <v>-5.4686494495730055E-4</v>
      </c>
      <c r="Q1040" s="40">
        <v>34642</v>
      </c>
      <c r="R1040" s="39">
        <v>2067.6</v>
      </c>
      <c r="S1040" s="39">
        <f t="shared" si="114"/>
        <v>11</v>
      </c>
      <c r="T1040" s="39">
        <f t="shared" si="115"/>
        <v>0</v>
      </c>
      <c r="U1040" s="39">
        <f t="shared" si="116"/>
        <v>0</v>
      </c>
      <c r="V1040" s="40"/>
    </row>
    <row r="1041" spans="2:22" x14ac:dyDescent="0.35">
      <c r="B1041" s="40">
        <v>34645</v>
      </c>
      <c r="C1041" s="39">
        <v>2043.5</v>
      </c>
      <c r="D1041" s="219">
        <f t="shared" si="117"/>
        <v>-1.1724490317552252E-2</v>
      </c>
      <c r="F1041" s="40">
        <v>34645</v>
      </c>
      <c r="G1041" s="39">
        <v>2043.5</v>
      </c>
      <c r="H1041" s="39">
        <f t="shared" si="112"/>
        <v>1</v>
      </c>
      <c r="I1041" s="39">
        <f t="shared" si="113"/>
        <v>0</v>
      </c>
      <c r="K1041" s="40">
        <v>40116</v>
      </c>
      <c r="L1041" s="39">
        <v>5414.96</v>
      </c>
      <c r="M1041" s="39">
        <v>5</v>
      </c>
      <c r="N1041" s="39">
        <v>5414.96</v>
      </c>
      <c r="O1041" s="219">
        <f t="shared" si="118"/>
        <v>-5.8337269852598031E-2</v>
      </c>
      <c r="Q1041" s="40">
        <v>34645</v>
      </c>
      <c r="R1041" s="39">
        <v>2043.5</v>
      </c>
      <c r="S1041" s="39">
        <f t="shared" si="114"/>
        <v>11</v>
      </c>
      <c r="T1041" s="39">
        <f t="shared" si="115"/>
        <v>0</v>
      </c>
      <c r="U1041" s="39">
        <f t="shared" si="116"/>
        <v>0</v>
      </c>
      <c r="V1041" s="40"/>
    </row>
    <row r="1042" spans="2:22" x14ac:dyDescent="0.35">
      <c r="B1042" s="40">
        <v>34646</v>
      </c>
      <c r="C1042" s="39">
        <v>2053.4</v>
      </c>
      <c r="D1042" s="219">
        <f t="shared" si="117"/>
        <v>4.8329318605324747E-3</v>
      </c>
      <c r="F1042" s="40">
        <v>34646</v>
      </c>
      <c r="G1042" s="39">
        <v>2053.4</v>
      </c>
      <c r="H1042" s="39">
        <f t="shared" si="112"/>
        <v>2</v>
      </c>
      <c r="I1042" s="39">
        <f t="shared" si="113"/>
        <v>0</v>
      </c>
      <c r="K1042" s="40">
        <v>40123</v>
      </c>
      <c r="L1042" s="39">
        <v>5488.25</v>
      </c>
      <c r="M1042" s="39">
        <v>5</v>
      </c>
      <c r="N1042" s="39">
        <v>5488.25</v>
      </c>
      <c r="O1042" s="219">
        <f t="shared" si="118"/>
        <v>1.3443949784497726E-2</v>
      </c>
      <c r="Q1042" s="40">
        <v>34646</v>
      </c>
      <c r="R1042" s="39">
        <v>2053.4</v>
      </c>
      <c r="S1042" s="39">
        <f t="shared" si="114"/>
        <v>11</v>
      </c>
      <c r="T1042" s="39">
        <f t="shared" si="115"/>
        <v>0</v>
      </c>
      <c r="U1042" s="39">
        <f t="shared" si="116"/>
        <v>0</v>
      </c>
      <c r="V1042" s="40"/>
    </row>
    <row r="1043" spans="2:22" x14ac:dyDescent="0.35">
      <c r="B1043" s="40">
        <v>34647</v>
      </c>
      <c r="C1043" s="39">
        <v>2096.5</v>
      </c>
      <c r="D1043" s="219">
        <f t="shared" si="117"/>
        <v>2.0772331745952995E-2</v>
      </c>
      <c r="F1043" s="40">
        <v>34647</v>
      </c>
      <c r="G1043" s="39">
        <v>2096.5</v>
      </c>
      <c r="H1043" s="39">
        <f t="shared" si="112"/>
        <v>3</v>
      </c>
      <c r="I1043" s="39">
        <f t="shared" si="113"/>
        <v>0</v>
      </c>
      <c r="K1043" s="40">
        <v>40130</v>
      </c>
      <c r="L1043" s="39">
        <v>5686.83</v>
      </c>
      <c r="M1043" s="39">
        <v>5</v>
      </c>
      <c r="N1043" s="39">
        <v>5686.83</v>
      </c>
      <c r="O1043" s="219">
        <f t="shared" si="118"/>
        <v>3.5543531818147553E-2</v>
      </c>
      <c r="Q1043" s="40">
        <v>34647</v>
      </c>
      <c r="R1043" s="39">
        <v>2096.5</v>
      </c>
      <c r="S1043" s="39">
        <f t="shared" si="114"/>
        <v>11</v>
      </c>
      <c r="T1043" s="39">
        <f t="shared" si="115"/>
        <v>0</v>
      </c>
      <c r="U1043" s="39">
        <f t="shared" si="116"/>
        <v>0</v>
      </c>
      <c r="V1043" s="40"/>
    </row>
    <row r="1044" spans="2:22" x14ac:dyDescent="0.35">
      <c r="B1044" s="40">
        <v>34648</v>
      </c>
      <c r="C1044" s="39">
        <v>2082.4</v>
      </c>
      <c r="D1044" s="219">
        <f t="shared" si="117"/>
        <v>-6.7482129304617007E-3</v>
      </c>
      <c r="F1044" s="40">
        <v>34648</v>
      </c>
      <c r="G1044" s="39">
        <v>2082.4</v>
      </c>
      <c r="H1044" s="39">
        <f t="shared" si="112"/>
        <v>4</v>
      </c>
      <c r="I1044" s="39">
        <f t="shared" si="113"/>
        <v>0</v>
      </c>
      <c r="K1044" s="40">
        <v>40137</v>
      </c>
      <c r="L1044" s="39">
        <v>5663.15</v>
      </c>
      <c r="M1044" s="39">
        <v>5</v>
      </c>
      <c r="N1044" s="39">
        <v>5663.15</v>
      </c>
      <c r="O1044" s="219">
        <f t="shared" si="118"/>
        <v>-4.1727006318154633E-3</v>
      </c>
      <c r="Q1044" s="40">
        <v>34648</v>
      </c>
      <c r="R1044" s="39">
        <v>2082.4</v>
      </c>
      <c r="S1044" s="39">
        <f t="shared" si="114"/>
        <v>11</v>
      </c>
      <c r="T1044" s="39">
        <f t="shared" si="115"/>
        <v>0</v>
      </c>
      <c r="U1044" s="39">
        <f t="shared" si="116"/>
        <v>0</v>
      </c>
      <c r="V1044" s="40"/>
    </row>
    <row r="1045" spans="2:22" x14ac:dyDescent="0.35">
      <c r="B1045" s="40">
        <v>34649</v>
      </c>
      <c r="C1045" s="39">
        <v>2078.4</v>
      </c>
      <c r="D1045" s="219">
        <f t="shared" si="117"/>
        <v>-1.9227077640205606E-3</v>
      </c>
      <c r="F1045" s="40">
        <v>34649</v>
      </c>
      <c r="G1045" s="39">
        <v>2078.4</v>
      </c>
      <c r="H1045" s="39">
        <f t="shared" si="112"/>
        <v>5</v>
      </c>
      <c r="I1045" s="39">
        <f t="shared" si="113"/>
        <v>2078.4</v>
      </c>
      <c r="K1045" s="40">
        <v>40144</v>
      </c>
      <c r="L1045" s="39">
        <v>5685.61</v>
      </c>
      <c r="M1045" s="39">
        <v>5</v>
      </c>
      <c r="N1045" s="39">
        <v>5685.61</v>
      </c>
      <c r="O1045" s="219">
        <f t="shared" si="118"/>
        <v>3.9581468500975202E-3</v>
      </c>
      <c r="Q1045" s="40">
        <v>34649</v>
      </c>
      <c r="R1045" s="39">
        <v>2078.4</v>
      </c>
      <c r="S1045" s="39">
        <f t="shared" si="114"/>
        <v>11</v>
      </c>
      <c r="T1045" s="39">
        <f t="shared" si="115"/>
        <v>0</v>
      </c>
      <c r="U1045" s="39">
        <f t="shared" si="116"/>
        <v>0</v>
      </c>
      <c r="V1045" s="40"/>
    </row>
    <row r="1046" spans="2:22" x14ac:dyDescent="0.35">
      <c r="B1046" s="40">
        <v>34652</v>
      </c>
      <c r="C1046" s="39">
        <v>2089.3000000000002</v>
      </c>
      <c r="D1046" s="219">
        <f t="shared" si="117"/>
        <v>5.2307147118701323E-3</v>
      </c>
      <c r="F1046" s="40">
        <v>34652</v>
      </c>
      <c r="G1046" s="39">
        <v>2089.3000000000002</v>
      </c>
      <c r="H1046" s="39">
        <f t="shared" si="112"/>
        <v>1</v>
      </c>
      <c r="I1046" s="39">
        <f t="shared" si="113"/>
        <v>0</v>
      </c>
      <c r="K1046" s="40">
        <v>40151</v>
      </c>
      <c r="L1046" s="39">
        <v>5817.65</v>
      </c>
      <c r="M1046" s="39">
        <v>5</v>
      </c>
      <c r="N1046" s="39">
        <v>5817.65</v>
      </c>
      <c r="O1046" s="219">
        <f t="shared" si="118"/>
        <v>2.295797877517064E-2</v>
      </c>
      <c r="Q1046" s="40">
        <v>34652</v>
      </c>
      <c r="R1046" s="39">
        <v>2089.3000000000002</v>
      </c>
      <c r="S1046" s="39">
        <f t="shared" si="114"/>
        <v>11</v>
      </c>
      <c r="T1046" s="39">
        <f t="shared" si="115"/>
        <v>0</v>
      </c>
      <c r="U1046" s="39">
        <f t="shared" si="116"/>
        <v>0</v>
      </c>
      <c r="V1046" s="40"/>
    </row>
    <row r="1047" spans="2:22" x14ac:dyDescent="0.35">
      <c r="B1047" s="40">
        <v>34653</v>
      </c>
      <c r="C1047" s="39">
        <v>2110.8000000000002</v>
      </c>
      <c r="D1047" s="219">
        <f t="shared" si="117"/>
        <v>1.0237940903307515E-2</v>
      </c>
      <c r="F1047" s="40">
        <v>34653</v>
      </c>
      <c r="G1047" s="39">
        <v>2110.8000000000002</v>
      </c>
      <c r="H1047" s="39">
        <f t="shared" si="112"/>
        <v>2</v>
      </c>
      <c r="I1047" s="39">
        <f t="shared" si="113"/>
        <v>0</v>
      </c>
      <c r="K1047" s="40">
        <v>40158</v>
      </c>
      <c r="L1047" s="39">
        <v>5756.29</v>
      </c>
      <c r="M1047" s="39">
        <v>5</v>
      </c>
      <c r="N1047" s="39">
        <v>5756.29</v>
      </c>
      <c r="O1047" s="219">
        <f t="shared" si="118"/>
        <v>-1.0603230167647014E-2</v>
      </c>
      <c r="Q1047" s="40">
        <v>34653</v>
      </c>
      <c r="R1047" s="39">
        <v>2110.8000000000002</v>
      </c>
      <c r="S1047" s="39">
        <f t="shared" si="114"/>
        <v>11</v>
      </c>
      <c r="T1047" s="39">
        <f t="shared" si="115"/>
        <v>0</v>
      </c>
      <c r="U1047" s="39">
        <f t="shared" si="116"/>
        <v>0</v>
      </c>
      <c r="V1047" s="40"/>
    </row>
    <row r="1048" spans="2:22" x14ac:dyDescent="0.35">
      <c r="B1048" s="40">
        <v>34655</v>
      </c>
      <c r="C1048" s="39">
        <v>2102.6999999999998</v>
      </c>
      <c r="D1048" s="219">
        <f t="shared" si="117"/>
        <v>-3.8447893571241952E-3</v>
      </c>
      <c r="F1048" s="40">
        <v>34655</v>
      </c>
      <c r="G1048" s="39">
        <v>2102.6999999999998</v>
      </c>
      <c r="H1048" s="39">
        <f t="shared" si="112"/>
        <v>4</v>
      </c>
      <c r="I1048" s="39">
        <f t="shared" si="113"/>
        <v>0</v>
      </c>
      <c r="K1048" s="40">
        <v>40165</v>
      </c>
      <c r="L1048" s="39">
        <v>5831.21</v>
      </c>
      <c r="M1048" s="39">
        <v>5</v>
      </c>
      <c r="N1048" s="39">
        <v>5831.21</v>
      </c>
      <c r="O1048" s="219">
        <f t="shared" si="118"/>
        <v>1.2931356031429734E-2</v>
      </c>
      <c r="Q1048" s="40">
        <v>34655</v>
      </c>
      <c r="R1048" s="39">
        <v>2102.6999999999998</v>
      </c>
      <c r="S1048" s="39">
        <f t="shared" si="114"/>
        <v>11</v>
      </c>
      <c r="T1048" s="39">
        <f t="shared" si="115"/>
        <v>0</v>
      </c>
      <c r="U1048" s="39">
        <f t="shared" si="116"/>
        <v>0</v>
      </c>
      <c r="V1048" s="40"/>
    </row>
    <row r="1049" spans="2:22" x14ac:dyDescent="0.35">
      <c r="B1049" s="40">
        <v>34656</v>
      </c>
      <c r="C1049" s="39">
        <v>2100.1999999999998</v>
      </c>
      <c r="D1049" s="219">
        <f t="shared" si="117"/>
        <v>-1.1896549024958084E-3</v>
      </c>
      <c r="F1049" s="40">
        <v>34656</v>
      </c>
      <c r="G1049" s="39">
        <v>2100.1999999999998</v>
      </c>
      <c r="H1049" s="39">
        <f t="shared" si="112"/>
        <v>5</v>
      </c>
      <c r="I1049" s="39">
        <f t="shared" si="113"/>
        <v>2100.1999999999998</v>
      </c>
      <c r="K1049" s="40">
        <v>40170</v>
      </c>
      <c r="L1049" s="39">
        <v>5957.44</v>
      </c>
      <c r="M1049" s="39">
        <v>3</v>
      </c>
      <c r="N1049" s="39">
        <v>5957.44</v>
      </c>
      <c r="O1049" s="219">
        <f t="shared" si="118"/>
        <v>2.1416332604116885E-2</v>
      </c>
      <c r="Q1049" s="40">
        <v>34656</v>
      </c>
      <c r="R1049" s="39">
        <v>2100.1999999999998</v>
      </c>
      <c r="S1049" s="39">
        <f t="shared" si="114"/>
        <v>11</v>
      </c>
      <c r="T1049" s="39">
        <f t="shared" si="115"/>
        <v>0</v>
      </c>
      <c r="U1049" s="39">
        <f t="shared" si="116"/>
        <v>0</v>
      </c>
      <c r="V1049" s="40"/>
    </row>
    <row r="1050" spans="2:22" x14ac:dyDescent="0.35">
      <c r="B1050" s="40">
        <v>34659</v>
      </c>
      <c r="C1050" s="39">
        <v>2105.3000000000002</v>
      </c>
      <c r="D1050" s="219">
        <f t="shared" si="117"/>
        <v>2.4253965046169713E-3</v>
      </c>
      <c r="F1050" s="40">
        <v>34659</v>
      </c>
      <c r="G1050" s="39">
        <v>2105.3000000000002</v>
      </c>
      <c r="H1050" s="39">
        <f t="shared" si="112"/>
        <v>1</v>
      </c>
      <c r="I1050" s="39">
        <f t="shared" si="113"/>
        <v>0</v>
      </c>
      <c r="K1050" s="40">
        <v>40177</v>
      </c>
      <c r="L1050" s="39">
        <v>5957.43</v>
      </c>
      <c r="M1050" s="39">
        <v>3</v>
      </c>
      <c r="N1050" s="39">
        <v>5957.43</v>
      </c>
      <c r="O1050" s="219">
        <f t="shared" si="118"/>
        <v>-1.6785747556807512E-6</v>
      </c>
      <c r="Q1050" s="40">
        <v>34659</v>
      </c>
      <c r="R1050" s="39">
        <v>2105.3000000000002</v>
      </c>
      <c r="S1050" s="39">
        <f t="shared" si="114"/>
        <v>11</v>
      </c>
      <c r="T1050" s="39">
        <f t="shared" si="115"/>
        <v>0</v>
      </c>
      <c r="U1050" s="39">
        <f t="shared" si="116"/>
        <v>0</v>
      </c>
      <c r="V1050" s="40"/>
    </row>
    <row r="1051" spans="2:22" x14ac:dyDescent="0.35">
      <c r="B1051" s="40">
        <v>34660</v>
      </c>
      <c r="C1051" s="39">
        <v>2074.8000000000002</v>
      </c>
      <c r="D1051" s="219">
        <f t="shared" si="117"/>
        <v>-1.45932112992645E-2</v>
      </c>
      <c r="F1051" s="40">
        <v>34660</v>
      </c>
      <c r="G1051" s="39">
        <v>2074.8000000000002</v>
      </c>
      <c r="H1051" s="39">
        <f t="shared" si="112"/>
        <v>2</v>
      </c>
      <c r="I1051" s="39">
        <f t="shared" si="113"/>
        <v>0</v>
      </c>
      <c r="K1051" s="40">
        <v>40186</v>
      </c>
      <c r="L1051" s="39">
        <v>6037.61</v>
      </c>
      <c r="M1051" s="39">
        <v>5</v>
      </c>
      <c r="N1051" s="39">
        <v>6037.61</v>
      </c>
      <c r="O1051" s="219">
        <f t="shared" si="118"/>
        <v>1.3369058247777035E-2</v>
      </c>
      <c r="Q1051" s="40">
        <v>34660</v>
      </c>
      <c r="R1051" s="39">
        <v>2074.8000000000002</v>
      </c>
      <c r="S1051" s="39">
        <f t="shared" si="114"/>
        <v>11</v>
      </c>
      <c r="T1051" s="39">
        <f t="shared" si="115"/>
        <v>0</v>
      </c>
      <c r="U1051" s="39">
        <f t="shared" si="116"/>
        <v>0</v>
      </c>
      <c r="V1051" s="40"/>
    </row>
    <row r="1052" spans="2:22" x14ac:dyDescent="0.35">
      <c r="B1052" s="40">
        <v>34661</v>
      </c>
      <c r="C1052" s="39">
        <v>2033.3</v>
      </c>
      <c r="D1052" s="219">
        <f t="shared" si="117"/>
        <v>-2.0204674560949251E-2</v>
      </c>
      <c r="F1052" s="40">
        <v>34661</v>
      </c>
      <c r="G1052" s="39">
        <v>2033.3</v>
      </c>
      <c r="H1052" s="39">
        <f t="shared" si="112"/>
        <v>3</v>
      </c>
      <c r="I1052" s="39">
        <f t="shared" si="113"/>
        <v>0</v>
      </c>
      <c r="K1052" s="40">
        <v>40193</v>
      </c>
      <c r="L1052" s="39">
        <v>5875.97</v>
      </c>
      <c r="M1052" s="39">
        <v>5</v>
      </c>
      <c r="N1052" s="39">
        <v>5875.97</v>
      </c>
      <c r="O1052" s="219">
        <f t="shared" si="118"/>
        <v>-2.7137085489773734E-2</v>
      </c>
      <c r="Q1052" s="40">
        <v>34661</v>
      </c>
      <c r="R1052" s="39">
        <v>2033.3</v>
      </c>
      <c r="S1052" s="39">
        <f t="shared" si="114"/>
        <v>11</v>
      </c>
      <c r="T1052" s="39">
        <f t="shared" si="115"/>
        <v>0</v>
      </c>
      <c r="U1052" s="39">
        <f t="shared" si="116"/>
        <v>0</v>
      </c>
      <c r="V1052" s="40"/>
    </row>
    <row r="1053" spans="2:22" x14ac:dyDescent="0.35">
      <c r="B1053" s="40">
        <v>34662</v>
      </c>
      <c r="C1053" s="39">
        <v>2056</v>
      </c>
      <c r="D1053" s="219">
        <f t="shared" si="117"/>
        <v>1.1102258658759691E-2</v>
      </c>
      <c r="F1053" s="40">
        <v>34662</v>
      </c>
      <c r="G1053" s="39">
        <v>2056</v>
      </c>
      <c r="H1053" s="39">
        <f t="shared" si="112"/>
        <v>4</v>
      </c>
      <c r="I1053" s="39">
        <f t="shared" si="113"/>
        <v>0</v>
      </c>
      <c r="K1053" s="40">
        <v>40200</v>
      </c>
      <c r="L1053" s="39">
        <v>5695.32</v>
      </c>
      <c r="M1053" s="39">
        <v>5</v>
      </c>
      <c r="N1053" s="39">
        <v>5695.32</v>
      </c>
      <c r="O1053" s="219">
        <f t="shared" si="118"/>
        <v>-3.1226367824040844E-2</v>
      </c>
      <c r="Q1053" s="40">
        <v>34662</v>
      </c>
      <c r="R1053" s="39">
        <v>2056</v>
      </c>
      <c r="S1053" s="39">
        <f t="shared" si="114"/>
        <v>11</v>
      </c>
      <c r="T1053" s="39">
        <f t="shared" si="115"/>
        <v>0</v>
      </c>
      <c r="U1053" s="39">
        <f t="shared" si="116"/>
        <v>0</v>
      </c>
      <c r="V1053" s="40"/>
    </row>
    <row r="1054" spans="2:22" x14ac:dyDescent="0.35">
      <c r="B1054" s="40">
        <v>34663</v>
      </c>
      <c r="C1054" s="39">
        <v>2051.6</v>
      </c>
      <c r="D1054" s="219">
        <f t="shared" si="117"/>
        <v>-2.1423710599423346E-3</v>
      </c>
      <c r="F1054" s="40">
        <v>34663</v>
      </c>
      <c r="G1054" s="39">
        <v>2051.6</v>
      </c>
      <c r="H1054" s="39">
        <f t="shared" si="112"/>
        <v>5</v>
      </c>
      <c r="I1054" s="39">
        <f t="shared" si="113"/>
        <v>2051.6</v>
      </c>
      <c r="K1054" s="40">
        <v>40207</v>
      </c>
      <c r="L1054" s="39">
        <v>5608.79</v>
      </c>
      <c r="M1054" s="39">
        <v>5</v>
      </c>
      <c r="N1054" s="39">
        <v>5608.79</v>
      </c>
      <c r="O1054" s="219">
        <f t="shared" si="118"/>
        <v>-1.5309774964136373E-2</v>
      </c>
      <c r="Q1054" s="40">
        <v>34663</v>
      </c>
      <c r="R1054" s="39">
        <v>2051.6</v>
      </c>
      <c r="S1054" s="39">
        <f t="shared" si="114"/>
        <v>11</v>
      </c>
      <c r="T1054" s="39">
        <f t="shared" si="115"/>
        <v>0</v>
      </c>
      <c r="U1054" s="39">
        <f t="shared" si="116"/>
        <v>0</v>
      </c>
      <c r="V1054" s="40"/>
    </row>
    <row r="1055" spans="2:22" x14ac:dyDescent="0.35">
      <c r="B1055" s="40">
        <v>34666</v>
      </c>
      <c r="C1055" s="39">
        <v>2058.5</v>
      </c>
      <c r="D1055" s="219">
        <f t="shared" si="117"/>
        <v>3.3575856948459474E-3</v>
      </c>
      <c r="F1055" s="40">
        <v>34666</v>
      </c>
      <c r="G1055" s="39">
        <v>2058.5</v>
      </c>
      <c r="H1055" s="39">
        <f t="shared" si="112"/>
        <v>1</v>
      </c>
      <c r="I1055" s="39">
        <f t="shared" si="113"/>
        <v>0</v>
      </c>
      <c r="K1055" s="40">
        <v>40214</v>
      </c>
      <c r="L1055" s="39">
        <v>5434.34</v>
      </c>
      <c r="M1055" s="39">
        <v>5</v>
      </c>
      <c r="N1055" s="39">
        <v>5434.34</v>
      </c>
      <c r="O1055" s="219">
        <f t="shared" si="118"/>
        <v>-3.1596931939730843E-2</v>
      </c>
      <c r="Q1055" s="40">
        <v>34666</v>
      </c>
      <c r="R1055" s="39">
        <v>2058.5</v>
      </c>
      <c r="S1055" s="39">
        <f t="shared" si="114"/>
        <v>11</v>
      </c>
      <c r="T1055" s="39">
        <f t="shared" si="115"/>
        <v>0</v>
      </c>
      <c r="U1055" s="39">
        <f t="shared" si="116"/>
        <v>0</v>
      </c>
      <c r="V1055" s="40"/>
    </row>
    <row r="1056" spans="2:22" x14ac:dyDescent="0.35">
      <c r="B1056" s="40">
        <v>34667</v>
      </c>
      <c r="C1056" s="39">
        <v>2044.3</v>
      </c>
      <c r="D1056" s="219">
        <f t="shared" si="117"/>
        <v>-6.9221296189972917E-3</v>
      </c>
      <c r="F1056" s="40">
        <v>34667</v>
      </c>
      <c r="G1056" s="39">
        <v>2044.3</v>
      </c>
      <c r="H1056" s="39">
        <f t="shared" si="112"/>
        <v>2</v>
      </c>
      <c r="I1056" s="39">
        <f t="shared" si="113"/>
        <v>0</v>
      </c>
      <c r="K1056" s="40">
        <v>40221</v>
      </c>
      <c r="L1056" s="39">
        <v>5500.39</v>
      </c>
      <c r="M1056" s="39">
        <v>5</v>
      </c>
      <c r="N1056" s="39">
        <v>5500.39</v>
      </c>
      <c r="O1056" s="219">
        <f t="shared" si="118"/>
        <v>1.2080920758669048E-2</v>
      </c>
      <c r="Q1056" s="40">
        <v>34667</v>
      </c>
      <c r="R1056" s="39">
        <v>2044.3</v>
      </c>
      <c r="S1056" s="39">
        <f t="shared" si="114"/>
        <v>11</v>
      </c>
      <c r="T1056" s="39">
        <f t="shared" si="115"/>
        <v>0</v>
      </c>
      <c r="U1056" s="39">
        <f t="shared" si="116"/>
        <v>0</v>
      </c>
      <c r="V1056" s="40"/>
    </row>
    <row r="1057" spans="2:22" x14ac:dyDescent="0.35">
      <c r="B1057" s="40">
        <v>34668</v>
      </c>
      <c r="C1057" s="39">
        <v>2048.3000000000002</v>
      </c>
      <c r="D1057" s="219">
        <f t="shared" si="117"/>
        <v>1.9547482156478924E-3</v>
      </c>
      <c r="F1057" s="40">
        <v>34668</v>
      </c>
      <c r="G1057" s="39">
        <v>2048.3000000000002</v>
      </c>
      <c r="H1057" s="39">
        <f t="shared" si="112"/>
        <v>3</v>
      </c>
      <c r="I1057" s="39">
        <f t="shared" si="113"/>
        <v>0</v>
      </c>
      <c r="K1057" s="40">
        <v>40228</v>
      </c>
      <c r="L1057" s="39">
        <v>5722.05</v>
      </c>
      <c r="M1057" s="39">
        <v>5</v>
      </c>
      <c r="N1057" s="39">
        <v>5722.05</v>
      </c>
      <c r="O1057" s="219">
        <f t="shared" si="118"/>
        <v>3.9508133977762504E-2</v>
      </c>
      <c r="Q1057" s="40">
        <v>34668</v>
      </c>
      <c r="R1057" s="39">
        <v>2048.3000000000002</v>
      </c>
      <c r="S1057" s="39">
        <f t="shared" si="114"/>
        <v>11</v>
      </c>
      <c r="T1057" s="39">
        <f t="shared" si="115"/>
        <v>2048.3000000000002</v>
      </c>
      <c r="U1057" s="39">
        <f t="shared" si="116"/>
        <v>2048.3000000000002</v>
      </c>
      <c r="V1057" s="40"/>
    </row>
    <row r="1058" spans="2:22" x14ac:dyDescent="0.35">
      <c r="B1058" s="40">
        <v>34669</v>
      </c>
      <c r="C1058" s="39">
        <v>2046.6</v>
      </c>
      <c r="D1058" s="219">
        <f t="shared" si="117"/>
        <v>-8.3030115395503598E-4</v>
      </c>
      <c r="F1058" s="40">
        <v>34669</v>
      </c>
      <c r="G1058" s="39">
        <v>2046.6</v>
      </c>
      <c r="H1058" s="39">
        <f t="shared" si="112"/>
        <v>4</v>
      </c>
      <c r="I1058" s="39">
        <f t="shared" si="113"/>
        <v>0</v>
      </c>
      <c r="K1058" s="40">
        <v>40235</v>
      </c>
      <c r="L1058" s="39">
        <v>5598.46</v>
      </c>
      <c r="M1058" s="39">
        <v>5</v>
      </c>
      <c r="N1058" s="39">
        <v>5598.46</v>
      </c>
      <c r="O1058" s="219">
        <f t="shared" si="118"/>
        <v>-2.1835572871496241E-2</v>
      </c>
      <c r="Q1058" s="40">
        <v>34669</v>
      </c>
      <c r="R1058" s="39">
        <v>2046.6</v>
      </c>
      <c r="S1058" s="39">
        <f t="shared" si="114"/>
        <v>12</v>
      </c>
      <c r="T1058" s="39">
        <f t="shared" si="115"/>
        <v>0</v>
      </c>
      <c r="U1058" s="39">
        <f t="shared" si="116"/>
        <v>0</v>
      </c>
      <c r="V1058" s="40"/>
    </row>
    <row r="1059" spans="2:22" x14ac:dyDescent="0.35">
      <c r="B1059" s="40">
        <v>34670</v>
      </c>
      <c r="C1059" s="39">
        <v>2038.5</v>
      </c>
      <c r="D1059" s="219">
        <f t="shared" si="117"/>
        <v>-3.9656363933469538E-3</v>
      </c>
      <c r="F1059" s="40">
        <v>34670</v>
      </c>
      <c r="G1059" s="39">
        <v>2038.5</v>
      </c>
      <c r="H1059" s="39">
        <f t="shared" si="112"/>
        <v>5</v>
      </c>
      <c r="I1059" s="39">
        <f t="shared" si="113"/>
        <v>2038.5</v>
      </c>
      <c r="K1059" s="40">
        <v>40242</v>
      </c>
      <c r="L1059" s="39">
        <v>5877.36</v>
      </c>
      <c r="M1059" s="39">
        <v>5</v>
      </c>
      <c r="N1059" s="39">
        <v>5877.36</v>
      </c>
      <c r="O1059" s="219">
        <f t="shared" si="118"/>
        <v>4.8616121575512913E-2</v>
      </c>
      <c r="Q1059" s="40">
        <v>34670</v>
      </c>
      <c r="R1059" s="39">
        <v>2038.5</v>
      </c>
      <c r="S1059" s="39">
        <f t="shared" si="114"/>
        <v>12</v>
      </c>
      <c r="T1059" s="39">
        <f t="shared" si="115"/>
        <v>0</v>
      </c>
      <c r="U1059" s="39">
        <f t="shared" si="116"/>
        <v>0</v>
      </c>
      <c r="V1059" s="40"/>
    </row>
    <row r="1060" spans="2:22" x14ac:dyDescent="0.35">
      <c r="B1060" s="40">
        <v>34673</v>
      </c>
      <c r="C1060" s="39">
        <v>2071.1</v>
      </c>
      <c r="D1060" s="219">
        <f t="shared" si="117"/>
        <v>1.5865623822797163E-2</v>
      </c>
      <c r="F1060" s="40">
        <v>34673</v>
      </c>
      <c r="G1060" s="39">
        <v>2071.1</v>
      </c>
      <c r="H1060" s="39">
        <f t="shared" si="112"/>
        <v>1</v>
      </c>
      <c r="I1060" s="39">
        <f t="shared" si="113"/>
        <v>0</v>
      </c>
      <c r="K1060" s="40">
        <v>40249</v>
      </c>
      <c r="L1060" s="39">
        <v>5945.11</v>
      </c>
      <c r="M1060" s="39">
        <v>5</v>
      </c>
      <c r="N1060" s="39">
        <v>5945.11</v>
      </c>
      <c r="O1060" s="219">
        <f t="shared" si="118"/>
        <v>1.1461351418035158E-2</v>
      </c>
      <c r="Q1060" s="40">
        <v>34673</v>
      </c>
      <c r="R1060" s="39">
        <v>2071.1</v>
      </c>
      <c r="S1060" s="39">
        <f t="shared" si="114"/>
        <v>12</v>
      </c>
      <c r="T1060" s="39">
        <f t="shared" si="115"/>
        <v>0</v>
      </c>
      <c r="U1060" s="39">
        <f t="shared" si="116"/>
        <v>0</v>
      </c>
      <c r="V1060" s="40"/>
    </row>
    <row r="1061" spans="2:22" x14ac:dyDescent="0.35">
      <c r="B1061" s="40">
        <v>34674</v>
      </c>
      <c r="C1061" s="39">
        <v>2046.9</v>
      </c>
      <c r="D1061" s="219">
        <f t="shared" si="117"/>
        <v>-1.175341359261744E-2</v>
      </c>
      <c r="F1061" s="40">
        <v>34674</v>
      </c>
      <c r="G1061" s="39">
        <v>2046.9</v>
      </c>
      <c r="H1061" s="39">
        <f t="shared" si="112"/>
        <v>2</v>
      </c>
      <c r="I1061" s="39">
        <f t="shared" si="113"/>
        <v>0</v>
      </c>
      <c r="K1061" s="40">
        <v>40256</v>
      </c>
      <c r="L1061" s="39">
        <v>5982.43</v>
      </c>
      <c r="M1061" s="39">
        <v>5</v>
      </c>
      <c r="N1061" s="39">
        <v>5982.43</v>
      </c>
      <c r="O1061" s="219">
        <f t="shared" si="118"/>
        <v>6.257807022736199E-3</v>
      </c>
      <c r="Q1061" s="40">
        <v>34674</v>
      </c>
      <c r="R1061" s="39">
        <v>2046.9</v>
      </c>
      <c r="S1061" s="39">
        <f t="shared" si="114"/>
        <v>12</v>
      </c>
      <c r="T1061" s="39">
        <f t="shared" si="115"/>
        <v>0</v>
      </c>
      <c r="U1061" s="39">
        <f t="shared" si="116"/>
        <v>0</v>
      </c>
      <c r="V1061" s="40"/>
    </row>
    <row r="1062" spans="2:22" x14ac:dyDescent="0.35">
      <c r="B1062" s="40">
        <v>34675</v>
      </c>
      <c r="C1062" s="39">
        <v>2055.6</v>
      </c>
      <c r="D1062" s="219">
        <f t="shared" si="117"/>
        <v>4.2413226285867118E-3</v>
      </c>
      <c r="F1062" s="40">
        <v>34675</v>
      </c>
      <c r="G1062" s="39">
        <v>2055.6</v>
      </c>
      <c r="H1062" s="39">
        <f t="shared" si="112"/>
        <v>3</v>
      </c>
      <c r="I1062" s="39">
        <f t="shared" si="113"/>
        <v>0</v>
      </c>
      <c r="K1062" s="40">
        <v>40263</v>
      </c>
      <c r="L1062" s="39">
        <v>6120.05</v>
      </c>
      <c r="M1062" s="39">
        <v>5</v>
      </c>
      <c r="N1062" s="39">
        <v>6120.05</v>
      </c>
      <c r="O1062" s="219">
        <f t="shared" si="118"/>
        <v>2.2743426487547409E-2</v>
      </c>
      <c r="Q1062" s="40">
        <v>34675</v>
      </c>
      <c r="R1062" s="39">
        <v>2055.6</v>
      </c>
      <c r="S1062" s="39">
        <f t="shared" si="114"/>
        <v>12</v>
      </c>
      <c r="T1062" s="39">
        <f t="shared" si="115"/>
        <v>0</v>
      </c>
      <c r="U1062" s="39">
        <f t="shared" si="116"/>
        <v>0</v>
      </c>
      <c r="V1062" s="40"/>
    </row>
    <row r="1063" spans="2:22" x14ac:dyDescent="0.35">
      <c r="B1063" s="40">
        <v>34676</v>
      </c>
      <c r="C1063" s="39">
        <v>2042.2</v>
      </c>
      <c r="D1063" s="219">
        <f t="shared" si="117"/>
        <v>-6.5401179966368796E-3</v>
      </c>
      <c r="F1063" s="40">
        <v>34676</v>
      </c>
      <c r="G1063" s="39">
        <v>2042.2</v>
      </c>
      <c r="H1063" s="39">
        <f t="shared" si="112"/>
        <v>4</v>
      </c>
      <c r="I1063" s="39">
        <f t="shared" si="113"/>
        <v>0</v>
      </c>
      <c r="K1063" s="40">
        <v>40269</v>
      </c>
      <c r="L1063" s="39">
        <v>6235.56</v>
      </c>
      <c r="M1063" s="39">
        <v>4</v>
      </c>
      <c r="N1063" s="39">
        <v>6235.56</v>
      </c>
      <c r="O1063" s="219">
        <f t="shared" si="118"/>
        <v>1.8698124230660224E-2</v>
      </c>
      <c r="Q1063" s="40">
        <v>34676</v>
      </c>
      <c r="R1063" s="39">
        <v>2042.2</v>
      </c>
      <c r="S1063" s="39">
        <f t="shared" si="114"/>
        <v>12</v>
      </c>
      <c r="T1063" s="39">
        <f t="shared" si="115"/>
        <v>0</v>
      </c>
      <c r="U1063" s="39">
        <f t="shared" si="116"/>
        <v>0</v>
      </c>
      <c r="V1063" s="40"/>
    </row>
    <row r="1064" spans="2:22" x14ac:dyDescent="0.35">
      <c r="B1064" s="40">
        <v>34677</v>
      </c>
      <c r="C1064" s="39">
        <v>2028.3</v>
      </c>
      <c r="D1064" s="219">
        <f t="shared" si="117"/>
        <v>-6.8296543566957633E-3</v>
      </c>
      <c r="F1064" s="40">
        <v>34677</v>
      </c>
      <c r="G1064" s="39">
        <v>2028.3</v>
      </c>
      <c r="H1064" s="39">
        <f t="shared" si="112"/>
        <v>5</v>
      </c>
      <c r="I1064" s="39">
        <f t="shared" si="113"/>
        <v>2028.3</v>
      </c>
      <c r="K1064" s="40">
        <v>40277</v>
      </c>
      <c r="L1064" s="39">
        <v>6249.7</v>
      </c>
      <c r="M1064" s="39">
        <v>5</v>
      </c>
      <c r="N1064" s="39">
        <v>6249.7</v>
      </c>
      <c r="O1064" s="219">
        <f t="shared" si="118"/>
        <v>2.265071940111457E-3</v>
      </c>
      <c r="Q1064" s="40">
        <v>34677</v>
      </c>
      <c r="R1064" s="39">
        <v>2028.3</v>
      </c>
      <c r="S1064" s="39">
        <f t="shared" si="114"/>
        <v>12</v>
      </c>
      <c r="T1064" s="39">
        <f t="shared" si="115"/>
        <v>0</v>
      </c>
      <c r="U1064" s="39">
        <f t="shared" si="116"/>
        <v>0</v>
      </c>
      <c r="V1064" s="40"/>
    </row>
    <row r="1065" spans="2:22" x14ac:dyDescent="0.35">
      <c r="B1065" s="40">
        <v>34680</v>
      </c>
      <c r="C1065" s="39">
        <v>2024.8</v>
      </c>
      <c r="D1065" s="219">
        <f t="shared" si="117"/>
        <v>-1.7270735338276515E-3</v>
      </c>
      <c r="F1065" s="40">
        <v>34680</v>
      </c>
      <c r="G1065" s="39">
        <v>2024.8</v>
      </c>
      <c r="H1065" s="39">
        <f t="shared" si="112"/>
        <v>1</v>
      </c>
      <c r="I1065" s="39">
        <f t="shared" si="113"/>
        <v>0</v>
      </c>
      <c r="K1065" s="40">
        <v>40284</v>
      </c>
      <c r="L1065" s="39">
        <v>6180.9</v>
      </c>
      <c r="M1065" s="39">
        <v>5</v>
      </c>
      <c r="N1065" s="39">
        <v>6180.9</v>
      </c>
      <c r="O1065" s="219">
        <f t="shared" si="118"/>
        <v>-1.106957066188733E-2</v>
      </c>
      <c r="Q1065" s="40">
        <v>34680</v>
      </c>
      <c r="R1065" s="39">
        <v>2024.8</v>
      </c>
      <c r="S1065" s="39">
        <f t="shared" si="114"/>
        <v>12</v>
      </c>
      <c r="T1065" s="39">
        <f t="shared" si="115"/>
        <v>0</v>
      </c>
      <c r="U1065" s="39">
        <f t="shared" si="116"/>
        <v>0</v>
      </c>
      <c r="V1065" s="40"/>
    </row>
    <row r="1066" spans="2:22" x14ac:dyDescent="0.35">
      <c r="B1066" s="40">
        <v>34681</v>
      </c>
      <c r="C1066" s="39">
        <v>2011.3</v>
      </c>
      <c r="D1066" s="219">
        <f t="shared" si="117"/>
        <v>-6.6896510717389512E-3</v>
      </c>
      <c r="F1066" s="40">
        <v>34681</v>
      </c>
      <c r="G1066" s="39">
        <v>2011.3</v>
      </c>
      <c r="H1066" s="39">
        <f t="shared" si="112"/>
        <v>2</v>
      </c>
      <c r="I1066" s="39">
        <f t="shared" si="113"/>
        <v>0</v>
      </c>
      <c r="K1066" s="40">
        <v>40291</v>
      </c>
      <c r="L1066" s="39">
        <v>6259.53</v>
      </c>
      <c r="M1066" s="39">
        <v>5</v>
      </c>
      <c r="N1066" s="39">
        <v>6259.53</v>
      </c>
      <c r="O1066" s="219">
        <f t="shared" si="118"/>
        <v>1.2641210486782028E-2</v>
      </c>
      <c r="Q1066" s="40">
        <v>34681</v>
      </c>
      <c r="R1066" s="39">
        <v>2011.3</v>
      </c>
      <c r="S1066" s="39">
        <f t="shared" si="114"/>
        <v>12</v>
      </c>
      <c r="T1066" s="39">
        <f t="shared" si="115"/>
        <v>0</v>
      </c>
      <c r="U1066" s="39">
        <f t="shared" si="116"/>
        <v>0</v>
      </c>
      <c r="V1066" s="40"/>
    </row>
    <row r="1067" spans="2:22" x14ac:dyDescent="0.35">
      <c r="B1067" s="40">
        <v>34682</v>
      </c>
      <c r="C1067" s="39">
        <v>2024.8</v>
      </c>
      <c r="D1067" s="219">
        <f t="shared" si="117"/>
        <v>6.6896510717389095E-3</v>
      </c>
      <c r="F1067" s="40">
        <v>34682</v>
      </c>
      <c r="G1067" s="39">
        <v>2024.8</v>
      </c>
      <c r="H1067" s="39">
        <f t="shared" si="112"/>
        <v>3</v>
      </c>
      <c r="I1067" s="39">
        <f t="shared" si="113"/>
        <v>0</v>
      </c>
      <c r="K1067" s="40">
        <v>40294</v>
      </c>
      <c r="L1067" s="39">
        <v>6332.1</v>
      </c>
      <c r="M1067" s="39">
        <v>1</v>
      </c>
      <c r="N1067" s="39">
        <v>6332.1</v>
      </c>
      <c r="O1067" s="219">
        <f t="shared" si="118"/>
        <v>1.1526832271376748E-2</v>
      </c>
      <c r="Q1067" s="40">
        <v>34682</v>
      </c>
      <c r="R1067" s="39">
        <v>2024.8</v>
      </c>
      <c r="S1067" s="39">
        <f t="shared" si="114"/>
        <v>12</v>
      </c>
      <c r="T1067" s="39">
        <f t="shared" si="115"/>
        <v>0</v>
      </c>
      <c r="U1067" s="39">
        <f t="shared" si="116"/>
        <v>0</v>
      </c>
      <c r="V1067" s="40"/>
    </row>
    <row r="1068" spans="2:22" x14ac:dyDescent="0.35">
      <c r="B1068" s="40">
        <v>34683</v>
      </c>
      <c r="C1068" s="39">
        <v>2052.6</v>
      </c>
      <c r="D1068" s="219">
        <f t="shared" si="117"/>
        <v>1.3636351980699709E-2</v>
      </c>
      <c r="F1068" s="40">
        <v>34683</v>
      </c>
      <c r="G1068" s="39">
        <v>2052.6</v>
      </c>
      <c r="H1068" s="39">
        <f t="shared" si="112"/>
        <v>4</v>
      </c>
      <c r="I1068" s="39">
        <f t="shared" si="113"/>
        <v>0</v>
      </c>
      <c r="K1068" s="40"/>
      <c r="Q1068" s="40">
        <v>34683</v>
      </c>
      <c r="R1068" s="39">
        <v>2052.6</v>
      </c>
      <c r="S1068" s="39">
        <f t="shared" si="114"/>
        <v>12</v>
      </c>
      <c r="T1068" s="39">
        <f t="shared" si="115"/>
        <v>0</v>
      </c>
      <c r="U1068" s="39">
        <f t="shared" si="116"/>
        <v>0</v>
      </c>
      <c r="V1068" s="40"/>
    </row>
    <row r="1069" spans="2:22" x14ac:dyDescent="0.35">
      <c r="B1069" s="40">
        <v>34684</v>
      </c>
      <c r="C1069" s="39">
        <v>2070.1</v>
      </c>
      <c r="D1069" s="219">
        <f t="shared" si="117"/>
        <v>8.489633059693847E-3</v>
      </c>
      <c r="F1069" s="40">
        <v>34684</v>
      </c>
      <c r="G1069" s="39">
        <v>2070.1</v>
      </c>
      <c r="H1069" s="39">
        <f t="shared" si="112"/>
        <v>5</v>
      </c>
      <c r="I1069" s="39">
        <f t="shared" si="113"/>
        <v>2070.1</v>
      </c>
      <c r="K1069" s="40"/>
      <c r="Q1069" s="40">
        <v>34684</v>
      </c>
      <c r="R1069" s="39">
        <v>2070.1</v>
      </c>
      <c r="S1069" s="39">
        <f t="shared" si="114"/>
        <v>12</v>
      </c>
      <c r="T1069" s="39">
        <f t="shared" si="115"/>
        <v>0</v>
      </c>
      <c r="U1069" s="39">
        <f t="shared" si="116"/>
        <v>0</v>
      </c>
      <c r="V1069" s="40"/>
    </row>
    <row r="1070" spans="2:22" x14ac:dyDescent="0.35">
      <c r="B1070" s="40">
        <v>34687</v>
      </c>
      <c r="C1070" s="39">
        <v>2075.9</v>
      </c>
      <c r="D1070" s="219">
        <f t="shared" si="117"/>
        <v>2.7978792974409309E-3</v>
      </c>
      <c r="F1070" s="40">
        <v>34687</v>
      </c>
      <c r="G1070" s="39">
        <v>2075.9</v>
      </c>
      <c r="H1070" s="39">
        <f t="shared" si="112"/>
        <v>1</v>
      </c>
      <c r="I1070" s="39">
        <f t="shared" si="113"/>
        <v>0</v>
      </c>
      <c r="K1070" s="40"/>
      <c r="Q1070" s="40">
        <v>34687</v>
      </c>
      <c r="R1070" s="39">
        <v>2075.9</v>
      </c>
      <c r="S1070" s="39">
        <f t="shared" si="114"/>
        <v>12</v>
      </c>
      <c r="T1070" s="39">
        <f t="shared" si="115"/>
        <v>0</v>
      </c>
      <c r="U1070" s="39">
        <f t="shared" si="116"/>
        <v>0</v>
      </c>
      <c r="V1070" s="40"/>
    </row>
    <row r="1071" spans="2:22" x14ac:dyDescent="0.35">
      <c r="B1071" s="40">
        <v>34688</v>
      </c>
      <c r="C1071" s="39">
        <v>2079.9</v>
      </c>
      <c r="D1071" s="219">
        <f t="shared" si="117"/>
        <v>1.9250210478056358E-3</v>
      </c>
      <c r="F1071" s="40">
        <v>34688</v>
      </c>
      <c r="G1071" s="39">
        <v>2079.9</v>
      </c>
      <c r="H1071" s="39">
        <f t="shared" si="112"/>
        <v>2</v>
      </c>
      <c r="I1071" s="39">
        <f t="shared" si="113"/>
        <v>0</v>
      </c>
      <c r="K1071" s="40"/>
      <c r="Q1071" s="40">
        <v>34688</v>
      </c>
      <c r="R1071" s="39">
        <v>2079.9</v>
      </c>
      <c r="S1071" s="39">
        <f t="shared" si="114"/>
        <v>12</v>
      </c>
      <c r="T1071" s="39">
        <f t="shared" si="115"/>
        <v>0</v>
      </c>
      <c r="U1071" s="39">
        <f t="shared" si="116"/>
        <v>0</v>
      </c>
      <c r="V1071" s="40"/>
    </row>
    <row r="1072" spans="2:22" x14ac:dyDescent="0.35">
      <c r="B1072" s="40">
        <v>34689</v>
      </c>
      <c r="C1072" s="39">
        <v>2086.6999999999998</v>
      </c>
      <c r="D1072" s="219">
        <f t="shared" si="117"/>
        <v>3.2640551227845083E-3</v>
      </c>
      <c r="F1072" s="40">
        <v>34689</v>
      </c>
      <c r="G1072" s="39">
        <v>2086.6999999999998</v>
      </c>
      <c r="H1072" s="39">
        <f t="shared" si="112"/>
        <v>3</v>
      </c>
      <c r="I1072" s="39">
        <f t="shared" si="113"/>
        <v>0</v>
      </c>
      <c r="K1072" s="40"/>
      <c r="Q1072" s="40">
        <v>34689</v>
      </c>
      <c r="R1072" s="39">
        <v>2086.6999999999998</v>
      </c>
      <c r="S1072" s="39">
        <f t="shared" si="114"/>
        <v>12</v>
      </c>
      <c r="T1072" s="39">
        <f t="shared" si="115"/>
        <v>0</v>
      </c>
      <c r="U1072" s="39">
        <f t="shared" si="116"/>
        <v>0</v>
      </c>
      <c r="V1072" s="40"/>
    </row>
    <row r="1073" spans="2:22" x14ac:dyDescent="0.35">
      <c r="B1073" s="40">
        <v>34690</v>
      </c>
      <c r="C1073" s="39">
        <v>2100.6999999999998</v>
      </c>
      <c r="D1073" s="219">
        <f t="shared" si="117"/>
        <v>6.6867517622956002E-3</v>
      </c>
      <c r="F1073" s="40">
        <v>34690</v>
      </c>
      <c r="G1073" s="39">
        <v>2100.6999999999998</v>
      </c>
      <c r="H1073" s="39">
        <f t="shared" si="112"/>
        <v>4</v>
      </c>
      <c r="I1073" s="39">
        <f t="shared" si="113"/>
        <v>0</v>
      </c>
      <c r="K1073" s="40"/>
      <c r="Q1073" s="40">
        <v>34690</v>
      </c>
      <c r="R1073" s="39">
        <v>2100.6999999999998</v>
      </c>
      <c r="S1073" s="39">
        <f t="shared" si="114"/>
        <v>12</v>
      </c>
      <c r="T1073" s="39">
        <f t="shared" si="115"/>
        <v>0</v>
      </c>
      <c r="U1073" s="39">
        <f t="shared" si="116"/>
        <v>0</v>
      </c>
      <c r="V1073" s="40"/>
    </row>
    <row r="1074" spans="2:22" x14ac:dyDescent="0.35">
      <c r="B1074" s="40">
        <v>34691</v>
      </c>
      <c r="C1074" s="39">
        <v>2094</v>
      </c>
      <c r="D1074" s="219">
        <f t="shared" si="117"/>
        <v>-3.1945100711525012E-3</v>
      </c>
      <c r="F1074" s="40">
        <v>34691</v>
      </c>
      <c r="G1074" s="39">
        <v>2094</v>
      </c>
      <c r="H1074" s="39">
        <f t="shared" si="112"/>
        <v>5</v>
      </c>
      <c r="I1074" s="39">
        <f t="shared" si="113"/>
        <v>2094</v>
      </c>
      <c r="K1074" s="40"/>
      <c r="Q1074" s="40">
        <v>34691</v>
      </c>
      <c r="R1074" s="39">
        <v>2094</v>
      </c>
      <c r="S1074" s="39">
        <f t="shared" si="114"/>
        <v>12</v>
      </c>
      <c r="T1074" s="39">
        <f t="shared" si="115"/>
        <v>0</v>
      </c>
      <c r="U1074" s="39">
        <f t="shared" si="116"/>
        <v>0</v>
      </c>
      <c r="V1074" s="40"/>
    </row>
    <row r="1075" spans="2:22" x14ac:dyDescent="0.35">
      <c r="B1075" s="40">
        <v>34695</v>
      </c>
      <c r="C1075" s="39">
        <v>2106.1999999999998</v>
      </c>
      <c r="D1075" s="219">
        <f t="shared" si="117"/>
        <v>5.8092635160145317E-3</v>
      </c>
      <c r="F1075" s="40">
        <v>34695</v>
      </c>
      <c r="G1075" s="39">
        <v>2106.1999999999998</v>
      </c>
      <c r="H1075" s="39">
        <f t="shared" si="112"/>
        <v>2</v>
      </c>
      <c r="I1075" s="39">
        <f t="shared" si="113"/>
        <v>0</v>
      </c>
      <c r="K1075" s="40"/>
      <c r="Q1075" s="40">
        <v>34695</v>
      </c>
      <c r="R1075" s="39">
        <v>2106.1999999999998</v>
      </c>
      <c r="S1075" s="39">
        <f t="shared" si="114"/>
        <v>12</v>
      </c>
      <c r="T1075" s="39">
        <f t="shared" si="115"/>
        <v>0</v>
      </c>
      <c r="U1075" s="39">
        <f t="shared" si="116"/>
        <v>0</v>
      </c>
      <c r="V1075" s="40"/>
    </row>
    <row r="1076" spans="2:22" x14ac:dyDescent="0.35">
      <c r="B1076" s="40">
        <v>34696</v>
      </c>
      <c r="C1076" s="39">
        <v>2109</v>
      </c>
      <c r="D1076" s="219">
        <f t="shared" si="117"/>
        <v>1.3285255322779302E-3</v>
      </c>
      <c r="F1076" s="40">
        <v>34696</v>
      </c>
      <c r="G1076" s="39">
        <v>2109</v>
      </c>
      <c r="H1076" s="39">
        <f t="shared" si="112"/>
        <v>3</v>
      </c>
      <c r="I1076" s="39">
        <f t="shared" si="113"/>
        <v>0</v>
      </c>
      <c r="K1076" s="40"/>
      <c r="Q1076" s="40">
        <v>34696</v>
      </c>
      <c r="R1076" s="39">
        <v>2109</v>
      </c>
      <c r="S1076" s="39">
        <f t="shared" si="114"/>
        <v>12</v>
      </c>
      <c r="T1076" s="39">
        <f t="shared" si="115"/>
        <v>0</v>
      </c>
      <c r="U1076" s="39">
        <f t="shared" si="116"/>
        <v>0</v>
      </c>
      <c r="V1076" s="40"/>
    </row>
    <row r="1077" spans="2:22" x14ac:dyDescent="0.35">
      <c r="B1077" s="40">
        <v>34697</v>
      </c>
      <c r="C1077" s="39">
        <v>2077</v>
      </c>
      <c r="D1077" s="219">
        <f t="shared" si="117"/>
        <v>-1.5289356602662316E-2</v>
      </c>
      <c r="F1077" s="40">
        <v>34697</v>
      </c>
      <c r="G1077" s="39">
        <v>2077</v>
      </c>
      <c r="H1077" s="39">
        <f t="shared" si="112"/>
        <v>4</v>
      </c>
      <c r="I1077" s="39">
        <f t="shared" si="113"/>
        <v>0</v>
      </c>
      <c r="K1077" s="40"/>
      <c r="Q1077" s="40">
        <v>34697</v>
      </c>
      <c r="R1077" s="39">
        <v>2077</v>
      </c>
      <c r="S1077" s="39">
        <f t="shared" si="114"/>
        <v>12</v>
      </c>
      <c r="T1077" s="39">
        <f t="shared" si="115"/>
        <v>0</v>
      </c>
      <c r="U1077" s="39">
        <f t="shared" si="116"/>
        <v>0</v>
      </c>
      <c r="V1077" s="40"/>
    </row>
    <row r="1078" spans="2:22" x14ac:dyDescent="0.35">
      <c r="B1078" s="40">
        <v>34698</v>
      </c>
      <c r="C1078" s="39">
        <v>2106.6</v>
      </c>
      <c r="D1078" s="219">
        <f t="shared" si="117"/>
        <v>1.4150728526329294E-2</v>
      </c>
      <c r="F1078" s="40">
        <v>34698</v>
      </c>
      <c r="G1078" s="39">
        <v>2106.6</v>
      </c>
      <c r="H1078" s="39">
        <f t="shared" si="112"/>
        <v>5</v>
      </c>
      <c r="I1078" s="39">
        <f t="shared" si="113"/>
        <v>2106.6</v>
      </c>
      <c r="K1078" s="40"/>
      <c r="Q1078" s="40">
        <v>34698</v>
      </c>
      <c r="R1078" s="39">
        <v>2106.6</v>
      </c>
      <c r="S1078" s="39">
        <f t="shared" si="114"/>
        <v>12</v>
      </c>
      <c r="T1078" s="39">
        <f t="shared" si="115"/>
        <v>2106.6</v>
      </c>
      <c r="U1078" s="39">
        <f t="shared" si="116"/>
        <v>2106.6</v>
      </c>
      <c r="V1078" s="40"/>
    </row>
    <row r="1079" spans="2:22" x14ac:dyDescent="0.35">
      <c r="B1079" s="40">
        <v>34701</v>
      </c>
      <c r="C1079" s="39">
        <v>2079.5</v>
      </c>
      <c r="D1079" s="219">
        <f t="shared" si="117"/>
        <v>-1.2947793219475123E-2</v>
      </c>
      <c r="F1079" s="40">
        <v>34701</v>
      </c>
      <c r="G1079" s="39">
        <v>2079.5</v>
      </c>
      <c r="H1079" s="39">
        <f t="shared" ref="H1079:H1142" si="119">WEEKDAY(F1079,2)</f>
        <v>1</v>
      </c>
      <c r="I1079" s="39">
        <f t="shared" ref="I1079:I1142" si="120">IF(H1079&gt;H1080,G1079,0)</f>
        <v>0</v>
      </c>
      <c r="K1079" s="40"/>
      <c r="Q1079" s="40">
        <v>34701</v>
      </c>
      <c r="R1079" s="39">
        <v>2079.5</v>
      </c>
      <c r="S1079" s="39">
        <f t="shared" ref="S1079:S1142" si="121">MONTH(Q1079)</f>
        <v>1</v>
      </c>
      <c r="T1079" s="39">
        <f t="shared" ref="T1079:T1142" si="122">IF(S1080&lt;&gt;S1079,R1079,0)</f>
        <v>0</v>
      </c>
      <c r="U1079" s="39">
        <f t="shared" ref="U1079:U1142" si="123">IF(S1080=S1079,0,R1079)</f>
        <v>0</v>
      </c>
      <c r="V1079" s="40"/>
    </row>
    <row r="1080" spans="2:22" x14ac:dyDescent="0.35">
      <c r="B1080" s="40">
        <v>34702</v>
      </c>
      <c r="C1080" s="39">
        <v>2074.8000000000002</v>
      </c>
      <c r="D1080" s="219">
        <f t="shared" ref="D1080:D1143" si="124">LN(C1080/C1079)</f>
        <v>-2.2627167057211075E-3</v>
      </c>
      <c r="F1080" s="40">
        <v>34702</v>
      </c>
      <c r="G1080" s="39">
        <v>2074.8000000000002</v>
      </c>
      <c r="H1080" s="39">
        <f t="shared" si="119"/>
        <v>2</v>
      </c>
      <c r="I1080" s="39">
        <f t="shared" si="120"/>
        <v>0</v>
      </c>
      <c r="K1080" s="40"/>
      <c r="Q1080" s="40">
        <v>34702</v>
      </c>
      <c r="R1080" s="39">
        <v>2074.8000000000002</v>
      </c>
      <c r="S1080" s="39">
        <f t="shared" si="121"/>
        <v>1</v>
      </c>
      <c r="T1080" s="39">
        <f t="shared" si="122"/>
        <v>0</v>
      </c>
      <c r="U1080" s="39">
        <f t="shared" si="123"/>
        <v>0</v>
      </c>
      <c r="V1080" s="40"/>
    </row>
    <row r="1081" spans="2:22" x14ac:dyDescent="0.35">
      <c r="B1081" s="40">
        <v>34703</v>
      </c>
      <c r="C1081" s="39">
        <v>2072.3000000000002</v>
      </c>
      <c r="D1081" s="219">
        <f t="shared" si="124"/>
        <v>-1.2056619338032136E-3</v>
      </c>
      <c r="F1081" s="40">
        <v>34703</v>
      </c>
      <c r="G1081" s="39">
        <v>2072.3000000000002</v>
      </c>
      <c r="H1081" s="39">
        <f t="shared" si="119"/>
        <v>3</v>
      </c>
      <c r="I1081" s="39">
        <f t="shared" si="120"/>
        <v>0</v>
      </c>
      <c r="K1081" s="40"/>
      <c r="Q1081" s="40">
        <v>34703</v>
      </c>
      <c r="R1081" s="39">
        <v>2072.3000000000002</v>
      </c>
      <c r="S1081" s="39">
        <f t="shared" si="121"/>
        <v>1</v>
      </c>
      <c r="T1081" s="39">
        <f t="shared" si="122"/>
        <v>0</v>
      </c>
      <c r="U1081" s="39">
        <f t="shared" si="123"/>
        <v>0</v>
      </c>
      <c r="V1081" s="40"/>
    </row>
    <row r="1082" spans="2:22" x14ac:dyDescent="0.35">
      <c r="B1082" s="40">
        <v>34704</v>
      </c>
      <c r="C1082" s="39">
        <v>2062.5</v>
      </c>
      <c r="D1082" s="219">
        <f t="shared" si="124"/>
        <v>-4.7402623346059066E-3</v>
      </c>
      <c r="F1082" s="40">
        <v>34704</v>
      </c>
      <c r="G1082" s="39">
        <v>2062.5</v>
      </c>
      <c r="H1082" s="39">
        <f t="shared" si="119"/>
        <v>4</v>
      </c>
      <c r="I1082" s="39">
        <f t="shared" si="120"/>
        <v>0</v>
      </c>
      <c r="K1082" s="40"/>
      <c r="Q1082" s="40">
        <v>34704</v>
      </c>
      <c r="R1082" s="39">
        <v>2062.5</v>
      </c>
      <c r="S1082" s="39">
        <f t="shared" si="121"/>
        <v>1</v>
      </c>
      <c r="T1082" s="39">
        <f t="shared" si="122"/>
        <v>0</v>
      </c>
      <c r="U1082" s="39">
        <f t="shared" si="123"/>
        <v>0</v>
      </c>
      <c r="V1082" s="40"/>
    </row>
    <row r="1083" spans="2:22" x14ac:dyDescent="0.35">
      <c r="B1083" s="40">
        <v>34705</v>
      </c>
      <c r="C1083" s="39">
        <v>2053.9</v>
      </c>
      <c r="D1083" s="219">
        <f t="shared" si="124"/>
        <v>-4.178414397232961E-3</v>
      </c>
      <c r="F1083" s="40">
        <v>34705</v>
      </c>
      <c r="G1083" s="39">
        <v>2053.9</v>
      </c>
      <c r="H1083" s="39">
        <f t="shared" si="119"/>
        <v>5</v>
      </c>
      <c r="I1083" s="39">
        <f t="shared" si="120"/>
        <v>2053.9</v>
      </c>
      <c r="K1083" s="40"/>
      <c r="Q1083" s="40">
        <v>34705</v>
      </c>
      <c r="R1083" s="39">
        <v>2053.9</v>
      </c>
      <c r="S1083" s="39">
        <f t="shared" si="121"/>
        <v>1</v>
      </c>
      <c r="T1083" s="39">
        <f t="shared" si="122"/>
        <v>0</v>
      </c>
      <c r="U1083" s="39">
        <f t="shared" si="123"/>
        <v>0</v>
      </c>
      <c r="V1083" s="40"/>
    </row>
    <row r="1084" spans="2:22" x14ac:dyDescent="0.35">
      <c r="B1084" s="40">
        <v>34708</v>
      </c>
      <c r="C1084" s="39">
        <v>2059.1999999999998</v>
      </c>
      <c r="D1084" s="219">
        <f t="shared" si="124"/>
        <v>2.5771330302590862E-3</v>
      </c>
      <c r="F1084" s="40">
        <v>34708</v>
      </c>
      <c r="G1084" s="39">
        <v>2059.1999999999998</v>
      </c>
      <c r="H1084" s="39">
        <f t="shared" si="119"/>
        <v>1</v>
      </c>
      <c r="I1084" s="39">
        <f t="shared" si="120"/>
        <v>0</v>
      </c>
      <c r="K1084" s="40"/>
      <c r="Q1084" s="40">
        <v>34708</v>
      </c>
      <c r="R1084" s="39">
        <v>2059.1999999999998</v>
      </c>
      <c r="S1084" s="39">
        <f t="shared" si="121"/>
        <v>1</v>
      </c>
      <c r="T1084" s="39">
        <f t="shared" si="122"/>
        <v>0</v>
      </c>
      <c r="U1084" s="39">
        <f t="shared" si="123"/>
        <v>0</v>
      </c>
      <c r="V1084" s="40"/>
    </row>
    <row r="1085" spans="2:22" x14ac:dyDescent="0.35">
      <c r="B1085" s="40">
        <v>34709</v>
      </c>
      <c r="C1085" s="39">
        <v>2051.1</v>
      </c>
      <c r="D1085" s="219">
        <f t="shared" si="124"/>
        <v>-3.9413232540041754E-3</v>
      </c>
      <c r="F1085" s="40">
        <v>34709</v>
      </c>
      <c r="G1085" s="39">
        <v>2051.1</v>
      </c>
      <c r="H1085" s="39">
        <f t="shared" si="119"/>
        <v>2</v>
      </c>
      <c r="I1085" s="39">
        <f t="shared" si="120"/>
        <v>0</v>
      </c>
      <c r="K1085" s="40"/>
      <c r="Q1085" s="40">
        <v>34709</v>
      </c>
      <c r="R1085" s="39">
        <v>2051.1</v>
      </c>
      <c r="S1085" s="39">
        <f t="shared" si="121"/>
        <v>1</v>
      </c>
      <c r="T1085" s="39">
        <f t="shared" si="122"/>
        <v>0</v>
      </c>
      <c r="U1085" s="39">
        <f t="shared" si="123"/>
        <v>0</v>
      </c>
      <c r="V1085" s="40"/>
    </row>
    <row r="1086" spans="2:22" x14ac:dyDescent="0.35">
      <c r="B1086" s="40">
        <v>34710</v>
      </c>
      <c r="C1086" s="39">
        <v>2061.1</v>
      </c>
      <c r="D1086" s="219">
        <f t="shared" si="124"/>
        <v>4.8635862613937144E-3</v>
      </c>
      <c r="F1086" s="40">
        <v>34710</v>
      </c>
      <c r="G1086" s="39">
        <v>2061.1</v>
      </c>
      <c r="H1086" s="39">
        <f t="shared" si="119"/>
        <v>3</v>
      </c>
      <c r="I1086" s="39">
        <f t="shared" si="120"/>
        <v>0</v>
      </c>
      <c r="K1086" s="40"/>
      <c r="Q1086" s="40">
        <v>34710</v>
      </c>
      <c r="R1086" s="39">
        <v>2061.1</v>
      </c>
      <c r="S1086" s="39">
        <f t="shared" si="121"/>
        <v>1</v>
      </c>
      <c r="T1086" s="39">
        <f t="shared" si="122"/>
        <v>0</v>
      </c>
      <c r="U1086" s="39">
        <f t="shared" si="123"/>
        <v>0</v>
      </c>
      <c r="V1086" s="40"/>
    </row>
    <row r="1087" spans="2:22" x14ac:dyDescent="0.35">
      <c r="B1087" s="40">
        <v>34711</v>
      </c>
      <c r="C1087" s="39">
        <v>2071.3000000000002</v>
      </c>
      <c r="D1087" s="219">
        <f t="shared" si="124"/>
        <v>4.9366086122258155E-3</v>
      </c>
      <c r="F1087" s="40">
        <v>34711</v>
      </c>
      <c r="G1087" s="39">
        <v>2071.3000000000002</v>
      </c>
      <c r="H1087" s="39">
        <f t="shared" si="119"/>
        <v>4</v>
      </c>
      <c r="I1087" s="39">
        <f t="shared" si="120"/>
        <v>0</v>
      </c>
      <c r="K1087" s="40"/>
      <c r="Q1087" s="40">
        <v>34711</v>
      </c>
      <c r="R1087" s="39">
        <v>2071.3000000000002</v>
      </c>
      <c r="S1087" s="39">
        <f t="shared" si="121"/>
        <v>1</v>
      </c>
      <c r="T1087" s="39">
        <f t="shared" si="122"/>
        <v>0</v>
      </c>
      <c r="U1087" s="39">
        <f t="shared" si="123"/>
        <v>0</v>
      </c>
      <c r="V1087" s="40"/>
    </row>
    <row r="1088" spans="2:22" x14ac:dyDescent="0.35">
      <c r="B1088" s="40">
        <v>34712</v>
      </c>
      <c r="C1088" s="39">
        <v>2055.6</v>
      </c>
      <c r="D1088" s="219">
        <f t="shared" si="124"/>
        <v>-7.6086533434028764E-3</v>
      </c>
      <c r="F1088" s="40">
        <v>34712</v>
      </c>
      <c r="G1088" s="39">
        <v>2055.6</v>
      </c>
      <c r="H1088" s="39">
        <f t="shared" si="119"/>
        <v>5</v>
      </c>
      <c r="I1088" s="39">
        <f t="shared" si="120"/>
        <v>2055.6</v>
      </c>
      <c r="K1088" s="40"/>
      <c r="Q1088" s="40">
        <v>34712</v>
      </c>
      <c r="R1088" s="39">
        <v>2055.6</v>
      </c>
      <c r="S1088" s="39">
        <f t="shared" si="121"/>
        <v>1</v>
      </c>
      <c r="T1088" s="39">
        <f t="shared" si="122"/>
        <v>0</v>
      </c>
      <c r="U1088" s="39">
        <f t="shared" si="123"/>
        <v>0</v>
      </c>
      <c r="V1088" s="40"/>
    </row>
    <row r="1089" spans="2:22" x14ac:dyDescent="0.35">
      <c r="B1089" s="40">
        <v>34715</v>
      </c>
      <c r="C1089" s="39">
        <v>2085.6</v>
      </c>
      <c r="D1089" s="219">
        <f t="shared" si="124"/>
        <v>1.4488807501217378E-2</v>
      </c>
      <c r="F1089" s="40">
        <v>34715</v>
      </c>
      <c r="G1089" s="39">
        <v>2085.6</v>
      </c>
      <c r="H1089" s="39">
        <f t="shared" si="119"/>
        <v>1</v>
      </c>
      <c r="I1089" s="39">
        <f t="shared" si="120"/>
        <v>0</v>
      </c>
      <c r="K1089" s="40"/>
      <c r="Q1089" s="40">
        <v>34715</v>
      </c>
      <c r="R1089" s="39">
        <v>2085.6</v>
      </c>
      <c r="S1089" s="39">
        <f t="shared" si="121"/>
        <v>1</v>
      </c>
      <c r="T1089" s="39">
        <f t="shared" si="122"/>
        <v>0</v>
      </c>
      <c r="U1089" s="39">
        <f t="shared" si="123"/>
        <v>0</v>
      </c>
      <c r="V1089" s="40"/>
    </row>
    <row r="1090" spans="2:22" x14ac:dyDescent="0.35">
      <c r="B1090" s="40">
        <v>34716</v>
      </c>
      <c r="C1090" s="39">
        <v>2083.9</v>
      </c>
      <c r="D1090" s="219">
        <f t="shared" si="124"/>
        <v>-8.1544554224786492E-4</v>
      </c>
      <c r="F1090" s="40">
        <v>34716</v>
      </c>
      <c r="G1090" s="39">
        <v>2083.9</v>
      </c>
      <c r="H1090" s="39">
        <f t="shared" si="119"/>
        <v>2</v>
      </c>
      <c r="I1090" s="39">
        <f t="shared" si="120"/>
        <v>0</v>
      </c>
      <c r="K1090" s="40"/>
      <c r="Q1090" s="40">
        <v>34716</v>
      </c>
      <c r="R1090" s="39">
        <v>2083.9</v>
      </c>
      <c r="S1090" s="39">
        <f t="shared" si="121"/>
        <v>1</v>
      </c>
      <c r="T1090" s="39">
        <f t="shared" si="122"/>
        <v>0</v>
      </c>
      <c r="U1090" s="39">
        <f t="shared" si="123"/>
        <v>0</v>
      </c>
      <c r="V1090" s="40"/>
    </row>
    <row r="1091" spans="2:22" x14ac:dyDescent="0.35">
      <c r="B1091" s="40">
        <v>34717</v>
      </c>
      <c r="C1091" s="39">
        <v>2078.9</v>
      </c>
      <c r="D1091" s="219">
        <f t="shared" si="124"/>
        <v>-2.4022304239755738E-3</v>
      </c>
      <c r="F1091" s="40">
        <v>34717</v>
      </c>
      <c r="G1091" s="39">
        <v>2078.9</v>
      </c>
      <c r="H1091" s="39">
        <f t="shared" si="119"/>
        <v>3</v>
      </c>
      <c r="I1091" s="39">
        <f t="shared" si="120"/>
        <v>0</v>
      </c>
      <c r="K1091" s="40"/>
      <c r="Q1091" s="40">
        <v>34717</v>
      </c>
      <c r="R1091" s="39">
        <v>2078.9</v>
      </c>
      <c r="S1091" s="39">
        <f t="shared" si="121"/>
        <v>1</v>
      </c>
      <c r="T1091" s="39">
        <f t="shared" si="122"/>
        <v>0</v>
      </c>
      <c r="U1091" s="39">
        <f t="shared" si="123"/>
        <v>0</v>
      </c>
      <c r="V1091" s="40"/>
    </row>
    <row r="1092" spans="2:22" x14ac:dyDescent="0.35">
      <c r="B1092" s="40">
        <v>34718</v>
      </c>
      <c r="C1092" s="39">
        <v>2089.4</v>
      </c>
      <c r="D1092" s="219">
        <f t="shared" si="124"/>
        <v>5.038035750339071E-3</v>
      </c>
      <c r="F1092" s="40">
        <v>34718</v>
      </c>
      <c r="G1092" s="39">
        <v>2089.4</v>
      </c>
      <c r="H1092" s="39">
        <f t="shared" si="119"/>
        <v>4</v>
      </c>
      <c r="I1092" s="39">
        <f t="shared" si="120"/>
        <v>0</v>
      </c>
      <c r="K1092" s="40"/>
      <c r="Q1092" s="40">
        <v>34718</v>
      </c>
      <c r="R1092" s="39">
        <v>2089.4</v>
      </c>
      <c r="S1092" s="39">
        <f t="shared" si="121"/>
        <v>1</v>
      </c>
      <c r="T1092" s="39">
        <f t="shared" si="122"/>
        <v>0</v>
      </c>
      <c r="U1092" s="39">
        <f t="shared" si="123"/>
        <v>0</v>
      </c>
      <c r="V1092" s="40"/>
    </row>
    <row r="1093" spans="2:22" x14ac:dyDescent="0.35">
      <c r="B1093" s="40">
        <v>34719</v>
      </c>
      <c r="C1093" s="39">
        <v>2055.6</v>
      </c>
      <c r="D1093" s="219">
        <f t="shared" si="124"/>
        <v>-1.6309167285333125E-2</v>
      </c>
      <c r="F1093" s="40">
        <v>34719</v>
      </c>
      <c r="G1093" s="39">
        <v>2055.6</v>
      </c>
      <c r="H1093" s="39">
        <f t="shared" si="119"/>
        <v>5</v>
      </c>
      <c r="I1093" s="39">
        <f t="shared" si="120"/>
        <v>2055.6</v>
      </c>
      <c r="K1093" s="40"/>
      <c r="Q1093" s="40">
        <v>34719</v>
      </c>
      <c r="R1093" s="39">
        <v>2055.6</v>
      </c>
      <c r="S1093" s="39">
        <f t="shared" si="121"/>
        <v>1</v>
      </c>
      <c r="T1093" s="39">
        <f t="shared" si="122"/>
        <v>0</v>
      </c>
      <c r="U1093" s="39">
        <f t="shared" si="123"/>
        <v>0</v>
      </c>
      <c r="V1093" s="40"/>
    </row>
    <row r="1094" spans="2:22" x14ac:dyDescent="0.35">
      <c r="B1094" s="40">
        <v>34722</v>
      </c>
      <c r="C1094" s="39">
        <v>2026.8</v>
      </c>
      <c r="D1094" s="219">
        <f t="shared" si="124"/>
        <v>-1.4109581516319778E-2</v>
      </c>
      <c r="F1094" s="40">
        <v>34722</v>
      </c>
      <c r="G1094" s="39">
        <v>2026.8</v>
      </c>
      <c r="H1094" s="39">
        <f t="shared" si="119"/>
        <v>1</v>
      </c>
      <c r="I1094" s="39">
        <f t="shared" si="120"/>
        <v>0</v>
      </c>
      <c r="K1094" s="40"/>
      <c r="Q1094" s="40">
        <v>34722</v>
      </c>
      <c r="R1094" s="39">
        <v>2026.8</v>
      </c>
      <c r="S1094" s="39">
        <f t="shared" si="121"/>
        <v>1</v>
      </c>
      <c r="T1094" s="39">
        <f t="shared" si="122"/>
        <v>0</v>
      </c>
      <c r="U1094" s="39">
        <f t="shared" si="123"/>
        <v>0</v>
      </c>
      <c r="V1094" s="40"/>
    </row>
    <row r="1095" spans="2:22" x14ac:dyDescent="0.35">
      <c r="B1095" s="40">
        <v>34723</v>
      </c>
      <c r="C1095" s="39">
        <v>2018</v>
      </c>
      <c r="D1095" s="219">
        <f t="shared" si="124"/>
        <v>-4.3512726882004088E-3</v>
      </c>
      <c r="F1095" s="40">
        <v>34723</v>
      </c>
      <c r="G1095" s="39">
        <v>2018</v>
      </c>
      <c r="H1095" s="39">
        <f t="shared" si="119"/>
        <v>2</v>
      </c>
      <c r="I1095" s="39">
        <f t="shared" si="120"/>
        <v>0</v>
      </c>
      <c r="K1095" s="40"/>
      <c r="Q1095" s="40">
        <v>34723</v>
      </c>
      <c r="R1095" s="39">
        <v>2018</v>
      </c>
      <c r="S1095" s="39">
        <f t="shared" si="121"/>
        <v>1</v>
      </c>
      <c r="T1095" s="39">
        <f t="shared" si="122"/>
        <v>0</v>
      </c>
      <c r="U1095" s="39">
        <f t="shared" si="123"/>
        <v>0</v>
      </c>
      <c r="V1095" s="40"/>
    </row>
    <row r="1096" spans="2:22" x14ac:dyDescent="0.35">
      <c r="B1096" s="40">
        <v>34724</v>
      </c>
      <c r="C1096" s="39">
        <v>2026.8</v>
      </c>
      <c r="D1096" s="219">
        <f t="shared" si="124"/>
        <v>4.3512726882003481E-3</v>
      </c>
      <c r="F1096" s="40">
        <v>34724</v>
      </c>
      <c r="G1096" s="39">
        <v>2026.8</v>
      </c>
      <c r="H1096" s="39">
        <f t="shared" si="119"/>
        <v>3</v>
      </c>
      <c r="I1096" s="39">
        <f t="shared" si="120"/>
        <v>0</v>
      </c>
      <c r="K1096" s="40"/>
      <c r="Q1096" s="40">
        <v>34724</v>
      </c>
      <c r="R1096" s="39">
        <v>2026.8</v>
      </c>
      <c r="S1096" s="39">
        <f t="shared" si="121"/>
        <v>1</v>
      </c>
      <c r="T1096" s="39">
        <f t="shared" si="122"/>
        <v>0</v>
      </c>
      <c r="U1096" s="39">
        <f t="shared" si="123"/>
        <v>0</v>
      </c>
      <c r="V1096" s="40"/>
    </row>
    <row r="1097" spans="2:22" x14ac:dyDescent="0.35">
      <c r="B1097" s="40">
        <v>34725</v>
      </c>
      <c r="C1097" s="39">
        <v>2030.7</v>
      </c>
      <c r="D1097" s="219">
        <f t="shared" si="124"/>
        <v>1.9223665809170848E-3</v>
      </c>
      <c r="F1097" s="40">
        <v>34725</v>
      </c>
      <c r="G1097" s="39">
        <v>2030.7</v>
      </c>
      <c r="H1097" s="39">
        <f t="shared" si="119"/>
        <v>4</v>
      </c>
      <c r="I1097" s="39">
        <f t="shared" si="120"/>
        <v>0</v>
      </c>
      <c r="K1097" s="40"/>
      <c r="Q1097" s="40">
        <v>34725</v>
      </c>
      <c r="R1097" s="39">
        <v>2030.7</v>
      </c>
      <c r="S1097" s="39">
        <f t="shared" si="121"/>
        <v>1</v>
      </c>
      <c r="T1097" s="39">
        <f t="shared" si="122"/>
        <v>0</v>
      </c>
      <c r="U1097" s="39">
        <f t="shared" si="123"/>
        <v>0</v>
      </c>
      <c r="V1097" s="40"/>
    </row>
    <row r="1098" spans="2:22" x14ac:dyDescent="0.35">
      <c r="B1098" s="40">
        <v>34726</v>
      </c>
      <c r="C1098" s="39">
        <v>2031.7</v>
      </c>
      <c r="D1098" s="219">
        <f t="shared" si="124"/>
        <v>4.9231982089307819E-4</v>
      </c>
      <c r="F1098" s="40">
        <v>34726</v>
      </c>
      <c r="G1098" s="39">
        <v>2031.7</v>
      </c>
      <c r="H1098" s="39">
        <f t="shared" si="119"/>
        <v>5</v>
      </c>
      <c r="I1098" s="39">
        <f t="shared" si="120"/>
        <v>2031.7</v>
      </c>
      <c r="K1098" s="40"/>
      <c r="Q1098" s="40">
        <v>34726</v>
      </c>
      <c r="R1098" s="39">
        <v>2031.7</v>
      </c>
      <c r="S1098" s="39">
        <f t="shared" si="121"/>
        <v>1</v>
      </c>
      <c r="T1098" s="39">
        <f t="shared" si="122"/>
        <v>0</v>
      </c>
      <c r="U1098" s="39">
        <f t="shared" si="123"/>
        <v>0</v>
      </c>
      <c r="V1098" s="40"/>
    </row>
    <row r="1099" spans="2:22" x14ac:dyDescent="0.35">
      <c r="B1099" s="40">
        <v>34729</v>
      </c>
      <c r="C1099" s="39">
        <v>2035</v>
      </c>
      <c r="D1099" s="219">
        <f t="shared" si="124"/>
        <v>1.6229378731305688E-3</v>
      </c>
      <c r="F1099" s="40">
        <v>34729</v>
      </c>
      <c r="G1099" s="39">
        <v>2035</v>
      </c>
      <c r="H1099" s="39">
        <f t="shared" si="119"/>
        <v>1</v>
      </c>
      <c r="I1099" s="39">
        <f t="shared" si="120"/>
        <v>0</v>
      </c>
      <c r="K1099" s="40"/>
      <c r="Q1099" s="40">
        <v>34729</v>
      </c>
      <c r="R1099" s="39">
        <v>2035</v>
      </c>
      <c r="S1099" s="39">
        <f t="shared" si="121"/>
        <v>1</v>
      </c>
      <c r="T1099" s="39">
        <f t="shared" si="122"/>
        <v>0</v>
      </c>
      <c r="U1099" s="39">
        <f t="shared" si="123"/>
        <v>0</v>
      </c>
      <c r="V1099" s="40"/>
    </row>
    <row r="1100" spans="2:22" x14ac:dyDescent="0.35">
      <c r="B1100" s="40">
        <v>34730</v>
      </c>
      <c r="C1100" s="39">
        <v>2021.3</v>
      </c>
      <c r="D1100" s="219">
        <f t="shared" si="124"/>
        <v>-6.7549501237431885E-3</v>
      </c>
      <c r="F1100" s="40">
        <v>34730</v>
      </c>
      <c r="G1100" s="39">
        <v>2021.3</v>
      </c>
      <c r="H1100" s="39">
        <f t="shared" si="119"/>
        <v>2</v>
      </c>
      <c r="I1100" s="39">
        <f t="shared" si="120"/>
        <v>0</v>
      </c>
      <c r="K1100" s="40"/>
      <c r="Q1100" s="40">
        <v>34730</v>
      </c>
      <c r="R1100" s="39">
        <v>2021.3</v>
      </c>
      <c r="S1100" s="39">
        <f t="shared" si="121"/>
        <v>1</v>
      </c>
      <c r="T1100" s="39">
        <f t="shared" si="122"/>
        <v>2021.3</v>
      </c>
      <c r="U1100" s="39">
        <f t="shared" si="123"/>
        <v>2021.3</v>
      </c>
      <c r="V1100" s="40"/>
    </row>
    <row r="1101" spans="2:22" x14ac:dyDescent="0.35">
      <c r="B1101" s="40">
        <v>34731</v>
      </c>
      <c r="C1101" s="39">
        <v>2048.4</v>
      </c>
      <c r="D1101" s="219">
        <f t="shared" si="124"/>
        <v>1.3318131835443144E-2</v>
      </c>
      <c r="F1101" s="40">
        <v>34731</v>
      </c>
      <c r="G1101" s="39">
        <v>2048.4</v>
      </c>
      <c r="H1101" s="39">
        <f t="shared" si="119"/>
        <v>3</v>
      </c>
      <c r="I1101" s="39">
        <f t="shared" si="120"/>
        <v>0</v>
      </c>
      <c r="K1101" s="40"/>
      <c r="Q1101" s="40">
        <v>34731</v>
      </c>
      <c r="R1101" s="39">
        <v>2048.4</v>
      </c>
      <c r="S1101" s="39">
        <f t="shared" si="121"/>
        <v>2</v>
      </c>
      <c r="T1101" s="39">
        <f t="shared" si="122"/>
        <v>0</v>
      </c>
      <c r="U1101" s="39">
        <f t="shared" si="123"/>
        <v>0</v>
      </c>
      <c r="V1101" s="40"/>
    </row>
    <row r="1102" spans="2:22" x14ac:dyDescent="0.35">
      <c r="B1102" s="40">
        <v>34732</v>
      </c>
      <c r="C1102" s="39">
        <v>2045.3</v>
      </c>
      <c r="D1102" s="219">
        <f t="shared" si="124"/>
        <v>-1.5145226042747168E-3</v>
      </c>
      <c r="F1102" s="40">
        <v>34732</v>
      </c>
      <c r="G1102" s="39">
        <v>2045.3</v>
      </c>
      <c r="H1102" s="39">
        <f t="shared" si="119"/>
        <v>4</v>
      </c>
      <c r="I1102" s="39">
        <f t="shared" si="120"/>
        <v>0</v>
      </c>
      <c r="K1102" s="40"/>
      <c r="Q1102" s="40">
        <v>34732</v>
      </c>
      <c r="R1102" s="39">
        <v>2045.3</v>
      </c>
      <c r="S1102" s="39">
        <f t="shared" si="121"/>
        <v>2</v>
      </c>
      <c r="T1102" s="39">
        <f t="shared" si="122"/>
        <v>0</v>
      </c>
      <c r="U1102" s="39">
        <f t="shared" si="123"/>
        <v>0</v>
      </c>
      <c r="V1102" s="40"/>
    </row>
    <row r="1103" spans="2:22" x14ac:dyDescent="0.35">
      <c r="B1103" s="40">
        <v>34733</v>
      </c>
      <c r="C1103" s="39">
        <v>2058</v>
      </c>
      <c r="D1103" s="219">
        <f t="shared" si="124"/>
        <v>6.1901594098742602E-3</v>
      </c>
      <c r="F1103" s="40">
        <v>34733</v>
      </c>
      <c r="G1103" s="39">
        <v>2058</v>
      </c>
      <c r="H1103" s="39">
        <f t="shared" si="119"/>
        <v>5</v>
      </c>
      <c r="I1103" s="39">
        <f t="shared" si="120"/>
        <v>2058</v>
      </c>
      <c r="K1103" s="40"/>
      <c r="Q1103" s="40">
        <v>34733</v>
      </c>
      <c r="R1103" s="39">
        <v>2058</v>
      </c>
      <c r="S1103" s="39">
        <f t="shared" si="121"/>
        <v>2</v>
      </c>
      <c r="T1103" s="39">
        <f t="shared" si="122"/>
        <v>0</v>
      </c>
      <c r="U1103" s="39">
        <f t="shared" si="123"/>
        <v>0</v>
      </c>
      <c r="V1103" s="40"/>
    </row>
    <row r="1104" spans="2:22" x14ac:dyDescent="0.35">
      <c r="B1104" s="40">
        <v>34736</v>
      </c>
      <c r="C1104" s="39">
        <v>2089.6999999999998</v>
      </c>
      <c r="D1104" s="219">
        <f t="shared" si="124"/>
        <v>1.5285877592057233E-2</v>
      </c>
      <c r="F1104" s="40">
        <v>34736</v>
      </c>
      <c r="G1104" s="39">
        <v>2089.6999999999998</v>
      </c>
      <c r="H1104" s="39">
        <f t="shared" si="119"/>
        <v>1</v>
      </c>
      <c r="I1104" s="39">
        <f t="shared" si="120"/>
        <v>0</v>
      </c>
      <c r="K1104" s="40"/>
      <c r="Q1104" s="40">
        <v>34736</v>
      </c>
      <c r="R1104" s="39">
        <v>2089.6999999999998</v>
      </c>
      <c r="S1104" s="39">
        <f t="shared" si="121"/>
        <v>2</v>
      </c>
      <c r="T1104" s="39">
        <f t="shared" si="122"/>
        <v>0</v>
      </c>
      <c r="U1104" s="39">
        <f t="shared" si="123"/>
        <v>0</v>
      </c>
      <c r="V1104" s="40"/>
    </row>
    <row r="1105" spans="2:22" x14ac:dyDescent="0.35">
      <c r="B1105" s="40">
        <v>34737</v>
      </c>
      <c r="C1105" s="39">
        <v>2092.5</v>
      </c>
      <c r="D1105" s="219">
        <f t="shared" si="124"/>
        <v>1.3390083775782107E-3</v>
      </c>
      <c r="F1105" s="40">
        <v>34737</v>
      </c>
      <c r="G1105" s="39">
        <v>2092.5</v>
      </c>
      <c r="H1105" s="39">
        <f t="shared" si="119"/>
        <v>2</v>
      </c>
      <c r="I1105" s="39">
        <f t="shared" si="120"/>
        <v>0</v>
      </c>
      <c r="K1105" s="40"/>
      <c r="Q1105" s="40">
        <v>34737</v>
      </c>
      <c r="R1105" s="39">
        <v>2092.5</v>
      </c>
      <c r="S1105" s="39">
        <f t="shared" si="121"/>
        <v>2</v>
      </c>
      <c r="T1105" s="39">
        <f t="shared" si="122"/>
        <v>0</v>
      </c>
      <c r="U1105" s="39">
        <f t="shared" si="123"/>
        <v>0</v>
      </c>
      <c r="V1105" s="40"/>
    </row>
    <row r="1106" spans="2:22" x14ac:dyDescent="0.35">
      <c r="B1106" s="40">
        <v>34738</v>
      </c>
      <c r="C1106" s="39">
        <v>2087.6</v>
      </c>
      <c r="D1106" s="219">
        <f t="shared" si="124"/>
        <v>-2.344442594372258E-3</v>
      </c>
      <c r="F1106" s="40">
        <v>34738</v>
      </c>
      <c r="G1106" s="39">
        <v>2087.6</v>
      </c>
      <c r="H1106" s="39">
        <f t="shared" si="119"/>
        <v>3</v>
      </c>
      <c r="I1106" s="39">
        <f t="shared" si="120"/>
        <v>0</v>
      </c>
      <c r="K1106" s="40"/>
      <c r="Q1106" s="40">
        <v>34738</v>
      </c>
      <c r="R1106" s="39">
        <v>2087.6</v>
      </c>
      <c r="S1106" s="39">
        <f t="shared" si="121"/>
        <v>2</v>
      </c>
      <c r="T1106" s="39">
        <f t="shared" si="122"/>
        <v>0</v>
      </c>
      <c r="U1106" s="39">
        <f t="shared" si="123"/>
        <v>0</v>
      </c>
      <c r="V1106" s="40"/>
    </row>
    <row r="1107" spans="2:22" x14ac:dyDescent="0.35">
      <c r="B1107" s="40">
        <v>34739</v>
      </c>
      <c r="C1107" s="39">
        <v>2112.6999999999998</v>
      </c>
      <c r="D1107" s="219">
        <f t="shared" si="124"/>
        <v>1.1951669536930717E-2</v>
      </c>
      <c r="F1107" s="40">
        <v>34739</v>
      </c>
      <c r="G1107" s="39">
        <v>2112.6999999999998</v>
      </c>
      <c r="H1107" s="39">
        <f t="shared" si="119"/>
        <v>4</v>
      </c>
      <c r="I1107" s="39">
        <f t="shared" si="120"/>
        <v>0</v>
      </c>
      <c r="K1107" s="40"/>
      <c r="Q1107" s="40">
        <v>34739</v>
      </c>
      <c r="R1107" s="39">
        <v>2112.6999999999998</v>
      </c>
      <c r="S1107" s="39">
        <f t="shared" si="121"/>
        <v>2</v>
      </c>
      <c r="T1107" s="39">
        <f t="shared" si="122"/>
        <v>0</v>
      </c>
      <c r="U1107" s="39">
        <f t="shared" si="123"/>
        <v>0</v>
      </c>
      <c r="V1107" s="40"/>
    </row>
    <row r="1108" spans="2:22" x14ac:dyDescent="0.35">
      <c r="B1108" s="40">
        <v>34740</v>
      </c>
      <c r="C1108" s="39">
        <v>2130.1999999999998</v>
      </c>
      <c r="D1108" s="219">
        <f t="shared" si="124"/>
        <v>8.2491217028763299E-3</v>
      </c>
      <c r="F1108" s="40">
        <v>34740</v>
      </c>
      <c r="G1108" s="39">
        <v>2130.1999999999998</v>
      </c>
      <c r="H1108" s="39">
        <f t="shared" si="119"/>
        <v>5</v>
      </c>
      <c r="I1108" s="39">
        <f t="shared" si="120"/>
        <v>2130.1999999999998</v>
      </c>
      <c r="K1108" s="40"/>
      <c r="Q1108" s="40">
        <v>34740</v>
      </c>
      <c r="R1108" s="39">
        <v>2130.1999999999998</v>
      </c>
      <c r="S1108" s="39">
        <f t="shared" si="121"/>
        <v>2</v>
      </c>
      <c r="T1108" s="39">
        <f t="shared" si="122"/>
        <v>0</v>
      </c>
      <c r="U1108" s="39">
        <f t="shared" si="123"/>
        <v>0</v>
      </c>
      <c r="V1108" s="40"/>
    </row>
    <row r="1109" spans="2:22" x14ac:dyDescent="0.35">
      <c r="B1109" s="40">
        <v>34743</v>
      </c>
      <c r="C1109" s="39">
        <v>2117</v>
      </c>
      <c r="D1109" s="219">
        <f t="shared" si="124"/>
        <v>-6.2158798742000818E-3</v>
      </c>
      <c r="F1109" s="40">
        <v>34743</v>
      </c>
      <c r="G1109" s="39">
        <v>2117</v>
      </c>
      <c r="H1109" s="39">
        <f t="shared" si="119"/>
        <v>1</v>
      </c>
      <c r="I1109" s="39">
        <f t="shared" si="120"/>
        <v>0</v>
      </c>
      <c r="K1109" s="40"/>
      <c r="Q1109" s="40">
        <v>34743</v>
      </c>
      <c r="R1109" s="39">
        <v>2117</v>
      </c>
      <c r="S1109" s="39">
        <f t="shared" si="121"/>
        <v>2</v>
      </c>
      <c r="T1109" s="39">
        <f t="shared" si="122"/>
        <v>0</v>
      </c>
      <c r="U1109" s="39">
        <f t="shared" si="123"/>
        <v>0</v>
      </c>
      <c r="V1109" s="40"/>
    </row>
    <row r="1110" spans="2:22" x14ac:dyDescent="0.35">
      <c r="B1110" s="40">
        <v>34744</v>
      </c>
      <c r="C1110" s="39">
        <v>2133.1999999999998</v>
      </c>
      <c r="D1110" s="219">
        <f t="shared" si="124"/>
        <v>7.6232075915820107E-3</v>
      </c>
      <c r="F1110" s="40">
        <v>34744</v>
      </c>
      <c r="G1110" s="39">
        <v>2133.1999999999998</v>
      </c>
      <c r="H1110" s="39">
        <f t="shared" si="119"/>
        <v>2</v>
      </c>
      <c r="I1110" s="39">
        <f t="shared" si="120"/>
        <v>0</v>
      </c>
      <c r="K1110" s="40"/>
      <c r="Q1110" s="40">
        <v>34744</v>
      </c>
      <c r="R1110" s="39">
        <v>2133.1999999999998</v>
      </c>
      <c r="S1110" s="39">
        <f t="shared" si="121"/>
        <v>2</v>
      </c>
      <c r="T1110" s="39">
        <f t="shared" si="122"/>
        <v>0</v>
      </c>
      <c r="U1110" s="39">
        <f t="shared" si="123"/>
        <v>0</v>
      </c>
      <c r="V1110" s="40"/>
    </row>
    <row r="1111" spans="2:22" x14ac:dyDescent="0.35">
      <c r="B1111" s="40">
        <v>34745</v>
      </c>
      <c r="C1111" s="39">
        <v>2135</v>
      </c>
      <c r="D1111" s="219">
        <f t="shared" si="124"/>
        <v>8.4344693627782586E-4</v>
      </c>
      <c r="F1111" s="40">
        <v>34745</v>
      </c>
      <c r="G1111" s="39">
        <v>2135</v>
      </c>
      <c r="H1111" s="39">
        <f t="shared" si="119"/>
        <v>3</v>
      </c>
      <c r="I1111" s="39">
        <f t="shared" si="120"/>
        <v>0</v>
      </c>
      <c r="K1111" s="40"/>
      <c r="Q1111" s="40">
        <v>34745</v>
      </c>
      <c r="R1111" s="39">
        <v>2135</v>
      </c>
      <c r="S1111" s="39">
        <f t="shared" si="121"/>
        <v>2</v>
      </c>
      <c r="T1111" s="39">
        <f t="shared" si="122"/>
        <v>0</v>
      </c>
      <c r="U1111" s="39">
        <f t="shared" si="123"/>
        <v>0</v>
      </c>
      <c r="V1111" s="40"/>
    </row>
    <row r="1112" spans="2:22" x14ac:dyDescent="0.35">
      <c r="B1112" s="40">
        <v>34746</v>
      </c>
      <c r="C1112" s="39">
        <v>2115.6999999999998</v>
      </c>
      <c r="D1112" s="219">
        <f t="shared" si="124"/>
        <v>-9.0809196734532166E-3</v>
      </c>
      <c r="F1112" s="40">
        <v>34746</v>
      </c>
      <c r="G1112" s="39">
        <v>2115.6999999999998</v>
      </c>
      <c r="H1112" s="39">
        <f t="shared" si="119"/>
        <v>4</v>
      </c>
      <c r="I1112" s="39">
        <f t="shared" si="120"/>
        <v>0</v>
      </c>
      <c r="K1112" s="40"/>
      <c r="Q1112" s="40">
        <v>34746</v>
      </c>
      <c r="R1112" s="39">
        <v>2115.6999999999998</v>
      </c>
      <c r="S1112" s="39">
        <f t="shared" si="121"/>
        <v>2</v>
      </c>
      <c r="T1112" s="39">
        <f t="shared" si="122"/>
        <v>0</v>
      </c>
      <c r="U1112" s="39">
        <f t="shared" si="123"/>
        <v>0</v>
      </c>
      <c r="V1112" s="40"/>
    </row>
    <row r="1113" spans="2:22" x14ac:dyDescent="0.35">
      <c r="B1113" s="40">
        <v>34747</v>
      </c>
      <c r="C1113" s="39">
        <v>2117</v>
      </c>
      <c r="D1113" s="219">
        <f t="shared" si="124"/>
        <v>6.1426514559346417E-4</v>
      </c>
      <c r="F1113" s="40">
        <v>34747</v>
      </c>
      <c r="G1113" s="39">
        <v>2117</v>
      </c>
      <c r="H1113" s="39">
        <f t="shared" si="119"/>
        <v>5</v>
      </c>
      <c r="I1113" s="39">
        <f t="shared" si="120"/>
        <v>2117</v>
      </c>
      <c r="K1113" s="40"/>
      <c r="Q1113" s="40">
        <v>34747</v>
      </c>
      <c r="R1113" s="39">
        <v>2117</v>
      </c>
      <c r="S1113" s="39">
        <f t="shared" si="121"/>
        <v>2</v>
      </c>
      <c r="T1113" s="39">
        <f t="shared" si="122"/>
        <v>0</v>
      </c>
      <c r="U1113" s="39">
        <f t="shared" si="123"/>
        <v>0</v>
      </c>
      <c r="V1113" s="40"/>
    </row>
    <row r="1114" spans="2:22" x14ac:dyDescent="0.35">
      <c r="B1114" s="40">
        <v>34750</v>
      </c>
      <c r="C1114" s="39">
        <v>2101.5</v>
      </c>
      <c r="D1114" s="219">
        <f t="shared" si="124"/>
        <v>-7.348616689693774E-3</v>
      </c>
      <c r="F1114" s="40">
        <v>34750</v>
      </c>
      <c r="G1114" s="39">
        <v>2101.5</v>
      </c>
      <c r="H1114" s="39">
        <f t="shared" si="119"/>
        <v>1</v>
      </c>
      <c r="I1114" s="39">
        <f t="shared" si="120"/>
        <v>0</v>
      </c>
      <c r="K1114" s="40"/>
      <c r="Q1114" s="40">
        <v>34750</v>
      </c>
      <c r="R1114" s="39">
        <v>2101.5</v>
      </c>
      <c r="S1114" s="39">
        <f t="shared" si="121"/>
        <v>2</v>
      </c>
      <c r="T1114" s="39">
        <f t="shared" si="122"/>
        <v>0</v>
      </c>
      <c r="U1114" s="39">
        <f t="shared" si="123"/>
        <v>0</v>
      </c>
      <c r="V1114" s="40"/>
    </row>
    <row r="1115" spans="2:22" x14ac:dyDescent="0.35">
      <c r="B1115" s="40">
        <v>34751</v>
      </c>
      <c r="C1115" s="39">
        <v>2097</v>
      </c>
      <c r="D1115" s="219">
        <f t="shared" si="124"/>
        <v>-2.1436235432514528E-3</v>
      </c>
      <c r="F1115" s="40">
        <v>34751</v>
      </c>
      <c r="G1115" s="39">
        <v>2097</v>
      </c>
      <c r="H1115" s="39">
        <f t="shared" si="119"/>
        <v>2</v>
      </c>
      <c r="I1115" s="39">
        <f t="shared" si="120"/>
        <v>0</v>
      </c>
      <c r="K1115" s="40"/>
      <c r="Q1115" s="40">
        <v>34751</v>
      </c>
      <c r="R1115" s="39">
        <v>2097</v>
      </c>
      <c r="S1115" s="39">
        <f t="shared" si="121"/>
        <v>2</v>
      </c>
      <c r="T1115" s="39">
        <f t="shared" si="122"/>
        <v>0</v>
      </c>
      <c r="U1115" s="39">
        <f t="shared" si="123"/>
        <v>0</v>
      </c>
      <c r="V1115" s="40"/>
    </row>
    <row r="1116" spans="2:22" x14ac:dyDescent="0.35">
      <c r="B1116" s="40">
        <v>34752</v>
      </c>
      <c r="C1116" s="39">
        <v>2093.1999999999998</v>
      </c>
      <c r="D1116" s="219">
        <f t="shared" si="124"/>
        <v>-1.8137564038672308E-3</v>
      </c>
      <c r="F1116" s="40">
        <v>34752</v>
      </c>
      <c r="G1116" s="39">
        <v>2093.1999999999998</v>
      </c>
      <c r="H1116" s="39">
        <f t="shared" si="119"/>
        <v>3</v>
      </c>
      <c r="I1116" s="39">
        <f t="shared" si="120"/>
        <v>0</v>
      </c>
      <c r="K1116" s="40"/>
      <c r="Q1116" s="40">
        <v>34752</v>
      </c>
      <c r="R1116" s="39">
        <v>2093.1999999999998</v>
      </c>
      <c r="S1116" s="39">
        <f t="shared" si="121"/>
        <v>2</v>
      </c>
      <c r="T1116" s="39">
        <f t="shared" si="122"/>
        <v>0</v>
      </c>
      <c r="U1116" s="39">
        <f t="shared" si="123"/>
        <v>0</v>
      </c>
      <c r="V1116" s="40"/>
    </row>
    <row r="1117" spans="2:22" x14ac:dyDescent="0.35">
      <c r="B1117" s="40">
        <v>34753</v>
      </c>
      <c r="C1117" s="39">
        <v>2118.1999999999998</v>
      </c>
      <c r="D1117" s="219">
        <f t="shared" si="124"/>
        <v>1.1872675911516188E-2</v>
      </c>
      <c r="F1117" s="40">
        <v>34753</v>
      </c>
      <c r="G1117" s="39">
        <v>2118.1999999999998</v>
      </c>
      <c r="H1117" s="39">
        <f t="shared" si="119"/>
        <v>4</v>
      </c>
      <c r="I1117" s="39">
        <f t="shared" si="120"/>
        <v>0</v>
      </c>
      <c r="K1117" s="40"/>
      <c r="Q1117" s="40">
        <v>34753</v>
      </c>
      <c r="R1117" s="39">
        <v>2118.1999999999998</v>
      </c>
      <c r="S1117" s="39">
        <f t="shared" si="121"/>
        <v>2</v>
      </c>
      <c r="T1117" s="39">
        <f t="shared" si="122"/>
        <v>0</v>
      </c>
      <c r="U1117" s="39">
        <f t="shared" si="123"/>
        <v>0</v>
      </c>
      <c r="V1117" s="40"/>
    </row>
    <row r="1118" spans="2:22" x14ac:dyDescent="0.35">
      <c r="B1118" s="40">
        <v>34754</v>
      </c>
      <c r="C1118" s="39">
        <v>2118.6</v>
      </c>
      <c r="D1118" s="219">
        <f t="shared" si="124"/>
        <v>1.888217528268359E-4</v>
      </c>
      <c r="F1118" s="40">
        <v>34754</v>
      </c>
      <c r="G1118" s="39">
        <v>2118.6</v>
      </c>
      <c r="H1118" s="39">
        <f t="shared" si="119"/>
        <v>5</v>
      </c>
      <c r="I1118" s="39">
        <f t="shared" si="120"/>
        <v>2118.6</v>
      </c>
      <c r="K1118" s="40"/>
      <c r="Q1118" s="40">
        <v>34754</v>
      </c>
      <c r="R1118" s="39">
        <v>2118.6</v>
      </c>
      <c r="S1118" s="39">
        <f t="shared" si="121"/>
        <v>2</v>
      </c>
      <c r="T1118" s="39">
        <f t="shared" si="122"/>
        <v>0</v>
      </c>
      <c r="U1118" s="39">
        <f t="shared" si="123"/>
        <v>0</v>
      </c>
      <c r="V1118" s="40"/>
    </row>
    <row r="1119" spans="2:22" x14ac:dyDescent="0.35">
      <c r="B1119" s="40">
        <v>34757</v>
      </c>
      <c r="C1119" s="39">
        <v>2099.3000000000002</v>
      </c>
      <c r="D1119" s="219">
        <f t="shared" si="124"/>
        <v>-9.1515373521189342E-3</v>
      </c>
      <c r="F1119" s="40">
        <v>34757</v>
      </c>
      <c r="G1119" s="39">
        <v>2099.3000000000002</v>
      </c>
      <c r="H1119" s="39">
        <f t="shared" si="119"/>
        <v>1</v>
      </c>
      <c r="I1119" s="39">
        <f t="shared" si="120"/>
        <v>0</v>
      </c>
      <c r="K1119" s="40"/>
      <c r="Q1119" s="40">
        <v>34757</v>
      </c>
      <c r="R1119" s="39">
        <v>2099.3000000000002</v>
      </c>
      <c r="S1119" s="39">
        <f t="shared" si="121"/>
        <v>2</v>
      </c>
      <c r="T1119" s="39">
        <f t="shared" si="122"/>
        <v>0</v>
      </c>
      <c r="U1119" s="39">
        <f t="shared" si="123"/>
        <v>0</v>
      </c>
      <c r="V1119" s="40"/>
    </row>
    <row r="1120" spans="2:22" x14ac:dyDescent="0.35">
      <c r="B1120" s="40">
        <v>34758</v>
      </c>
      <c r="C1120" s="39">
        <v>2102.1999999999998</v>
      </c>
      <c r="D1120" s="219">
        <f t="shared" si="124"/>
        <v>1.3804595789770324E-3</v>
      </c>
      <c r="F1120" s="40">
        <v>34758</v>
      </c>
      <c r="G1120" s="39">
        <v>2102.1999999999998</v>
      </c>
      <c r="H1120" s="39">
        <f t="shared" si="119"/>
        <v>2</v>
      </c>
      <c r="I1120" s="39">
        <f t="shared" si="120"/>
        <v>0</v>
      </c>
      <c r="K1120" s="40"/>
      <c r="Q1120" s="40">
        <v>34758</v>
      </c>
      <c r="R1120" s="39">
        <v>2102.1999999999998</v>
      </c>
      <c r="S1120" s="39">
        <f t="shared" si="121"/>
        <v>2</v>
      </c>
      <c r="T1120" s="39">
        <f t="shared" si="122"/>
        <v>2102.1999999999998</v>
      </c>
      <c r="U1120" s="39">
        <f t="shared" si="123"/>
        <v>2102.1999999999998</v>
      </c>
      <c r="V1120" s="40"/>
    </row>
    <row r="1121" spans="2:22" x14ac:dyDescent="0.35">
      <c r="B1121" s="40">
        <v>34759</v>
      </c>
      <c r="C1121" s="39">
        <v>2126.1999999999998</v>
      </c>
      <c r="D1121" s="219">
        <f t="shared" si="124"/>
        <v>1.1351933465250843E-2</v>
      </c>
      <c r="F1121" s="40">
        <v>34759</v>
      </c>
      <c r="G1121" s="39">
        <v>2126.1999999999998</v>
      </c>
      <c r="H1121" s="39">
        <f t="shared" si="119"/>
        <v>3</v>
      </c>
      <c r="I1121" s="39">
        <f t="shared" si="120"/>
        <v>0</v>
      </c>
      <c r="K1121" s="40"/>
      <c r="Q1121" s="40">
        <v>34759</v>
      </c>
      <c r="R1121" s="39">
        <v>2126.1999999999998</v>
      </c>
      <c r="S1121" s="39">
        <f t="shared" si="121"/>
        <v>3</v>
      </c>
      <c r="T1121" s="39">
        <f t="shared" si="122"/>
        <v>0</v>
      </c>
      <c r="U1121" s="39">
        <f t="shared" si="123"/>
        <v>0</v>
      </c>
      <c r="V1121" s="40"/>
    </row>
    <row r="1122" spans="2:22" x14ac:dyDescent="0.35">
      <c r="B1122" s="40">
        <v>34760</v>
      </c>
      <c r="C1122" s="39">
        <v>2118.6999999999998</v>
      </c>
      <c r="D1122" s="219">
        <f t="shared" si="124"/>
        <v>-3.5336558242599148E-3</v>
      </c>
      <c r="F1122" s="40">
        <v>34760</v>
      </c>
      <c r="G1122" s="39">
        <v>2118.6999999999998</v>
      </c>
      <c r="H1122" s="39">
        <f t="shared" si="119"/>
        <v>4</v>
      </c>
      <c r="I1122" s="39">
        <f t="shared" si="120"/>
        <v>0</v>
      </c>
      <c r="K1122" s="40"/>
      <c r="Q1122" s="40">
        <v>34760</v>
      </c>
      <c r="R1122" s="39">
        <v>2118.6999999999998</v>
      </c>
      <c r="S1122" s="39">
        <f t="shared" si="121"/>
        <v>3</v>
      </c>
      <c r="T1122" s="39">
        <f t="shared" si="122"/>
        <v>0</v>
      </c>
      <c r="U1122" s="39">
        <f t="shared" si="123"/>
        <v>0</v>
      </c>
      <c r="V1122" s="40"/>
    </row>
    <row r="1123" spans="2:22" x14ac:dyDescent="0.35">
      <c r="B1123" s="40">
        <v>34761</v>
      </c>
      <c r="C1123" s="39">
        <v>2109.5</v>
      </c>
      <c r="D1123" s="219">
        <f t="shared" si="124"/>
        <v>-4.3517404658514171E-3</v>
      </c>
      <c r="F1123" s="40">
        <v>34761</v>
      </c>
      <c r="G1123" s="39">
        <v>2109.5</v>
      </c>
      <c r="H1123" s="39">
        <f t="shared" si="119"/>
        <v>5</v>
      </c>
      <c r="I1123" s="39">
        <f t="shared" si="120"/>
        <v>2109.5</v>
      </c>
      <c r="K1123" s="40"/>
      <c r="Q1123" s="40">
        <v>34761</v>
      </c>
      <c r="R1123" s="39">
        <v>2109.5</v>
      </c>
      <c r="S1123" s="39">
        <f t="shared" si="121"/>
        <v>3</v>
      </c>
      <c r="T1123" s="39">
        <f t="shared" si="122"/>
        <v>0</v>
      </c>
      <c r="U1123" s="39">
        <f t="shared" si="123"/>
        <v>0</v>
      </c>
      <c r="V1123" s="40"/>
    </row>
    <row r="1124" spans="2:22" x14ac:dyDescent="0.35">
      <c r="B1124" s="40">
        <v>34764</v>
      </c>
      <c r="C1124" s="39">
        <v>2070.3000000000002</v>
      </c>
      <c r="D1124" s="219">
        <f t="shared" si="124"/>
        <v>-1.8757428269727407E-2</v>
      </c>
      <c r="F1124" s="40">
        <v>34764</v>
      </c>
      <c r="G1124" s="39">
        <v>2070.3000000000002</v>
      </c>
      <c r="H1124" s="39">
        <f t="shared" si="119"/>
        <v>1</v>
      </c>
      <c r="I1124" s="39">
        <f t="shared" si="120"/>
        <v>0</v>
      </c>
      <c r="K1124" s="40"/>
      <c r="Q1124" s="40">
        <v>34764</v>
      </c>
      <c r="R1124" s="39">
        <v>2070.3000000000002</v>
      </c>
      <c r="S1124" s="39">
        <f t="shared" si="121"/>
        <v>3</v>
      </c>
      <c r="T1124" s="39">
        <f t="shared" si="122"/>
        <v>0</v>
      </c>
      <c r="U1124" s="39">
        <f t="shared" si="123"/>
        <v>0</v>
      </c>
      <c r="V1124" s="40"/>
    </row>
    <row r="1125" spans="2:22" x14ac:dyDescent="0.35">
      <c r="B1125" s="40">
        <v>34765</v>
      </c>
      <c r="C1125" s="39">
        <v>2053.3000000000002</v>
      </c>
      <c r="D1125" s="219">
        <f t="shared" si="124"/>
        <v>-8.2452693332128943E-3</v>
      </c>
      <c r="F1125" s="40">
        <v>34765</v>
      </c>
      <c r="G1125" s="39">
        <v>2053.3000000000002</v>
      </c>
      <c r="H1125" s="39">
        <f t="shared" si="119"/>
        <v>2</v>
      </c>
      <c r="I1125" s="39">
        <f t="shared" si="120"/>
        <v>0</v>
      </c>
      <c r="K1125" s="40"/>
      <c r="Q1125" s="40">
        <v>34765</v>
      </c>
      <c r="R1125" s="39">
        <v>2053.3000000000002</v>
      </c>
      <c r="S1125" s="39">
        <f t="shared" si="121"/>
        <v>3</v>
      </c>
      <c r="T1125" s="39">
        <f t="shared" si="122"/>
        <v>0</v>
      </c>
      <c r="U1125" s="39">
        <f t="shared" si="123"/>
        <v>0</v>
      </c>
      <c r="V1125" s="40"/>
    </row>
    <row r="1126" spans="2:22" x14ac:dyDescent="0.35">
      <c r="B1126" s="40">
        <v>34766</v>
      </c>
      <c r="C1126" s="39">
        <v>2025.2</v>
      </c>
      <c r="D1126" s="219">
        <f t="shared" si="124"/>
        <v>-1.3779793865698905E-2</v>
      </c>
      <c r="F1126" s="40">
        <v>34766</v>
      </c>
      <c r="G1126" s="39">
        <v>2025.2</v>
      </c>
      <c r="H1126" s="39">
        <f t="shared" si="119"/>
        <v>3</v>
      </c>
      <c r="I1126" s="39">
        <f t="shared" si="120"/>
        <v>0</v>
      </c>
      <c r="K1126" s="40"/>
      <c r="Q1126" s="40">
        <v>34766</v>
      </c>
      <c r="R1126" s="39">
        <v>2025.2</v>
      </c>
      <c r="S1126" s="39">
        <f t="shared" si="121"/>
        <v>3</v>
      </c>
      <c r="T1126" s="39">
        <f t="shared" si="122"/>
        <v>0</v>
      </c>
      <c r="U1126" s="39">
        <f t="shared" si="123"/>
        <v>0</v>
      </c>
      <c r="V1126" s="40"/>
    </row>
    <row r="1127" spans="2:22" x14ac:dyDescent="0.35">
      <c r="B1127" s="40">
        <v>34767</v>
      </c>
      <c r="C1127" s="39">
        <v>2001.6</v>
      </c>
      <c r="D1127" s="219">
        <f t="shared" si="124"/>
        <v>-1.1721600383107517E-2</v>
      </c>
      <c r="F1127" s="40">
        <v>34767</v>
      </c>
      <c r="G1127" s="39">
        <v>2001.6</v>
      </c>
      <c r="H1127" s="39">
        <f t="shared" si="119"/>
        <v>4</v>
      </c>
      <c r="I1127" s="39">
        <f t="shared" si="120"/>
        <v>0</v>
      </c>
      <c r="K1127" s="40"/>
      <c r="Q1127" s="40">
        <v>34767</v>
      </c>
      <c r="R1127" s="39">
        <v>2001.6</v>
      </c>
      <c r="S1127" s="39">
        <f t="shared" si="121"/>
        <v>3</v>
      </c>
      <c r="T1127" s="39">
        <f t="shared" si="122"/>
        <v>0</v>
      </c>
      <c r="U1127" s="39">
        <f t="shared" si="123"/>
        <v>0</v>
      </c>
      <c r="V1127" s="40"/>
    </row>
    <row r="1128" spans="2:22" x14ac:dyDescent="0.35">
      <c r="B1128" s="40">
        <v>34768</v>
      </c>
      <c r="C1128" s="39">
        <v>1994</v>
      </c>
      <c r="D1128" s="219">
        <f t="shared" si="124"/>
        <v>-3.8041891908629933E-3</v>
      </c>
      <c r="F1128" s="40">
        <v>34768</v>
      </c>
      <c r="G1128" s="39">
        <v>1994</v>
      </c>
      <c r="H1128" s="39">
        <f t="shared" si="119"/>
        <v>5</v>
      </c>
      <c r="I1128" s="39">
        <f t="shared" si="120"/>
        <v>1994</v>
      </c>
      <c r="K1128" s="40"/>
      <c r="Q1128" s="40">
        <v>34768</v>
      </c>
      <c r="R1128" s="39">
        <v>1994</v>
      </c>
      <c r="S1128" s="39">
        <f t="shared" si="121"/>
        <v>3</v>
      </c>
      <c r="T1128" s="39">
        <f t="shared" si="122"/>
        <v>0</v>
      </c>
      <c r="U1128" s="39">
        <f t="shared" si="123"/>
        <v>0</v>
      </c>
      <c r="V1128" s="40"/>
    </row>
    <row r="1129" spans="2:22" x14ac:dyDescent="0.35">
      <c r="B1129" s="40">
        <v>34771</v>
      </c>
      <c r="C1129" s="39">
        <v>1999.5</v>
      </c>
      <c r="D1129" s="219">
        <f t="shared" si="124"/>
        <v>2.7544777650894306E-3</v>
      </c>
      <c r="F1129" s="40">
        <v>34771</v>
      </c>
      <c r="G1129" s="39">
        <v>1999.5</v>
      </c>
      <c r="H1129" s="39">
        <f t="shared" si="119"/>
        <v>1</v>
      </c>
      <c r="I1129" s="39">
        <f t="shared" si="120"/>
        <v>0</v>
      </c>
      <c r="K1129" s="40"/>
      <c r="Q1129" s="40">
        <v>34771</v>
      </c>
      <c r="R1129" s="39">
        <v>1999.5</v>
      </c>
      <c r="S1129" s="39">
        <f t="shared" si="121"/>
        <v>3</v>
      </c>
      <c r="T1129" s="39">
        <f t="shared" si="122"/>
        <v>0</v>
      </c>
      <c r="U1129" s="39">
        <f t="shared" si="123"/>
        <v>0</v>
      </c>
      <c r="V1129" s="40"/>
    </row>
    <row r="1130" spans="2:22" x14ac:dyDescent="0.35">
      <c r="B1130" s="40">
        <v>34772</v>
      </c>
      <c r="C1130" s="39">
        <v>2000.5</v>
      </c>
      <c r="D1130" s="219">
        <f t="shared" si="124"/>
        <v>5.0000001041658915E-4</v>
      </c>
      <c r="F1130" s="40">
        <v>34772</v>
      </c>
      <c r="G1130" s="39">
        <v>2000.5</v>
      </c>
      <c r="H1130" s="39">
        <f t="shared" si="119"/>
        <v>2</v>
      </c>
      <c r="I1130" s="39">
        <f t="shared" si="120"/>
        <v>0</v>
      </c>
      <c r="K1130" s="40"/>
      <c r="Q1130" s="40">
        <v>34772</v>
      </c>
      <c r="R1130" s="39">
        <v>2000.5</v>
      </c>
      <c r="S1130" s="39">
        <f t="shared" si="121"/>
        <v>3</v>
      </c>
      <c r="T1130" s="39">
        <f t="shared" si="122"/>
        <v>0</v>
      </c>
      <c r="U1130" s="39">
        <f t="shared" si="123"/>
        <v>0</v>
      </c>
      <c r="V1130" s="40"/>
    </row>
    <row r="1131" spans="2:22" x14ac:dyDescent="0.35">
      <c r="B1131" s="40">
        <v>34773</v>
      </c>
      <c r="C1131" s="39">
        <v>2010.1</v>
      </c>
      <c r="D1131" s="219">
        <f t="shared" si="124"/>
        <v>4.7873227620607861E-3</v>
      </c>
      <c r="F1131" s="40">
        <v>34773</v>
      </c>
      <c r="G1131" s="39">
        <v>2010.1</v>
      </c>
      <c r="H1131" s="39">
        <f t="shared" si="119"/>
        <v>3</v>
      </c>
      <c r="I1131" s="39">
        <f t="shared" si="120"/>
        <v>0</v>
      </c>
      <c r="K1131" s="40"/>
      <c r="Q1131" s="40">
        <v>34773</v>
      </c>
      <c r="R1131" s="39">
        <v>2010.1</v>
      </c>
      <c r="S1131" s="39">
        <f t="shared" si="121"/>
        <v>3</v>
      </c>
      <c r="T1131" s="39">
        <f t="shared" si="122"/>
        <v>0</v>
      </c>
      <c r="U1131" s="39">
        <f t="shared" si="123"/>
        <v>0</v>
      </c>
      <c r="V1131" s="40"/>
    </row>
    <row r="1132" spans="2:22" x14ac:dyDescent="0.35">
      <c r="B1132" s="40">
        <v>34774</v>
      </c>
      <c r="C1132" s="39">
        <v>1992.1</v>
      </c>
      <c r="D1132" s="219">
        <f t="shared" si="124"/>
        <v>-8.9951133716122608E-3</v>
      </c>
      <c r="F1132" s="40">
        <v>34774</v>
      </c>
      <c r="G1132" s="39">
        <v>1992.1</v>
      </c>
      <c r="H1132" s="39">
        <f t="shared" si="119"/>
        <v>4</v>
      </c>
      <c r="I1132" s="39">
        <f t="shared" si="120"/>
        <v>0</v>
      </c>
      <c r="K1132" s="40"/>
      <c r="Q1132" s="40">
        <v>34774</v>
      </c>
      <c r="R1132" s="39">
        <v>1992.1</v>
      </c>
      <c r="S1132" s="39">
        <f t="shared" si="121"/>
        <v>3</v>
      </c>
      <c r="T1132" s="39">
        <f t="shared" si="122"/>
        <v>0</v>
      </c>
      <c r="U1132" s="39">
        <f t="shared" si="123"/>
        <v>0</v>
      </c>
      <c r="V1132" s="40"/>
    </row>
    <row r="1133" spans="2:22" x14ac:dyDescent="0.35">
      <c r="B1133" s="40">
        <v>34775</v>
      </c>
      <c r="C1133" s="39">
        <v>2005.2</v>
      </c>
      <c r="D1133" s="219">
        <f t="shared" si="124"/>
        <v>6.5544477016102167E-3</v>
      </c>
      <c r="F1133" s="40">
        <v>34775</v>
      </c>
      <c r="G1133" s="39">
        <v>2005.2</v>
      </c>
      <c r="H1133" s="39">
        <f t="shared" si="119"/>
        <v>5</v>
      </c>
      <c r="I1133" s="39">
        <f t="shared" si="120"/>
        <v>2005.2</v>
      </c>
      <c r="K1133" s="40"/>
      <c r="Q1133" s="40">
        <v>34775</v>
      </c>
      <c r="R1133" s="39">
        <v>2005.2</v>
      </c>
      <c r="S1133" s="39">
        <f t="shared" si="121"/>
        <v>3</v>
      </c>
      <c r="T1133" s="39">
        <f t="shared" si="122"/>
        <v>0</v>
      </c>
      <c r="U1133" s="39">
        <f t="shared" si="123"/>
        <v>0</v>
      </c>
      <c r="V1133" s="40"/>
    </row>
    <row r="1134" spans="2:22" x14ac:dyDescent="0.35">
      <c r="B1134" s="40">
        <v>34778</v>
      </c>
      <c r="C1134" s="39">
        <v>1991.8</v>
      </c>
      <c r="D1134" s="219">
        <f t="shared" si="124"/>
        <v>-6.7050538918092054E-3</v>
      </c>
      <c r="F1134" s="40">
        <v>34778</v>
      </c>
      <c r="G1134" s="39">
        <v>1991.8</v>
      </c>
      <c r="H1134" s="39">
        <f t="shared" si="119"/>
        <v>1</v>
      </c>
      <c r="I1134" s="39">
        <f t="shared" si="120"/>
        <v>0</v>
      </c>
      <c r="K1134" s="40"/>
      <c r="Q1134" s="40">
        <v>34778</v>
      </c>
      <c r="R1134" s="39">
        <v>1991.8</v>
      </c>
      <c r="S1134" s="39">
        <f t="shared" si="121"/>
        <v>3</v>
      </c>
      <c r="T1134" s="39">
        <f t="shared" si="122"/>
        <v>0</v>
      </c>
      <c r="U1134" s="39">
        <f t="shared" si="123"/>
        <v>0</v>
      </c>
      <c r="V1134" s="40"/>
    </row>
    <row r="1135" spans="2:22" x14ac:dyDescent="0.35">
      <c r="B1135" s="40">
        <v>34779</v>
      </c>
      <c r="C1135" s="39">
        <v>1983</v>
      </c>
      <c r="D1135" s="219">
        <f t="shared" si="124"/>
        <v>-4.4279029777431374E-3</v>
      </c>
      <c r="F1135" s="40">
        <v>34779</v>
      </c>
      <c r="G1135" s="39">
        <v>1983</v>
      </c>
      <c r="H1135" s="39">
        <f t="shared" si="119"/>
        <v>2</v>
      </c>
      <c r="I1135" s="39">
        <f t="shared" si="120"/>
        <v>0</v>
      </c>
      <c r="K1135" s="40"/>
      <c r="Q1135" s="40">
        <v>34779</v>
      </c>
      <c r="R1135" s="39">
        <v>1983</v>
      </c>
      <c r="S1135" s="39">
        <f t="shared" si="121"/>
        <v>3</v>
      </c>
      <c r="T1135" s="39">
        <f t="shared" si="122"/>
        <v>0</v>
      </c>
      <c r="U1135" s="39">
        <f t="shared" si="123"/>
        <v>0</v>
      </c>
      <c r="V1135" s="40"/>
    </row>
    <row r="1136" spans="2:22" x14ac:dyDescent="0.35">
      <c r="B1136" s="40">
        <v>34780</v>
      </c>
      <c r="C1136" s="39">
        <v>1984.1</v>
      </c>
      <c r="D1136" s="219">
        <f t="shared" si="124"/>
        <v>5.545612806286776E-4</v>
      </c>
      <c r="F1136" s="40">
        <v>34780</v>
      </c>
      <c r="G1136" s="39">
        <v>1984.1</v>
      </c>
      <c r="H1136" s="39">
        <f t="shared" si="119"/>
        <v>3</v>
      </c>
      <c r="I1136" s="39">
        <f t="shared" si="120"/>
        <v>0</v>
      </c>
      <c r="K1136" s="40"/>
      <c r="Q1136" s="40">
        <v>34780</v>
      </c>
      <c r="R1136" s="39">
        <v>1984.1</v>
      </c>
      <c r="S1136" s="39">
        <f t="shared" si="121"/>
        <v>3</v>
      </c>
      <c r="T1136" s="39">
        <f t="shared" si="122"/>
        <v>0</v>
      </c>
      <c r="U1136" s="39">
        <f t="shared" si="123"/>
        <v>0</v>
      </c>
      <c r="V1136" s="40"/>
    </row>
    <row r="1137" spans="2:22" x14ac:dyDescent="0.35">
      <c r="B1137" s="40">
        <v>34781</v>
      </c>
      <c r="C1137" s="39">
        <v>1936.1</v>
      </c>
      <c r="D1137" s="219">
        <f t="shared" si="124"/>
        <v>-2.448977040530503E-2</v>
      </c>
      <c r="F1137" s="40">
        <v>34781</v>
      </c>
      <c r="G1137" s="39">
        <v>1936.1</v>
      </c>
      <c r="H1137" s="39">
        <f t="shared" si="119"/>
        <v>4</v>
      </c>
      <c r="I1137" s="39">
        <f t="shared" si="120"/>
        <v>0</v>
      </c>
      <c r="K1137" s="40"/>
      <c r="Q1137" s="40">
        <v>34781</v>
      </c>
      <c r="R1137" s="39">
        <v>1936.1</v>
      </c>
      <c r="S1137" s="39">
        <f t="shared" si="121"/>
        <v>3</v>
      </c>
      <c r="T1137" s="39">
        <f t="shared" si="122"/>
        <v>0</v>
      </c>
      <c r="U1137" s="39">
        <f t="shared" si="123"/>
        <v>0</v>
      </c>
      <c r="V1137" s="40"/>
    </row>
    <row r="1138" spans="2:22" x14ac:dyDescent="0.35">
      <c r="B1138" s="40">
        <v>34782</v>
      </c>
      <c r="C1138" s="39">
        <v>1925.4</v>
      </c>
      <c r="D1138" s="219">
        <f t="shared" si="124"/>
        <v>-5.5419020512533015E-3</v>
      </c>
      <c r="F1138" s="40">
        <v>34782</v>
      </c>
      <c r="G1138" s="39">
        <v>1925.4</v>
      </c>
      <c r="H1138" s="39">
        <f t="shared" si="119"/>
        <v>5</v>
      </c>
      <c r="I1138" s="39">
        <f t="shared" si="120"/>
        <v>1925.4</v>
      </c>
      <c r="K1138" s="40"/>
      <c r="Q1138" s="40">
        <v>34782</v>
      </c>
      <c r="R1138" s="39">
        <v>1925.4</v>
      </c>
      <c r="S1138" s="39">
        <f t="shared" si="121"/>
        <v>3</v>
      </c>
      <c r="T1138" s="39">
        <f t="shared" si="122"/>
        <v>0</v>
      </c>
      <c r="U1138" s="39">
        <f t="shared" si="123"/>
        <v>0</v>
      </c>
      <c r="V1138" s="40"/>
    </row>
    <row r="1139" spans="2:22" x14ac:dyDescent="0.35">
      <c r="B1139" s="40">
        <v>34785</v>
      </c>
      <c r="C1139" s="39">
        <v>1946.9</v>
      </c>
      <c r="D1139" s="219">
        <f t="shared" si="124"/>
        <v>1.1104625640998438E-2</v>
      </c>
      <c r="F1139" s="40">
        <v>34785</v>
      </c>
      <c r="G1139" s="39">
        <v>1946.9</v>
      </c>
      <c r="H1139" s="39">
        <f t="shared" si="119"/>
        <v>1</v>
      </c>
      <c r="I1139" s="39">
        <f t="shared" si="120"/>
        <v>0</v>
      </c>
      <c r="K1139" s="40"/>
      <c r="Q1139" s="40">
        <v>34785</v>
      </c>
      <c r="R1139" s="39">
        <v>1946.9</v>
      </c>
      <c r="S1139" s="39">
        <f t="shared" si="121"/>
        <v>3</v>
      </c>
      <c r="T1139" s="39">
        <f t="shared" si="122"/>
        <v>0</v>
      </c>
      <c r="U1139" s="39">
        <f t="shared" si="123"/>
        <v>0</v>
      </c>
      <c r="V1139" s="40"/>
    </row>
    <row r="1140" spans="2:22" x14ac:dyDescent="0.35">
      <c r="B1140" s="40">
        <v>34786</v>
      </c>
      <c r="C1140" s="39">
        <v>1911</v>
      </c>
      <c r="D1140" s="219">
        <f t="shared" si="124"/>
        <v>-1.861169874459162E-2</v>
      </c>
      <c r="F1140" s="40">
        <v>34786</v>
      </c>
      <c r="G1140" s="39">
        <v>1911</v>
      </c>
      <c r="H1140" s="39">
        <f t="shared" si="119"/>
        <v>2</v>
      </c>
      <c r="I1140" s="39">
        <f t="shared" si="120"/>
        <v>0</v>
      </c>
      <c r="K1140" s="40"/>
      <c r="Q1140" s="40">
        <v>34786</v>
      </c>
      <c r="R1140" s="39">
        <v>1911</v>
      </c>
      <c r="S1140" s="39">
        <f t="shared" si="121"/>
        <v>3</v>
      </c>
      <c r="T1140" s="39">
        <f t="shared" si="122"/>
        <v>0</v>
      </c>
      <c r="U1140" s="39">
        <f t="shared" si="123"/>
        <v>0</v>
      </c>
      <c r="V1140" s="40"/>
    </row>
    <row r="1141" spans="2:22" x14ac:dyDescent="0.35">
      <c r="B1141" s="40">
        <v>34787</v>
      </c>
      <c r="C1141" s="39">
        <v>1918.9</v>
      </c>
      <c r="D1141" s="219">
        <f t="shared" si="124"/>
        <v>4.1254399354237383E-3</v>
      </c>
      <c r="F1141" s="40">
        <v>34787</v>
      </c>
      <c r="G1141" s="39">
        <v>1918.9</v>
      </c>
      <c r="H1141" s="39">
        <f t="shared" si="119"/>
        <v>3</v>
      </c>
      <c r="I1141" s="39">
        <f t="shared" si="120"/>
        <v>0</v>
      </c>
      <c r="K1141" s="40"/>
      <c r="Q1141" s="40">
        <v>34787</v>
      </c>
      <c r="R1141" s="39">
        <v>1918.9</v>
      </c>
      <c r="S1141" s="39">
        <f t="shared" si="121"/>
        <v>3</v>
      </c>
      <c r="T1141" s="39">
        <f t="shared" si="122"/>
        <v>0</v>
      </c>
      <c r="U1141" s="39">
        <f t="shared" si="123"/>
        <v>0</v>
      </c>
      <c r="V1141" s="40"/>
    </row>
    <row r="1142" spans="2:22" x14ac:dyDescent="0.35">
      <c r="B1142" s="40">
        <v>34788</v>
      </c>
      <c r="C1142" s="39">
        <v>1918.5</v>
      </c>
      <c r="D1142" s="219">
        <f t="shared" si="124"/>
        <v>-2.0847448868959679E-4</v>
      </c>
      <c r="F1142" s="40">
        <v>34788</v>
      </c>
      <c r="G1142" s="39">
        <v>1918.5</v>
      </c>
      <c r="H1142" s="39">
        <f t="shared" si="119"/>
        <v>4</v>
      </c>
      <c r="I1142" s="39">
        <f t="shared" si="120"/>
        <v>0</v>
      </c>
      <c r="K1142" s="40"/>
      <c r="Q1142" s="40">
        <v>34788</v>
      </c>
      <c r="R1142" s="39">
        <v>1918.5</v>
      </c>
      <c r="S1142" s="39">
        <f t="shared" si="121"/>
        <v>3</v>
      </c>
      <c r="T1142" s="39">
        <f t="shared" si="122"/>
        <v>0</v>
      </c>
      <c r="U1142" s="39">
        <f t="shared" si="123"/>
        <v>0</v>
      </c>
      <c r="V1142" s="40"/>
    </row>
    <row r="1143" spans="2:22" x14ac:dyDescent="0.35">
      <c r="B1143" s="40">
        <v>34789</v>
      </c>
      <c r="C1143" s="39">
        <v>1922.6</v>
      </c>
      <c r="D1143" s="219">
        <f t="shared" si="124"/>
        <v>2.1348059447086698E-3</v>
      </c>
      <c r="F1143" s="40">
        <v>34789</v>
      </c>
      <c r="G1143" s="39">
        <v>1922.6</v>
      </c>
      <c r="H1143" s="39">
        <f t="shared" ref="H1143:H1206" si="125">WEEKDAY(F1143,2)</f>
        <v>5</v>
      </c>
      <c r="I1143" s="39">
        <f t="shared" ref="I1143:I1206" si="126">IF(H1143&gt;H1144,G1143,0)</f>
        <v>1922.6</v>
      </c>
      <c r="K1143" s="40"/>
      <c r="Q1143" s="40">
        <v>34789</v>
      </c>
      <c r="R1143" s="39">
        <v>1922.6</v>
      </c>
      <c r="S1143" s="39">
        <f t="shared" ref="S1143:S1206" si="127">MONTH(Q1143)</f>
        <v>3</v>
      </c>
      <c r="T1143" s="39">
        <f t="shared" ref="T1143:T1206" si="128">IF(S1144&lt;&gt;S1143,R1143,0)</f>
        <v>1922.6</v>
      </c>
      <c r="U1143" s="39">
        <f t="shared" ref="U1143:U1206" si="129">IF(S1144=S1143,0,R1143)</f>
        <v>1922.6</v>
      </c>
      <c r="V1143" s="40"/>
    </row>
    <row r="1144" spans="2:22" x14ac:dyDescent="0.35">
      <c r="B1144" s="40">
        <v>34792</v>
      </c>
      <c r="C1144" s="39">
        <v>1930.8</v>
      </c>
      <c r="D1144" s="219">
        <f t="shared" ref="D1144:D1207" si="130">LN(C1144/C1143)</f>
        <v>4.2559881546221142E-3</v>
      </c>
      <c r="F1144" s="40">
        <v>34792</v>
      </c>
      <c r="G1144" s="39">
        <v>1930.8</v>
      </c>
      <c r="H1144" s="39">
        <f t="shared" si="125"/>
        <v>1</v>
      </c>
      <c r="I1144" s="39">
        <f t="shared" si="126"/>
        <v>0</v>
      </c>
      <c r="K1144" s="40"/>
      <c r="Q1144" s="40">
        <v>34792</v>
      </c>
      <c r="R1144" s="39">
        <v>1930.8</v>
      </c>
      <c r="S1144" s="39">
        <f t="shared" si="127"/>
        <v>4</v>
      </c>
      <c r="T1144" s="39">
        <f t="shared" si="128"/>
        <v>0</v>
      </c>
      <c r="U1144" s="39">
        <f t="shared" si="129"/>
        <v>0</v>
      </c>
      <c r="V1144" s="40"/>
    </row>
    <row r="1145" spans="2:22" x14ac:dyDescent="0.35">
      <c r="B1145" s="40">
        <v>34793</v>
      </c>
      <c r="C1145" s="39">
        <v>1965</v>
      </c>
      <c r="D1145" s="219">
        <f t="shared" si="130"/>
        <v>1.7557820517023762E-2</v>
      </c>
      <c r="F1145" s="40">
        <v>34793</v>
      </c>
      <c r="G1145" s="39">
        <v>1965</v>
      </c>
      <c r="H1145" s="39">
        <f t="shared" si="125"/>
        <v>2</v>
      </c>
      <c r="I1145" s="39">
        <f t="shared" si="126"/>
        <v>0</v>
      </c>
      <c r="K1145" s="40"/>
      <c r="Q1145" s="40">
        <v>34793</v>
      </c>
      <c r="R1145" s="39">
        <v>1965</v>
      </c>
      <c r="S1145" s="39">
        <f t="shared" si="127"/>
        <v>4</v>
      </c>
      <c r="T1145" s="39">
        <f t="shared" si="128"/>
        <v>0</v>
      </c>
      <c r="U1145" s="39">
        <f t="shared" si="129"/>
        <v>0</v>
      </c>
      <c r="V1145" s="40"/>
    </row>
    <row r="1146" spans="2:22" x14ac:dyDescent="0.35">
      <c r="B1146" s="40">
        <v>34794</v>
      </c>
      <c r="C1146" s="39">
        <v>1969.8</v>
      </c>
      <c r="D1146" s="219">
        <f t="shared" si="130"/>
        <v>2.4397694322402653E-3</v>
      </c>
      <c r="F1146" s="40">
        <v>34794</v>
      </c>
      <c r="G1146" s="39">
        <v>1969.8</v>
      </c>
      <c r="H1146" s="39">
        <f t="shared" si="125"/>
        <v>3</v>
      </c>
      <c r="I1146" s="39">
        <f t="shared" si="126"/>
        <v>0</v>
      </c>
      <c r="K1146" s="40"/>
      <c r="Q1146" s="40">
        <v>34794</v>
      </c>
      <c r="R1146" s="39">
        <v>1969.8</v>
      </c>
      <c r="S1146" s="39">
        <f t="shared" si="127"/>
        <v>4</v>
      </c>
      <c r="T1146" s="39">
        <f t="shared" si="128"/>
        <v>0</v>
      </c>
      <c r="U1146" s="39">
        <f t="shared" si="129"/>
        <v>0</v>
      </c>
      <c r="V1146" s="40"/>
    </row>
    <row r="1147" spans="2:22" x14ac:dyDescent="0.35">
      <c r="B1147" s="40">
        <v>34795</v>
      </c>
      <c r="C1147" s="39">
        <v>1979.3</v>
      </c>
      <c r="D1147" s="219">
        <f t="shared" si="130"/>
        <v>4.8112320910875129E-3</v>
      </c>
      <c r="F1147" s="40">
        <v>34795</v>
      </c>
      <c r="G1147" s="39">
        <v>1979.3</v>
      </c>
      <c r="H1147" s="39">
        <f t="shared" si="125"/>
        <v>4</v>
      </c>
      <c r="I1147" s="39">
        <f t="shared" si="126"/>
        <v>0</v>
      </c>
      <c r="K1147" s="40"/>
      <c r="Q1147" s="40">
        <v>34795</v>
      </c>
      <c r="R1147" s="39">
        <v>1979.3</v>
      </c>
      <c r="S1147" s="39">
        <f t="shared" si="127"/>
        <v>4</v>
      </c>
      <c r="T1147" s="39">
        <f t="shared" si="128"/>
        <v>0</v>
      </c>
      <c r="U1147" s="39">
        <f t="shared" si="129"/>
        <v>0</v>
      </c>
      <c r="V1147" s="40"/>
    </row>
    <row r="1148" spans="2:22" x14ac:dyDescent="0.35">
      <c r="B1148" s="40">
        <v>34796</v>
      </c>
      <c r="C1148" s="39">
        <v>1981.9</v>
      </c>
      <c r="D1148" s="219">
        <f t="shared" si="130"/>
        <v>1.3127337036126906E-3</v>
      </c>
      <c r="F1148" s="40">
        <v>34796</v>
      </c>
      <c r="G1148" s="39">
        <v>1981.9</v>
      </c>
      <c r="H1148" s="39">
        <f t="shared" si="125"/>
        <v>5</v>
      </c>
      <c r="I1148" s="39">
        <f t="shared" si="126"/>
        <v>1981.9</v>
      </c>
      <c r="K1148" s="40"/>
      <c r="Q1148" s="40">
        <v>34796</v>
      </c>
      <c r="R1148" s="39">
        <v>1981.9</v>
      </c>
      <c r="S1148" s="39">
        <f t="shared" si="127"/>
        <v>4</v>
      </c>
      <c r="T1148" s="39">
        <f t="shared" si="128"/>
        <v>0</v>
      </c>
      <c r="U1148" s="39">
        <f t="shared" si="129"/>
        <v>0</v>
      </c>
      <c r="V1148" s="40"/>
    </row>
    <row r="1149" spans="2:22" x14ac:dyDescent="0.35">
      <c r="B1149" s="40">
        <v>34799</v>
      </c>
      <c r="C1149" s="39">
        <v>1972.3</v>
      </c>
      <c r="D1149" s="219">
        <f t="shared" si="130"/>
        <v>-4.8556061208443668E-3</v>
      </c>
      <c r="F1149" s="40">
        <v>34799</v>
      </c>
      <c r="G1149" s="39">
        <v>1972.3</v>
      </c>
      <c r="H1149" s="39">
        <f t="shared" si="125"/>
        <v>1</v>
      </c>
      <c r="I1149" s="39">
        <f t="shared" si="126"/>
        <v>0</v>
      </c>
      <c r="K1149" s="40"/>
      <c r="Q1149" s="40">
        <v>34799</v>
      </c>
      <c r="R1149" s="39">
        <v>1972.3</v>
      </c>
      <c r="S1149" s="39">
        <f t="shared" si="127"/>
        <v>4</v>
      </c>
      <c r="T1149" s="39">
        <f t="shared" si="128"/>
        <v>0</v>
      </c>
      <c r="U1149" s="39">
        <f t="shared" si="129"/>
        <v>0</v>
      </c>
      <c r="V1149" s="40"/>
    </row>
    <row r="1150" spans="2:22" x14ac:dyDescent="0.35">
      <c r="B1150" s="40">
        <v>34800</v>
      </c>
      <c r="C1150" s="39">
        <v>1993.7</v>
      </c>
      <c r="D1150" s="219">
        <f t="shared" si="130"/>
        <v>1.0791834439323428E-2</v>
      </c>
      <c r="F1150" s="40">
        <v>34800</v>
      </c>
      <c r="G1150" s="39">
        <v>1993.7</v>
      </c>
      <c r="H1150" s="39">
        <f t="shared" si="125"/>
        <v>2</v>
      </c>
      <c r="I1150" s="39">
        <f t="shared" si="126"/>
        <v>0</v>
      </c>
      <c r="K1150" s="40"/>
      <c r="Q1150" s="40">
        <v>34800</v>
      </c>
      <c r="R1150" s="39">
        <v>1993.7</v>
      </c>
      <c r="S1150" s="39">
        <f t="shared" si="127"/>
        <v>4</v>
      </c>
      <c r="T1150" s="39">
        <f t="shared" si="128"/>
        <v>0</v>
      </c>
      <c r="U1150" s="39">
        <f t="shared" si="129"/>
        <v>0</v>
      </c>
      <c r="V1150" s="40"/>
    </row>
    <row r="1151" spans="2:22" x14ac:dyDescent="0.35">
      <c r="B1151" s="40">
        <v>34801</v>
      </c>
      <c r="C1151" s="39">
        <v>1988.5</v>
      </c>
      <c r="D1151" s="219">
        <f t="shared" si="130"/>
        <v>-2.6116232010359188E-3</v>
      </c>
      <c r="F1151" s="40">
        <v>34801</v>
      </c>
      <c r="G1151" s="39">
        <v>1988.5</v>
      </c>
      <c r="H1151" s="39">
        <f t="shared" si="125"/>
        <v>3</v>
      </c>
      <c r="I1151" s="39">
        <f t="shared" si="126"/>
        <v>0</v>
      </c>
      <c r="K1151" s="40"/>
      <c r="Q1151" s="40">
        <v>34801</v>
      </c>
      <c r="R1151" s="39">
        <v>1988.5</v>
      </c>
      <c r="S1151" s="39">
        <f t="shared" si="127"/>
        <v>4</v>
      </c>
      <c r="T1151" s="39">
        <f t="shared" si="128"/>
        <v>0</v>
      </c>
      <c r="U1151" s="39">
        <f t="shared" si="129"/>
        <v>0</v>
      </c>
      <c r="V1151" s="40"/>
    </row>
    <row r="1152" spans="2:22" x14ac:dyDescent="0.35">
      <c r="B1152" s="40">
        <v>34802</v>
      </c>
      <c r="C1152" s="39">
        <v>1986.5</v>
      </c>
      <c r="D1152" s="219">
        <f t="shared" si="130"/>
        <v>-1.0062893930916717E-3</v>
      </c>
      <c r="F1152" s="40">
        <v>34802</v>
      </c>
      <c r="G1152" s="39">
        <v>1986.5</v>
      </c>
      <c r="H1152" s="39">
        <f t="shared" si="125"/>
        <v>4</v>
      </c>
      <c r="I1152" s="39">
        <f t="shared" si="126"/>
        <v>1986.5</v>
      </c>
      <c r="K1152" s="40"/>
      <c r="Q1152" s="40">
        <v>34802</v>
      </c>
      <c r="R1152" s="39">
        <v>1986.5</v>
      </c>
      <c r="S1152" s="39">
        <f t="shared" si="127"/>
        <v>4</v>
      </c>
      <c r="T1152" s="39">
        <f t="shared" si="128"/>
        <v>0</v>
      </c>
      <c r="U1152" s="39">
        <f t="shared" si="129"/>
        <v>0</v>
      </c>
      <c r="V1152" s="40"/>
    </row>
    <row r="1153" spans="2:22" x14ac:dyDescent="0.35">
      <c r="B1153" s="40">
        <v>34807</v>
      </c>
      <c r="C1153" s="39">
        <v>1965.3</v>
      </c>
      <c r="D1153" s="219">
        <f t="shared" si="130"/>
        <v>-1.0729390848713284E-2</v>
      </c>
      <c r="F1153" s="40">
        <v>34807</v>
      </c>
      <c r="G1153" s="39">
        <v>1965.3</v>
      </c>
      <c r="H1153" s="39">
        <f t="shared" si="125"/>
        <v>2</v>
      </c>
      <c r="I1153" s="39">
        <f t="shared" si="126"/>
        <v>0</v>
      </c>
      <c r="K1153" s="40"/>
      <c r="Q1153" s="40">
        <v>34807</v>
      </c>
      <c r="R1153" s="39">
        <v>1965.3</v>
      </c>
      <c r="S1153" s="39">
        <f t="shared" si="127"/>
        <v>4</v>
      </c>
      <c r="T1153" s="39">
        <f t="shared" si="128"/>
        <v>0</v>
      </c>
      <c r="U1153" s="39">
        <f t="shared" si="129"/>
        <v>0</v>
      </c>
      <c r="V1153" s="40"/>
    </row>
    <row r="1154" spans="2:22" x14ac:dyDescent="0.35">
      <c r="B1154" s="40">
        <v>34808</v>
      </c>
      <c r="C1154" s="39">
        <v>1951</v>
      </c>
      <c r="D1154" s="219">
        <f t="shared" si="130"/>
        <v>-7.3028437828291781E-3</v>
      </c>
      <c r="F1154" s="40">
        <v>34808</v>
      </c>
      <c r="G1154" s="39">
        <v>1951</v>
      </c>
      <c r="H1154" s="39">
        <f t="shared" si="125"/>
        <v>3</v>
      </c>
      <c r="I1154" s="39">
        <f t="shared" si="126"/>
        <v>0</v>
      </c>
      <c r="K1154" s="40"/>
      <c r="Q1154" s="40">
        <v>34808</v>
      </c>
      <c r="R1154" s="39">
        <v>1951</v>
      </c>
      <c r="S1154" s="39">
        <f t="shared" si="127"/>
        <v>4</v>
      </c>
      <c r="T1154" s="39">
        <f t="shared" si="128"/>
        <v>0</v>
      </c>
      <c r="U1154" s="39">
        <f t="shared" si="129"/>
        <v>0</v>
      </c>
      <c r="V1154" s="40"/>
    </row>
    <row r="1155" spans="2:22" x14ac:dyDescent="0.35">
      <c r="B1155" s="40">
        <v>34809</v>
      </c>
      <c r="C1155" s="39">
        <v>1956</v>
      </c>
      <c r="D1155" s="219">
        <f t="shared" si="130"/>
        <v>2.5595099716515367E-3</v>
      </c>
      <c r="F1155" s="40">
        <v>34809</v>
      </c>
      <c r="G1155" s="39">
        <v>1956</v>
      </c>
      <c r="H1155" s="39">
        <f t="shared" si="125"/>
        <v>4</v>
      </c>
      <c r="I1155" s="39">
        <f t="shared" si="126"/>
        <v>0</v>
      </c>
      <c r="K1155" s="40"/>
      <c r="Q1155" s="40">
        <v>34809</v>
      </c>
      <c r="R1155" s="39">
        <v>1956</v>
      </c>
      <c r="S1155" s="39">
        <f t="shared" si="127"/>
        <v>4</v>
      </c>
      <c r="T1155" s="39">
        <f t="shared" si="128"/>
        <v>0</v>
      </c>
      <c r="U1155" s="39">
        <f t="shared" si="129"/>
        <v>0</v>
      </c>
      <c r="V1155" s="40"/>
    </row>
    <row r="1156" spans="2:22" x14ac:dyDescent="0.35">
      <c r="B1156" s="40">
        <v>34810</v>
      </c>
      <c r="C1156" s="39">
        <v>1976.6</v>
      </c>
      <c r="D1156" s="219">
        <f t="shared" si="130"/>
        <v>1.0476625347320849E-2</v>
      </c>
      <c r="F1156" s="40">
        <v>34810</v>
      </c>
      <c r="G1156" s="39">
        <v>1976.6</v>
      </c>
      <c r="H1156" s="39">
        <f t="shared" si="125"/>
        <v>5</v>
      </c>
      <c r="I1156" s="39">
        <f t="shared" si="126"/>
        <v>1976.6</v>
      </c>
      <c r="K1156" s="40"/>
      <c r="Q1156" s="40">
        <v>34810</v>
      </c>
      <c r="R1156" s="39">
        <v>1976.6</v>
      </c>
      <c r="S1156" s="39">
        <f t="shared" si="127"/>
        <v>4</v>
      </c>
      <c r="T1156" s="39">
        <f t="shared" si="128"/>
        <v>0</v>
      </c>
      <c r="U1156" s="39">
        <f t="shared" si="129"/>
        <v>0</v>
      </c>
      <c r="V1156" s="40"/>
    </row>
    <row r="1157" spans="2:22" x14ac:dyDescent="0.35">
      <c r="B1157" s="40">
        <v>34813</v>
      </c>
      <c r="C1157" s="39">
        <v>1976.2</v>
      </c>
      <c r="D1157" s="219">
        <f t="shared" si="130"/>
        <v>-2.0238818122103011E-4</v>
      </c>
      <c r="F1157" s="40">
        <v>34813</v>
      </c>
      <c r="G1157" s="39">
        <v>1976.2</v>
      </c>
      <c r="H1157" s="39">
        <f t="shared" si="125"/>
        <v>1</v>
      </c>
      <c r="I1157" s="39">
        <f t="shared" si="126"/>
        <v>0</v>
      </c>
      <c r="K1157" s="40"/>
      <c r="Q1157" s="40">
        <v>34813</v>
      </c>
      <c r="R1157" s="39">
        <v>1976.2</v>
      </c>
      <c r="S1157" s="39">
        <f t="shared" si="127"/>
        <v>4</v>
      </c>
      <c r="T1157" s="39">
        <f t="shared" si="128"/>
        <v>0</v>
      </c>
      <c r="U1157" s="39">
        <f t="shared" si="129"/>
        <v>0</v>
      </c>
      <c r="V1157" s="40"/>
    </row>
    <row r="1158" spans="2:22" x14ac:dyDescent="0.35">
      <c r="B1158" s="40">
        <v>34814</v>
      </c>
      <c r="C1158" s="39">
        <v>2007</v>
      </c>
      <c r="D1158" s="219">
        <f t="shared" si="130"/>
        <v>1.5465261035475656E-2</v>
      </c>
      <c r="F1158" s="40">
        <v>34814</v>
      </c>
      <c r="G1158" s="39">
        <v>2007</v>
      </c>
      <c r="H1158" s="39">
        <f t="shared" si="125"/>
        <v>2</v>
      </c>
      <c r="I1158" s="39">
        <f t="shared" si="126"/>
        <v>0</v>
      </c>
      <c r="K1158" s="40"/>
      <c r="Q1158" s="40">
        <v>34814</v>
      </c>
      <c r="R1158" s="39">
        <v>2007</v>
      </c>
      <c r="S1158" s="39">
        <f t="shared" si="127"/>
        <v>4</v>
      </c>
      <c r="T1158" s="39">
        <f t="shared" si="128"/>
        <v>0</v>
      </c>
      <c r="U1158" s="39">
        <f t="shared" si="129"/>
        <v>0</v>
      </c>
      <c r="V1158" s="40"/>
    </row>
    <row r="1159" spans="2:22" x14ac:dyDescent="0.35">
      <c r="B1159" s="40">
        <v>34815</v>
      </c>
      <c r="C1159" s="39">
        <v>2029.5</v>
      </c>
      <c r="D1159" s="219">
        <f t="shared" si="130"/>
        <v>1.1148387482614201E-2</v>
      </c>
      <c r="F1159" s="40">
        <v>34815</v>
      </c>
      <c r="G1159" s="39">
        <v>2029.5</v>
      </c>
      <c r="H1159" s="39">
        <f t="shared" si="125"/>
        <v>3</v>
      </c>
      <c r="I1159" s="39">
        <f t="shared" si="126"/>
        <v>0</v>
      </c>
      <c r="K1159" s="40"/>
      <c r="Q1159" s="40">
        <v>34815</v>
      </c>
      <c r="R1159" s="39">
        <v>2029.5</v>
      </c>
      <c r="S1159" s="39">
        <f t="shared" si="127"/>
        <v>4</v>
      </c>
      <c r="T1159" s="39">
        <f t="shared" si="128"/>
        <v>0</v>
      </c>
      <c r="U1159" s="39">
        <f t="shared" si="129"/>
        <v>0</v>
      </c>
      <c r="V1159" s="40"/>
    </row>
    <row r="1160" spans="2:22" x14ac:dyDescent="0.35">
      <c r="B1160" s="40">
        <v>34816</v>
      </c>
      <c r="C1160" s="39">
        <v>2026.1</v>
      </c>
      <c r="D1160" s="219">
        <f t="shared" si="130"/>
        <v>-1.6766943468469347E-3</v>
      </c>
      <c r="F1160" s="40">
        <v>34816</v>
      </c>
      <c r="G1160" s="39">
        <v>2026.1</v>
      </c>
      <c r="H1160" s="39">
        <f t="shared" si="125"/>
        <v>4</v>
      </c>
      <c r="I1160" s="39">
        <f t="shared" si="126"/>
        <v>0</v>
      </c>
      <c r="K1160" s="40"/>
      <c r="Q1160" s="40">
        <v>34816</v>
      </c>
      <c r="R1160" s="39">
        <v>2026.1</v>
      </c>
      <c r="S1160" s="39">
        <f t="shared" si="127"/>
        <v>4</v>
      </c>
      <c r="T1160" s="39">
        <f t="shared" si="128"/>
        <v>0</v>
      </c>
      <c r="U1160" s="39">
        <f t="shared" si="129"/>
        <v>0</v>
      </c>
      <c r="V1160" s="40"/>
    </row>
    <row r="1161" spans="2:22" x14ac:dyDescent="0.35">
      <c r="B1161" s="40">
        <v>34817</v>
      </c>
      <c r="C1161" s="39">
        <v>2015.9</v>
      </c>
      <c r="D1161" s="219">
        <f t="shared" si="130"/>
        <v>-5.0470171457275524E-3</v>
      </c>
      <c r="F1161" s="40">
        <v>34817</v>
      </c>
      <c r="G1161" s="39">
        <v>2015.9</v>
      </c>
      <c r="H1161" s="39">
        <f t="shared" si="125"/>
        <v>5</v>
      </c>
      <c r="I1161" s="39">
        <f t="shared" si="126"/>
        <v>2015.9</v>
      </c>
      <c r="K1161" s="40"/>
      <c r="Q1161" s="40">
        <v>34817</v>
      </c>
      <c r="R1161" s="39">
        <v>2015.9</v>
      </c>
      <c r="S1161" s="39">
        <f t="shared" si="127"/>
        <v>4</v>
      </c>
      <c r="T1161" s="39">
        <f t="shared" si="128"/>
        <v>2015.9</v>
      </c>
      <c r="U1161" s="39">
        <f t="shared" si="129"/>
        <v>2015.9</v>
      </c>
      <c r="V1161" s="40"/>
    </row>
    <row r="1162" spans="2:22" x14ac:dyDescent="0.35">
      <c r="B1162" s="40">
        <v>34821</v>
      </c>
      <c r="C1162" s="39">
        <v>2035.9</v>
      </c>
      <c r="D1162" s="219">
        <f t="shared" si="130"/>
        <v>9.8722357642534071E-3</v>
      </c>
      <c r="F1162" s="40">
        <v>34821</v>
      </c>
      <c r="G1162" s="39">
        <v>2035.9</v>
      </c>
      <c r="H1162" s="39">
        <f t="shared" si="125"/>
        <v>2</v>
      </c>
      <c r="I1162" s="39">
        <f t="shared" si="126"/>
        <v>0</v>
      </c>
      <c r="K1162" s="40"/>
      <c r="Q1162" s="40">
        <v>34821</v>
      </c>
      <c r="R1162" s="39">
        <v>2035.9</v>
      </c>
      <c r="S1162" s="39">
        <f t="shared" si="127"/>
        <v>5</v>
      </c>
      <c r="T1162" s="39">
        <f t="shared" si="128"/>
        <v>0</v>
      </c>
      <c r="U1162" s="39">
        <f t="shared" si="129"/>
        <v>0</v>
      </c>
      <c r="V1162" s="40"/>
    </row>
    <row r="1163" spans="2:22" x14ac:dyDescent="0.35">
      <c r="B1163" s="40">
        <v>34822</v>
      </c>
      <c r="C1163" s="39">
        <v>2028.7</v>
      </c>
      <c r="D1163" s="219">
        <f t="shared" si="130"/>
        <v>-3.5427877433477019E-3</v>
      </c>
      <c r="F1163" s="40">
        <v>34822</v>
      </c>
      <c r="G1163" s="39">
        <v>2028.7</v>
      </c>
      <c r="H1163" s="39">
        <f t="shared" si="125"/>
        <v>3</v>
      </c>
      <c r="I1163" s="39">
        <f t="shared" si="126"/>
        <v>0</v>
      </c>
      <c r="K1163" s="40"/>
      <c r="Q1163" s="40">
        <v>34822</v>
      </c>
      <c r="R1163" s="39">
        <v>2028.7</v>
      </c>
      <c r="S1163" s="39">
        <f t="shared" si="127"/>
        <v>5</v>
      </c>
      <c r="T1163" s="39">
        <f t="shared" si="128"/>
        <v>0</v>
      </c>
      <c r="U1163" s="39">
        <f t="shared" si="129"/>
        <v>0</v>
      </c>
      <c r="V1163" s="40"/>
    </row>
    <row r="1164" spans="2:22" x14ac:dyDescent="0.35">
      <c r="B1164" s="40">
        <v>34823</v>
      </c>
      <c r="C1164" s="39">
        <v>2044.8</v>
      </c>
      <c r="D1164" s="219">
        <f t="shared" si="130"/>
        <v>7.904791375931898E-3</v>
      </c>
      <c r="F1164" s="40">
        <v>34823</v>
      </c>
      <c r="G1164" s="39">
        <v>2044.8</v>
      </c>
      <c r="H1164" s="39">
        <f t="shared" si="125"/>
        <v>4</v>
      </c>
      <c r="I1164" s="39">
        <f t="shared" si="126"/>
        <v>0</v>
      </c>
      <c r="K1164" s="40"/>
      <c r="Q1164" s="40">
        <v>34823</v>
      </c>
      <c r="R1164" s="39">
        <v>2044.8</v>
      </c>
      <c r="S1164" s="39">
        <f t="shared" si="127"/>
        <v>5</v>
      </c>
      <c r="T1164" s="39">
        <f t="shared" si="128"/>
        <v>0</v>
      </c>
      <c r="U1164" s="39">
        <f t="shared" si="129"/>
        <v>0</v>
      </c>
      <c r="V1164" s="40"/>
    </row>
    <row r="1165" spans="2:22" x14ac:dyDescent="0.35">
      <c r="B1165" s="40">
        <v>34824</v>
      </c>
      <c r="C1165" s="39">
        <v>2023.8</v>
      </c>
      <c r="D1165" s="219">
        <f t="shared" si="130"/>
        <v>-1.0323052887556158E-2</v>
      </c>
      <c r="F1165" s="40">
        <v>34824</v>
      </c>
      <c r="G1165" s="39">
        <v>2023.8</v>
      </c>
      <c r="H1165" s="39">
        <f t="shared" si="125"/>
        <v>5</v>
      </c>
      <c r="I1165" s="39">
        <f t="shared" si="126"/>
        <v>2023.8</v>
      </c>
      <c r="K1165" s="40"/>
      <c r="Q1165" s="40">
        <v>34824</v>
      </c>
      <c r="R1165" s="39">
        <v>2023.8</v>
      </c>
      <c r="S1165" s="39">
        <f t="shared" si="127"/>
        <v>5</v>
      </c>
      <c r="T1165" s="39">
        <f t="shared" si="128"/>
        <v>0</v>
      </c>
      <c r="U1165" s="39">
        <f t="shared" si="129"/>
        <v>0</v>
      </c>
      <c r="V1165" s="40"/>
    </row>
    <row r="1166" spans="2:22" x14ac:dyDescent="0.35">
      <c r="B1166" s="40">
        <v>34827</v>
      </c>
      <c r="C1166" s="39">
        <v>2024.8</v>
      </c>
      <c r="D1166" s="219">
        <f t="shared" si="130"/>
        <v>4.939979352546318E-4</v>
      </c>
      <c r="F1166" s="40">
        <v>34827</v>
      </c>
      <c r="G1166" s="39">
        <v>2024.8</v>
      </c>
      <c r="H1166" s="39">
        <f t="shared" si="125"/>
        <v>1</v>
      </c>
      <c r="I1166" s="39">
        <f t="shared" si="126"/>
        <v>0</v>
      </c>
      <c r="K1166" s="40"/>
      <c r="Q1166" s="40">
        <v>34827</v>
      </c>
      <c r="R1166" s="39">
        <v>2024.8</v>
      </c>
      <c r="S1166" s="39">
        <f t="shared" si="127"/>
        <v>5</v>
      </c>
      <c r="T1166" s="39">
        <f t="shared" si="128"/>
        <v>0</v>
      </c>
      <c r="U1166" s="39">
        <f t="shared" si="129"/>
        <v>0</v>
      </c>
      <c r="V1166" s="40"/>
    </row>
    <row r="1167" spans="2:22" x14ac:dyDescent="0.35">
      <c r="B1167" s="40">
        <v>34828</v>
      </c>
      <c r="C1167" s="39">
        <v>2039.6</v>
      </c>
      <c r="D1167" s="219">
        <f t="shared" si="130"/>
        <v>7.2827799500864519E-3</v>
      </c>
      <c r="F1167" s="40">
        <v>34828</v>
      </c>
      <c r="G1167" s="39">
        <v>2039.6</v>
      </c>
      <c r="H1167" s="39">
        <f t="shared" si="125"/>
        <v>2</v>
      </c>
      <c r="I1167" s="39">
        <f t="shared" si="126"/>
        <v>0</v>
      </c>
      <c r="K1167" s="40"/>
      <c r="Q1167" s="40">
        <v>34828</v>
      </c>
      <c r="R1167" s="39">
        <v>2039.6</v>
      </c>
      <c r="S1167" s="39">
        <f t="shared" si="127"/>
        <v>5</v>
      </c>
      <c r="T1167" s="39">
        <f t="shared" si="128"/>
        <v>0</v>
      </c>
      <c r="U1167" s="39">
        <f t="shared" si="129"/>
        <v>0</v>
      </c>
      <c r="V1167" s="40"/>
    </row>
    <row r="1168" spans="2:22" x14ac:dyDescent="0.35">
      <c r="B1168" s="40">
        <v>34829</v>
      </c>
      <c r="C1168" s="39">
        <v>2059.1</v>
      </c>
      <c r="D1168" s="219">
        <f t="shared" si="130"/>
        <v>9.5152839331002319E-3</v>
      </c>
      <c r="F1168" s="40">
        <v>34829</v>
      </c>
      <c r="G1168" s="39">
        <v>2059.1</v>
      </c>
      <c r="H1168" s="39">
        <f t="shared" si="125"/>
        <v>3</v>
      </c>
      <c r="I1168" s="39">
        <f t="shared" si="126"/>
        <v>0</v>
      </c>
      <c r="K1168" s="40"/>
      <c r="Q1168" s="40">
        <v>34829</v>
      </c>
      <c r="R1168" s="39">
        <v>2059.1</v>
      </c>
      <c r="S1168" s="39">
        <f t="shared" si="127"/>
        <v>5</v>
      </c>
      <c r="T1168" s="39">
        <f t="shared" si="128"/>
        <v>0</v>
      </c>
      <c r="U1168" s="39">
        <f t="shared" si="129"/>
        <v>0</v>
      </c>
      <c r="V1168" s="40"/>
    </row>
    <row r="1169" spans="2:22" x14ac:dyDescent="0.35">
      <c r="B1169" s="40">
        <v>34830</v>
      </c>
      <c r="C1169" s="39">
        <v>2078.1</v>
      </c>
      <c r="D1169" s="219">
        <f t="shared" si="130"/>
        <v>9.1850205825680931E-3</v>
      </c>
      <c r="F1169" s="40">
        <v>34830</v>
      </c>
      <c r="G1169" s="39">
        <v>2078.1</v>
      </c>
      <c r="H1169" s="39">
        <f t="shared" si="125"/>
        <v>4</v>
      </c>
      <c r="I1169" s="39">
        <f t="shared" si="126"/>
        <v>0</v>
      </c>
      <c r="K1169" s="40"/>
      <c r="Q1169" s="40">
        <v>34830</v>
      </c>
      <c r="R1169" s="39">
        <v>2078.1</v>
      </c>
      <c r="S1169" s="39">
        <f t="shared" si="127"/>
        <v>5</v>
      </c>
      <c r="T1169" s="39">
        <f t="shared" si="128"/>
        <v>0</v>
      </c>
      <c r="U1169" s="39">
        <f t="shared" si="129"/>
        <v>0</v>
      </c>
      <c r="V1169" s="40"/>
    </row>
    <row r="1170" spans="2:22" x14ac:dyDescent="0.35">
      <c r="B1170" s="40">
        <v>34831</v>
      </c>
      <c r="C1170" s="39">
        <v>2096.9</v>
      </c>
      <c r="D1170" s="219">
        <f t="shared" si="130"/>
        <v>9.0060488960309916E-3</v>
      </c>
      <c r="F1170" s="40">
        <v>34831</v>
      </c>
      <c r="G1170" s="39">
        <v>2096.9</v>
      </c>
      <c r="H1170" s="39">
        <f t="shared" si="125"/>
        <v>5</v>
      </c>
      <c r="I1170" s="39">
        <f t="shared" si="126"/>
        <v>2096.9</v>
      </c>
      <c r="K1170" s="40"/>
      <c r="Q1170" s="40">
        <v>34831</v>
      </c>
      <c r="R1170" s="39">
        <v>2096.9</v>
      </c>
      <c r="S1170" s="39">
        <f t="shared" si="127"/>
        <v>5</v>
      </c>
      <c r="T1170" s="39">
        <f t="shared" si="128"/>
        <v>0</v>
      </c>
      <c r="U1170" s="39">
        <f t="shared" si="129"/>
        <v>0</v>
      </c>
      <c r="V1170" s="40"/>
    </row>
    <row r="1171" spans="2:22" x14ac:dyDescent="0.35">
      <c r="B1171" s="40">
        <v>34834</v>
      </c>
      <c r="C1171" s="39">
        <v>2086.6999999999998</v>
      </c>
      <c r="D1171" s="219">
        <f t="shared" si="130"/>
        <v>-4.8761928533610274E-3</v>
      </c>
      <c r="F1171" s="40">
        <v>34834</v>
      </c>
      <c r="G1171" s="39">
        <v>2086.6999999999998</v>
      </c>
      <c r="H1171" s="39">
        <f t="shared" si="125"/>
        <v>1</v>
      </c>
      <c r="I1171" s="39">
        <f t="shared" si="126"/>
        <v>0</v>
      </c>
      <c r="K1171" s="40"/>
      <c r="Q1171" s="40">
        <v>34834</v>
      </c>
      <c r="R1171" s="39">
        <v>2086.6999999999998</v>
      </c>
      <c r="S1171" s="39">
        <f t="shared" si="127"/>
        <v>5</v>
      </c>
      <c r="T1171" s="39">
        <f t="shared" si="128"/>
        <v>0</v>
      </c>
      <c r="U1171" s="39">
        <f t="shared" si="129"/>
        <v>0</v>
      </c>
      <c r="V1171" s="40"/>
    </row>
    <row r="1172" spans="2:22" x14ac:dyDescent="0.35">
      <c r="B1172" s="40">
        <v>34835</v>
      </c>
      <c r="C1172" s="39">
        <v>2110.5</v>
      </c>
      <c r="D1172" s="219">
        <f t="shared" si="130"/>
        <v>1.1341015483214539E-2</v>
      </c>
      <c r="F1172" s="40">
        <v>34835</v>
      </c>
      <c r="G1172" s="39">
        <v>2110.5</v>
      </c>
      <c r="H1172" s="39">
        <f t="shared" si="125"/>
        <v>2</v>
      </c>
      <c r="I1172" s="39">
        <f t="shared" si="126"/>
        <v>0</v>
      </c>
      <c r="K1172" s="40"/>
      <c r="Q1172" s="40">
        <v>34835</v>
      </c>
      <c r="R1172" s="39">
        <v>2110.5</v>
      </c>
      <c r="S1172" s="39">
        <f t="shared" si="127"/>
        <v>5</v>
      </c>
      <c r="T1172" s="39">
        <f t="shared" si="128"/>
        <v>0</v>
      </c>
      <c r="U1172" s="39">
        <f t="shared" si="129"/>
        <v>0</v>
      </c>
      <c r="V1172" s="40"/>
    </row>
    <row r="1173" spans="2:22" x14ac:dyDescent="0.35">
      <c r="B1173" s="40">
        <v>34836</v>
      </c>
      <c r="C1173" s="39">
        <v>2095.3000000000002</v>
      </c>
      <c r="D1173" s="219">
        <f t="shared" si="130"/>
        <v>-7.228145027491065E-3</v>
      </c>
      <c r="F1173" s="40">
        <v>34836</v>
      </c>
      <c r="G1173" s="39">
        <v>2095.3000000000002</v>
      </c>
      <c r="H1173" s="39">
        <f t="shared" si="125"/>
        <v>3</v>
      </c>
      <c r="I1173" s="39">
        <f t="shared" si="126"/>
        <v>0</v>
      </c>
      <c r="K1173" s="40"/>
      <c r="Q1173" s="40">
        <v>34836</v>
      </c>
      <c r="R1173" s="39">
        <v>2095.3000000000002</v>
      </c>
      <c r="S1173" s="39">
        <f t="shared" si="127"/>
        <v>5</v>
      </c>
      <c r="T1173" s="39">
        <f t="shared" si="128"/>
        <v>0</v>
      </c>
      <c r="U1173" s="39">
        <f t="shared" si="129"/>
        <v>0</v>
      </c>
      <c r="V1173" s="40"/>
    </row>
    <row r="1174" spans="2:22" x14ac:dyDescent="0.35">
      <c r="B1174" s="40">
        <v>34837</v>
      </c>
      <c r="C1174" s="39">
        <v>2087.1</v>
      </c>
      <c r="D1174" s="219">
        <f t="shared" si="130"/>
        <v>-3.9211985973571012E-3</v>
      </c>
      <c r="F1174" s="40">
        <v>34837</v>
      </c>
      <c r="G1174" s="39">
        <v>2087.1</v>
      </c>
      <c r="H1174" s="39">
        <f t="shared" si="125"/>
        <v>4</v>
      </c>
      <c r="I1174" s="39">
        <f t="shared" si="126"/>
        <v>0</v>
      </c>
      <c r="K1174" s="40"/>
      <c r="Q1174" s="40">
        <v>34837</v>
      </c>
      <c r="R1174" s="39">
        <v>2087.1</v>
      </c>
      <c r="S1174" s="39">
        <f t="shared" si="127"/>
        <v>5</v>
      </c>
      <c r="T1174" s="39">
        <f t="shared" si="128"/>
        <v>0</v>
      </c>
      <c r="U1174" s="39">
        <f t="shared" si="129"/>
        <v>0</v>
      </c>
      <c r="V1174" s="40"/>
    </row>
    <row r="1175" spans="2:22" x14ac:dyDescent="0.35">
      <c r="B1175" s="40">
        <v>34838</v>
      </c>
      <c r="C1175" s="39">
        <v>2065.1</v>
      </c>
      <c r="D1175" s="219">
        <f t="shared" si="130"/>
        <v>-1.0596891224959361E-2</v>
      </c>
      <c r="F1175" s="40">
        <v>34838</v>
      </c>
      <c r="G1175" s="39">
        <v>2065.1</v>
      </c>
      <c r="H1175" s="39">
        <f t="shared" si="125"/>
        <v>5</v>
      </c>
      <c r="I1175" s="39">
        <f t="shared" si="126"/>
        <v>2065.1</v>
      </c>
      <c r="K1175" s="40"/>
      <c r="Q1175" s="40">
        <v>34838</v>
      </c>
      <c r="R1175" s="39">
        <v>2065.1</v>
      </c>
      <c r="S1175" s="39">
        <f t="shared" si="127"/>
        <v>5</v>
      </c>
      <c r="T1175" s="39">
        <f t="shared" si="128"/>
        <v>0</v>
      </c>
      <c r="U1175" s="39">
        <f t="shared" si="129"/>
        <v>0</v>
      </c>
      <c r="V1175" s="40"/>
    </row>
    <row r="1176" spans="2:22" x14ac:dyDescent="0.35">
      <c r="B1176" s="40">
        <v>34841</v>
      </c>
      <c r="C1176" s="39">
        <v>2083.1999999999998</v>
      </c>
      <c r="D1176" s="219">
        <f t="shared" si="130"/>
        <v>8.7265216415040297E-3</v>
      </c>
      <c r="F1176" s="40">
        <v>34841</v>
      </c>
      <c r="G1176" s="39">
        <v>2083.1999999999998</v>
      </c>
      <c r="H1176" s="39">
        <f t="shared" si="125"/>
        <v>1</v>
      </c>
      <c r="I1176" s="39">
        <f t="shared" si="126"/>
        <v>0</v>
      </c>
      <c r="K1176" s="40"/>
      <c r="Q1176" s="40">
        <v>34841</v>
      </c>
      <c r="R1176" s="39">
        <v>2083.1999999999998</v>
      </c>
      <c r="S1176" s="39">
        <f t="shared" si="127"/>
        <v>5</v>
      </c>
      <c r="T1176" s="39">
        <f t="shared" si="128"/>
        <v>0</v>
      </c>
      <c r="U1176" s="39">
        <f t="shared" si="129"/>
        <v>0</v>
      </c>
      <c r="V1176" s="40"/>
    </row>
    <row r="1177" spans="2:22" x14ac:dyDescent="0.35">
      <c r="B1177" s="40">
        <v>34842</v>
      </c>
      <c r="C1177" s="39">
        <v>2080.4</v>
      </c>
      <c r="D1177" s="219">
        <f t="shared" si="130"/>
        <v>-1.3449901153325884E-3</v>
      </c>
      <c r="F1177" s="40">
        <v>34842</v>
      </c>
      <c r="G1177" s="39">
        <v>2080.4</v>
      </c>
      <c r="H1177" s="39">
        <f t="shared" si="125"/>
        <v>2</v>
      </c>
      <c r="I1177" s="39">
        <f t="shared" si="126"/>
        <v>0</v>
      </c>
      <c r="K1177" s="40"/>
      <c r="Q1177" s="40">
        <v>34842</v>
      </c>
      <c r="R1177" s="39">
        <v>2080.4</v>
      </c>
      <c r="S1177" s="39">
        <f t="shared" si="127"/>
        <v>5</v>
      </c>
      <c r="T1177" s="39">
        <f t="shared" si="128"/>
        <v>0</v>
      </c>
      <c r="U1177" s="39">
        <f t="shared" si="129"/>
        <v>0</v>
      </c>
      <c r="V1177" s="40"/>
    </row>
    <row r="1178" spans="2:22" x14ac:dyDescent="0.35">
      <c r="B1178" s="40">
        <v>34843</v>
      </c>
      <c r="C1178" s="39">
        <v>2105.1</v>
      </c>
      <c r="D1178" s="219">
        <f t="shared" si="130"/>
        <v>1.1802789027435206E-2</v>
      </c>
      <c r="F1178" s="40">
        <v>34843</v>
      </c>
      <c r="G1178" s="39">
        <v>2105.1</v>
      </c>
      <c r="H1178" s="39">
        <f t="shared" si="125"/>
        <v>3</v>
      </c>
      <c r="I1178" s="39">
        <f t="shared" si="126"/>
        <v>0</v>
      </c>
      <c r="K1178" s="40"/>
      <c r="Q1178" s="40">
        <v>34843</v>
      </c>
      <c r="R1178" s="39">
        <v>2105.1</v>
      </c>
      <c r="S1178" s="39">
        <f t="shared" si="127"/>
        <v>5</v>
      </c>
      <c r="T1178" s="39">
        <f t="shared" si="128"/>
        <v>0</v>
      </c>
      <c r="U1178" s="39">
        <f t="shared" si="129"/>
        <v>0</v>
      </c>
      <c r="V1178" s="40"/>
    </row>
    <row r="1179" spans="2:22" x14ac:dyDescent="0.35">
      <c r="B1179" s="40">
        <v>34845</v>
      </c>
      <c r="C1179" s="39">
        <v>2077.9</v>
      </c>
      <c r="D1179" s="219">
        <f t="shared" si="130"/>
        <v>-1.3005203620518203E-2</v>
      </c>
      <c r="F1179" s="40">
        <v>34845</v>
      </c>
      <c r="G1179" s="39">
        <v>2077.9</v>
      </c>
      <c r="H1179" s="39">
        <f t="shared" si="125"/>
        <v>5</v>
      </c>
      <c r="I1179" s="39">
        <f t="shared" si="126"/>
        <v>2077.9</v>
      </c>
      <c r="K1179" s="40"/>
      <c r="Q1179" s="40">
        <v>34845</v>
      </c>
      <c r="R1179" s="39">
        <v>2077.9</v>
      </c>
      <c r="S1179" s="39">
        <f t="shared" si="127"/>
        <v>5</v>
      </c>
      <c r="T1179" s="39">
        <f t="shared" si="128"/>
        <v>0</v>
      </c>
      <c r="U1179" s="39">
        <f t="shared" si="129"/>
        <v>0</v>
      </c>
      <c r="V1179" s="40"/>
    </row>
    <row r="1180" spans="2:22" x14ac:dyDescent="0.35">
      <c r="B1180" s="40">
        <v>34848</v>
      </c>
      <c r="C1180" s="39">
        <v>2067.4</v>
      </c>
      <c r="D1180" s="219">
        <f t="shared" si="130"/>
        <v>-5.0659891714499731E-3</v>
      </c>
      <c r="F1180" s="40">
        <v>34848</v>
      </c>
      <c r="G1180" s="39">
        <v>2067.4</v>
      </c>
      <c r="H1180" s="39">
        <f t="shared" si="125"/>
        <v>1</v>
      </c>
      <c r="I1180" s="39">
        <f t="shared" si="126"/>
        <v>0</v>
      </c>
      <c r="K1180" s="40"/>
      <c r="Q1180" s="40">
        <v>34848</v>
      </c>
      <c r="R1180" s="39">
        <v>2067.4</v>
      </c>
      <c r="S1180" s="39">
        <f t="shared" si="127"/>
        <v>5</v>
      </c>
      <c r="T1180" s="39">
        <f t="shared" si="128"/>
        <v>0</v>
      </c>
      <c r="U1180" s="39">
        <f t="shared" si="129"/>
        <v>0</v>
      </c>
      <c r="V1180" s="40"/>
    </row>
    <row r="1181" spans="2:22" x14ac:dyDescent="0.35">
      <c r="B1181" s="40">
        <v>34849</v>
      </c>
      <c r="C1181" s="39">
        <v>2087.6999999999998</v>
      </c>
      <c r="D1181" s="219">
        <f t="shared" si="130"/>
        <v>9.7712023845295103E-3</v>
      </c>
      <c r="F1181" s="40">
        <v>34849</v>
      </c>
      <c r="G1181" s="39">
        <v>2087.6999999999998</v>
      </c>
      <c r="H1181" s="39">
        <f t="shared" si="125"/>
        <v>2</v>
      </c>
      <c r="I1181" s="39">
        <f t="shared" si="126"/>
        <v>0</v>
      </c>
      <c r="K1181" s="40"/>
      <c r="Q1181" s="40">
        <v>34849</v>
      </c>
      <c r="R1181" s="39">
        <v>2087.6999999999998</v>
      </c>
      <c r="S1181" s="39">
        <f t="shared" si="127"/>
        <v>5</v>
      </c>
      <c r="T1181" s="39">
        <f t="shared" si="128"/>
        <v>0</v>
      </c>
      <c r="U1181" s="39">
        <f t="shared" si="129"/>
        <v>0</v>
      </c>
      <c r="V1181" s="40"/>
    </row>
    <row r="1182" spans="2:22" x14ac:dyDescent="0.35">
      <c r="B1182" s="40">
        <v>34850</v>
      </c>
      <c r="C1182" s="39">
        <v>2092.1999999999998</v>
      </c>
      <c r="D1182" s="219">
        <f t="shared" si="130"/>
        <v>2.1531623907463768E-3</v>
      </c>
      <c r="F1182" s="40">
        <v>34850</v>
      </c>
      <c r="G1182" s="39">
        <v>2092.1999999999998</v>
      </c>
      <c r="H1182" s="39">
        <f t="shared" si="125"/>
        <v>3</v>
      </c>
      <c r="I1182" s="39">
        <f t="shared" si="126"/>
        <v>0</v>
      </c>
      <c r="K1182" s="40"/>
      <c r="Q1182" s="40">
        <v>34850</v>
      </c>
      <c r="R1182" s="39">
        <v>2092.1999999999998</v>
      </c>
      <c r="S1182" s="39">
        <f t="shared" si="127"/>
        <v>5</v>
      </c>
      <c r="T1182" s="39">
        <f t="shared" si="128"/>
        <v>2092.1999999999998</v>
      </c>
      <c r="U1182" s="39">
        <f t="shared" si="129"/>
        <v>2092.1999999999998</v>
      </c>
      <c r="V1182" s="40"/>
    </row>
    <row r="1183" spans="2:22" x14ac:dyDescent="0.35">
      <c r="B1183" s="40">
        <v>34851</v>
      </c>
      <c r="C1183" s="39">
        <v>2126.4</v>
      </c>
      <c r="D1183" s="219">
        <f t="shared" si="130"/>
        <v>1.6214265049320487E-2</v>
      </c>
      <c r="F1183" s="40">
        <v>34851</v>
      </c>
      <c r="G1183" s="39">
        <v>2126.4</v>
      </c>
      <c r="H1183" s="39">
        <f t="shared" si="125"/>
        <v>4</v>
      </c>
      <c r="I1183" s="39">
        <f t="shared" si="126"/>
        <v>0</v>
      </c>
      <c r="K1183" s="40"/>
      <c r="Q1183" s="40">
        <v>34851</v>
      </c>
      <c r="R1183" s="39">
        <v>2126.4</v>
      </c>
      <c r="S1183" s="39">
        <f t="shared" si="127"/>
        <v>6</v>
      </c>
      <c r="T1183" s="39">
        <f t="shared" si="128"/>
        <v>0</v>
      </c>
      <c r="U1183" s="39">
        <f t="shared" si="129"/>
        <v>0</v>
      </c>
      <c r="V1183" s="40"/>
    </row>
    <row r="1184" spans="2:22" x14ac:dyDescent="0.35">
      <c r="B1184" s="40">
        <v>34852</v>
      </c>
      <c r="C1184" s="39">
        <v>2136.3000000000002</v>
      </c>
      <c r="D1184" s="219">
        <f t="shared" si="130"/>
        <v>4.6449516972079385E-3</v>
      </c>
      <c r="F1184" s="40">
        <v>34852</v>
      </c>
      <c r="G1184" s="39">
        <v>2136.3000000000002</v>
      </c>
      <c r="H1184" s="39">
        <f t="shared" si="125"/>
        <v>5</v>
      </c>
      <c r="I1184" s="39">
        <f t="shared" si="126"/>
        <v>2136.3000000000002</v>
      </c>
      <c r="K1184" s="40"/>
      <c r="Q1184" s="40">
        <v>34852</v>
      </c>
      <c r="R1184" s="39">
        <v>2136.3000000000002</v>
      </c>
      <c r="S1184" s="39">
        <f t="shared" si="127"/>
        <v>6</v>
      </c>
      <c r="T1184" s="39">
        <f t="shared" si="128"/>
        <v>0</v>
      </c>
      <c r="U1184" s="39">
        <f t="shared" si="129"/>
        <v>0</v>
      </c>
      <c r="V1184" s="40"/>
    </row>
    <row r="1185" spans="2:22" x14ac:dyDescent="0.35">
      <c r="B1185" s="40">
        <v>34856</v>
      </c>
      <c r="C1185" s="39">
        <v>2146.4</v>
      </c>
      <c r="D1185" s="219">
        <f t="shared" si="130"/>
        <v>4.716659455225476E-3</v>
      </c>
      <c r="F1185" s="40">
        <v>34856</v>
      </c>
      <c r="G1185" s="39">
        <v>2146.4</v>
      </c>
      <c r="H1185" s="39">
        <f t="shared" si="125"/>
        <v>2</v>
      </c>
      <c r="I1185" s="39">
        <f t="shared" si="126"/>
        <v>0</v>
      </c>
      <c r="K1185" s="40"/>
      <c r="Q1185" s="40">
        <v>34856</v>
      </c>
      <c r="R1185" s="39">
        <v>2146.4</v>
      </c>
      <c r="S1185" s="39">
        <f t="shared" si="127"/>
        <v>6</v>
      </c>
      <c r="T1185" s="39">
        <f t="shared" si="128"/>
        <v>0</v>
      </c>
      <c r="U1185" s="39">
        <f t="shared" si="129"/>
        <v>0</v>
      </c>
      <c r="V1185" s="40"/>
    </row>
    <row r="1186" spans="2:22" x14ac:dyDescent="0.35">
      <c r="B1186" s="40">
        <v>34857</v>
      </c>
      <c r="C1186" s="39">
        <v>2141.1</v>
      </c>
      <c r="D1186" s="219">
        <f t="shared" si="130"/>
        <v>-2.4723044662831174E-3</v>
      </c>
      <c r="F1186" s="40">
        <v>34857</v>
      </c>
      <c r="G1186" s="39">
        <v>2141.1</v>
      </c>
      <c r="H1186" s="39">
        <f t="shared" si="125"/>
        <v>3</v>
      </c>
      <c r="I1186" s="39">
        <f t="shared" si="126"/>
        <v>0</v>
      </c>
      <c r="K1186" s="40"/>
      <c r="Q1186" s="40">
        <v>34857</v>
      </c>
      <c r="R1186" s="39">
        <v>2141.1</v>
      </c>
      <c r="S1186" s="39">
        <f t="shared" si="127"/>
        <v>6</v>
      </c>
      <c r="T1186" s="39">
        <f t="shared" si="128"/>
        <v>0</v>
      </c>
      <c r="U1186" s="39">
        <f t="shared" si="129"/>
        <v>0</v>
      </c>
      <c r="V1186" s="40"/>
    </row>
    <row r="1187" spans="2:22" x14ac:dyDescent="0.35">
      <c r="B1187" s="40">
        <v>34858</v>
      </c>
      <c r="C1187" s="39">
        <v>2131</v>
      </c>
      <c r="D1187" s="219">
        <f t="shared" si="130"/>
        <v>-4.7283625465141628E-3</v>
      </c>
      <c r="F1187" s="40">
        <v>34858</v>
      </c>
      <c r="G1187" s="39">
        <v>2131</v>
      </c>
      <c r="H1187" s="39">
        <f t="shared" si="125"/>
        <v>4</v>
      </c>
      <c r="I1187" s="39">
        <f t="shared" si="126"/>
        <v>0</v>
      </c>
      <c r="K1187" s="40"/>
      <c r="Q1187" s="40">
        <v>34858</v>
      </c>
      <c r="R1187" s="39">
        <v>2131</v>
      </c>
      <c r="S1187" s="39">
        <f t="shared" si="127"/>
        <v>6</v>
      </c>
      <c r="T1187" s="39">
        <f t="shared" si="128"/>
        <v>0</v>
      </c>
      <c r="U1187" s="39">
        <f t="shared" si="129"/>
        <v>0</v>
      </c>
      <c r="V1187" s="40"/>
    </row>
    <row r="1188" spans="2:22" x14ac:dyDescent="0.35">
      <c r="B1188" s="40">
        <v>34859</v>
      </c>
      <c r="C1188" s="39">
        <v>2121.8000000000002</v>
      </c>
      <c r="D1188" s="219">
        <f t="shared" si="130"/>
        <v>-4.3265680734458486E-3</v>
      </c>
      <c r="F1188" s="40">
        <v>34859</v>
      </c>
      <c r="G1188" s="39">
        <v>2121.8000000000002</v>
      </c>
      <c r="H1188" s="39">
        <f t="shared" si="125"/>
        <v>5</v>
      </c>
      <c r="I1188" s="39">
        <f t="shared" si="126"/>
        <v>2121.8000000000002</v>
      </c>
      <c r="K1188" s="40"/>
      <c r="Q1188" s="40">
        <v>34859</v>
      </c>
      <c r="R1188" s="39">
        <v>2121.8000000000002</v>
      </c>
      <c r="S1188" s="39">
        <f t="shared" si="127"/>
        <v>6</v>
      </c>
      <c r="T1188" s="39">
        <f t="shared" si="128"/>
        <v>0</v>
      </c>
      <c r="U1188" s="39">
        <f t="shared" si="129"/>
        <v>0</v>
      </c>
      <c r="V1188" s="40"/>
    </row>
    <row r="1189" spans="2:22" x14ac:dyDescent="0.35">
      <c r="B1189" s="40">
        <v>34862</v>
      </c>
      <c r="C1189" s="39">
        <v>2119.6</v>
      </c>
      <c r="D1189" s="219">
        <f t="shared" si="130"/>
        <v>-1.0373934065643056E-3</v>
      </c>
      <c r="F1189" s="40">
        <v>34862</v>
      </c>
      <c r="G1189" s="39">
        <v>2119.6</v>
      </c>
      <c r="H1189" s="39">
        <f t="shared" si="125"/>
        <v>1</v>
      </c>
      <c r="I1189" s="39">
        <f t="shared" si="126"/>
        <v>0</v>
      </c>
      <c r="K1189" s="40"/>
      <c r="Q1189" s="40">
        <v>34862</v>
      </c>
      <c r="R1189" s="39">
        <v>2119.6</v>
      </c>
      <c r="S1189" s="39">
        <f t="shared" si="127"/>
        <v>6</v>
      </c>
      <c r="T1189" s="39">
        <f t="shared" si="128"/>
        <v>0</v>
      </c>
      <c r="U1189" s="39">
        <f t="shared" si="129"/>
        <v>0</v>
      </c>
      <c r="V1189" s="40"/>
    </row>
    <row r="1190" spans="2:22" x14ac:dyDescent="0.35">
      <c r="B1190" s="40">
        <v>34863</v>
      </c>
      <c r="C1190" s="39">
        <v>2115.1</v>
      </c>
      <c r="D1190" s="219">
        <f t="shared" si="130"/>
        <v>-2.1252989320781645E-3</v>
      </c>
      <c r="F1190" s="40">
        <v>34863</v>
      </c>
      <c r="G1190" s="39">
        <v>2115.1</v>
      </c>
      <c r="H1190" s="39">
        <f t="shared" si="125"/>
        <v>2</v>
      </c>
      <c r="I1190" s="39">
        <f t="shared" si="126"/>
        <v>0</v>
      </c>
      <c r="K1190" s="40"/>
      <c r="Q1190" s="40">
        <v>34863</v>
      </c>
      <c r="R1190" s="39">
        <v>2115.1</v>
      </c>
      <c r="S1190" s="39">
        <f t="shared" si="127"/>
        <v>6</v>
      </c>
      <c r="T1190" s="39">
        <f t="shared" si="128"/>
        <v>0</v>
      </c>
      <c r="U1190" s="39">
        <f t="shared" si="129"/>
        <v>0</v>
      </c>
      <c r="V1190" s="40"/>
    </row>
    <row r="1191" spans="2:22" x14ac:dyDescent="0.35">
      <c r="B1191" s="40">
        <v>34864</v>
      </c>
      <c r="C1191" s="39">
        <v>2128</v>
      </c>
      <c r="D1191" s="219">
        <f t="shared" si="130"/>
        <v>6.0804787750061524E-3</v>
      </c>
      <c r="F1191" s="40">
        <v>34864</v>
      </c>
      <c r="G1191" s="39">
        <v>2128</v>
      </c>
      <c r="H1191" s="39">
        <f t="shared" si="125"/>
        <v>3</v>
      </c>
      <c r="I1191" s="39">
        <f t="shared" si="126"/>
        <v>0</v>
      </c>
      <c r="K1191" s="40"/>
      <c r="Q1191" s="40">
        <v>34864</v>
      </c>
      <c r="R1191" s="39">
        <v>2128</v>
      </c>
      <c r="S1191" s="39">
        <f t="shared" si="127"/>
        <v>6</v>
      </c>
      <c r="T1191" s="39">
        <f t="shared" si="128"/>
        <v>0</v>
      </c>
      <c r="U1191" s="39">
        <f t="shared" si="129"/>
        <v>0</v>
      </c>
      <c r="V1191" s="40"/>
    </row>
    <row r="1192" spans="2:22" x14ac:dyDescent="0.35">
      <c r="B1192" s="40">
        <v>34866</v>
      </c>
      <c r="C1192" s="39">
        <v>2120</v>
      </c>
      <c r="D1192" s="219">
        <f t="shared" si="130"/>
        <v>-3.7664827954768934E-3</v>
      </c>
      <c r="F1192" s="40">
        <v>34866</v>
      </c>
      <c r="G1192" s="39">
        <v>2120</v>
      </c>
      <c r="H1192" s="39">
        <f t="shared" si="125"/>
        <v>5</v>
      </c>
      <c r="I1192" s="39">
        <f t="shared" si="126"/>
        <v>2120</v>
      </c>
      <c r="K1192" s="40"/>
      <c r="Q1192" s="40">
        <v>34866</v>
      </c>
      <c r="R1192" s="39">
        <v>2120</v>
      </c>
      <c r="S1192" s="39">
        <f t="shared" si="127"/>
        <v>6</v>
      </c>
      <c r="T1192" s="39">
        <f t="shared" si="128"/>
        <v>0</v>
      </c>
      <c r="U1192" s="39">
        <f t="shared" si="129"/>
        <v>0</v>
      </c>
      <c r="V1192" s="40"/>
    </row>
    <row r="1193" spans="2:22" x14ac:dyDescent="0.35">
      <c r="B1193" s="40">
        <v>34869</v>
      </c>
      <c r="C1193" s="39">
        <v>2141.8000000000002</v>
      </c>
      <c r="D1193" s="219">
        <f t="shared" si="130"/>
        <v>1.0230508300716585E-2</v>
      </c>
      <c r="F1193" s="40">
        <v>34869</v>
      </c>
      <c r="G1193" s="39">
        <v>2141.8000000000002</v>
      </c>
      <c r="H1193" s="39">
        <f t="shared" si="125"/>
        <v>1</v>
      </c>
      <c r="I1193" s="39">
        <f t="shared" si="126"/>
        <v>0</v>
      </c>
      <c r="K1193" s="40"/>
      <c r="Q1193" s="40">
        <v>34869</v>
      </c>
      <c r="R1193" s="39">
        <v>2141.8000000000002</v>
      </c>
      <c r="S1193" s="39">
        <f t="shared" si="127"/>
        <v>6</v>
      </c>
      <c r="T1193" s="39">
        <f t="shared" si="128"/>
        <v>0</v>
      </c>
      <c r="U1193" s="39">
        <f t="shared" si="129"/>
        <v>0</v>
      </c>
      <c r="V1193" s="40"/>
    </row>
    <row r="1194" spans="2:22" x14ac:dyDescent="0.35">
      <c r="B1194" s="40">
        <v>34870</v>
      </c>
      <c r="C1194" s="39">
        <v>2136.6999999999998</v>
      </c>
      <c r="D1194" s="219">
        <f t="shared" si="130"/>
        <v>-2.3840142178322664E-3</v>
      </c>
      <c r="F1194" s="40">
        <v>34870</v>
      </c>
      <c r="G1194" s="39">
        <v>2136.6999999999998</v>
      </c>
      <c r="H1194" s="39">
        <f t="shared" si="125"/>
        <v>2</v>
      </c>
      <c r="I1194" s="39">
        <f t="shared" si="126"/>
        <v>0</v>
      </c>
      <c r="K1194" s="40"/>
      <c r="Q1194" s="40">
        <v>34870</v>
      </c>
      <c r="R1194" s="39">
        <v>2136.6999999999998</v>
      </c>
      <c r="S1194" s="39">
        <f t="shared" si="127"/>
        <v>6</v>
      </c>
      <c r="T1194" s="39">
        <f t="shared" si="128"/>
        <v>0</v>
      </c>
      <c r="U1194" s="39">
        <f t="shared" si="129"/>
        <v>0</v>
      </c>
      <c r="V1194" s="40"/>
    </row>
    <row r="1195" spans="2:22" x14ac:dyDescent="0.35">
      <c r="B1195" s="40">
        <v>34871</v>
      </c>
      <c r="C1195" s="39">
        <v>2143.6999999999998</v>
      </c>
      <c r="D1195" s="219">
        <f t="shared" si="130"/>
        <v>3.2707252781474677E-3</v>
      </c>
      <c r="F1195" s="40">
        <v>34871</v>
      </c>
      <c r="G1195" s="39">
        <v>2143.6999999999998</v>
      </c>
      <c r="H1195" s="39">
        <f t="shared" si="125"/>
        <v>3</v>
      </c>
      <c r="I1195" s="39">
        <f t="shared" si="126"/>
        <v>0</v>
      </c>
      <c r="K1195" s="40"/>
      <c r="Q1195" s="40">
        <v>34871</v>
      </c>
      <c r="R1195" s="39">
        <v>2143.6999999999998</v>
      </c>
      <c r="S1195" s="39">
        <f t="shared" si="127"/>
        <v>6</v>
      </c>
      <c r="T1195" s="39">
        <f t="shared" si="128"/>
        <v>0</v>
      </c>
      <c r="U1195" s="39">
        <f t="shared" si="129"/>
        <v>0</v>
      </c>
      <c r="V1195" s="40"/>
    </row>
    <row r="1196" spans="2:22" x14ac:dyDescent="0.35">
      <c r="B1196" s="40">
        <v>34872</v>
      </c>
      <c r="C1196" s="39">
        <v>2148.6999999999998</v>
      </c>
      <c r="D1196" s="219">
        <f t="shared" si="130"/>
        <v>2.3297000565926248E-3</v>
      </c>
      <c r="F1196" s="40">
        <v>34872</v>
      </c>
      <c r="G1196" s="39">
        <v>2148.6999999999998</v>
      </c>
      <c r="H1196" s="39">
        <f t="shared" si="125"/>
        <v>4</v>
      </c>
      <c r="I1196" s="39">
        <f t="shared" si="126"/>
        <v>0</v>
      </c>
      <c r="K1196" s="40"/>
      <c r="Q1196" s="40">
        <v>34872</v>
      </c>
      <c r="R1196" s="39">
        <v>2148.6999999999998</v>
      </c>
      <c r="S1196" s="39">
        <f t="shared" si="127"/>
        <v>6</v>
      </c>
      <c r="T1196" s="39">
        <f t="shared" si="128"/>
        <v>0</v>
      </c>
      <c r="U1196" s="39">
        <f t="shared" si="129"/>
        <v>0</v>
      </c>
      <c r="V1196" s="40"/>
    </row>
    <row r="1197" spans="2:22" x14ac:dyDescent="0.35">
      <c r="B1197" s="40">
        <v>34873</v>
      </c>
      <c r="C1197" s="39">
        <v>2139.8000000000002</v>
      </c>
      <c r="D1197" s="219">
        <f t="shared" si="130"/>
        <v>-4.1506413791762807E-3</v>
      </c>
      <c r="F1197" s="40">
        <v>34873</v>
      </c>
      <c r="G1197" s="39">
        <v>2139.8000000000002</v>
      </c>
      <c r="H1197" s="39">
        <f t="shared" si="125"/>
        <v>5</v>
      </c>
      <c r="I1197" s="39">
        <f t="shared" si="126"/>
        <v>2139.8000000000002</v>
      </c>
      <c r="K1197" s="40"/>
      <c r="Q1197" s="40">
        <v>34873</v>
      </c>
      <c r="R1197" s="39">
        <v>2139.8000000000002</v>
      </c>
      <c r="S1197" s="39">
        <f t="shared" si="127"/>
        <v>6</v>
      </c>
      <c r="T1197" s="39">
        <f t="shared" si="128"/>
        <v>0</v>
      </c>
      <c r="U1197" s="39">
        <f t="shared" si="129"/>
        <v>0</v>
      </c>
      <c r="V1197" s="40"/>
    </row>
    <row r="1198" spans="2:22" x14ac:dyDescent="0.35">
      <c r="B1198" s="40">
        <v>34876</v>
      </c>
      <c r="C1198" s="39">
        <v>2130.4</v>
      </c>
      <c r="D1198" s="219">
        <f t="shared" si="130"/>
        <v>-4.4026112047837714E-3</v>
      </c>
      <c r="F1198" s="40">
        <v>34876</v>
      </c>
      <c r="G1198" s="39">
        <v>2130.4</v>
      </c>
      <c r="H1198" s="39">
        <f t="shared" si="125"/>
        <v>1</v>
      </c>
      <c r="I1198" s="39">
        <f t="shared" si="126"/>
        <v>0</v>
      </c>
      <c r="K1198" s="40"/>
      <c r="Q1198" s="40">
        <v>34876</v>
      </c>
      <c r="R1198" s="39">
        <v>2130.4</v>
      </c>
      <c r="S1198" s="39">
        <f t="shared" si="127"/>
        <v>6</v>
      </c>
      <c r="T1198" s="39">
        <f t="shared" si="128"/>
        <v>0</v>
      </c>
      <c r="U1198" s="39">
        <f t="shared" si="129"/>
        <v>0</v>
      </c>
      <c r="V1198" s="40"/>
    </row>
    <row r="1199" spans="2:22" x14ac:dyDescent="0.35">
      <c r="B1199" s="40">
        <v>34877</v>
      </c>
      <c r="C1199" s="39">
        <v>2122.4</v>
      </c>
      <c r="D1199" s="219">
        <f t="shared" si="130"/>
        <v>-3.7622316761925533E-3</v>
      </c>
      <c r="F1199" s="40">
        <v>34877</v>
      </c>
      <c r="G1199" s="39">
        <v>2122.4</v>
      </c>
      <c r="H1199" s="39">
        <f t="shared" si="125"/>
        <v>2</v>
      </c>
      <c r="I1199" s="39">
        <f t="shared" si="126"/>
        <v>0</v>
      </c>
      <c r="K1199" s="40"/>
      <c r="Q1199" s="40">
        <v>34877</v>
      </c>
      <c r="R1199" s="39">
        <v>2122.4</v>
      </c>
      <c r="S1199" s="39">
        <f t="shared" si="127"/>
        <v>6</v>
      </c>
      <c r="T1199" s="39">
        <f t="shared" si="128"/>
        <v>0</v>
      </c>
      <c r="U1199" s="39">
        <f t="shared" si="129"/>
        <v>0</v>
      </c>
      <c r="V1199" s="40"/>
    </row>
    <row r="1200" spans="2:22" x14ac:dyDescent="0.35">
      <c r="B1200" s="40">
        <v>34878</v>
      </c>
      <c r="C1200" s="39">
        <v>2096.4</v>
      </c>
      <c r="D1200" s="219">
        <f t="shared" si="130"/>
        <v>-1.2325935895518744E-2</v>
      </c>
      <c r="F1200" s="40">
        <v>34878</v>
      </c>
      <c r="G1200" s="39">
        <v>2096.4</v>
      </c>
      <c r="H1200" s="39">
        <f t="shared" si="125"/>
        <v>3</v>
      </c>
      <c r="I1200" s="39">
        <f t="shared" si="126"/>
        <v>0</v>
      </c>
      <c r="K1200" s="40"/>
      <c r="Q1200" s="40">
        <v>34878</v>
      </c>
      <c r="R1200" s="39">
        <v>2096.4</v>
      </c>
      <c r="S1200" s="39">
        <f t="shared" si="127"/>
        <v>6</v>
      </c>
      <c r="T1200" s="39">
        <f t="shared" si="128"/>
        <v>0</v>
      </c>
      <c r="U1200" s="39">
        <f t="shared" si="129"/>
        <v>0</v>
      </c>
      <c r="V1200" s="40"/>
    </row>
    <row r="1201" spans="2:22" x14ac:dyDescent="0.35">
      <c r="B1201" s="40">
        <v>34879</v>
      </c>
      <c r="C1201" s="39">
        <v>2106.6</v>
      </c>
      <c r="D1201" s="219">
        <f t="shared" si="130"/>
        <v>4.8536854744303023E-3</v>
      </c>
      <c r="F1201" s="40">
        <v>34879</v>
      </c>
      <c r="G1201" s="39">
        <v>2106.6</v>
      </c>
      <c r="H1201" s="39">
        <f t="shared" si="125"/>
        <v>4</v>
      </c>
      <c r="I1201" s="39">
        <f t="shared" si="126"/>
        <v>0</v>
      </c>
      <c r="K1201" s="40"/>
      <c r="Q1201" s="40">
        <v>34879</v>
      </c>
      <c r="R1201" s="39">
        <v>2106.6</v>
      </c>
      <c r="S1201" s="39">
        <f t="shared" si="127"/>
        <v>6</v>
      </c>
      <c r="T1201" s="39">
        <f t="shared" si="128"/>
        <v>0</v>
      </c>
      <c r="U1201" s="39">
        <f t="shared" si="129"/>
        <v>0</v>
      </c>
      <c r="V1201" s="40"/>
    </row>
    <row r="1202" spans="2:22" x14ac:dyDescent="0.35">
      <c r="B1202" s="40">
        <v>34880</v>
      </c>
      <c r="C1202" s="39">
        <v>2083.9</v>
      </c>
      <c r="D1202" s="219">
        <f t="shared" si="130"/>
        <v>-1.0834135325397485E-2</v>
      </c>
      <c r="F1202" s="40">
        <v>34880</v>
      </c>
      <c r="G1202" s="39">
        <v>2083.9</v>
      </c>
      <c r="H1202" s="39">
        <f t="shared" si="125"/>
        <v>5</v>
      </c>
      <c r="I1202" s="39">
        <f t="shared" si="126"/>
        <v>2083.9</v>
      </c>
      <c r="K1202" s="40"/>
      <c r="Q1202" s="40">
        <v>34880</v>
      </c>
      <c r="R1202" s="39">
        <v>2083.9</v>
      </c>
      <c r="S1202" s="39">
        <f t="shared" si="127"/>
        <v>6</v>
      </c>
      <c r="T1202" s="39">
        <f t="shared" si="128"/>
        <v>2083.9</v>
      </c>
      <c r="U1202" s="39">
        <f t="shared" si="129"/>
        <v>2083.9</v>
      </c>
      <c r="V1202" s="40"/>
    </row>
    <row r="1203" spans="2:22" x14ac:dyDescent="0.35">
      <c r="B1203" s="40">
        <v>34883</v>
      </c>
      <c r="C1203" s="39">
        <v>2092.3000000000002</v>
      </c>
      <c r="D1203" s="219">
        <f t="shared" si="130"/>
        <v>4.0228012681614161E-3</v>
      </c>
      <c r="F1203" s="40">
        <v>34883</v>
      </c>
      <c r="G1203" s="39">
        <v>2092.3000000000002</v>
      </c>
      <c r="H1203" s="39">
        <f t="shared" si="125"/>
        <v>1</v>
      </c>
      <c r="I1203" s="39">
        <f t="shared" si="126"/>
        <v>0</v>
      </c>
      <c r="K1203" s="40"/>
      <c r="Q1203" s="40">
        <v>34883</v>
      </c>
      <c r="R1203" s="39">
        <v>2092.3000000000002</v>
      </c>
      <c r="S1203" s="39">
        <f t="shared" si="127"/>
        <v>7</v>
      </c>
      <c r="T1203" s="39">
        <f t="shared" si="128"/>
        <v>0</v>
      </c>
      <c r="U1203" s="39">
        <f t="shared" si="129"/>
        <v>0</v>
      </c>
      <c r="V1203" s="40"/>
    </row>
    <row r="1204" spans="2:22" x14ac:dyDescent="0.35">
      <c r="B1204" s="40">
        <v>34884</v>
      </c>
      <c r="C1204" s="39">
        <v>2114.9</v>
      </c>
      <c r="D1204" s="219">
        <f t="shared" si="130"/>
        <v>1.0743590693498685E-2</v>
      </c>
      <c r="F1204" s="40">
        <v>34884</v>
      </c>
      <c r="G1204" s="39">
        <v>2114.9</v>
      </c>
      <c r="H1204" s="39">
        <f t="shared" si="125"/>
        <v>2</v>
      </c>
      <c r="I1204" s="39">
        <f t="shared" si="126"/>
        <v>0</v>
      </c>
      <c r="K1204" s="40"/>
      <c r="Q1204" s="40">
        <v>34884</v>
      </c>
      <c r="R1204" s="39">
        <v>2114.9</v>
      </c>
      <c r="S1204" s="39">
        <f t="shared" si="127"/>
        <v>7</v>
      </c>
      <c r="T1204" s="39">
        <f t="shared" si="128"/>
        <v>0</v>
      </c>
      <c r="U1204" s="39">
        <f t="shared" si="129"/>
        <v>0</v>
      </c>
      <c r="V1204" s="40"/>
    </row>
    <row r="1205" spans="2:22" x14ac:dyDescent="0.35">
      <c r="B1205" s="40">
        <v>34885</v>
      </c>
      <c r="C1205" s="39">
        <v>2105.6999999999998</v>
      </c>
      <c r="D1205" s="219">
        <f t="shared" si="130"/>
        <v>-4.3595766342188801E-3</v>
      </c>
      <c r="F1205" s="40">
        <v>34885</v>
      </c>
      <c r="G1205" s="39">
        <v>2105.6999999999998</v>
      </c>
      <c r="H1205" s="39">
        <f t="shared" si="125"/>
        <v>3</v>
      </c>
      <c r="I1205" s="39">
        <f t="shared" si="126"/>
        <v>0</v>
      </c>
      <c r="K1205" s="40"/>
      <c r="Q1205" s="40">
        <v>34885</v>
      </c>
      <c r="R1205" s="39">
        <v>2105.6999999999998</v>
      </c>
      <c r="S1205" s="39">
        <f t="shared" si="127"/>
        <v>7</v>
      </c>
      <c r="T1205" s="39">
        <f t="shared" si="128"/>
        <v>0</v>
      </c>
      <c r="U1205" s="39">
        <f t="shared" si="129"/>
        <v>0</v>
      </c>
      <c r="V1205" s="40"/>
    </row>
    <row r="1206" spans="2:22" x14ac:dyDescent="0.35">
      <c r="B1206" s="40">
        <v>34886</v>
      </c>
      <c r="C1206" s="39">
        <v>2121.1999999999998</v>
      </c>
      <c r="D1206" s="219">
        <f t="shared" si="130"/>
        <v>7.3340128584893621E-3</v>
      </c>
      <c r="F1206" s="40">
        <v>34886</v>
      </c>
      <c r="G1206" s="39">
        <v>2121.1999999999998</v>
      </c>
      <c r="H1206" s="39">
        <f t="shared" si="125"/>
        <v>4</v>
      </c>
      <c r="I1206" s="39">
        <f t="shared" si="126"/>
        <v>0</v>
      </c>
      <c r="K1206" s="40"/>
      <c r="Q1206" s="40">
        <v>34886</v>
      </c>
      <c r="R1206" s="39">
        <v>2121.1999999999998</v>
      </c>
      <c r="S1206" s="39">
        <f t="shared" si="127"/>
        <v>7</v>
      </c>
      <c r="T1206" s="39">
        <f t="shared" si="128"/>
        <v>0</v>
      </c>
      <c r="U1206" s="39">
        <f t="shared" si="129"/>
        <v>0</v>
      </c>
      <c r="V1206" s="40"/>
    </row>
    <row r="1207" spans="2:22" x14ac:dyDescent="0.35">
      <c r="B1207" s="40">
        <v>34887</v>
      </c>
      <c r="C1207" s="39">
        <v>2153.4</v>
      </c>
      <c r="D1207" s="219">
        <f t="shared" si="130"/>
        <v>1.5066022118641751E-2</v>
      </c>
      <c r="F1207" s="40">
        <v>34887</v>
      </c>
      <c r="G1207" s="39">
        <v>2153.4</v>
      </c>
      <c r="H1207" s="39">
        <f t="shared" ref="H1207:H1270" si="131">WEEKDAY(F1207,2)</f>
        <v>5</v>
      </c>
      <c r="I1207" s="39">
        <f t="shared" ref="I1207:I1270" si="132">IF(H1207&gt;H1208,G1207,0)</f>
        <v>2153.4</v>
      </c>
      <c r="K1207" s="40"/>
      <c r="Q1207" s="40">
        <v>34887</v>
      </c>
      <c r="R1207" s="39">
        <v>2153.4</v>
      </c>
      <c r="S1207" s="39">
        <f t="shared" ref="S1207:S1270" si="133">MONTH(Q1207)</f>
        <v>7</v>
      </c>
      <c r="T1207" s="39">
        <f t="shared" ref="T1207:T1270" si="134">IF(S1208&lt;&gt;S1207,R1207,0)</f>
        <v>0</v>
      </c>
      <c r="U1207" s="39">
        <f t="shared" ref="U1207:U1270" si="135">IF(S1208=S1207,0,R1207)</f>
        <v>0</v>
      </c>
      <c r="V1207" s="40"/>
    </row>
    <row r="1208" spans="2:22" x14ac:dyDescent="0.35">
      <c r="B1208" s="40">
        <v>34890</v>
      </c>
      <c r="C1208" s="39">
        <v>2179.3000000000002</v>
      </c>
      <c r="D1208" s="219">
        <f t="shared" ref="D1208:D1271" si="136">LN(C1208/C1207)</f>
        <v>1.1955735920148841E-2</v>
      </c>
      <c r="F1208" s="40">
        <v>34890</v>
      </c>
      <c r="G1208" s="39">
        <v>2179.3000000000002</v>
      </c>
      <c r="H1208" s="39">
        <f t="shared" si="131"/>
        <v>1</v>
      </c>
      <c r="I1208" s="39">
        <f t="shared" si="132"/>
        <v>0</v>
      </c>
      <c r="K1208" s="40"/>
      <c r="Q1208" s="40">
        <v>34890</v>
      </c>
      <c r="R1208" s="39">
        <v>2179.3000000000002</v>
      </c>
      <c r="S1208" s="39">
        <f t="shared" si="133"/>
        <v>7</v>
      </c>
      <c r="T1208" s="39">
        <f t="shared" si="134"/>
        <v>0</v>
      </c>
      <c r="U1208" s="39">
        <f t="shared" si="135"/>
        <v>0</v>
      </c>
      <c r="V1208" s="40"/>
    </row>
    <row r="1209" spans="2:22" x14ac:dyDescent="0.35">
      <c r="B1209" s="40">
        <v>34891</v>
      </c>
      <c r="C1209" s="39">
        <v>2201.9</v>
      </c>
      <c r="D1209" s="219">
        <f t="shared" si="136"/>
        <v>1.0316899688974266E-2</v>
      </c>
      <c r="F1209" s="40">
        <v>34891</v>
      </c>
      <c r="G1209" s="39">
        <v>2201.9</v>
      </c>
      <c r="H1209" s="39">
        <f t="shared" si="131"/>
        <v>2</v>
      </c>
      <c r="I1209" s="39">
        <f t="shared" si="132"/>
        <v>0</v>
      </c>
      <c r="K1209" s="40"/>
      <c r="Q1209" s="40">
        <v>34891</v>
      </c>
      <c r="R1209" s="39">
        <v>2201.9</v>
      </c>
      <c r="S1209" s="39">
        <f t="shared" si="133"/>
        <v>7</v>
      </c>
      <c r="T1209" s="39">
        <f t="shared" si="134"/>
        <v>0</v>
      </c>
      <c r="U1209" s="39">
        <f t="shared" si="135"/>
        <v>0</v>
      </c>
      <c r="V1209" s="40"/>
    </row>
    <row r="1210" spans="2:22" x14ac:dyDescent="0.35">
      <c r="B1210" s="40">
        <v>34892</v>
      </c>
      <c r="C1210" s="39">
        <v>2199.1</v>
      </c>
      <c r="D1210" s="219">
        <f t="shared" si="136"/>
        <v>-1.272438253937745E-3</v>
      </c>
      <c r="F1210" s="40">
        <v>34892</v>
      </c>
      <c r="G1210" s="39">
        <v>2199.1</v>
      </c>
      <c r="H1210" s="39">
        <f t="shared" si="131"/>
        <v>3</v>
      </c>
      <c r="I1210" s="39">
        <f t="shared" si="132"/>
        <v>0</v>
      </c>
      <c r="K1210" s="40"/>
      <c r="Q1210" s="40">
        <v>34892</v>
      </c>
      <c r="R1210" s="39">
        <v>2199.1</v>
      </c>
      <c r="S1210" s="39">
        <f t="shared" si="133"/>
        <v>7</v>
      </c>
      <c r="T1210" s="39">
        <f t="shared" si="134"/>
        <v>0</v>
      </c>
      <c r="U1210" s="39">
        <f t="shared" si="135"/>
        <v>0</v>
      </c>
      <c r="V1210" s="40"/>
    </row>
    <row r="1211" spans="2:22" x14ac:dyDescent="0.35">
      <c r="B1211" s="40">
        <v>34893</v>
      </c>
      <c r="C1211" s="39">
        <v>2214.4</v>
      </c>
      <c r="D1211" s="219">
        <f t="shared" si="136"/>
        <v>6.9333006865484187E-3</v>
      </c>
      <c r="F1211" s="40">
        <v>34893</v>
      </c>
      <c r="G1211" s="39">
        <v>2214.4</v>
      </c>
      <c r="H1211" s="39">
        <f t="shared" si="131"/>
        <v>4</v>
      </c>
      <c r="I1211" s="39">
        <f t="shared" si="132"/>
        <v>0</v>
      </c>
      <c r="K1211" s="40"/>
      <c r="Q1211" s="40">
        <v>34893</v>
      </c>
      <c r="R1211" s="39">
        <v>2214.4</v>
      </c>
      <c r="S1211" s="39">
        <f t="shared" si="133"/>
        <v>7</v>
      </c>
      <c r="T1211" s="39">
        <f t="shared" si="134"/>
        <v>0</v>
      </c>
      <c r="U1211" s="39">
        <f t="shared" si="135"/>
        <v>0</v>
      </c>
      <c r="V1211" s="40"/>
    </row>
    <row r="1212" spans="2:22" x14ac:dyDescent="0.35">
      <c r="B1212" s="40">
        <v>34894</v>
      </c>
      <c r="C1212" s="39">
        <v>2184.9</v>
      </c>
      <c r="D1212" s="219">
        <f t="shared" si="136"/>
        <v>-1.3411425531371235E-2</v>
      </c>
      <c r="F1212" s="40">
        <v>34894</v>
      </c>
      <c r="G1212" s="39">
        <v>2184.9</v>
      </c>
      <c r="H1212" s="39">
        <f t="shared" si="131"/>
        <v>5</v>
      </c>
      <c r="I1212" s="39">
        <f t="shared" si="132"/>
        <v>2184.9</v>
      </c>
      <c r="K1212" s="40"/>
      <c r="Q1212" s="40">
        <v>34894</v>
      </c>
      <c r="R1212" s="39">
        <v>2184.9</v>
      </c>
      <c r="S1212" s="39">
        <f t="shared" si="133"/>
        <v>7</v>
      </c>
      <c r="T1212" s="39">
        <f t="shared" si="134"/>
        <v>0</v>
      </c>
      <c r="U1212" s="39">
        <f t="shared" si="135"/>
        <v>0</v>
      </c>
      <c r="V1212" s="40"/>
    </row>
    <row r="1213" spans="2:22" x14ac:dyDescent="0.35">
      <c r="B1213" s="40">
        <v>34897</v>
      </c>
      <c r="C1213" s="39">
        <v>2199.6</v>
      </c>
      <c r="D1213" s="219">
        <f t="shared" si="136"/>
        <v>6.7054647416803252E-3</v>
      </c>
      <c r="F1213" s="40">
        <v>34897</v>
      </c>
      <c r="G1213" s="39">
        <v>2199.6</v>
      </c>
      <c r="H1213" s="39">
        <f t="shared" si="131"/>
        <v>1</v>
      </c>
      <c r="I1213" s="39">
        <f t="shared" si="132"/>
        <v>0</v>
      </c>
      <c r="K1213" s="40"/>
      <c r="Q1213" s="40">
        <v>34897</v>
      </c>
      <c r="R1213" s="39">
        <v>2199.6</v>
      </c>
      <c r="S1213" s="39">
        <f t="shared" si="133"/>
        <v>7</v>
      </c>
      <c r="T1213" s="39">
        <f t="shared" si="134"/>
        <v>0</v>
      </c>
      <c r="U1213" s="39">
        <f t="shared" si="135"/>
        <v>0</v>
      </c>
      <c r="V1213" s="40"/>
    </row>
    <row r="1214" spans="2:22" x14ac:dyDescent="0.35">
      <c r="B1214" s="40">
        <v>34898</v>
      </c>
      <c r="C1214" s="39">
        <v>2193</v>
      </c>
      <c r="D1214" s="219">
        <f t="shared" si="136"/>
        <v>-3.0050562157713685E-3</v>
      </c>
      <c r="F1214" s="40">
        <v>34898</v>
      </c>
      <c r="G1214" s="39">
        <v>2193</v>
      </c>
      <c r="H1214" s="39">
        <f t="shared" si="131"/>
        <v>2</v>
      </c>
      <c r="I1214" s="39">
        <f t="shared" si="132"/>
        <v>0</v>
      </c>
      <c r="K1214" s="40"/>
      <c r="Q1214" s="40">
        <v>34898</v>
      </c>
      <c r="R1214" s="39">
        <v>2193</v>
      </c>
      <c r="S1214" s="39">
        <f t="shared" si="133"/>
        <v>7</v>
      </c>
      <c r="T1214" s="39">
        <f t="shared" si="134"/>
        <v>0</v>
      </c>
      <c r="U1214" s="39">
        <f t="shared" si="135"/>
        <v>0</v>
      </c>
      <c r="V1214" s="40"/>
    </row>
    <row r="1215" spans="2:22" x14ac:dyDescent="0.35">
      <c r="B1215" s="40">
        <v>34899</v>
      </c>
      <c r="C1215" s="39">
        <v>2182.9</v>
      </c>
      <c r="D1215" s="219">
        <f t="shared" si="136"/>
        <v>-4.6162014375714117E-3</v>
      </c>
      <c r="F1215" s="40">
        <v>34899</v>
      </c>
      <c r="G1215" s="39">
        <v>2182.9</v>
      </c>
      <c r="H1215" s="39">
        <f t="shared" si="131"/>
        <v>3</v>
      </c>
      <c r="I1215" s="39">
        <f t="shared" si="132"/>
        <v>0</v>
      </c>
      <c r="K1215" s="40"/>
      <c r="Q1215" s="40">
        <v>34899</v>
      </c>
      <c r="R1215" s="39">
        <v>2182.9</v>
      </c>
      <c r="S1215" s="39">
        <f t="shared" si="133"/>
        <v>7</v>
      </c>
      <c r="T1215" s="39">
        <f t="shared" si="134"/>
        <v>0</v>
      </c>
      <c r="U1215" s="39">
        <f t="shared" si="135"/>
        <v>0</v>
      </c>
      <c r="V1215" s="40"/>
    </row>
    <row r="1216" spans="2:22" x14ac:dyDescent="0.35">
      <c r="B1216" s="40">
        <v>34900</v>
      </c>
      <c r="C1216" s="39">
        <v>2184.3000000000002</v>
      </c>
      <c r="D1216" s="219">
        <f t="shared" si="136"/>
        <v>6.4114308845823038E-4</v>
      </c>
      <c r="F1216" s="40">
        <v>34900</v>
      </c>
      <c r="G1216" s="39">
        <v>2184.3000000000002</v>
      </c>
      <c r="H1216" s="39">
        <f t="shared" si="131"/>
        <v>4</v>
      </c>
      <c r="I1216" s="39">
        <f t="shared" si="132"/>
        <v>0</v>
      </c>
      <c r="K1216" s="40"/>
      <c r="Q1216" s="40">
        <v>34900</v>
      </c>
      <c r="R1216" s="39">
        <v>2184.3000000000002</v>
      </c>
      <c r="S1216" s="39">
        <f t="shared" si="133"/>
        <v>7</v>
      </c>
      <c r="T1216" s="39">
        <f t="shared" si="134"/>
        <v>0</v>
      </c>
      <c r="U1216" s="39">
        <f t="shared" si="135"/>
        <v>0</v>
      </c>
      <c r="V1216" s="40"/>
    </row>
    <row r="1217" spans="2:22" x14ac:dyDescent="0.35">
      <c r="B1217" s="40">
        <v>34901</v>
      </c>
      <c r="C1217" s="39">
        <v>2201.9</v>
      </c>
      <c r="D1217" s="219">
        <f t="shared" si="136"/>
        <v>8.0252129219646855E-3</v>
      </c>
      <c r="F1217" s="40">
        <v>34901</v>
      </c>
      <c r="G1217" s="39">
        <v>2201.9</v>
      </c>
      <c r="H1217" s="39">
        <f t="shared" si="131"/>
        <v>5</v>
      </c>
      <c r="I1217" s="39">
        <f t="shared" si="132"/>
        <v>2201.9</v>
      </c>
      <c r="K1217" s="40"/>
      <c r="Q1217" s="40">
        <v>34901</v>
      </c>
      <c r="R1217" s="39">
        <v>2201.9</v>
      </c>
      <c r="S1217" s="39">
        <f t="shared" si="133"/>
        <v>7</v>
      </c>
      <c r="T1217" s="39">
        <f t="shared" si="134"/>
        <v>0</v>
      </c>
      <c r="U1217" s="39">
        <f t="shared" si="135"/>
        <v>0</v>
      </c>
      <c r="V1217" s="40"/>
    </row>
    <row r="1218" spans="2:22" x14ac:dyDescent="0.35">
      <c r="B1218" s="40">
        <v>34904</v>
      </c>
      <c r="C1218" s="39">
        <v>2197.5</v>
      </c>
      <c r="D1218" s="219">
        <f t="shared" si="136"/>
        <v>-2.0002734314078325E-3</v>
      </c>
      <c r="F1218" s="40">
        <v>34904</v>
      </c>
      <c r="G1218" s="39">
        <v>2197.5</v>
      </c>
      <c r="H1218" s="39">
        <f t="shared" si="131"/>
        <v>1</v>
      </c>
      <c r="I1218" s="39">
        <f t="shared" si="132"/>
        <v>0</v>
      </c>
      <c r="K1218" s="40"/>
      <c r="Q1218" s="40">
        <v>34904</v>
      </c>
      <c r="R1218" s="39">
        <v>2197.5</v>
      </c>
      <c r="S1218" s="39">
        <f t="shared" si="133"/>
        <v>7</v>
      </c>
      <c r="T1218" s="39">
        <f t="shared" si="134"/>
        <v>0</v>
      </c>
      <c r="U1218" s="39">
        <f t="shared" si="135"/>
        <v>0</v>
      </c>
      <c r="V1218" s="40"/>
    </row>
    <row r="1219" spans="2:22" x14ac:dyDescent="0.35">
      <c r="B1219" s="40">
        <v>34905</v>
      </c>
      <c r="C1219" s="39">
        <v>2229.1</v>
      </c>
      <c r="D1219" s="219">
        <f t="shared" si="136"/>
        <v>1.4277565987554515E-2</v>
      </c>
      <c r="F1219" s="40">
        <v>34905</v>
      </c>
      <c r="G1219" s="39">
        <v>2229.1</v>
      </c>
      <c r="H1219" s="39">
        <f t="shared" si="131"/>
        <v>2</v>
      </c>
      <c r="I1219" s="39">
        <f t="shared" si="132"/>
        <v>0</v>
      </c>
      <c r="K1219" s="40"/>
      <c r="Q1219" s="40">
        <v>34905</v>
      </c>
      <c r="R1219" s="39">
        <v>2229.1</v>
      </c>
      <c r="S1219" s="39">
        <f t="shared" si="133"/>
        <v>7</v>
      </c>
      <c r="T1219" s="39">
        <f t="shared" si="134"/>
        <v>0</v>
      </c>
      <c r="U1219" s="39">
        <f t="shared" si="135"/>
        <v>0</v>
      </c>
      <c r="V1219" s="40"/>
    </row>
    <row r="1220" spans="2:22" x14ac:dyDescent="0.35">
      <c r="B1220" s="40">
        <v>34906</v>
      </c>
      <c r="C1220" s="39">
        <v>2240.8000000000002</v>
      </c>
      <c r="D1220" s="219">
        <f t="shared" si="136"/>
        <v>5.2350283990122669E-3</v>
      </c>
      <c r="F1220" s="40">
        <v>34906</v>
      </c>
      <c r="G1220" s="39">
        <v>2240.8000000000002</v>
      </c>
      <c r="H1220" s="39">
        <f t="shared" si="131"/>
        <v>3</v>
      </c>
      <c r="I1220" s="39">
        <f t="shared" si="132"/>
        <v>0</v>
      </c>
      <c r="K1220" s="40"/>
      <c r="Q1220" s="40">
        <v>34906</v>
      </c>
      <c r="R1220" s="39">
        <v>2240.8000000000002</v>
      </c>
      <c r="S1220" s="39">
        <f t="shared" si="133"/>
        <v>7</v>
      </c>
      <c r="T1220" s="39">
        <f t="shared" si="134"/>
        <v>0</v>
      </c>
      <c r="U1220" s="39">
        <f t="shared" si="135"/>
        <v>0</v>
      </c>
      <c r="V1220" s="40"/>
    </row>
    <row r="1221" spans="2:22" x14ac:dyDescent="0.35">
      <c r="B1221" s="40">
        <v>34907</v>
      </c>
      <c r="C1221" s="39">
        <v>2234.4</v>
      </c>
      <c r="D1221" s="219">
        <f t="shared" si="136"/>
        <v>-2.8602093149317507E-3</v>
      </c>
      <c r="F1221" s="40">
        <v>34907</v>
      </c>
      <c r="G1221" s="39">
        <v>2234.4</v>
      </c>
      <c r="H1221" s="39">
        <f t="shared" si="131"/>
        <v>4</v>
      </c>
      <c r="I1221" s="39">
        <f t="shared" si="132"/>
        <v>0</v>
      </c>
      <c r="K1221" s="40"/>
      <c r="Q1221" s="40">
        <v>34907</v>
      </c>
      <c r="R1221" s="39">
        <v>2234.4</v>
      </c>
      <c r="S1221" s="39">
        <f t="shared" si="133"/>
        <v>7</v>
      </c>
      <c r="T1221" s="39">
        <f t="shared" si="134"/>
        <v>0</v>
      </c>
      <c r="U1221" s="39">
        <f t="shared" si="135"/>
        <v>0</v>
      </c>
      <c r="V1221" s="40"/>
    </row>
    <row r="1222" spans="2:22" x14ac:dyDescent="0.35">
      <c r="B1222" s="40">
        <v>34908</v>
      </c>
      <c r="C1222" s="39">
        <v>2230</v>
      </c>
      <c r="D1222" s="219">
        <f t="shared" si="136"/>
        <v>-1.9711501768025831E-3</v>
      </c>
      <c r="F1222" s="40">
        <v>34908</v>
      </c>
      <c r="G1222" s="39">
        <v>2230</v>
      </c>
      <c r="H1222" s="39">
        <f t="shared" si="131"/>
        <v>5</v>
      </c>
      <c r="I1222" s="39">
        <f t="shared" si="132"/>
        <v>2230</v>
      </c>
      <c r="K1222" s="40"/>
      <c r="Q1222" s="40">
        <v>34908</v>
      </c>
      <c r="R1222" s="39">
        <v>2230</v>
      </c>
      <c r="S1222" s="39">
        <f t="shared" si="133"/>
        <v>7</v>
      </c>
      <c r="T1222" s="39">
        <f t="shared" si="134"/>
        <v>0</v>
      </c>
      <c r="U1222" s="39">
        <f t="shared" si="135"/>
        <v>0</v>
      </c>
      <c r="V1222" s="40"/>
    </row>
    <row r="1223" spans="2:22" x14ac:dyDescent="0.35">
      <c r="B1223" s="40">
        <v>34911</v>
      </c>
      <c r="C1223" s="39">
        <v>2218.6999999999998</v>
      </c>
      <c r="D1223" s="219">
        <f t="shared" si="136"/>
        <v>-5.0801466956278719E-3</v>
      </c>
      <c r="F1223" s="40">
        <v>34911</v>
      </c>
      <c r="G1223" s="39">
        <v>2218.6999999999998</v>
      </c>
      <c r="H1223" s="39">
        <f t="shared" si="131"/>
        <v>1</v>
      </c>
      <c r="I1223" s="39">
        <f t="shared" si="132"/>
        <v>0</v>
      </c>
      <c r="K1223" s="40"/>
      <c r="Q1223" s="40">
        <v>34911</v>
      </c>
      <c r="R1223" s="39">
        <v>2218.6999999999998</v>
      </c>
      <c r="S1223" s="39">
        <f t="shared" si="133"/>
        <v>7</v>
      </c>
      <c r="T1223" s="39">
        <f t="shared" si="134"/>
        <v>2218.6999999999998</v>
      </c>
      <c r="U1223" s="39">
        <f t="shared" si="135"/>
        <v>2218.6999999999998</v>
      </c>
      <c r="V1223" s="40"/>
    </row>
    <row r="1224" spans="2:22" x14ac:dyDescent="0.35">
      <c r="B1224" s="40">
        <v>34912</v>
      </c>
      <c r="C1224" s="39">
        <v>2220</v>
      </c>
      <c r="D1224" s="219">
        <f t="shared" si="136"/>
        <v>5.8575710778848149E-4</v>
      </c>
      <c r="F1224" s="40">
        <v>34912</v>
      </c>
      <c r="G1224" s="39">
        <v>2220</v>
      </c>
      <c r="H1224" s="39">
        <f t="shared" si="131"/>
        <v>2</v>
      </c>
      <c r="I1224" s="39">
        <f t="shared" si="132"/>
        <v>0</v>
      </c>
      <c r="K1224" s="40"/>
      <c r="Q1224" s="40">
        <v>34912</v>
      </c>
      <c r="R1224" s="39">
        <v>2220</v>
      </c>
      <c r="S1224" s="39">
        <f t="shared" si="133"/>
        <v>8</v>
      </c>
      <c r="T1224" s="39">
        <f t="shared" si="134"/>
        <v>0</v>
      </c>
      <c r="U1224" s="39">
        <f t="shared" si="135"/>
        <v>0</v>
      </c>
      <c r="V1224" s="40"/>
    </row>
    <row r="1225" spans="2:22" x14ac:dyDescent="0.35">
      <c r="B1225" s="40">
        <v>34913</v>
      </c>
      <c r="C1225" s="39">
        <v>2241.5</v>
      </c>
      <c r="D1225" s="219">
        <f t="shared" si="136"/>
        <v>9.6380887291691239E-3</v>
      </c>
      <c r="F1225" s="40">
        <v>34913</v>
      </c>
      <c r="G1225" s="39">
        <v>2241.5</v>
      </c>
      <c r="H1225" s="39">
        <f t="shared" si="131"/>
        <v>3</v>
      </c>
      <c r="I1225" s="39">
        <f t="shared" si="132"/>
        <v>0</v>
      </c>
      <c r="K1225" s="40"/>
      <c r="Q1225" s="40">
        <v>34913</v>
      </c>
      <c r="R1225" s="39">
        <v>2241.5</v>
      </c>
      <c r="S1225" s="39">
        <f t="shared" si="133"/>
        <v>8</v>
      </c>
      <c r="T1225" s="39">
        <f t="shared" si="134"/>
        <v>0</v>
      </c>
      <c r="U1225" s="39">
        <f t="shared" si="135"/>
        <v>0</v>
      </c>
      <c r="V1225" s="40"/>
    </row>
    <row r="1226" spans="2:22" x14ac:dyDescent="0.35">
      <c r="B1226" s="40">
        <v>34914</v>
      </c>
      <c r="C1226" s="39">
        <v>2240.6999999999998</v>
      </c>
      <c r="D1226" s="219">
        <f t="shared" si="136"/>
        <v>-3.5696756436362601E-4</v>
      </c>
      <c r="F1226" s="40">
        <v>34914</v>
      </c>
      <c r="G1226" s="39">
        <v>2240.6999999999998</v>
      </c>
      <c r="H1226" s="39">
        <f t="shared" si="131"/>
        <v>4</v>
      </c>
      <c r="I1226" s="39">
        <f t="shared" si="132"/>
        <v>0</v>
      </c>
      <c r="K1226" s="40"/>
      <c r="Q1226" s="40">
        <v>34914</v>
      </c>
      <c r="R1226" s="39">
        <v>2240.6999999999998</v>
      </c>
      <c r="S1226" s="39">
        <f t="shared" si="133"/>
        <v>8</v>
      </c>
      <c r="T1226" s="39">
        <f t="shared" si="134"/>
        <v>0</v>
      </c>
      <c r="U1226" s="39">
        <f t="shared" si="135"/>
        <v>0</v>
      </c>
      <c r="V1226" s="40"/>
    </row>
    <row r="1227" spans="2:22" x14ac:dyDescent="0.35">
      <c r="B1227" s="40">
        <v>34915</v>
      </c>
      <c r="C1227" s="39">
        <v>2236</v>
      </c>
      <c r="D1227" s="219">
        <f t="shared" si="136"/>
        <v>-2.0997617561408118E-3</v>
      </c>
      <c r="F1227" s="40">
        <v>34915</v>
      </c>
      <c r="G1227" s="39">
        <v>2236</v>
      </c>
      <c r="H1227" s="39">
        <f t="shared" si="131"/>
        <v>5</v>
      </c>
      <c r="I1227" s="39">
        <f t="shared" si="132"/>
        <v>2236</v>
      </c>
      <c r="K1227" s="40"/>
      <c r="Q1227" s="40">
        <v>34915</v>
      </c>
      <c r="R1227" s="39">
        <v>2236</v>
      </c>
      <c r="S1227" s="39">
        <f t="shared" si="133"/>
        <v>8</v>
      </c>
      <c r="T1227" s="39">
        <f t="shared" si="134"/>
        <v>0</v>
      </c>
      <c r="U1227" s="39">
        <f t="shared" si="135"/>
        <v>0</v>
      </c>
      <c r="V1227" s="40"/>
    </row>
    <row r="1228" spans="2:22" x14ac:dyDescent="0.35">
      <c r="B1228" s="40">
        <v>34918</v>
      </c>
      <c r="C1228" s="39">
        <v>2243.4</v>
      </c>
      <c r="D1228" s="219">
        <f t="shared" si="136"/>
        <v>3.3040169361333175E-3</v>
      </c>
      <c r="F1228" s="40">
        <v>34918</v>
      </c>
      <c r="G1228" s="39">
        <v>2243.4</v>
      </c>
      <c r="H1228" s="39">
        <f t="shared" si="131"/>
        <v>1</v>
      </c>
      <c r="I1228" s="39">
        <f t="shared" si="132"/>
        <v>0</v>
      </c>
      <c r="K1228" s="40"/>
      <c r="Q1228" s="40">
        <v>34918</v>
      </c>
      <c r="R1228" s="39">
        <v>2243.4</v>
      </c>
      <c r="S1228" s="39">
        <f t="shared" si="133"/>
        <v>8</v>
      </c>
      <c r="T1228" s="39">
        <f t="shared" si="134"/>
        <v>0</v>
      </c>
      <c r="U1228" s="39">
        <f t="shared" si="135"/>
        <v>0</v>
      </c>
      <c r="V1228" s="40"/>
    </row>
    <row r="1229" spans="2:22" x14ac:dyDescent="0.35">
      <c r="B1229" s="40">
        <v>34919</v>
      </c>
      <c r="C1229" s="39">
        <v>2237.6999999999998</v>
      </c>
      <c r="D1229" s="219">
        <f t="shared" si="136"/>
        <v>-2.5440195818959505E-3</v>
      </c>
      <c r="F1229" s="40">
        <v>34919</v>
      </c>
      <c r="G1229" s="39">
        <v>2237.6999999999998</v>
      </c>
      <c r="H1229" s="39">
        <f t="shared" si="131"/>
        <v>2</v>
      </c>
      <c r="I1229" s="39">
        <f t="shared" si="132"/>
        <v>0</v>
      </c>
      <c r="K1229" s="40"/>
      <c r="Q1229" s="40">
        <v>34919</v>
      </c>
      <c r="R1229" s="39">
        <v>2237.6999999999998</v>
      </c>
      <c r="S1229" s="39">
        <f t="shared" si="133"/>
        <v>8</v>
      </c>
      <c r="T1229" s="39">
        <f t="shared" si="134"/>
        <v>0</v>
      </c>
      <c r="U1229" s="39">
        <f t="shared" si="135"/>
        <v>0</v>
      </c>
      <c r="V1229" s="40"/>
    </row>
    <row r="1230" spans="2:22" x14ac:dyDescent="0.35">
      <c r="B1230" s="40">
        <v>34920</v>
      </c>
      <c r="C1230" s="39">
        <v>2221.8000000000002</v>
      </c>
      <c r="D1230" s="219">
        <f t="shared" si="136"/>
        <v>-7.1308744816050941E-3</v>
      </c>
      <c r="F1230" s="40">
        <v>34920</v>
      </c>
      <c r="G1230" s="39">
        <v>2221.8000000000002</v>
      </c>
      <c r="H1230" s="39">
        <f t="shared" si="131"/>
        <v>3</v>
      </c>
      <c r="I1230" s="39">
        <f t="shared" si="132"/>
        <v>0</v>
      </c>
      <c r="K1230" s="40"/>
      <c r="Q1230" s="40">
        <v>34920</v>
      </c>
      <c r="R1230" s="39">
        <v>2221.8000000000002</v>
      </c>
      <c r="S1230" s="39">
        <f t="shared" si="133"/>
        <v>8</v>
      </c>
      <c r="T1230" s="39">
        <f t="shared" si="134"/>
        <v>0</v>
      </c>
      <c r="U1230" s="39">
        <f t="shared" si="135"/>
        <v>0</v>
      </c>
      <c r="V1230" s="40"/>
    </row>
    <row r="1231" spans="2:22" x14ac:dyDescent="0.35">
      <c r="B1231" s="40">
        <v>34921</v>
      </c>
      <c r="C1231" s="39">
        <v>2218.6999999999998</v>
      </c>
      <c r="D1231" s="219">
        <f t="shared" si="136"/>
        <v>-1.3962393890855486E-3</v>
      </c>
      <c r="F1231" s="40">
        <v>34921</v>
      </c>
      <c r="G1231" s="39">
        <v>2218.6999999999998</v>
      </c>
      <c r="H1231" s="39">
        <f t="shared" si="131"/>
        <v>4</v>
      </c>
      <c r="I1231" s="39">
        <f t="shared" si="132"/>
        <v>0</v>
      </c>
      <c r="K1231" s="40"/>
      <c r="Q1231" s="40">
        <v>34921</v>
      </c>
      <c r="R1231" s="39">
        <v>2218.6999999999998</v>
      </c>
      <c r="S1231" s="39">
        <f t="shared" si="133"/>
        <v>8</v>
      </c>
      <c r="T1231" s="39">
        <f t="shared" si="134"/>
        <v>0</v>
      </c>
      <c r="U1231" s="39">
        <f t="shared" si="135"/>
        <v>0</v>
      </c>
      <c r="V1231" s="40"/>
    </row>
    <row r="1232" spans="2:22" x14ac:dyDescent="0.35">
      <c r="B1232" s="40">
        <v>34922</v>
      </c>
      <c r="C1232" s="39">
        <v>2232.9</v>
      </c>
      <c r="D1232" s="219">
        <f t="shared" si="136"/>
        <v>6.3797502754380933E-3</v>
      </c>
      <c r="F1232" s="40">
        <v>34922</v>
      </c>
      <c r="G1232" s="39">
        <v>2232.9</v>
      </c>
      <c r="H1232" s="39">
        <f t="shared" si="131"/>
        <v>5</v>
      </c>
      <c r="I1232" s="39">
        <f t="shared" si="132"/>
        <v>2232.9</v>
      </c>
      <c r="K1232" s="40"/>
      <c r="Q1232" s="40">
        <v>34922</v>
      </c>
      <c r="R1232" s="39">
        <v>2232.9</v>
      </c>
      <c r="S1232" s="39">
        <f t="shared" si="133"/>
        <v>8</v>
      </c>
      <c r="T1232" s="39">
        <f t="shared" si="134"/>
        <v>0</v>
      </c>
      <c r="U1232" s="39">
        <f t="shared" si="135"/>
        <v>0</v>
      </c>
      <c r="V1232" s="40"/>
    </row>
    <row r="1233" spans="2:22" x14ac:dyDescent="0.35">
      <c r="B1233" s="40">
        <v>34925</v>
      </c>
      <c r="C1233" s="39">
        <v>2208.5</v>
      </c>
      <c r="D1233" s="219">
        <f t="shared" si="136"/>
        <v>-1.0987636997393585E-2</v>
      </c>
      <c r="F1233" s="40">
        <v>34925</v>
      </c>
      <c r="G1233" s="39">
        <v>2208.5</v>
      </c>
      <c r="H1233" s="39">
        <f t="shared" si="131"/>
        <v>1</v>
      </c>
      <c r="I1233" s="39">
        <f t="shared" si="132"/>
        <v>0</v>
      </c>
      <c r="K1233" s="40"/>
      <c r="Q1233" s="40">
        <v>34925</v>
      </c>
      <c r="R1233" s="39">
        <v>2208.5</v>
      </c>
      <c r="S1233" s="39">
        <f t="shared" si="133"/>
        <v>8</v>
      </c>
      <c r="T1233" s="39">
        <f t="shared" si="134"/>
        <v>0</v>
      </c>
      <c r="U1233" s="39">
        <f t="shared" si="135"/>
        <v>0</v>
      </c>
      <c r="V1233" s="40"/>
    </row>
    <row r="1234" spans="2:22" x14ac:dyDescent="0.35">
      <c r="B1234" s="40">
        <v>34926</v>
      </c>
      <c r="C1234" s="39">
        <v>2227.6</v>
      </c>
      <c r="D1234" s="219">
        <f t="shared" si="136"/>
        <v>8.6112206789324078E-3</v>
      </c>
      <c r="F1234" s="40">
        <v>34926</v>
      </c>
      <c r="G1234" s="39">
        <v>2227.6</v>
      </c>
      <c r="H1234" s="39">
        <f t="shared" si="131"/>
        <v>2</v>
      </c>
      <c r="I1234" s="39">
        <f t="shared" si="132"/>
        <v>0</v>
      </c>
      <c r="K1234" s="40"/>
      <c r="Q1234" s="40">
        <v>34926</v>
      </c>
      <c r="R1234" s="39">
        <v>2227.6</v>
      </c>
      <c r="S1234" s="39">
        <f t="shared" si="133"/>
        <v>8</v>
      </c>
      <c r="T1234" s="39">
        <f t="shared" si="134"/>
        <v>0</v>
      </c>
      <c r="U1234" s="39">
        <f t="shared" si="135"/>
        <v>0</v>
      </c>
      <c r="V1234" s="40"/>
    </row>
    <row r="1235" spans="2:22" x14ac:dyDescent="0.35">
      <c r="B1235" s="40">
        <v>34927</v>
      </c>
      <c r="C1235" s="39">
        <v>2252.9</v>
      </c>
      <c r="D1235" s="219">
        <f t="shared" si="136"/>
        <v>1.1293502467583649E-2</v>
      </c>
      <c r="F1235" s="40">
        <v>34927</v>
      </c>
      <c r="G1235" s="39">
        <v>2252.9</v>
      </c>
      <c r="H1235" s="39">
        <f t="shared" si="131"/>
        <v>3</v>
      </c>
      <c r="I1235" s="39">
        <f t="shared" si="132"/>
        <v>0</v>
      </c>
      <c r="K1235" s="40"/>
      <c r="Q1235" s="40">
        <v>34927</v>
      </c>
      <c r="R1235" s="39">
        <v>2252.9</v>
      </c>
      <c r="S1235" s="39">
        <f t="shared" si="133"/>
        <v>8</v>
      </c>
      <c r="T1235" s="39">
        <f t="shared" si="134"/>
        <v>0</v>
      </c>
      <c r="U1235" s="39">
        <f t="shared" si="135"/>
        <v>0</v>
      </c>
      <c r="V1235" s="40"/>
    </row>
    <row r="1236" spans="2:22" x14ac:dyDescent="0.35">
      <c r="B1236" s="40">
        <v>34928</v>
      </c>
      <c r="C1236" s="39">
        <v>2260.3000000000002</v>
      </c>
      <c r="D1236" s="219">
        <f t="shared" si="136"/>
        <v>3.2792726364457851E-3</v>
      </c>
      <c r="F1236" s="40">
        <v>34928</v>
      </c>
      <c r="G1236" s="39">
        <v>2260.3000000000002</v>
      </c>
      <c r="H1236" s="39">
        <f t="shared" si="131"/>
        <v>4</v>
      </c>
      <c r="I1236" s="39">
        <f t="shared" si="132"/>
        <v>0</v>
      </c>
      <c r="K1236" s="40"/>
      <c r="Q1236" s="40">
        <v>34928</v>
      </c>
      <c r="R1236" s="39">
        <v>2260.3000000000002</v>
      </c>
      <c r="S1236" s="39">
        <f t="shared" si="133"/>
        <v>8</v>
      </c>
      <c r="T1236" s="39">
        <f t="shared" si="134"/>
        <v>0</v>
      </c>
      <c r="U1236" s="39">
        <f t="shared" si="135"/>
        <v>0</v>
      </c>
      <c r="V1236" s="40"/>
    </row>
    <row r="1237" spans="2:22" x14ac:dyDescent="0.35">
      <c r="B1237" s="40">
        <v>34929</v>
      </c>
      <c r="C1237" s="39">
        <v>2263.5</v>
      </c>
      <c r="D1237" s="219">
        <f t="shared" si="136"/>
        <v>1.414740056470392E-3</v>
      </c>
      <c r="F1237" s="40">
        <v>34929</v>
      </c>
      <c r="G1237" s="39">
        <v>2263.5</v>
      </c>
      <c r="H1237" s="39">
        <f t="shared" si="131"/>
        <v>5</v>
      </c>
      <c r="I1237" s="39">
        <f t="shared" si="132"/>
        <v>2263.5</v>
      </c>
      <c r="K1237" s="40"/>
      <c r="Q1237" s="40">
        <v>34929</v>
      </c>
      <c r="R1237" s="39">
        <v>2263.5</v>
      </c>
      <c r="S1237" s="39">
        <f t="shared" si="133"/>
        <v>8</v>
      </c>
      <c r="T1237" s="39">
        <f t="shared" si="134"/>
        <v>0</v>
      </c>
      <c r="U1237" s="39">
        <f t="shared" si="135"/>
        <v>0</v>
      </c>
      <c r="V1237" s="40"/>
    </row>
    <row r="1238" spans="2:22" x14ac:dyDescent="0.35">
      <c r="B1238" s="40">
        <v>34932</v>
      </c>
      <c r="C1238" s="39">
        <v>2269.4</v>
      </c>
      <c r="D1238" s="219">
        <f t="shared" si="136"/>
        <v>2.603191480875735E-3</v>
      </c>
      <c r="F1238" s="40">
        <v>34932</v>
      </c>
      <c r="G1238" s="39">
        <v>2269.4</v>
      </c>
      <c r="H1238" s="39">
        <f t="shared" si="131"/>
        <v>1</v>
      </c>
      <c r="I1238" s="39">
        <f t="shared" si="132"/>
        <v>0</v>
      </c>
      <c r="K1238" s="40"/>
      <c r="Q1238" s="40">
        <v>34932</v>
      </c>
      <c r="R1238" s="39">
        <v>2269.4</v>
      </c>
      <c r="S1238" s="39">
        <f t="shared" si="133"/>
        <v>8</v>
      </c>
      <c r="T1238" s="39">
        <f t="shared" si="134"/>
        <v>0</v>
      </c>
      <c r="U1238" s="39">
        <f t="shared" si="135"/>
        <v>0</v>
      </c>
      <c r="V1238" s="40"/>
    </row>
    <row r="1239" spans="2:22" x14ac:dyDescent="0.35">
      <c r="B1239" s="40">
        <v>34933</v>
      </c>
      <c r="C1239" s="39">
        <v>2258.9</v>
      </c>
      <c r="D1239" s="219">
        <f t="shared" si="136"/>
        <v>-4.6375102436596437E-3</v>
      </c>
      <c r="F1239" s="40">
        <v>34933</v>
      </c>
      <c r="G1239" s="39">
        <v>2258.9</v>
      </c>
      <c r="H1239" s="39">
        <f t="shared" si="131"/>
        <v>2</v>
      </c>
      <c r="I1239" s="39">
        <f t="shared" si="132"/>
        <v>0</v>
      </c>
      <c r="K1239" s="40"/>
      <c r="Q1239" s="40">
        <v>34933</v>
      </c>
      <c r="R1239" s="39">
        <v>2258.9</v>
      </c>
      <c r="S1239" s="39">
        <f t="shared" si="133"/>
        <v>8</v>
      </c>
      <c r="T1239" s="39">
        <f t="shared" si="134"/>
        <v>0</v>
      </c>
      <c r="U1239" s="39">
        <f t="shared" si="135"/>
        <v>0</v>
      </c>
      <c r="V1239" s="40"/>
    </row>
    <row r="1240" spans="2:22" x14ac:dyDescent="0.35">
      <c r="B1240" s="40">
        <v>34934</v>
      </c>
      <c r="C1240" s="39">
        <v>2263.4</v>
      </c>
      <c r="D1240" s="219">
        <f t="shared" si="136"/>
        <v>1.9901384186118772E-3</v>
      </c>
      <c r="F1240" s="40">
        <v>34934</v>
      </c>
      <c r="G1240" s="39">
        <v>2263.4</v>
      </c>
      <c r="H1240" s="39">
        <f t="shared" si="131"/>
        <v>3</v>
      </c>
      <c r="I1240" s="39">
        <f t="shared" si="132"/>
        <v>0</v>
      </c>
      <c r="K1240" s="40"/>
      <c r="Q1240" s="40">
        <v>34934</v>
      </c>
      <c r="R1240" s="39">
        <v>2263.4</v>
      </c>
      <c r="S1240" s="39">
        <f t="shared" si="133"/>
        <v>8</v>
      </c>
      <c r="T1240" s="39">
        <f t="shared" si="134"/>
        <v>0</v>
      </c>
      <c r="U1240" s="39">
        <f t="shared" si="135"/>
        <v>0</v>
      </c>
      <c r="V1240" s="40"/>
    </row>
    <row r="1241" spans="2:22" x14ac:dyDescent="0.35">
      <c r="B1241" s="40">
        <v>34935</v>
      </c>
      <c r="C1241" s="39">
        <v>2262.9</v>
      </c>
      <c r="D1241" s="219">
        <f t="shared" si="136"/>
        <v>-2.2093100414628914E-4</v>
      </c>
      <c r="F1241" s="40">
        <v>34935</v>
      </c>
      <c r="G1241" s="39">
        <v>2262.9</v>
      </c>
      <c r="H1241" s="39">
        <f t="shared" si="131"/>
        <v>4</v>
      </c>
      <c r="I1241" s="39">
        <f t="shared" si="132"/>
        <v>0</v>
      </c>
      <c r="K1241" s="40"/>
      <c r="Q1241" s="40">
        <v>34935</v>
      </c>
      <c r="R1241" s="39">
        <v>2262.9</v>
      </c>
      <c r="S1241" s="39">
        <f t="shared" si="133"/>
        <v>8</v>
      </c>
      <c r="T1241" s="39">
        <f t="shared" si="134"/>
        <v>0</v>
      </c>
      <c r="U1241" s="39">
        <f t="shared" si="135"/>
        <v>0</v>
      </c>
      <c r="V1241" s="40"/>
    </row>
    <row r="1242" spans="2:22" x14ac:dyDescent="0.35">
      <c r="B1242" s="40">
        <v>34936</v>
      </c>
      <c r="C1242" s="39">
        <v>2249.3000000000002</v>
      </c>
      <c r="D1242" s="219">
        <f t="shared" si="136"/>
        <v>-6.028119845441709E-3</v>
      </c>
      <c r="F1242" s="40">
        <v>34936</v>
      </c>
      <c r="G1242" s="39">
        <v>2249.3000000000002</v>
      </c>
      <c r="H1242" s="39">
        <f t="shared" si="131"/>
        <v>5</v>
      </c>
      <c r="I1242" s="39">
        <f t="shared" si="132"/>
        <v>2249.3000000000002</v>
      </c>
      <c r="K1242" s="40"/>
      <c r="Q1242" s="40">
        <v>34936</v>
      </c>
      <c r="R1242" s="39">
        <v>2249.3000000000002</v>
      </c>
      <c r="S1242" s="39">
        <f t="shared" si="133"/>
        <v>8</v>
      </c>
      <c r="T1242" s="39">
        <f t="shared" si="134"/>
        <v>0</v>
      </c>
      <c r="U1242" s="39">
        <f t="shared" si="135"/>
        <v>0</v>
      </c>
      <c r="V1242" s="40"/>
    </row>
    <row r="1243" spans="2:22" x14ac:dyDescent="0.35">
      <c r="B1243" s="40">
        <v>34939</v>
      </c>
      <c r="C1243" s="39">
        <v>2241.1</v>
      </c>
      <c r="D1243" s="219">
        <f t="shared" si="136"/>
        <v>-3.652239940710619E-3</v>
      </c>
      <c r="F1243" s="40">
        <v>34939</v>
      </c>
      <c r="G1243" s="39">
        <v>2241.1</v>
      </c>
      <c r="H1243" s="39">
        <f t="shared" si="131"/>
        <v>1</v>
      </c>
      <c r="I1243" s="39">
        <f t="shared" si="132"/>
        <v>0</v>
      </c>
      <c r="K1243" s="40"/>
      <c r="Q1243" s="40">
        <v>34939</v>
      </c>
      <c r="R1243" s="39">
        <v>2241.1</v>
      </c>
      <c r="S1243" s="39">
        <f t="shared" si="133"/>
        <v>8</v>
      </c>
      <c r="T1243" s="39">
        <f t="shared" si="134"/>
        <v>0</v>
      </c>
      <c r="U1243" s="39">
        <f t="shared" si="135"/>
        <v>0</v>
      </c>
      <c r="V1243" s="40"/>
    </row>
    <row r="1244" spans="2:22" x14ac:dyDescent="0.35">
      <c r="B1244" s="40">
        <v>34940</v>
      </c>
      <c r="C1244" s="39">
        <v>2231.6</v>
      </c>
      <c r="D1244" s="219">
        <f t="shared" si="136"/>
        <v>-4.2479997701693334E-3</v>
      </c>
      <c r="F1244" s="40">
        <v>34940</v>
      </c>
      <c r="G1244" s="39">
        <v>2231.6</v>
      </c>
      <c r="H1244" s="39">
        <f t="shared" si="131"/>
        <v>2</v>
      </c>
      <c r="I1244" s="39">
        <f t="shared" si="132"/>
        <v>0</v>
      </c>
      <c r="K1244" s="40"/>
      <c r="Q1244" s="40">
        <v>34940</v>
      </c>
      <c r="R1244" s="39">
        <v>2231.6</v>
      </c>
      <c r="S1244" s="39">
        <f t="shared" si="133"/>
        <v>8</v>
      </c>
      <c r="T1244" s="39">
        <f t="shared" si="134"/>
        <v>0</v>
      </c>
      <c r="U1244" s="39">
        <f t="shared" si="135"/>
        <v>0</v>
      </c>
      <c r="V1244" s="40"/>
    </row>
    <row r="1245" spans="2:22" x14ac:dyDescent="0.35">
      <c r="B1245" s="40">
        <v>34941</v>
      </c>
      <c r="C1245" s="39">
        <v>2240.1</v>
      </c>
      <c r="D1245" s="219">
        <f t="shared" si="136"/>
        <v>3.8016907383923416E-3</v>
      </c>
      <c r="F1245" s="40">
        <v>34941</v>
      </c>
      <c r="G1245" s="39">
        <v>2240.1</v>
      </c>
      <c r="H1245" s="39">
        <f t="shared" si="131"/>
        <v>3</v>
      </c>
      <c r="I1245" s="39">
        <f t="shared" si="132"/>
        <v>0</v>
      </c>
      <c r="K1245" s="40"/>
      <c r="Q1245" s="40">
        <v>34941</v>
      </c>
      <c r="R1245" s="39">
        <v>2240.1</v>
      </c>
      <c r="S1245" s="39">
        <f t="shared" si="133"/>
        <v>8</v>
      </c>
      <c r="T1245" s="39">
        <f t="shared" si="134"/>
        <v>0</v>
      </c>
      <c r="U1245" s="39">
        <f t="shared" si="135"/>
        <v>0</v>
      </c>
      <c r="V1245" s="40"/>
    </row>
    <row r="1246" spans="2:22" x14ac:dyDescent="0.35">
      <c r="B1246" s="40">
        <v>34942</v>
      </c>
      <c r="C1246" s="39">
        <v>2238.3000000000002</v>
      </c>
      <c r="D1246" s="219">
        <f t="shared" si="136"/>
        <v>-8.0385856418726349E-4</v>
      </c>
      <c r="F1246" s="40">
        <v>34942</v>
      </c>
      <c r="G1246" s="39">
        <v>2238.3000000000002</v>
      </c>
      <c r="H1246" s="39">
        <f t="shared" si="131"/>
        <v>4</v>
      </c>
      <c r="I1246" s="39">
        <f t="shared" si="132"/>
        <v>0</v>
      </c>
      <c r="K1246" s="40"/>
      <c r="Q1246" s="40">
        <v>34942</v>
      </c>
      <c r="R1246" s="39">
        <v>2238.3000000000002</v>
      </c>
      <c r="S1246" s="39">
        <f t="shared" si="133"/>
        <v>8</v>
      </c>
      <c r="T1246" s="39">
        <f t="shared" si="134"/>
        <v>2238.3000000000002</v>
      </c>
      <c r="U1246" s="39">
        <f t="shared" si="135"/>
        <v>2238.3000000000002</v>
      </c>
      <c r="V1246" s="40"/>
    </row>
    <row r="1247" spans="2:22" x14ac:dyDescent="0.35">
      <c r="B1247" s="40">
        <v>34943</v>
      </c>
      <c r="C1247" s="39">
        <v>2233.1</v>
      </c>
      <c r="D1247" s="219">
        <f t="shared" si="136"/>
        <v>-2.3258945047369044E-3</v>
      </c>
      <c r="F1247" s="40">
        <v>34943</v>
      </c>
      <c r="G1247" s="39">
        <v>2233.1</v>
      </c>
      <c r="H1247" s="39">
        <f t="shared" si="131"/>
        <v>5</v>
      </c>
      <c r="I1247" s="39">
        <f t="shared" si="132"/>
        <v>2233.1</v>
      </c>
      <c r="K1247" s="40"/>
      <c r="Q1247" s="40">
        <v>34943</v>
      </c>
      <c r="R1247" s="39">
        <v>2233.1</v>
      </c>
      <c r="S1247" s="39">
        <f t="shared" si="133"/>
        <v>9</v>
      </c>
      <c r="T1247" s="39">
        <f t="shared" si="134"/>
        <v>0</v>
      </c>
      <c r="U1247" s="39">
        <f t="shared" si="135"/>
        <v>0</v>
      </c>
      <c r="V1247" s="40"/>
    </row>
    <row r="1248" spans="2:22" x14ac:dyDescent="0.35">
      <c r="B1248" s="40">
        <v>34946</v>
      </c>
      <c r="C1248" s="39">
        <v>2250.3000000000002</v>
      </c>
      <c r="D1248" s="219">
        <f t="shared" si="136"/>
        <v>7.6727860028588625E-3</v>
      </c>
      <c r="F1248" s="40">
        <v>34946</v>
      </c>
      <c r="G1248" s="39">
        <v>2250.3000000000002</v>
      </c>
      <c r="H1248" s="39">
        <f t="shared" si="131"/>
        <v>1</v>
      </c>
      <c r="I1248" s="39">
        <f t="shared" si="132"/>
        <v>0</v>
      </c>
      <c r="K1248" s="40"/>
      <c r="Q1248" s="40">
        <v>34946</v>
      </c>
      <c r="R1248" s="39">
        <v>2250.3000000000002</v>
      </c>
      <c r="S1248" s="39">
        <f t="shared" si="133"/>
        <v>9</v>
      </c>
      <c r="T1248" s="39">
        <f t="shared" si="134"/>
        <v>0</v>
      </c>
      <c r="U1248" s="39">
        <f t="shared" si="135"/>
        <v>0</v>
      </c>
      <c r="V1248" s="40"/>
    </row>
    <row r="1249" spans="2:22" x14ac:dyDescent="0.35">
      <c r="B1249" s="40">
        <v>34947</v>
      </c>
      <c r="C1249" s="39">
        <v>2264.8000000000002</v>
      </c>
      <c r="D1249" s="219">
        <f t="shared" si="136"/>
        <v>6.4229141539894922E-3</v>
      </c>
      <c r="F1249" s="40">
        <v>34947</v>
      </c>
      <c r="G1249" s="39">
        <v>2264.8000000000002</v>
      </c>
      <c r="H1249" s="39">
        <f t="shared" si="131"/>
        <v>2</v>
      </c>
      <c r="I1249" s="39">
        <f t="shared" si="132"/>
        <v>0</v>
      </c>
      <c r="K1249" s="40"/>
      <c r="Q1249" s="40">
        <v>34947</v>
      </c>
      <c r="R1249" s="39">
        <v>2264.8000000000002</v>
      </c>
      <c r="S1249" s="39">
        <f t="shared" si="133"/>
        <v>9</v>
      </c>
      <c r="T1249" s="39">
        <f t="shared" si="134"/>
        <v>0</v>
      </c>
      <c r="U1249" s="39">
        <f t="shared" si="135"/>
        <v>0</v>
      </c>
      <c r="V1249" s="40"/>
    </row>
    <row r="1250" spans="2:22" x14ac:dyDescent="0.35">
      <c r="B1250" s="40">
        <v>34948</v>
      </c>
      <c r="C1250" s="39">
        <v>2277.1</v>
      </c>
      <c r="D1250" s="219">
        <f t="shared" si="136"/>
        <v>5.4162487369290519E-3</v>
      </c>
      <c r="F1250" s="40">
        <v>34948</v>
      </c>
      <c r="G1250" s="39">
        <v>2277.1</v>
      </c>
      <c r="H1250" s="39">
        <f t="shared" si="131"/>
        <v>3</v>
      </c>
      <c r="I1250" s="39">
        <f t="shared" si="132"/>
        <v>0</v>
      </c>
      <c r="K1250" s="40"/>
      <c r="Q1250" s="40">
        <v>34948</v>
      </c>
      <c r="R1250" s="39">
        <v>2277.1</v>
      </c>
      <c r="S1250" s="39">
        <f t="shared" si="133"/>
        <v>9</v>
      </c>
      <c r="T1250" s="39">
        <f t="shared" si="134"/>
        <v>0</v>
      </c>
      <c r="U1250" s="39">
        <f t="shared" si="135"/>
        <v>0</v>
      </c>
      <c r="V1250" s="40"/>
    </row>
    <row r="1251" spans="2:22" x14ac:dyDescent="0.35">
      <c r="B1251" s="40">
        <v>34949</v>
      </c>
      <c r="C1251" s="39">
        <v>2268</v>
      </c>
      <c r="D1251" s="219">
        <f t="shared" si="136"/>
        <v>-4.0043176869763459E-3</v>
      </c>
      <c r="F1251" s="40">
        <v>34949</v>
      </c>
      <c r="G1251" s="39">
        <v>2268</v>
      </c>
      <c r="H1251" s="39">
        <f t="shared" si="131"/>
        <v>4</v>
      </c>
      <c r="I1251" s="39">
        <f t="shared" si="132"/>
        <v>0</v>
      </c>
      <c r="K1251" s="40"/>
      <c r="Q1251" s="40">
        <v>34949</v>
      </c>
      <c r="R1251" s="39">
        <v>2268</v>
      </c>
      <c r="S1251" s="39">
        <f t="shared" si="133"/>
        <v>9</v>
      </c>
      <c r="T1251" s="39">
        <f t="shared" si="134"/>
        <v>0</v>
      </c>
      <c r="U1251" s="39">
        <f t="shared" si="135"/>
        <v>0</v>
      </c>
      <c r="V1251" s="40"/>
    </row>
    <row r="1252" spans="2:22" x14ac:dyDescent="0.35">
      <c r="B1252" s="40">
        <v>34950</v>
      </c>
      <c r="C1252" s="39">
        <v>2273.6999999999998</v>
      </c>
      <c r="D1252" s="219">
        <f t="shared" si="136"/>
        <v>2.5100746384502754E-3</v>
      </c>
      <c r="F1252" s="40">
        <v>34950</v>
      </c>
      <c r="G1252" s="39">
        <v>2273.6999999999998</v>
      </c>
      <c r="H1252" s="39">
        <f t="shared" si="131"/>
        <v>5</v>
      </c>
      <c r="I1252" s="39">
        <f t="shared" si="132"/>
        <v>2273.6999999999998</v>
      </c>
      <c r="K1252" s="40"/>
      <c r="Q1252" s="40">
        <v>34950</v>
      </c>
      <c r="R1252" s="39">
        <v>2273.6999999999998</v>
      </c>
      <c r="S1252" s="39">
        <f t="shared" si="133"/>
        <v>9</v>
      </c>
      <c r="T1252" s="39">
        <f t="shared" si="134"/>
        <v>0</v>
      </c>
      <c r="U1252" s="39">
        <f t="shared" si="135"/>
        <v>0</v>
      </c>
      <c r="V1252" s="40"/>
    </row>
    <row r="1253" spans="2:22" x14ac:dyDescent="0.35">
      <c r="B1253" s="40">
        <v>34953</v>
      </c>
      <c r="C1253" s="39">
        <v>2260.8000000000002</v>
      </c>
      <c r="D1253" s="219">
        <f t="shared" si="136"/>
        <v>-5.6897275558300126E-3</v>
      </c>
      <c r="F1253" s="40">
        <v>34953</v>
      </c>
      <c r="G1253" s="39">
        <v>2260.8000000000002</v>
      </c>
      <c r="H1253" s="39">
        <f t="shared" si="131"/>
        <v>1</v>
      </c>
      <c r="I1253" s="39">
        <f t="shared" si="132"/>
        <v>0</v>
      </c>
      <c r="K1253" s="40"/>
      <c r="Q1253" s="40">
        <v>34953</v>
      </c>
      <c r="R1253" s="39">
        <v>2260.8000000000002</v>
      </c>
      <c r="S1253" s="39">
        <f t="shared" si="133"/>
        <v>9</v>
      </c>
      <c r="T1253" s="39">
        <f t="shared" si="134"/>
        <v>0</v>
      </c>
      <c r="U1253" s="39">
        <f t="shared" si="135"/>
        <v>0</v>
      </c>
      <c r="V1253" s="40"/>
    </row>
    <row r="1254" spans="2:22" x14ac:dyDescent="0.35">
      <c r="B1254" s="40">
        <v>34954</v>
      </c>
      <c r="C1254" s="39">
        <v>2270.8000000000002</v>
      </c>
      <c r="D1254" s="219">
        <f t="shared" si="136"/>
        <v>4.4134593663080739E-3</v>
      </c>
      <c r="F1254" s="40">
        <v>34954</v>
      </c>
      <c r="G1254" s="39">
        <v>2270.8000000000002</v>
      </c>
      <c r="H1254" s="39">
        <f t="shared" si="131"/>
        <v>2</v>
      </c>
      <c r="I1254" s="39">
        <f t="shared" si="132"/>
        <v>0</v>
      </c>
      <c r="K1254" s="40"/>
      <c r="Q1254" s="40">
        <v>34954</v>
      </c>
      <c r="R1254" s="39">
        <v>2270.8000000000002</v>
      </c>
      <c r="S1254" s="39">
        <f t="shared" si="133"/>
        <v>9</v>
      </c>
      <c r="T1254" s="39">
        <f t="shared" si="134"/>
        <v>0</v>
      </c>
      <c r="U1254" s="39">
        <f t="shared" si="135"/>
        <v>0</v>
      </c>
      <c r="V1254" s="40"/>
    </row>
    <row r="1255" spans="2:22" x14ac:dyDescent="0.35">
      <c r="B1255" s="40">
        <v>34955</v>
      </c>
      <c r="C1255" s="39">
        <v>2295.5</v>
      </c>
      <c r="D1255" s="219">
        <f t="shared" si="136"/>
        <v>1.0818492392705586E-2</v>
      </c>
      <c r="F1255" s="40">
        <v>34955</v>
      </c>
      <c r="G1255" s="39">
        <v>2295.5</v>
      </c>
      <c r="H1255" s="39">
        <f t="shared" si="131"/>
        <v>3</v>
      </c>
      <c r="I1255" s="39">
        <f t="shared" si="132"/>
        <v>0</v>
      </c>
      <c r="K1255" s="40"/>
      <c r="Q1255" s="40">
        <v>34955</v>
      </c>
      <c r="R1255" s="39">
        <v>2295.5</v>
      </c>
      <c r="S1255" s="39">
        <f t="shared" si="133"/>
        <v>9</v>
      </c>
      <c r="T1255" s="39">
        <f t="shared" si="134"/>
        <v>0</v>
      </c>
      <c r="U1255" s="39">
        <f t="shared" si="135"/>
        <v>0</v>
      </c>
      <c r="V1255" s="40"/>
    </row>
    <row r="1256" spans="2:22" x14ac:dyDescent="0.35">
      <c r="B1256" s="40">
        <v>34956</v>
      </c>
      <c r="C1256" s="39">
        <v>2300</v>
      </c>
      <c r="D1256" s="219">
        <f t="shared" si="136"/>
        <v>1.9584382279642476E-3</v>
      </c>
      <c r="F1256" s="40">
        <v>34956</v>
      </c>
      <c r="G1256" s="39">
        <v>2300</v>
      </c>
      <c r="H1256" s="39">
        <f t="shared" si="131"/>
        <v>4</v>
      </c>
      <c r="I1256" s="39">
        <f t="shared" si="132"/>
        <v>0</v>
      </c>
      <c r="K1256" s="40"/>
      <c r="Q1256" s="40">
        <v>34956</v>
      </c>
      <c r="R1256" s="39">
        <v>2300</v>
      </c>
      <c r="S1256" s="39">
        <f t="shared" si="133"/>
        <v>9</v>
      </c>
      <c r="T1256" s="39">
        <f t="shared" si="134"/>
        <v>0</v>
      </c>
      <c r="U1256" s="39">
        <f t="shared" si="135"/>
        <v>0</v>
      </c>
      <c r="V1256" s="40"/>
    </row>
    <row r="1257" spans="2:22" x14ac:dyDescent="0.35">
      <c r="B1257" s="40">
        <v>34957</v>
      </c>
      <c r="C1257" s="39">
        <v>2317</v>
      </c>
      <c r="D1257" s="219">
        <f t="shared" si="136"/>
        <v>7.3641225151350386E-3</v>
      </c>
      <c r="F1257" s="40">
        <v>34957</v>
      </c>
      <c r="G1257" s="39">
        <v>2317</v>
      </c>
      <c r="H1257" s="39">
        <f t="shared" si="131"/>
        <v>5</v>
      </c>
      <c r="I1257" s="39">
        <f t="shared" si="132"/>
        <v>2317</v>
      </c>
      <c r="K1257" s="40"/>
      <c r="Q1257" s="40">
        <v>34957</v>
      </c>
      <c r="R1257" s="39">
        <v>2317</v>
      </c>
      <c r="S1257" s="39">
        <f t="shared" si="133"/>
        <v>9</v>
      </c>
      <c r="T1257" s="39">
        <f t="shared" si="134"/>
        <v>0</v>
      </c>
      <c r="U1257" s="39">
        <f t="shared" si="135"/>
        <v>0</v>
      </c>
      <c r="V1257" s="40"/>
    </row>
    <row r="1258" spans="2:22" x14ac:dyDescent="0.35">
      <c r="B1258" s="40">
        <v>34960</v>
      </c>
      <c r="C1258" s="39">
        <v>2301.4</v>
      </c>
      <c r="D1258" s="219">
        <f t="shared" si="136"/>
        <v>-6.7556120430179584E-3</v>
      </c>
      <c r="F1258" s="40">
        <v>34960</v>
      </c>
      <c r="G1258" s="39">
        <v>2301.4</v>
      </c>
      <c r="H1258" s="39">
        <f t="shared" si="131"/>
        <v>1</v>
      </c>
      <c r="I1258" s="39">
        <f t="shared" si="132"/>
        <v>0</v>
      </c>
      <c r="K1258" s="40"/>
      <c r="Q1258" s="40">
        <v>34960</v>
      </c>
      <c r="R1258" s="39">
        <v>2301.4</v>
      </c>
      <c r="S1258" s="39">
        <f t="shared" si="133"/>
        <v>9</v>
      </c>
      <c r="T1258" s="39">
        <f t="shared" si="134"/>
        <v>0</v>
      </c>
      <c r="U1258" s="39">
        <f t="shared" si="135"/>
        <v>0</v>
      </c>
      <c r="V1258" s="40"/>
    </row>
    <row r="1259" spans="2:22" x14ac:dyDescent="0.35">
      <c r="B1259" s="40">
        <v>34961</v>
      </c>
      <c r="C1259" s="39">
        <v>2311.3000000000002</v>
      </c>
      <c r="D1259" s="219">
        <f t="shared" si="136"/>
        <v>4.2925033932852043E-3</v>
      </c>
      <c r="F1259" s="40">
        <v>34961</v>
      </c>
      <c r="G1259" s="39">
        <v>2311.3000000000002</v>
      </c>
      <c r="H1259" s="39">
        <f t="shared" si="131"/>
        <v>2</v>
      </c>
      <c r="I1259" s="39">
        <f t="shared" si="132"/>
        <v>0</v>
      </c>
      <c r="K1259" s="40"/>
      <c r="Q1259" s="40">
        <v>34961</v>
      </c>
      <c r="R1259" s="39">
        <v>2311.3000000000002</v>
      </c>
      <c r="S1259" s="39">
        <f t="shared" si="133"/>
        <v>9</v>
      </c>
      <c r="T1259" s="39">
        <f t="shared" si="134"/>
        <v>0</v>
      </c>
      <c r="U1259" s="39">
        <f t="shared" si="135"/>
        <v>0</v>
      </c>
      <c r="V1259" s="40"/>
    </row>
    <row r="1260" spans="2:22" x14ac:dyDescent="0.35">
      <c r="B1260" s="40">
        <v>34962</v>
      </c>
      <c r="C1260" s="39">
        <v>2305.1</v>
      </c>
      <c r="D1260" s="219">
        <f t="shared" si="136"/>
        <v>-2.6860773450116155E-3</v>
      </c>
      <c r="F1260" s="40">
        <v>34962</v>
      </c>
      <c r="G1260" s="39">
        <v>2305.1</v>
      </c>
      <c r="H1260" s="39">
        <f t="shared" si="131"/>
        <v>3</v>
      </c>
      <c r="I1260" s="39">
        <f t="shared" si="132"/>
        <v>0</v>
      </c>
      <c r="K1260" s="40"/>
      <c r="Q1260" s="40">
        <v>34962</v>
      </c>
      <c r="R1260" s="39">
        <v>2305.1</v>
      </c>
      <c r="S1260" s="39">
        <f t="shared" si="133"/>
        <v>9</v>
      </c>
      <c r="T1260" s="39">
        <f t="shared" si="134"/>
        <v>0</v>
      </c>
      <c r="U1260" s="39">
        <f t="shared" si="135"/>
        <v>0</v>
      </c>
      <c r="V1260" s="40"/>
    </row>
    <row r="1261" spans="2:22" x14ac:dyDescent="0.35">
      <c r="B1261" s="40">
        <v>34963</v>
      </c>
      <c r="C1261" s="39">
        <v>2287.3000000000002</v>
      </c>
      <c r="D1261" s="219">
        <f t="shared" si="136"/>
        <v>-7.751976804317824E-3</v>
      </c>
      <c r="F1261" s="40">
        <v>34963</v>
      </c>
      <c r="G1261" s="39">
        <v>2287.3000000000002</v>
      </c>
      <c r="H1261" s="39">
        <f t="shared" si="131"/>
        <v>4</v>
      </c>
      <c r="I1261" s="39">
        <f t="shared" si="132"/>
        <v>0</v>
      </c>
      <c r="K1261" s="40"/>
      <c r="Q1261" s="40">
        <v>34963</v>
      </c>
      <c r="R1261" s="39">
        <v>2287.3000000000002</v>
      </c>
      <c r="S1261" s="39">
        <f t="shared" si="133"/>
        <v>9</v>
      </c>
      <c r="T1261" s="39">
        <f t="shared" si="134"/>
        <v>0</v>
      </c>
      <c r="U1261" s="39">
        <f t="shared" si="135"/>
        <v>0</v>
      </c>
      <c r="V1261" s="40"/>
    </row>
    <row r="1262" spans="2:22" x14ac:dyDescent="0.35">
      <c r="B1262" s="40">
        <v>34964</v>
      </c>
      <c r="C1262" s="39">
        <v>2211.8000000000002</v>
      </c>
      <c r="D1262" s="219">
        <f t="shared" si="136"/>
        <v>-3.3565418992054355E-2</v>
      </c>
      <c r="F1262" s="40">
        <v>34964</v>
      </c>
      <c r="G1262" s="39">
        <v>2211.8000000000002</v>
      </c>
      <c r="H1262" s="39">
        <f t="shared" si="131"/>
        <v>5</v>
      </c>
      <c r="I1262" s="39">
        <f t="shared" si="132"/>
        <v>2211.8000000000002</v>
      </c>
      <c r="K1262" s="40"/>
      <c r="Q1262" s="40">
        <v>34964</v>
      </c>
      <c r="R1262" s="39">
        <v>2211.8000000000002</v>
      </c>
      <c r="S1262" s="39">
        <f t="shared" si="133"/>
        <v>9</v>
      </c>
      <c r="T1262" s="39">
        <f t="shared" si="134"/>
        <v>0</v>
      </c>
      <c r="U1262" s="39">
        <f t="shared" si="135"/>
        <v>0</v>
      </c>
      <c r="V1262" s="40"/>
    </row>
    <row r="1263" spans="2:22" x14ac:dyDescent="0.35">
      <c r="B1263" s="40">
        <v>34967</v>
      </c>
      <c r="C1263" s="39">
        <v>2208.4</v>
      </c>
      <c r="D1263" s="219">
        <f t="shared" si="136"/>
        <v>-1.5383922313700674E-3</v>
      </c>
      <c r="F1263" s="40">
        <v>34967</v>
      </c>
      <c r="G1263" s="39">
        <v>2208.4</v>
      </c>
      <c r="H1263" s="39">
        <f t="shared" si="131"/>
        <v>1</v>
      </c>
      <c r="I1263" s="39">
        <f t="shared" si="132"/>
        <v>0</v>
      </c>
      <c r="K1263" s="40"/>
      <c r="Q1263" s="40">
        <v>34967</v>
      </c>
      <c r="R1263" s="39">
        <v>2208.4</v>
      </c>
      <c r="S1263" s="39">
        <f t="shared" si="133"/>
        <v>9</v>
      </c>
      <c r="T1263" s="39">
        <f t="shared" si="134"/>
        <v>0</v>
      </c>
      <c r="U1263" s="39">
        <f t="shared" si="135"/>
        <v>0</v>
      </c>
      <c r="V1263" s="40"/>
    </row>
    <row r="1264" spans="2:22" x14ac:dyDescent="0.35">
      <c r="B1264" s="40">
        <v>34968</v>
      </c>
      <c r="C1264" s="39">
        <v>2227.9</v>
      </c>
      <c r="D1264" s="219">
        <f t="shared" si="136"/>
        <v>8.7911663265883636E-3</v>
      </c>
      <c r="F1264" s="40">
        <v>34968</v>
      </c>
      <c r="G1264" s="39">
        <v>2227.9</v>
      </c>
      <c r="H1264" s="39">
        <f t="shared" si="131"/>
        <v>2</v>
      </c>
      <c r="I1264" s="39">
        <f t="shared" si="132"/>
        <v>0</v>
      </c>
      <c r="K1264" s="40"/>
      <c r="Q1264" s="40">
        <v>34968</v>
      </c>
      <c r="R1264" s="39">
        <v>2227.9</v>
      </c>
      <c r="S1264" s="39">
        <f t="shared" si="133"/>
        <v>9</v>
      </c>
      <c r="T1264" s="39">
        <f t="shared" si="134"/>
        <v>0</v>
      </c>
      <c r="U1264" s="39">
        <f t="shared" si="135"/>
        <v>0</v>
      </c>
      <c r="V1264" s="40"/>
    </row>
    <row r="1265" spans="2:22" x14ac:dyDescent="0.35">
      <c r="B1265" s="40">
        <v>34969</v>
      </c>
      <c r="C1265" s="39">
        <v>2185.4</v>
      </c>
      <c r="D1265" s="219">
        <f t="shared" si="136"/>
        <v>-1.9260559599832881E-2</v>
      </c>
      <c r="F1265" s="40">
        <v>34969</v>
      </c>
      <c r="G1265" s="39">
        <v>2185.4</v>
      </c>
      <c r="H1265" s="39">
        <f t="shared" si="131"/>
        <v>3</v>
      </c>
      <c r="I1265" s="39">
        <f t="shared" si="132"/>
        <v>0</v>
      </c>
      <c r="K1265" s="40"/>
      <c r="Q1265" s="40">
        <v>34969</v>
      </c>
      <c r="R1265" s="39">
        <v>2185.4</v>
      </c>
      <c r="S1265" s="39">
        <f t="shared" si="133"/>
        <v>9</v>
      </c>
      <c r="T1265" s="39">
        <f t="shared" si="134"/>
        <v>0</v>
      </c>
      <c r="U1265" s="39">
        <f t="shared" si="135"/>
        <v>0</v>
      </c>
      <c r="V1265" s="40"/>
    </row>
    <row r="1266" spans="2:22" x14ac:dyDescent="0.35">
      <c r="B1266" s="40">
        <v>34970</v>
      </c>
      <c r="C1266" s="39">
        <v>2171.9</v>
      </c>
      <c r="D1266" s="219">
        <f t="shared" si="136"/>
        <v>-6.1965176583698243E-3</v>
      </c>
      <c r="F1266" s="40">
        <v>34970</v>
      </c>
      <c r="G1266" s="39">
        <v>2171.9</v>
      </c>
      <c r="H1266" s="39">
        <f t="shared" si="131"/>
        <v>4</v>
      </c>
      <c r="I1266" s="39">
        <f t="shared" si="132"/>
        <v>0</v>
      </c>
      <c r="K1266" s="40"/>
      <c r="Q1266" s="40">
        <v>34970</v>
      </c>
      <c r="R1266" s="39">
        <v>2171.9</v>
      </c>
      <c r="S1266" s="39">
        <f t="shared" si="133"/>
        <v>9</v>
      </c>
      <c r="T1266" s="39">
        <f t="shared" si="134"/>
        <v>0</v>
      </c>
      <c r="U1266" s="39">
        <f t="shared" si="135"/>
        <v>0</v>
      </c>
      <c r="V1266" s="40"/>
    </row>
    <row r="1267" spans="2:22" x14ac:dyDescent="0.35">
      <c r="B1267" s="40">
        <v>34971</v>
      </c>
      <c r="C1267" s="39">
        <v>2187</v>
      </c>
      <c r="D1267" s="219">
        <f t="shared" si="136"/>
        <v>6.9283811984926814E-3</v>
      </c>
      <c r="F1267" s="40">
        <v>34971</v>
      </c>
      <c r="G1267" s="39">
        <v>2187</v>
      </c>
      <c r="H1267" s="39">
        <f t="shared" si="131"/>
        <v>5</v>
      </c>
      <c r="I1267" s="39">
        <f t="shared" si="132"/>
        <v>2187</v>
      </c>
      <c r="K1267" s="40"/>
      <c r="Q1267" s="40">
        <v>34971</v>
      </c>
      <c r="R1267" s="39">
        <v>2187</v>
      </c>
      <c r="S1267" s="39">
        <f t="shared" si="133"/>
        <v>9</v>
      </c>
      <c r="T1267" s="39">
        <f t="shared" si="134"/>
        <v>2187</v>
      </c>
      <c r="U1267" s="39">
        <f t="shared" si="135"/>
        <v>2187</v>
      </c>
      <c r="V1267" s="40"/>
    </row>
    <row r="1268" spans="2:22" x14ac:dyDescent="0.35">
      <c r="B1268" s="40">
        <v>34974</v>
      </c>
      <c r="C1268" s="39">
        <v>2205</v>
      </c>
      <c r="D1268" s="219">
        <f t="shared" si="136"/>
        <v>8.1967672041784907E-3</v>
      </c>
      <c r="F1268" s="40">
        <v>34974</v>
      </c>
      <c r="G1268" s="39">
        <v>2205</v>
      </c>
      <c r="H1268" s="39">
        <f t="shared" si="131"/>
        <v>1</v>
      </c>
      <c r="I1268" s="39">
        <f t="shared" si="132"/>
        <v>0</v>
      </c>
      <c r="K1268" s="40"/>
      <c r="Q1268" s="40">
        <v>34974</v>
      </c>
      <c r="R1268" s="39">
        <v>2205</v>
      </c>
      <c r="S1268" s="39">
        <f t="shared" si="133"/>
        <v>10</v>
      </c>
      <c r="T1268" s="39">
        <f t="shared" si="134"/>
        <v>0</v>
      </c>
      <c r="U1268" s="39">
        <f t="shared" si="135"/>
        <v>0</v>
      </c>
      <c r="V1268" s="40"/>
    </row>
    <row r="1269" spans="2:22" x14ac:dyDescent="0.35">
      <c r="B1269" s="40">
        <v>34976</v>
      </c>
      <c r="C1269" s="39">
        <v>2217.8000000000002</v>
      </c>
      <c r="D1269" s="219">
        <f t="shared" si="136"/>
        <v>5.7882046381692301E-3</v>
      </c>
      <c r="F1269" s="40">
        <v>34976</v>
      </c>
      <c r="G1269" s="39">
        <v>2217.8000000000002</v>
      </c>
      <c r="H1269" s="39">
        <f t="shared" si="131"/>
        <v>3</v>
      </c>
      <c r="I1269" s="39">
        <f t="shared" si="132"/>
        <v>0</v>
      </c>
      <c r="K1269" s="40"/>
      <c r="Q1269" s="40">
        <v>34976</v>
      </c>
      <c r="R1269" s="39">
        <v>2217.8000000000002</v>
      </c>
      <c r="S1269" s="39">
        <f t="shared" si="133"/>
        <v>10</v>
      </c>
      <c r="T1269" s="39">
        <f t="shared" si="134"/>
        <v>0</v>
      </c>
      <c r="U1269" s="39">
        <f t="shared" si="135"/>
        <v>0</v>
      </c>
      <c r="V1269" s="40"/>
    </row>
    <row r="1270" spans="2:22" x14ac:dyDescent="0.35">
      <c r="B1270" s="40">
        <v>34977</v>
      </c>
      <c r="C1270" s="39">
        <v>2208.8000000000002</v>
      </c>
      <c r="D1270" s="219">
        <f t="shared" si="136"/>
        <v>-4.0663319031708058E-3</v>
      </c>
      <c r="F1270" s="40">
        <v>34977</v>
      </c>
      <c r="G1270" s="39">
        <v>2208.8000000000002</v>
      </c>
      <c r="H1270" s="39">
        <f t="shared" si="131"/>
        <v>4</v>
      </c>
      <c r="I1270" s="39">
        <f t="shared" si="132"/>
        <v>0</v>
      </c>
      <c r="K1270" s="40"/>
      <c r="Q1270" s="40">
        <v>34977</v>
      </c>
      <c r="R1270" s="39">
        <v>2208.8000000000002</v>
      </c>
      <c r="S1270" s="39">
        <f t="shared" si="133"/>
        <v>10</v>
      </c>
      <c r="T1270" s="39">
        <f t="shared" si="134"/>
        <v>0</v>
      </c>
      <c r="U1270" s="39">
        <f t="shared" si="135"/>
        <v>0</v>
      </c>
      <c r="V1270" s="40"/>
    </row>
    <row r="1271" spans="2:22" x14ac:dyDescent="0.35">
      <c r="B1271" s="40">
        <v>34978</v>
      </c>
      <c r="C1271" s="39">
        <v>2171.4</v>
      </c>
      <c r="D1271" s="219">
        <f t="shared" si="136"/>
        <v>-1.7077260818192906E-2</v>
      </c>
      <c r="F1271" s="40">
        <v>34978</v>
      </c>
      <c r="G1271" s="39">
        <v>2171.4</v>
      </c>
      <c r="H1271" s="39">
        <f t="shared" ref="H1271:H1334" si="137">WEEKDAY(F1271,2)</f>
        <v>5</v>
      </c>
      <c r="I1271" s="39">
        <f t="shared" ref="I1271:I1334" si="138">IF(H1271&gt;H1272,G1271,0)</f>
        <v>2171.4</v>
      </c>
      <c r="K1271" s="40"/>
      <c r="Q1271" s="40">
        <v>34978</v>
      </c>
      <c r="R1271" s="39">
        <v>2171.4</v>
      </c>
      <c r="S1271" s="39">
        <f t="shared" ref="S1271:S1334" si="139">MONTH(Q1271)</f>
        <v>10</v>
      </c>
      <c r="T1271" s="39">
        <f t="shared" ref="T1271:T1334" si="140">IF(S1272&lt;&gt;S1271,R1271,0)</f>
        <v>0</v>
      </c>
      <c r="U1271" s="39">
        <f t="shared" ref="U1271:U1334" si="141">IF(S1272=S1271,0,R1271)</f>
        <v>0</v>
      </c>
      <c r="V1271" s="40"/>
    </row>
    <row r="1272" spans="2:22" x14ac:dyDescent="0.35">
      <c r="B1272" s="40">
        <v>34981</v>
      </c>
      <c r="C1272" s="39">
        <v>2168.6999999999998</v>
      </c>
      <c r="D1272" s="219">
        <f t="shared" ref="D1272:D1335" si="142">LN(C1272/C1271)</f>
        <v>-1.2442111233907226E-3</v>
      </c>
      <c r="F1272" s="40">
        <v>34981</v>
      </c>
      <c r="G1272" s="39">
        <v>2168.6999999999998</v>
      </c>
      <c r="H1272" s="39">
        <f t="shared" si="137"/>
        <v>1</v>
      </c>
      <c r="I1272" s="39">
        <f t="shared" si="138"/>
        <v>0</v>
      </c>
      <c r="K1272" s="40"/>
      <c r="Q1272" s="40">
        <v>34981</v>
      </c>
      <c r="R1272" s="39">
        <v>2168.6999999999998</v>
      </c>
      <c r="S1272" s="39">
        <f t="shared" si="139"/>
        <v>10</v>
      </c>
      <c r="T1272" s="39">
        <f t="shared" si="140"/>
        <v>0</v>
      </c>
      <c r="U1272" s="39">
        <f t="shared" si="141"/>
        <v>0</v>
      </c>
      <c r="V1272" s="40"/>
    </row>
    <row r="1273" spans="2:22" x14ac:dyDescent="0.35">
      <c r="B1273" s="40">
        <v>34982</v>
      </c>
      <c r="C1273" s="39">
        <v>2138.8000000000002</v>
      </c>
      <c r="D1273" s="219">
        <f t="shared" si="142"/>
        <v>-1.3882985599784422E-2</v>
      </c>
      <c r="F1273" s="40">
        <v>34982</v>
      </c>
      <c r="G1273" s="39">
        <v>2138.8000000000002</v>
      </c>
      <c r="H1273" s="39">
        <f t="shared" si="137"/>
        <v>2</v>
      </c>
      <c r="I1273" s="39">
        <f t="shared" si="138"/>
        <v>0</v>
      </c>
      <c r="K1273" s="40"/>
      <c r="Q1273" s="40">
        <v>34982</v>
      </c>
      <c r="R1273" s="39">
        <v>2138.8000000000002</v>
      </c>
      <c r="S1273" s="39">
        <f t="shared" si="139"/>
        <v>10</v>
      </c>
      <c r="T1273" s="39">
        <f t="shared" si="140"/>
        <v>0</v>
      </c>
      <c r="U1273" s="39">
        <f t="shared" si="141"/>
        <v>0</v>
      </c>
      <c r="V1273" s="40"/>
    </row>
    <row r="1274" spans="2:22" x14ac:dyDescent="0.35">
      <c r="B1274" s="40">
        <v>34983</v>
      </c>
      <c r="C1274" s="39">
        <v>2145.3000000000002</v>
      </c>
      <c r="D1274" s="219">
        <f t="shared" si="142"/>
        <v>3.034478647883376E-3</v>
      </c>
      <c r="F1274" s="40">
        <v>34983</v>
      </c>
      <c r="G1274" s="39">
        <v>2145.3000000000002</v>
      </c>
      <c r="H1274" s="39">
        <f t="shared" si="137"/>
        <v>3</v>
      </c>
      <c r="I1274" s="39">
        <f t="shared" si="138"/>
        <v>0</v>
      </c>
      <c r="K1274" s="40"/>
      <c r="Q1274" s="40">
        <v>34983</v>
      </c>
      <c r="R1274" s="39">
        <v>2145.3000000000002</v>
      </c>
      <c r="S1274" s="39">
        <f t="shared" si="139"/>
        <v>10</v>
      </c>
      <c r="T1274" s="39">
        <f t="shared" si="140"/>
        <v>0</v>
      </c>
      <c r="U1274" s="39">
        <f t="shared" si="141"/>
        <v>0</v>
      </c>
      <c r="V1274" s="40"/>
    </row>
    <row r="1275" spans="2:22" x14ac:dyDescent="0.35">
      <c r="B1275" s="40">
        <v>34984</v>
      </c>
      <c r="C1275" s="39">
        <v>2158.1</v>
      </c>
      <c r="D1275" s="219">
        <f t="shared" si="142"/>
        <v>5.9488022249579E-3</v>
      </c>
      <c r="F1275" s="40">
        <v>34984</v>
      </c>
      <c r="G1275" s="39">
        <v>2158.1</v>
      </c>
      <c r="H1275" s="39">
        <f t="shared" si="137"/>
        <v>4</v>
      </c>
      <c r="I1275" s="39">
        <f t="shared" si="138"/>
        <v>0</v>
      </c>
      <c r="K1275" s="40"/>
      <c r="Q1275" s="40">
        <v>34984</v>
      </c>
      <c r="R1275" s="39">
        <v>2158.1</v>
      </c>
      <c r="S1275" s="39">
        <f t="shared" si="139"/>
        <v>10</v>
      </c>
      <c r="T1275" s="39">
        <f t="shared" si="140"/>
        <v>0</v>
      </c>
      <c r="U1275" s="39">
        <f t="shared" si="141"/>
        <v>0</v>
      </c>
      <c r="V1275" s="40"/>
    </row>
    <row r="1276" spans="2:22" x14ac:dyDescent="0.35">
      <c r="B1276" s="40">
        <v>34985</v>
      </c>
      <c r="C1276" s="39">
        <v>2196.8000000000002</v>
      </c>
      <c r="D1276" s="219">
        <f t="shared" si="142"/>
        <v>1.7773551066288751E-2</v>
      </c>
      <c r="F1276" s="40">
        <v>34985</v>
      </c>
      <c r="G1276" s="39">
        <v>2196.8000000000002</v>
      </c>
      <c r="H1276" s="39">
        <f t="shared" si="137"/>
        <v>5</v>
      </c>
      <c r="I1276" s="39">
        <f t="shared" si="138"/>
        <v>2196.8000000000002</v>
      </c>
      <c r="K1276" s="40"/>
      <c r="Q1276" s="40">
        <v>34985</v>
      </c>
      <c r="R1276" s="39">
        <v>2196.8000000000002</v>
      </c>
      <c r="S1276" s="39">
        <f t="shared" si="139"/>
        <v>10</v>
      </c>
      <c r="T1276" s="39">
        <f t="shared" si="140"/>
        <v>0</v>
      </c>
      <c r="U1276" s="39">
        <f t="shared" si="141"/>
        <v>0</v>
      </c>
      <c r="V1276" s="40"/>
    </row>
    <row r="1277" spans="2:22" x14ac:dyDescent="0.35">
      <c r="B1277" s="40">
        <v>34988</v>
      </c>
      <c r="C1277" s="39">
        <v>2191.4</v>
      </c>
      <c r="D1277" s="219">
        <f t="shared" si="142"/>
        <v>-2.461147042413769E-3</v>
      </c>
      <c r="F1277" s="40">
        <v>34988</v>
      </c>
      <c r="G1277" s="39">
        <v>2191.4</v>
      </c>
      <c r="H1277" s="39">
        <f t="shared" si="137"/>
        <v>1</v>
      </c>
      <c r="I1277" s="39">
        <f t="shared" si="138"/>
        <v>0</v>
      </c>
      <c r="K1277" s="40"/>
      <c r="Q1277" s="40">
        <v>34988</v>
      </c>
      <c r="R1277" s="39">
        <v>2191.4</v>
      </c>
      <c r="S1277" s="39">
        <f t="shared" si="139"/>
        <v>10</v>
      </c>
      <c r="T1277" s="39">
        <f t="shared" si="140"/>
        <v>0</v>
      </c>
      <c r="U1277" s="39">
        <f t="shared" si="141"/>
        <v>0</v>
      </c>
      <c r="V1277" s="40"/>
    </row>
    <row r="1278" spans="2:22" x14ac:dyDescent="0.35">
      <c r="B1278" s="40">
        <v>34989</v>
      </c>
      <c r="C1278" s="39">
        <v>2201</v>
      </c>
      <c r="D1278" s="219">
        <f t="shared" si="142"/>
        <v>4.3711935551687345E-3</v>
      </c>
      <c r="F1278" s="40">
        <v>34989</v>
      </c>
      <c r="G1278" s="39">
        <v>2201</v>
      </c>
      <c r="H1278" s="39">
        <f t="shared" si="137"/>
        <v>2</v>
      </c>
      <c r="I1278" s="39">
        <f t="shared" si="138"/>
        <v>0</v>
      </c>
      <c r="K1278" s="40"/>
      <c r="Q1278" s="40">
        <v>34989</v>
      </c>
      <c r="R1278" s="39">
        <v>2201</v>
      </c>
      <c r="S1278" s="39">
        <f t="shared" si="139"/>
        <v>10</v>
      </c>
      <c r="T1278" s="39">
        <f t="shared" si="140"/>
        <v>0</v>
      </c>
      <c r="U1278" s="39">
        <f t="shared" si="141"/>
        <v>0</v>
      </c>
      <c r="V1278" s="40"/>
    </row>
    <row r="1279" spans="2:22" x14ac:dyDescent="0.35">
      <c r="B1279" s="40">
        <v>34990</v>
      </c>
      <c r="C1279" s="39">
        <v>2194.8000000000002</v>
      </c>
      <c r="D1279" s="219">
        <f t="shared" si="142"/>
        <v>-2.8208763416412296E-3</v>
      </c>
      <c r="F1279" s="40">
        <v>34990</v>
      </c>
      <c r="G1279" s="39">
        <v>2194.8000000000002</v>
      </c>
      <c r="H1279" s="39">
        <f t="shared" si="137"/>
        <v>3</v>
      </c>
      <c r="I1279" s="39">
        <f t="shared" si="138"/>
        <v>0</v>
      </c>
      <c r="K1279" s="40"/>
      <c r="Q1279" s="40">
        <v>34990</v>
      </c>
      <c r="R1279" s="39">
        <v>2194.8000000000002</v>
      </c>
      <c r="S1279" s="39">
        <f t="shared" si="139"/>
        <v>10</v>
      </c>
      <c r="T1279" s="39">
        <f t="shared" si="140"/>
        <v>0</v>
      </c>
      <c r="U1279" s="39">
        <f t="shared" si="141"/>
        <v>0</v>
      </c>
      <c r="V1279" s="40"/>
    </row>
    <row r="1280" spans="2:22" x14ac:dyDescent="0.35">
      <c r="B1280" s="40">
        <v>34991</v>
      </c>
      <c r="C1280" s="39">
        <v>2179.6</v>
      </c>
      <c r="D1280" s="219">
        <f t="shared" si="142"/>
        <v>-6.9495524758771418E-3</v>
      </c>
      <c r="F1280" s="40">
        <v>34991</v>
      </c>
      <c r="G1280" s="39">
        <v>2179.6</v>
      </c>
      <c r="H1280" s="39">
        <f t="shared" si="137"/>
        <v>4</v>
      </c>
      <c r="I1280" s="39">
        <f t="shared" si="138"/>
        <v>0</v>
      </c>
      <c r="K1280" s="40"/>
      <c r="Q1280" s="40">
        <v>34991</v>
      </c>
      <c r="R1280" s="39">
        <v>2179.6</v>
      </c>
      <c r="S1280" s="39">
        <f t="shared" si="139"/>
        <v>10</v>
      </c>
      <c r="T1280" s="39">
        <f t="shared" si="140"/>
        <v>0</v>
      </c>
      <c r="U1280" s="39">
        <f t="shared" si="141"/>
        <v>0</v>
      </c>
      <c r="V1280" s="40"/>
    </row>
    <row r="1281" spans="2:22" x14ac:dyDescent="0.35">
      <c r="B1281" s="40">
        <v>34992</v>
      </c>
      <c r="C1281" s="39">
        <v>2170.5</v>
      </c>
      <c r="D1281" s="219">
        <f t="shared" si="142"/>
        <v>-4.1838179692949796E-3</v>
      </c>
      <c r="F1281" s="40">
        <v>34992</v>
      </c>
      <c r="G1281" s="39">
        <v>2170.5</v>
      </c>
      <c r="H1281" s="39">
        <f t="shared" si="137"/>
        <v>5</v>
      </c>
      <c r="I1281" s="39">
        <f t="shared" si="138"/>
        <v>2170.5</v>
      </c>
      <c r="K1281" s="40"/>
      <c r="Q1281" s="40">
        <v>34992</v>
      </c>
      <c r="R1281" s="39">
        <v>2170.5</v>
      </c>
      <c r="S1281" s="39">
        <f t="shared" si="139"/>
        <v>10</v>
      </c>
      <c r="T1281" s="39">
        <f t="shared" si="140"/>
        <v>0</v>
      </c>
      <c r="U1281" s="39">
        <f t="shared" si="141"/>
        <v>0</v>
      </c>
      <c r="V1281" s="40"/>
    </row>
    <row r="1282" spans="2:22" x14ac:dyDescent="0.35">
      <c r="B1282" s="40">
        <v>34995</v>
      </c>
      <c r="C1282" s="39">
        <v>2107.4</v>
      </c>
      <c r="D1282" s="219">
        <f t="shared" si="142"/>
        <v>-2.9502595574221011E-2</v>
      </c>
      <c r="F1282" s="40">
        <v>34995</v>
      </c>
      <c r="G1282" s="39">
        <v>2107.4</v>
      </c>
      <c r="H1282" s="39">
        <f t="shared" si="137"/>
        <v>1</v>
      </c>
      <c r="I1282" s="39">
        <f t="shared" si="138"/>
        <v>0</v>
      </c>
      <c r="K1282" s="40"/>
      <c r="Q1282" s="40">
        <v>34995</v>
      </c>
      <c r="R1282" s="39">
        <v>2107.4</v>
      </c>
      <c r="S1282" s="39">
        <f t="shared" si="139"/>
        <v>10</v>
      </c>
      <c r="T1282" s="39">
        <f t="shared" si="140"/>
        <v>0</v>
      </c>
      <c r="U1282" s="39">
        <f t="shared" si="141"/>
        <v>0</v>
      </c>
      <c r="V1282" s="40"/>
    </row>
    <row r="1283" spans="2:22" x14ac:dyDescent="0.35">
      <c r="B1283" s="40">
        <v>34996</v>
      </c>
      <c r="C1283" s="39">
        <v>2113.6</v>
      </c>
      <c r="D1283" s="219">
        <f t="shared" si="142"/>
        <v>2.9376946026335965E-3</v>
      </c>
      <c r="F1283" s="40">
        <v>34996</v>
      </c>
      <c r="G1283" s="39">
        <v>2113.6</v>
      </c>
      <c r="H1283" s="39">
        <f t="shared" si="137"/>
        <v>2</v>
      </c>
      <c r="I1283" s="39">
        <f t="shared" si="138"/>
        <v>0</v>
      </c>
      <c r="K1283" s="40"/>
      <c r="Q1283" s="40">
        <v>34996</v>
      </c>
      <c r="R1283" s="39">
        <v>2113.6</v>
      </c>
      <c r="S1283" s="39">
        <f t="shared" si="139"/>
        <v>10</v>
      </c>
      <c r="T1283" s="39">
        <f t="shared" si="140"/>
        <v>0</v>
      </c>
      <c r="U1283" s="39">
        <f t="shared" si="141"/>
        <v>0</v>
      </c>
      <c r="V1283" s="40"/>
    </row>
    <row r="1284" spans="2:22" x14ac:dyDescent="0.35">
      <c r="B1284" s="40">
        <v>34997</v>
      </c>
      <c r="C1284" s="39">
        <v>2150.1</v>
      </c>
      <c r="D1284" s="219">
        <f t="shared" si="142"/>
        <v>1.712169789992234E-2</v>
      </c>
      <c r="F1284" s="40">
        <v>34997</v>
      </c>
      <c r="G1284" s="39">
        <v>2150.1</v>
      </c>
      <c r="H1284" s="39">
        <f t="shared" si="137"/>
        <v>3</v>
      </c>
      <c r="I1284" s="39">
        <f t="shared" si="138"/>
        <v>0</v>
      </c>
      <c r="K1284" s="40"/>
      <c r="Q1284" s="40">
        <v>34997</v>
      </c>
      <c r="R1284" s="39">
        <v>2150.1</v>
      </c>
      <c r="S1284" s="39">
        <f t="shared" si="139"/>
        <v>10</v>
      </c>
      <c r="T1284" s="39">
        <f t="shared" si="140"/>
        <v>0</v>
      </c>
      <c r="U1284" s="39">
        <f t="shared" si="141"/>
        <v>0</v>
      </c>
      <c r="V1284" s="40"/>
    </row>
    <row r="1285" spans="2:22" x14ac:dyDescent="0.35">
      <c r="B1285" s="40">
        <v>34998</v>
      </c>
      <c r="C1285" s="39">
        <v>2131.8000000000002</v>
      </c>
      <c r="D1285" s="219">
        <f t="shared" si="142"/>
        <v>-8.5476594129466916E-3</v>
      </c>
      <c r="F1285" s="40">
        <v>34998</v>
      </c>
      <c r="G1285" s="39">
        <v>2131.8000000000002</v>
      </c>
      <c r="H1285" s="39">
        <f t="shared" si="137"/>
        <v>4</v>
      </c>
      <c r="I1285" s="39">
        <f t="shared" si="138"/>
        <v>0</v>
      </c>
      <c r="K1285" s="40"/>
      <c r="Q1285" s="40">
        <v>34998</v>
      </c>
      <c r="R1285" s="39">
        <v>2131.8000000000002</v>
      </c>
      <c r="S1285" s="39">
        <f t="shared" si="139"/>
        <v>10</v>
      </c>
      <c r="T1285" s="39">
        <f t="shared" si="140"/>
        <v>0</v>
      </c>
      <c r="U1285" s="39">
        <f t="shared" si="141"/>
        <v>0</v>
      </c>
      <c r="V1285" s="40"/>
    </row>
    <row r="1286" spans="2:22" x14ac:dyDescent="0.35">
      <c r="B1286" s="40">
        <v>34999</v>
      </c>
      <c r="C1286" s="39">
        <v>2096.1</v>
      </c>
      <c r="D1286" s="219">
        <f t="shared" si="142"/>
        <v>-1.6888218028521852E-2</v>
      </c>
      <c r="F1286" s="40">
        <v>34999</v>
      </c>
      <c r="G1286" s="39">
        <v>2096.1</v>
      </c>
      <c r="H1286" s="39">
        <f t="shared" si="137"/>
        <v>5</v>
      </c>
      <c r="I1286" s="39">
        <f t="shared" si="138"/>
        <v>2096.1</v>
      </c>
      <c r="K1286" s="40"/>
      <c r="Q1286" s="40">
        <v>34999</v>
      </c>
      <c r="R1286" s="39">
        <v>2096.1</v>
      </c>
      <c r="S1286" s="39">
        <f t="shared" si="139"/>
        <v>10</v>
      </c>
      <c r="T1286" s="39">
        <f t="shared" si="140"/>
        <v>0</v>
      </c>
      <c r="U1286" s="39">
        <f t="shared" si="141"/>
        <v>0</v>
      </c>
      <c r="V1286" s="40"/>
    </row>
    <row r="1287" spans="2:22" x14ac:dyDescent="0.35">
      <c r="B1287" s="40">
        <v>35002</v>
      </c>
      <c r="C1287" s="39">
        <v>2146.1</v>
      </c>
      <c r="D1287" s="219">
        <f t="shared" si="142"/>
        <v>2.3573766200921352E-2</v>
      </c>
      <c r="F1287" s="40">
        <v>35002</v>
      </c>
      <c r="G1287" s="39">
        <v>2146.1</v>
      </c>
      <c r="H1287" s="39">
        <f t="shared" si="137"/>
        <v>1</v>
      </c>
      <c r="I1287" s="39">
        <f t="shared" si="138"/>
        <v>0</v>
      </c>
      <c r="K1287" s="40"/>
      <c r="Q1287" s="40">
        <v>35002</v>
      </c>
      <c r="R1287" s="39">
        <v>2146.1</v>
      </c>
      <c r="S1287" s="39">
        <f t="shared" si="139"/>
        <v>10</v>
      </c>
      <c r="T1287" s="39">
        <f t="shared" si="140"/>
        <v>0</v>
      </c>
      <c r="U1287" s="39">
        <f t="shared" si="141"/>
        <v>0</v>
      </c>
      <c r="V1287" s="40"/>
    </row>
    <row r="1288" spans="2:22" x14ac:dyDescent="0.35">
      <c r="B1288" s="40">
        <v>35003</v>
      </c>
      <c r="C1288" s="39">
        <v>2167.9</v>
      </c>
      <c r="D1288" s="219">
        <f t="shared" si="142"/>
        <v>1.0106715607034395E-2</v>
      </c>
      <c r="F1288" s="40">
        <v>35003</v>
      </c>
      <c r="G1288" s="39">
        <v>2167.9</v>
      </c>
      <c r="H1288" s="39">
        <f t="shared" si="137"/>
        <v>2</v>
      </c>
      <c r="I1288" s="39">
        <f t="shared" si="138"/>
        <v>0</v>
      </c>
      <c r="K1288" s="40"/>
      <c r="Q1288" s="40">
        <v>35003</v>
      </c>
      <c r="R1288" s="39">
        <v>2167.9</v>
      </c>
      <c r="S1288" s="39">
        <f t="shared" si="139"/>
        <v>10</v>
      </c>
      <c r="T1288" s="39">
        <f t="shared" si="140"/>
        <v>2167.9</v>
      </c>
      <c r="U1288" s="39">
        <f t="shared" si="141"/>
        <v>2167.9</v>
      </c>
      <c r="V1288" s="40"/>
    </row>
    <row r="1289" spans="2:22" x14ac:dyDescent="0.35">
      <c r="B1289" s="40">
        <v>35004</v>
      </c>
      <c r="C1289" s="39">
        <v>2163.1999999999998</v>
      </c>
      <c r="D1289" s="219">
        <f t="shared" si="142"/>
        <v>-2.1703501858255959E-3</v>
      </c>
      <c r="F1289" s="40">
        <v>35004</v>
      </c>
      <c r="G1289" s="39">
        <v>2163.1999999999998</v>
      </c>
      <c r="H1289" s="39">
        <f t="shared" si="137"/>
        <v>3</v>
      </c>
      <c r="I1289" s="39">
        <f t="shared" si="138"/>
        <v>0</v>
      </c>
      <c r="K1289" s="40"/>
      <c r="Q1289" s="40">
        <v>35004</v>
      </c>
      <c r="R1289" s="39">
        <v>2163.1999999999998</v>
      </c>
      <c r="S1289" s="39">
        <f t="shared" si="139"/>
        <v>11</v>
      </c>
      <c r="T1289" s="39">
        <f t="shared" si="140"/>
        <v>0</v>
      </c>
      <c r="U1289" s="39">
        <f t="shared" si="141"/>
        <v>0</v>
      </c>
      <c r="V1289" s="40"/>
    </row>
    <row r="1290" spans="2:22" x14ac:dyDescent="0.35">
      <c r="B1290" s="40">
        <v>35005</v>
      </c>
      <c r="C1290" s="39">
        <v>2184</v>
      </c>
      <c r="D1290" s="219">
        <f t="shared" si="142"/>
        <v>9.5694510161508928E-3</v>
      </c>
      <c r="F1290" s="40">
        <v>35005</v>
      </c>
      <c r="G1290" s="39">
        <v>2184</v>
      </c>
      <c r="H1290" s="39">
        <f t="shared" si="137"/>
        <v>4</v>
      </c>
      <c r="I1290" s="39">
        <f t="shared" si="138"/>
        <v>0</v>
      </c>
      <c r="K1290" s="40"/>
      <c r="Q1290" s="40">
        <v>35005</v>
      </c>
      <c r="R1290" s="39">
        <v>2184</v>
      </c>
      <c r="S1290" s="39">
        <f t="shared" si="139"/>
        <v>11</v>
      </c>
      <c r="T1290" s="39">
        <f t="shared" si="140"/>
        <v>0</v>
      </c>
      <c r="U1290" s="39">
        <f t="shared" si="141"/>
        <v>0</v>
      </c>
      <c r="V1290" s="40"/>
    </row>
    <row r="1291" spans="2:22" x14ac:dyDescent="0.35">
      <c r="B1291" s="40">
        <v>35006</v>
      </c>
      <c r="C1291" s="39">
        <v>2181.6999999999998</v>
      </c>
      <c r="D1291" s="219">
        <f t="shared" si="142"/>
        <v>-1.0536684668171737E-3</v>
      </c>
      <c r="F1291" s="40">
        <v>35006</v>
      </c>
      <c r="G1291" s="39">
        <v>2181.6999999999998</v>
      </c>
      <c r="H1291" s="39">
        <f t="shared" si="137"/>
        <v>5</v>
      </c>
      <c r="I1291" s="39">
        <f t="shared" si="138"/>
        <v>2181.6999999999998</v>
      </c>
      <c r="K1291" s="40"/>
      <c r="Q1291" s="40">
        <v>35006</v>
      </c>
      <c r="R1291" s="39">
        <v>2181.6999999999998</v>
      </c>
      <c r="S1291" s="39">
        <f t="shared" si="139"/>
        <v>11</v>
      </c>
      <c r="T1291" s="39">
        <f t="shared" si="140"/>
        <v>0</v>
      </c>
      <c r="U1291" s="39">
        <f t="shared" si="141"/>
        <v>0</v>
      </c>
      <c r="V1291" s="40"/>
    </row>
    <row r="1292" spans="2:22" x14ac:dyDescent="0.35">
      <c r="B1292" s="40">
        <v>35009</v>
      </c>
      <c r="C1292" s="39">
        <v>2165.8000000000002</v>
      </c>
      <c r="D1292" s="219">
        <f t="shared" si="142"/>
        <v>-7.3145812036993513E-3</v>
      </c>
      <c r="F1292" s="40">
        <v>35009</v>
      </c>
      <c r="G1292" s="39">
        <v>2165.8000000000002</v>
      </c>
      <c r="H1292" s="39">
        <f t="shared" si="137"/>
        <v>1</v>
      </c>
      <c r="I1292" s="39">
        <f t="shared" si="138"/>
        <v>0</v>
      </c>
      <c r="K1292" s="40"/>
      <c r="Q1292" s="40">
        <v>35009</v>
      </c>
      <c r="R1292" s="39">
        <v>2165.8000000000002</v>
      </c>
      <c r="S1292" s="39">
        <f t="shared" si="139"/>
        <v>11</v>
      </c>
      <c r="T1292" s="39">
        <f t="shared" si="140"/>
        <v>0</v>
      </c>
      <c r="U1292" s="39">
        <f t="shared" si="141"/>
        <v>0</v>
      </c>
      <c r="V1292" s="40"/>
    </row>
    <row r="1293" spans="2:22" x14ac:dyDescent="0.35">
      <c r="B1293" s="40">
        <v>35010</v>
      </c>
      <c r="C1293" s="39">
        <v>2175</v>
      </c>
      <c r="D1293" s="219">
        <f t="shared" si="142"/>
        <v>4.2388563285052742E-3</v>
      </c>
      <c r="F1293" s="40">
        <v>35010</v>
      </c>
      <c r="G1293" s="39">
        <v>2175</v>
      </c>
      <c r="H1293" s="39">
        <f t="shared" si="137"/>
        <v>2</v>
      </c>
      <c r="I1293" s="39">
        <f t="shared" si="138"/>
        <v>0</v>
      </c>
      <c r="K1293" s="40"/>
      <c r="Q1293" s="40">
        <v>35010</v>
      </c>
      <c r="R1293" s="39">
        <v>2175</v>
      </c>
      <c r="S1293" s="39">
        <f t="shared" si="139"/>
        <v>11</v>
      </c>
      <c r="T1293" s="39">
        <f t="shared" si="140"/>
        <v>0</v>
      </c>
      <c r="U1293" s="39">
        <f t="shared" si="141"/>
        <v>0</v>
      </c>
      <c r="V1293" s="40"/>
    </row>
    <row r="1294" spans="2:22" x14ac:dyDescent="0.35">
      <c r="B1294" s="40">
        <v>35011</v>
      </c>
      <c r="C1294" s="39">
        <v>2172.3000000000002</v>
      </c>
      <c r="D1294" s="219">
        <f t="shared" si="142"/>
        <v>-1.2421504598996115E-3</v>
      </c>
      <c r="F1294" s="40">
        <v>35011</v>
      </c>
      <c r="G1294" s="39">
        <v>2172.3000000000002</v>
      </c>
      <c r="H1294" s="39">
        <f t="shared" si="137"/>
        <v>3</v>
      </c>
      <c r="I1294" s="39">
        <f t="shared" si="138"/>
        <v>0</v>
      </c>
      <c r="K1294" s="40"/>
      <c r="Q1294" s="40">
        <v>35011</v>
      </c>
      <c r="R1294" s="39">
        <v>2172.3000000000002</v>
      </c>
      <c r="S1294" s="39">
        <f t="shared" si="139"/>
        <v>11</v>
      </c>
      <c r="T1294" s="39">
        <f t="shared" si="140"/>
        <v>0</v>
      </c>
      <c r="U1294" s="39">
        <f t="shared" si="141"/>
        <v>0</v>
      </c>
      <c r="V1294" s="40"/>
    </row>
    <row r="1295" spans="2:22" x14ac:dyDescent="0.35">
      <c r="B1295" s="40">
        <v>35012</v>
      </c>
      <c r="C1295" s="39">
        <v>2192.8000000000002</v>
      </c>
      <c r="D1295" s="219">
        <f t="shared" si="142"/>
        <v>9.3927519256913478E-3</v>
      </c>
      <c r="F1295" s="40">
        <v>35012</v>
      </c>
      <c r="G1295" s="39">
        <v>2192.8000000000002</v>
      </c>
      <c r="H1295" s="39">
        <f t="shared" si="137"/>
        <v>4</v>
      </c>
      <c r="I1295" s="39">
        <f t="shared" si="138"/>
        <v>0</v>
      </c>
      <c r="K1295" s="40"/>
      <c r="Q1295" s="40">
        <v>35012</v>
      </c>
      <c r="R1295" s="39">
        <v>2192.8000000000002</v>
      </c>
      <c r="S1295" s="39">
        <f t="shared" si="139"/>
        <v>11</v>
      </c>
      <c r="T1295" s="39">
        <f t="shared" si="140"/>
        <v>0</v>
      </c>
      <c r="U1295" s="39">
        <f t="shared" si="141"/>
        <v>0</v>
      </c>
      <c r="V1295" s="40"/>
    </row>
    <row r="1296" spans="2:22" x14ac:dyDescent="0.35">
      <c r="B1296" s="40">
        <v>35013</v>
      </c>
      <c r="C1296" s="39">
        <v>2172.1999999999998</v>
      </c>
      <c r="D1296" s="219">
        <f t="shared" si="142"/>
        <v>-9.4387871426405492E-3</v>
      </c>
      <c r="F1296" s="40">
        <v>35013</v>
      </c>
      <c r="G1296" s="39">
        <v>2172.1999999999998</v>
      </c>
      <c r="H1296" s="39">
        <f t="shared" si="137"/>
        <v>5</v>
      </c>
      <c r="I1296" s="39">
        <f t="shared" si="138"/>
        <v>2172.1999999999998</v>
      </c>
      <c r="K1296" s="40"/>
      <c r="Q1296" s="40">
        <v>35013</v>
      </c>
      <c r="R1296" s="39">
        <v>2172.1999999999998</v>
      </c>
      <c r="S1296" s="39">
        <f t="shared" si="139"/>
        <v>11</v>
      </c>
      <c r="T1296" s="39">
        <f t="shared" si="140"/>
        <v>0</v>
      </c>
      <c r="U1296" s="39">
        <f t="shared" si="141"/>
        <v>0</v>
      </c>
      <c r="V1296" s="40"/>
    </row>
    <row r="1297" spans="2:22" x14ac:dyDescent="0.35">
      <c r="B1297" s="40">
        <v>35016</v>
      </c>
      <c r="C1297" s="39">
        <v>2175.3000000000002</v>
      </c>
      <c r="D1297" s="219">
        <f t="shared" si="142"/>
        <v>1.4261071997211997E-3</v>
      </c>
      <c r="F1297" s="40">
        <v>35016</v>
      </c>
      <c r="G1297" s="39">
        <v>2175.3000000000002</v>
      </c>
      <c r="H1297" s="39">
        <f t="shared" si="137"/>
        <v>1</v>
      </c>
      <c r="I1297" s="39">
        <f t="shared" si="138"/>
        <v>0</v>
      </c>
      <c r="K1297" s="40"/>
      <c r="Q1297" s="40">
        <v>35016</v>
      </c>
      <c r="R1297" s="39">
        <v>2175.3000000000002</v>
      </c>
      <c r="S1297" s="39">
        <f t="shared" si="139"/>
        <v>11</v>
      </c>
      <c r="T1297" s="39">
        <f t="shared" si="140"/>
        <v>0</v>
      </c>
      <c r="U1297" s="39">
        <f t="shared" si="141"/>
        <v>0</v>
      </c>
      <c r="V1297" s="40"/>
    </row>
    <row r="1298" spans="2:22" x14ac:dyDescent="0.35">
      <c r="B1298" s="40">
        <v>35017</v>
      </c>
      <c r="C1298" s="39">
        <v>2197.3000000000002</v>
      </c>
      <c r="D1298" s="219">
        <f t="shared" si="142"/>
        <v>1.0062747857564553E-2</v>
      </c>
      <c r="F1298" s="40">
        <v>35017</v>
      </c>
      <c r="G1298" s="39">
        <v>2197.3000000000002</v>
      </c>
      <c r="H1298" s="39">
        <f t="shared" si="137"/>
        <v>2</v>
      </c>
      <c r="I1298" s="39">
        <f t="shared" si="138"/>
        <v>0</v>
      </c>
      <c r="K1298" s="40"/>
      <c r="Q1298" s="40">
        <v>35017</v>
      </c>
      <c r="R1298" s="39">
        <v>2197.3000000000002</v>
      </c>
      <c r="S1298" s="39">
        <f t="shared" si="139"/>
        <v>11</v>
      </c>
      <c r="T1298" s="39">
        <f t="shared" si="140"/>
        <v>0</v>
      </c>
      <c r="U1298" s="39">
        <f t="shared" si="141"/>
        <v>0</v>
      </c>
      <c r="V1298" s="40"/>
    </row>
    <row r="1299" spans="2:22" x14ac:dyDescent="0.35">
      <c r="B1299" s="40">
        <v>35018</v>
      </c>
      <c r="C1299" s="39">
        <v>2186.1999999999998</v>
      </c>
      <c r="D1299" s="219">
        <f t="shared" si="142"/>
        <v>-5.0644570434862013E-3</v>
      </c>
      <c r="F1299" s="40">
        <v>35018</v>
      </c>
      <c r="G1299" s="39">
        <v>2186.1999999999998</v>
      </c>
      <c r="H1299" s="39">
        <f t="shared" si="137"/>
        <v>3</v>
      </c>
      <c r="I1299" s="39">
        <f t="shared" si="138"/>
        <v>0</v>
      </c>
      <c r="K1299" s="40"/>
      <c r="Q1299" s="40">
        <v>35018</v>
      </c>
      <c r="R1299" s="39">
        <v>2186.1999999999998</v>
      </c>
      <c r="S1299" s="39">
        <f t="shared" si="139"/>
        <v>11</v>
      </c>
      <c r="T1299" s="39">
        <f t="shared" si="140"/>
        <v>0</v>
      </c>
      <c r="U1299" s="39">
        <f t="shared" si="141"/>
        <v>0</v>
      </c>
      <c r="V1299" s="40"/>
    </row>
    <row r="1300" spans="2:22" x14ac:dyDescent="0.35">
      <c r="B1300" s="40">
        <v>35019</v>
      </c>
      <c r="C1300" s="39">
        <v>2200.6999999999998</v>
      </c>
      <c r="D1300" s="219">
        <f t="shared" si="142"/>
        <v>6.6106146957542206E-3</v>
      </c>
      <c r="F1300" s="40">
        <v>35019</v>
      </c>
      <c r="G1300" s="39">
        <v>2200.6999999999998</v>
      </c>
      <c r="H1300" s="39">
        <f t="shared" si="137"/>
        <v>4</v>
      </c>
      <c r="I1300" s="39">
        <f t="shared" si="138"/>
        <v>0</v>
      </c>
      <c r="K1300" s="40"/>
      <c r="Q1300" s="40">
        <v>35019</v>
      </c>
      <c r="R1300" s="39">
        <v>2200.6999999999998</v>
      </c>
      <c r="S1300" s="39">
        <f t="shared" si="139"/>
        <v>11</v>
      </c>
      <c r="T1300" s="39">
        <f t="shared" si="140"/>
        <v>0</v>
      </c>
      <c r="U1300" s="39">
        <f t="shared" si="141"/>
        <v>0</v>
      </c>
      <c r="V1300" s="40"/>
    </row>
    <row r="1301" spans="2:22" x14ac:dyDescent="0.35">
      <c r="B1301" s="40">
        <v>35020</v>
      </c>
      <c r="C1301" s="39">
        <v>2201.3000000000002</v>
      </c>
      <c r="D1301" s="219">
        <f t="shared" si="142"/>
        <v>2.7260336379635204E-4</v>
      </c>
      <c r="F1301" s="40">
        <v>35020</v>
      </c>
      <c r="G1301" s="39">
        <v>2201.3000000000002</v>
      </c>
      <c r="H1301" s="39">
        <f t="shared" si="137"/>
        <v>5</v>
      </c>
      <c r="I1301" s="39">
        <f t="shared" si="138"/>
        <v>2201.3000000000002</v>
      </c>
      <c r="K1301" s="40"/>
      <c r="Q1301" s="40">
        <v>35020</v>
      </c>
      <c r="R1301" s="39">
        <v>2201.3000000000002</v>
      </c>
      <c r="S1301" s="39">
        <f t="shared" si="139"/>
        <v>11</v>
      </c>
      <c r="T1301" s="39">
        <f t="shared" si="140"/>
        <v>0</v>
      </c>
      <c r="U1301" s="39">
        <f t="shared" si="141"/>
        <v>0</v>
      </c>
      <c r="V1301" s="40"/>
    </row>
    <row r="1302" spans="2:22" x14ac:dyDescent="0.35">
      <c r="B1302" s="40">
        <v>35023</v>
      </c>
      <c r="C1302" s="39">
        <v>2218.3000000000002</v>
      </c>
      <c r="D1302" s="219">
        <f t="shared" si="142"/>
        <v>7.6930418329026811E-3</v>
      </c>
      <c r="F1302" s="40">
        <v>35023</v>
      </c>
      <c r="G1302" s="39">
        <v>2218.3000000000002</v>
      </c>
      <c r="H1302" s="39">
        <f t="shared" si="137"/>
        <v>1</v>
      </c>
      <c r="I1302" s="39">
        <f t="shared" si="138"/>
        <v>0</v>
      </c>
      <c r="K1302" s="40"/>
      <c r="Q1302" s="40">
        <v>35023</v>
      </c>
      <c r="R1302" s="39">
        <v>2218.3000000000002</v>
      </c>
      <c r="S1302" s="39">
        <f t="shared" si="139"/>
        <v>11</v>
      </c>
      <c r="T1302" s="39">
        <f t="shared" si="140"/>
        <v>0</v>
      </c>
      <c r="U1302" s="39">
        <f t="shared" si="141"/>
        <v>0</v>
      </c>
      <c r="V1302" s="40"/>
    </row>
    <row r="1303" spans="2:22" x14ac:dyDescent="0.35">
      <c r="B1303" s="40">
        <v>35024</v>
      </c>
      <c r="C1303" s="39">
        <v>2205.1</v>
      </c>
      <c r="D1303" s="219">
        <f t="shared" si="142"/>
        <v>-5.9682774256662081E-3</v>
      </c>
      <c r="F1303" s="40">
        <v>35024</v>
      </c>
      <c r="G1303" s="39">
        <v>2205.1</v>
      </c>
      <c r="H1303" s="39">
        <f t="shared" si="137"/>
        <v>2</v>
      </c>
      <c r="I1303" s="39">
        <f t="shared" si="138"/>
        <v>0</v>
      </c>
      <c r="K1303" s="40"/>
      <c r="Q1303" s="40">
        <v>35024</v>
      </c>
      <c r="R1303" s="39">
        <v>2205.1</v>
      </c>
      <c r="S1303" s="39">
        <f t="shared" si="139"/>
        <v>11</v>
      </c>
      <c r="T1303" s="39">
        <f t="shared" si="140"/>
        <v>0</v>
      </c>
      <c r="U1303" s="39">
        <f t="shared" si="141"/>
        <v>0</v>
      </c>
      <c r="V1303" s="40"/>
    </row>
    <row r="1304" spans="2:22" x14ac:dyDescent="0.35">
      <c r="B1304" s="40">
        <v>35025</v>
      </c>
      <c r="C1304" s="39">
        <v>2193.3000000000002</v>
      </c>
      <c r="D1304" s="219">
        <f t="shared" si="142"/>
        <v>-5.3656003591422011E-3</v>
      </c>
      <c r="F1304" s="40">
        <v>35025</v>
      </c>
      <c r="G1304" s="39">
        <v>2193.3000000000002</v>
      </c>
      <c r="H1304" s="39">
        <f t="shared" si="137"/>
        <v>3</v>
      </c>
      <c r="I1304" s="39">
        <f t="shared" si="138"/>
        <v>0</v>
      </c>
      <c r="K1304" s="40"/>
      <c r="Q1304" s="40">
        <v>35025</v>
      </c>
      <c r="R1304" s="39">
        <v>2193.3000000000002</v>
      </c>
      <c r="S1304" s="39">
        <f t="shared" si="139"/>
        <v>11</v>
      </c>
      <c r="T1304" s="39">
        <f t="shared" si="140"/>
        <v>0</v>
      </c>
      <c r="U1304" s="39">
        <f t="shared" si="141"/>
        <v>0</v>
      </c>
      <c r="V1304" s="40"/>
    </row>
    <row r="1305" spans="2:22" x14ac:dyDescent="0.35">
      <c r="B1305" s="40">
        <v>35026</v>
      </c>
      <c r="C1305" s="39">
        <v>2192.3000000000002</v>
      </c>
      <c r="D1305" s="219">
        <f t="shared" si="142"/>
        <v>-4.5603795026036303E-4</v>
      </c>
      <c r="F1305" s="40">
        <v>35026</v>
      </c>
      <c r="G1305" s="39">
        <v>2192.3000000000002</v>
      </c>
      <c r="H1305" s="39">
        <f t="shared" si="137"/>
        <v>4</v>
      </c>
      <c r="I1305" s="39">
        <f t="shared" si="138"/>
        <v>0</v>
      </c>
      <c r="K1305" s="40"/>
      <c r="Q1305" s="40">
        <v>35026</v>
      </c>
      <c r="R1305" s="39">
        <v>2192.3000000000002</v>
      </c>
      <c r="S1305" s="39">
        <f t="shared" si="139"/>
        <v>11</v>
      </c>
      <c r="T1305" s="39">
        <f t="shared" si="140"/>
        <v>0</v>
      </c>
      <c r="U1305" s="39">
        <f t="shared" si="141"/>
        <v>0</v>
      </c>
      <c r="V1305" s="40"/>
    </row>
    <row r="1306" spans="2:22" x14ac:dyDescent="0.35">
      <c r="B1306" s="40">
        <v>35027</v>
      </c>
      <c r="C1306" s="39">
        <v>2198.1999999999998</v>
      </c>
      <c r="D1306" s="219">
        <f t="shared" si="142"/>
        <v>2.6876226176801832E-3</v>
      </c>
      <c r="F1306" s="40">
        <v>35027</v>
      </c>
      <c r="G1306" s="39">
        <v>2198.1999999999998</v>
      </c>
      <c r="H1306" s="39">
        <f t="shared" si="137"/>
        <v>5</v>
      </c>
      <c r="I1306" s="39">
        <f t="shared" si="138"/>
        <v>2198.1999999999998</v>
      </c>
      <c r="K1306" s="40"/>
      <c r="Q1306" s="40">
        <v>35027</v>
      </c>
      <c r="R1306" s="39">
        <v>2198.1999999999998</v>
      </c>
      <c r="S1306" s="39">
        <f t="shared" si="139"/>
        <v>11</v>
      </c>
      <c r="T1306" s="39">
        <f t="shared" si="140"/>
        <v>0</v>
      </c>
      <c r="U1306" s="39">
        <f t="shared" si="141"/>
        <v>0</v>
      </c>
      <c r="V1306" s="40"/>
    </row>
    <row r="1307" spans="2:22" x14ac:dyDescent="0.35">
      <c r="B1307" s="40">
        <v>35030</v>
      </c>
      <c r="C1307" s="39">
        <v>2238.1</v>
      </c>
      <c r="D1307" s="219">
        <f t="shared" si="142"/>
        <v>1.7988447991283605E-2</v>
      </c>
      <c r="F1307" s="40">
        <v>35030</v>
      </c>
      <c r="G1307" s="39">
        <v>2238.1</v>
      </c>
      <c r="H1307" s="39">
        <f t="shared" si="137"/>
        <v>1</v>
      </c>
      <c r="I1307" s="39">
        <f t="shared" si="138"/>
        <v>0</v>
      </c>
      <c r="K1307" s="40"/>
      <c r="Q1307" s="40">
        <v>35030</v>
      </c>
      <c r="R1307" s="39">
        <v>2238.1</v>
      </c>
      <c r="S1307" s="39">
        <f t="shared" si="139"/>
        <v>11</v>
      </c>
      <c r="T1307" s="39">
        <f t="shared" si="140"/>
        <v>0</v>
      </c>
      <c r="U1307" s="39">
        <f t="shared" si="141"/>
        <v>0</v>
      </c>
      <c r="V1307" s="40"/>
    </row>
    <row r="1308" spans="2:22" x14ac:dyDescent="0.35">
      <c r="B1308" s="40">
        <v>35031</v>
      </c>
      <c r="C1308" s="39">
        <v>2241.5</v>
      </c>
      <c r="D1308" s="219">
        <f t="shared" si="142"/>
        <v>1.5179929694106305E-3</v>
      </c>
      <c r="F1308" s="40">
        <v>35031</v>
      </c>
      <c r="G1308" s="39">
        <v>2241.5</v>
      </c>
      <c r="H1308" s="39">
        <f t="shared" si="137"/>
        <v>2</v>
      </c>
      <c r="I1308" s="39">
        <f t="shared" si="138"/>
        <v>0</v>
      </c>
      <c r="K1308" s="40"/>
      <c r="Q1308" s="40">
        <v>35031</v>
      </c>
      <c r="R1308" s="39">
        <v>2241.5</v>
      </c>
      <c r="S1308" s="39">
        <f t="shared" si="139"/>
        <v>11</v>
      </c>
      <c r="T1308" s="39">
        <f t="shared" si="140"/>
        <v>0</v>
      </c>
      <c r="U1308" s="39">
        <f t="shared" si="141"/>
        <v>0</v>
      </c>
      <c r="V1308" s="40"/>
    </row>
    <row r="1309" spans="2:22" x14ac:dyDescent="0.35">
      <c r="B1309" s="40">
        <v>35032</v>
      </c>
      <c r="C1309" s="39">
        <v>2245.6</v>
      </c>
      <c r="D1309" s="219">
        <f t="shared" si="142"/>
        <v>1.8274614521786164E-3</v>
      </c>
      <c r="F1309" s="40">
        <v>35032</v>
      </c>
      <c r="G1309" s="39">
        <v>2245.6</v>
      </c>
      <c r="H1309" s="39">
        <f t="shared" si="137"/>
        <v>3</v>
      </c>
      <c r="I1309" s="39">
        <f t="shared" si="138"/>
        <v>0</v>
      </c>
      <c r="K1309" s="40"/>
      <c r="Q1309" s="40">
        <v>35032</v>
      </c>
      <c r="R1309" s="39">
        <v>2245.6</v>
      </c>
      <c r="S1309" s="39">
        <f t="shared" si="139"/>
        <v>11</v>
      </c>
      <c r="T1309" s="39">
        <f t="shared" si="140"/>
        <v>0</v>
      </c>
      <c r="U1309" s="39">
        <f t="shared" si="141"/>
        <v>0</v>
      </c>
      <c r="V1309" s="40"/>
    </row>
    <row r="1310" spans="2:22" x14ac:dyDescent="0.35">
      <c r="B1310" s="40">
        <v>35033</v>
      </c>
      <c r="C1310" s="39">
        <v>2242.8000000000002</v>
      </c>
      <c r="D1310" s="219">
        <f t="shared" si="142"/>
        <v>-1.2476607981551408E-3</v>
      </c>
      <c r="F1310" s="40">
        <v>35033</v>
      </c>
      <c r="G1310" s="39">
        <v>2242.8000000000002</v>
      </c>
      <c r="H1310" s="39">
        <f t="shared" si="137"/>
        <v>4</v>
      </c>
      <c r="I1310" s="39">
        <f t="shared" si="138"/>
        <v>0</v>
      </c>
      <c r="K1310" s="40"/>
      <c r="Q1310" s="40">
        <v>35033</v>
      </c>
      <c r="R1310" s="39">
        <v>2242.8000000000002</v>
      </c>
      <c r="S1310" s="39">
        <f t="shared" si="139"/>
        <v>11</v>
      </c>
      <c r="T1310" s="39">
        <f t="shared" si="140"/>
        <v>2242.8000000000002</v>
      </c>
      <c r="U1310" s="39">
        <f t="shared" si="141"/>
        <v>2242.8000000000002</v>
      </c>
      <c r="V1310" s="40"/>
    </row>
    <row r="1311" spans="2:22" x14ac:dyDescent="0.35">
      <c r="B1311" s="40">
        <v>35034</v>
      </c>
      <c r="C1311" s="39">
        <v>2260.6999999999998</v>
      </c>
      <c r="D1311" s="219">
        <f t="shared" si="142"/>
        <v>7.9494145722564125E-3</v>
      </c>
      <c r="F1311" s="40">
        <v>35034</v>
      </c>
      <c r="G1311" s="39">
        <v>2260.6999999999998</v>
      </c>
      <c r="H1311" s="39">
        <f t="shared" si="137"/>
        <v>5</v>
      </c>
      <c r="I1311" s="39">
        <f t="shared" si="138"/>
        <v>2260.6999999999998</v>
      </c>
      <c r="K1311" s="40"/>
      <c r="Q1311" s="40">
        <v>35034</v>
      </c>
      <c r="R1311" s="39">
        <v>2260.6999999999998</v>
      </c>
      <c r="S1311" s="39">
        <f t="shared" si="139"/>
        <v>12</v>
      </c>
      <c r="T1311" s="39">
        <f t="shared" si="140"/>
        <v>0</v>
      </c>
      <c r="U1311" s="39">
        <f t="shared" si="141"/>
        <v>0</v>
      </c>
      <c r="V1311" s="40"/>
    </row>
    <row r="1312" spans="2:22" x14ac:dyDescent="0.35">
      <c r="B1312" s="40">
        <v>35037</v>
      </c>
      <c r="C1312" s="39">
        <v>2252.1999999999998</v>
      </c>
      <c r="D1312" s="219">
        <f t="shared" si="142"/>
        <v>-3.7669835588488619E-3</v>
      </c>
      <c r="F1312" s="40">
        <v>35037</v>
      </c>
      <c r="G1312" s="39">
        <v>2252.1999999999998</v>
      </c>
      <c r="H1312" s="39">
        <f t="shared" si="137"/>
        <v>1</v>
      </c>
      <c r="I1312" s="39">
        <f t="shared" si="138"/>
        <v>0</v>
      </c>
      <c r="K1312" s="40"/>
      <c r="Q1312" s="40">
        <v>35037</v>
      </c>
      <c r="R1312" s="39">
        <v>2252.1999999999998</v>
      </c>
      <c r="S1312" s="39">
        <f t="shared" si="139"/>
        <v>12</v>
      </c>
      <c r="T1312" s="39">
        <f t="shared" si="140"/>
        <v>0</v>
      </c>
      <c r="U1312" s="39">
        <f t="shared" si="141"/>
        <v>0</v>
      </c>
      <c r="V1312" s="40"/>
    </row>
    <row r="1313" spans="2:22" x14ac:dyDescent="0.35">
      <c r="B1313" s="40">
        <v>35038</v>
      </c>
      <c r="C1313" s="39">
        <v>2261</v>
      </c>
      <c r="D1313" s="219">
        <f t="shared" si="142"/>
        <v>3.8996770150446784E-3</v>
      </c>
      <c r="F1313" s="40">
        <v>35038</v>
      </c>
      <c r="G1313" s="39">
        <v>2261</v>
      </c>
      <c r="H1313" s="39">
        <f t="shared" si="137"/>
        <v>2</v>
      </c>
      <c r="I1313" s="39">
        <f t="shared" si="138"/>
        <v>0</v>
      </c>
      <c r="K1313" s="40"/>
      <c r="Q1313" s="40">
        <v>35038</v>
      </c>
      <c r="R1313" s="39">
        <v>2261</v>
      </c>
      <c r="S1313" s="39">
        <f t="shared" si="139"/>
        <v>12</v>
      </c>
      <c r="T1313" s="39">
        <f t="shared" si="140"/>
        <v>0</v>
      </c>
      <c r="U1313" s="39">
        <f t="shared" si="141"/>
        <v>0</v>
      </c>
      <c r="V1313" s="40"/>
    </row>
    <row r="1314" spans="2:22" x14ac:dyDescent="0.35">
      <c r="B1314" s="40">
        <v>35039</v>
      </c>
      <c r="C1314" s="39">
        <v>2267.1999999999998</v>
      </c>
      <c r="D1314" s="219">
        <f t="shared" si="142"/>
        <v>2.7383966584461701E-3</v>
      </c>
      <c r="F1314" s="40">
        <v>35039</v>
      </c>
      <c r="G1314" s="39">
        <v>2267.1999999999998</v>
      </c>
      <c r="H1314" s="39">
        <f t="shared" si="137"/>
        <v>3</v>
      </c>
      <c r="I1314" s="39">
        <f t="shared" si="138"/>
        <v>0</v>
      </c>
      <c r="K1314" s="40"/>
      <c r="Q1314" s="40">
        <v>35039</v>
      </c>
      <c r="R1314" s="39">
        <v>2267.1999999999998</v>
      </c>
      <c r="S1314" s="39">
        <f t="shared" si="139"/>
        <v>12</v>
      </c>
      <c r="T1314" s="39">
        <f t="shared" si="140"/>
        <v>0</v>
      </c>
      <c r="U1314" s="39">
        <f t="shared" si="141"/>
        <v>0</v>
      </c>
      <c r="V1314" s="40"/>
    </row>
    <row r="1315" spans="2:22" x14ac:dyDescent="0.35">
      <c r="B1315" s="40">
        <v>35040</v>
      </c>
      <c r="C1315" s="39">
        <v>2263.1</v>
      </c>
      <c r="D1315" s="219">
        <f t="shared" si="142"/>
        <v>-1.8100351497152827E-3</v>
      </c>
      <c r="F1315" s="40">
        <v>35040</v>
      </c>
      <c r="G1315" s="39">
        <v>2263.1</v>
      </c>
      <c r="H1315" s="39">
        <f t="shared" si="137"/>
        <v>4</v>
      </c>
      <c r="I1315" s="39">
        <f t="shared" si="138"/>
        <v>0</v>
      </c>
      <c r="K1315" s="40"/>
      <c r="Q1315" s="40">
        <v>35040</v>
      </c>
      <c r="R1315" s="39">
        <v>2263.1</v>
      </c>
      <c r="S1315" s="39">
        <f t="shared" si="139"/>
        <v>12</v>
      </c>
      <c r="T1315" s="39">
        <f t="shared" si="140"/>
        <v>0</v>
      </c>
      <c r="U1315" s="39">
        <f t="shared" si="141"/>
        <v>0</v>
      </c>
      <c r="V1315" s="40"/>
    </row>
    <row r="1316" spans="2:22" x14ac:dyDescent="0.35">
      <c r="B1316" s="40">
        <v>35041</v>
      </c>
      <c r="C1316" s="39">
        <v>2267.5</v>
      </c>
      <c r="D1316" s="219">
        <f t="shared" si="142"/>
        <v>1.9423482025910416E-3</v>
      </c>
      <c r="F1316" s="40">
        <v>35041</v>
      </c>
      <c r="G1316" s="39">
        <v>2267.5</v>
      </c>
      <c r="H1316" s="39">
        <f t="shared" si="137"/>
        <v>5</v>
      </c>
      <c r="I1316" s="39">
        <f t="shared" si="138"/>
        <v>2267.5</v>
      </c>
      <c r="K1316" s="40"/>
      <c r="Q1316" s="40">
        <v>35041</v>
      </c>
      <c r="R1316" s="39">
        <v>2267.5</v>
      </c>
      <c r="S1316" s="39">
        <f t="shared" si="139"/>
        <v>12</v>
      </c>
      <c r="T1316" s="39">
        <f t="shared" si="140"/>
        <v>0</v>
      </c>
      <c r="U1316" s="39">
        <f t="shared" si="141"/>
        <v>0</v>
      </c>
      <c r="V1316" s="40"/>
    </row>
    <row r="1317" spans="2:22" x14ac:dyDescent="0.35">
      <c r="B1317" s="40">
        <v>35044</v>
      </c>
      <c r="C1317" s="39">
        <v>2272.8000000000002</v>
      </c>
      <c r="D1317" s="219">
        <f t="shared" si="142"/>
        <v>2.3346485506866043E-3</v>
      </c>
      <c r="F1317" s="40">
        <v>35044</v>
      </c>
      <c r="G1317" s="39">
        <v>2272.8000000000002</v>
      </c>
      <c r="H1317" s="39">
        <f t="shared" si="137"/>
        <v>1</v>
      </c>
      <c r="I1317" s="39">
        <f t="shared" si="138"/>
        <v>0</v>
      </c>
      <c r="K1317" s="40"/>
      <c r="Q1317" s="40">
        <v>35044</v>
      </c>
      <c r="R1317" s="39">
        <v>2272.8000000000002</v>
      </c>
      <c r="S1317" s="39">
        <f t="shared" si="139"/>
        <v>12</v>
      </c>
      <c r="T1317" s="39">
        <f t="shared" si="140"/>
        <v>0</v>
      </c>
      <c r="U1317" s="39">
        <f t="shared" si="141"/>
        <v>0</v>
      </c>
      <c r="V1317" s="40"/>
    </row>
    <row r="1318" spans="2:22" x14ac:dyDescent="0.35">
      <c r="B1318" s="40">
        <v>35045</v>
      </c>
      <c r="C1318" s="39">
        <v>2289.8000000000002</v>
      </c>
      <c r="D1318" s="219">
        <f t="shared" si="142"/>
        <v>7.451925949733834E-3</v>
      </c>
      <c r="F1318" s="40">
        <v>35045</v>
      </c>
      <c r="G1318" s="39">
        <v>2289.8000000000002</v>
      </c>
      <c r="H1318" s="39">
        <f t="shared" si="137"/>
        <v>2</v>
      </c>
      <c r="I1318" s="39">
        <f t="shared" si="138"/>
        <v>0</v>
      </c>
      <c r="K1318" s="40"/>
      <c r="Q1318" s="40">
        <v>35045</v>
      </c>
      <c r="R1318" s="39">
        <v>2289.8000000000002</v>
      </c>
      <c r="S1318" s="39">
        <f t="shared" si="139"/>
        <v>12</v>
      </c>
      <c r="T1318" s="39">
        <f t="shared" si="140"/>
        <v>0</v>
      </c>
      <c r="U1318" s="39">
        <f t="shared" si="141"/>
        <v>0</v>
      </c>
      <c r="V1318" s="40"/>
    </row>
    <row r="1319" spans="2:22" x14ac:dyDescent="0.35">
      <c r="B1319" s="40">
        <v>35046</v>
      </c>
      <c r="C1319" s="39">
        <v>2277.8000000000002</v>
      </c>
      <c r="D1319" s="219">
        <f t="shared" si="142"/>
        <v>-5.2544126494612035E-3</v>
      </c>
      <c r="F1319" s="40">
        <v>35046</v>
      </c>
      <c r="G1319" s="39">
        <v>2277.8000000000002</v>
      </c>
      <c r="H1319" s="39">
        <f t="shared" si="137"/>
        <v>3</v>
      </c>
      <c r="I1319" s="39">
        <f t="shared" si="138"/>
        <v>0</v>
      </c>
      <c r="K1319" s="40"/>
      <c r="Q1319" s="40">
        <v>35046</v>
      </c>
      <c r="R1319" s="39">
        <v>2277.8000000000002</v>
      </c>
      <c r="S1319" s="39">
        <f t="shared" si="139"/>
        <v>12</v>
      </c>
      <c r="T1319" s="39">
        <f t="shared" si="140"/>
        <v>0</v>
      </c>
      <c r="U1319" s="39">
        <f t="shared" si="141"/>
        <v>0</v>
      </c>
      <c r="V1319" s="40"/>
    </row>
    <row r="1320" spans="2:22" x14ac:dyDescent="0.35">
      <c r="B1320" s="40">
        <v>35047</v>
      </c>
      <c r="C1320" s="39">
        <v>2285.9</v>
      </c>
      <c r="D1320" s="219">
        <f t="shared" si="142"/>
        <v>3.5497550257518463E-3</v>
      </c>
      <c r="F1320" s="40">
        <v>35047</v>
      </c>
      <c r="G1320" s="39">
        <v>2285.9</v>
      </c>
      <c r="H1320" s="39">
        <f t="shared" si="137"/>
        <v>4</v>
      </c>
      <c r="I1320" s="39">
        <f t="shared" si="138"/>
        <v>0</v>
      </c>
      <c r="K1320" s="40"/>
      <c r="Q1320" s="40">
        <v>35047</v>
      </c>
      <c r="R1320" s="39">
        <v>2285.9</v>
      </c>
      <c r="S1320" s="39">
        <f t="shared" si="139"/>
        <v>12</v>
      </c>
      <c r="T1320" s="39">
        <f t="shared" si="140"/>
        <v>0</v>
      </c>
      <c r="U1320" s="39">
        <f t="shared" si="141"/>
        <v>0</v>
      </c>
      <c r="V1320" s="40"/>
    </row>
    <row r="1321" spans="2:22" x14ac:dyDescent="0.35">
      <c r="B1321" s="40">
        <v>35048</v>
      </c>
      <c r="C1321" s="39">
        <v>2284.8000000000002</v>
      </c>
      <c r="D1321" s="219">
        <f t="shared" si="142"/>
        <v>-4.8132672073726037E-4</v>
      </c>
      <c r="F1321" s="40">
        <v>35048</v>
      </c>
      <c r="G1321" s="39">
        <v>2284.8000000000002</v>
      </c>
      <c r="H1321" s="39">
        <f t="shared" si="137"/>
        <v>5</v>
      </c>
      <c r="I1321" s="39">
        <f t="shared" si="138"/>
        <v>2284.8000000000002</v>
      </c>
      <c r="K1321" s="40"/>
      <c r="Q1321" s="40">
        <v>35048</v>
      </c>
      <c r="R1321" s="39">
        <v>2284.8000000000002</v>
      </c>
      <c r="S1321" s="39">
        <f t="shared" si="139"/>
        <v>12</v>
      </c>
      <c r="T1321" s="39">
        <f t="shared" si="140"/>
        <v>0</v>
      </c>
      <c r="U1321" s="39">
        <f t="shared" si="141"/>
        <v>0</v>
      </c>
      <c r="V1321" s="40"/>
    </row>
    <row r="1322" spans="2:22" x14ac:dyDescent="0.35">
      <c r="B1322" s="40">
        <v>35051</v>
      </c>
      <c r="C1322" s="39">
        <v>2266.1999999999998</v>
      </c>
      <c r="D1322" s="219">
        <f t="shared" si="142"/>
        <v>-8.1740731987992692E-3</v>
      </c>
      <c r="F1322" s="40">
        <v>35051</v>
      </c>
      <c r="G1322" s="39">
        <v>2266.1999999999998</v>
      </c>
      <c r="H1322" s="39">
        <f t="shared" si="137"/>
        <v>1</v>
      </c>
      <c r="I1322" s="39">
        <f t="shared" si="138"/>
        <v>0</v>
      </c>
      <c r="K1322" s="40"/>
      <c r="Q1322" s="40">
        <v>35051</v>
      </c>
      <c r="R1322" s="39">
        <v>2266.1999999999998</v>
      </c>
      <c r="S1322" s="39">
        <f t="shared" si="139"/>
        <v>12</v>
      </c>
      <c r="T1322" s="39">
        <f t="shared" si="140"/>
        <v>0</v>
      </c>
      <c r="U1322" s="39">
        <f t="shared" si="141"/>
        <v>0</v>
      </c>
      <c r="V1322" s="40"/>
    </row>
    <row r="1323" spans="2:22" x14ac:dyDescent="0.35">
      <c r="B1323" s="40">
        <v>35052</v>
      </c>
      <c r="C1323" s="39">
        <v>2235.6</v>
      </c>
      <c r="D1323" s="219">
        <f t="shared" si="142"/>
        <v>-1.3594771550923025E-2</v>
      </c>
      <c r="F1323" s="40">
        <v>35052</v>
      </c>
      <c r="G1323" s="39">
        <v>2235.6</v>
      </c>
      <c r="H1323" s="39">
        <f t="shared" si="137"/>
        <v>2</v>
      </c>
      <c r="I1323" s="39">
        <f t="shared" si="138"/>
        <v>0</v>
      </c>
      <c r="K1323" s="40"/>
      <c r="Q1323" s="40">
        <v>35052</v>
      </c>
      <c r="R1323" s="39">
        <v>2235.6</v>
      </c>
      <c r="S1323" s="39">
        <f t="shared" si="139"/>
        <v>12</v>
      </c>
      <c r="T1323" s="39">
        <f t="shared" si="140"/>
        <v>0</v>
      </c>
      <c r="U1323" s="39">
        <f t="shared" si="141"/>
        <v>0</v>
      </c>
      <c r="V1323" s="40"/>
    </row>
    <row r="1324" spans="2:22" x14ac:dyDescent="0.35">
      <c r="B1324" s="40">
        <v>35053</v>
      </c>
      <c r="C1324" s="39">
        <v>2262.1</v>
      </c>
      <c r="D1324" s="219">
        <f t="shared" si="142"/>
        <v>1.1783936968246754E-2</v>
      </c>
      <c r="F1324" s="40">
        <v>35053</v>
      </c>
      <c r="G1324" s="39">
        <v>2262.1</v>
      </c>
      <c r="H1324" s="39">
        <f t="shared" si="137"/>
        <v>3</v>
      </c>
      <c r="I1324" s="39">
        <f t="shared" si="138"/>
        <v>0</v>
      </c>
      <c r="K1324" s="40"/>
      <c r="Q1324" s="40">
        <v>35053</v>
      </c>
      <c r="R1324" s="39">
        <v>2262.1</v>
      </c>
      <c r="S1324" s="39">
        <f t="shared" si="139"/>
        <v>12</v>
      </c>
      <c r="T1324" s="39">
        <f t="shared" si="140"/>
        <v>0</v>
      </c>
      <c r="U1324" s="39">
        <f t="shared" si="141"/>
        <v>0</v>
      </c>
      <c r="V1324" s="40"/>
    </row>
    <row r="1325" spans="2:22" x14ac:dyDescent="0.35">
      <c r="B1325" s="40">
        <v>35054</v>
      </c>
      <c r="C1325" s="39">
        <v>2265.1</v>
      </c>
      <c r="D1325" s="219">
        <f t="shared" si="142"/>
        <v>1.3253226891324539E-3</v>
      </c>
      <c r="F1325" s="40">
        <v>35054</v>
      </c>
      <c r="G1325" s="39">
        <v>2265.1</v>
      </c>
      <c r="H1325" s="39">
        <f t="shared" si="137"/>
        <v>4</v>
      </c>
      <c r="I1325" s="39">
        <f t="shared" si="138"/>
        <v>0</v>
      </c>
      <c r="K1325" s="40"/>
      <c r="Q1325" s="40">
        <v>35054</v>
      </c>
      <c r="R1325" s="39">
        <v>2265.1</v>
      </c>
      <c r="S1325" s="39">
        <f t="shared" si="139"/>
        <v>12</v>
      </c>
      <c r="T1325" s="39">
        <f t="shared" si="140"/>
        <v>0</v>
      </c>
      <c r="U1325" s="39">
        <f t="shared" si="141"/>
        <v>0</v>
      </c>
      <c r="V1325" s="40"/>
    </row>
    <row r="1326" spans="2:22" x14ac:dyDescent="0.35">
      <c r="B1326" s="40">
        <v>35055</v>
      </c>
      <c r="C1326" s="39">
        <v>2280.4</v>
      </c>
      <c r="D1326" s="219">
        <f t="shared" si="142"/>
        <v>6.7319581045045592E-3</v>
      </c>
      <c r="F1326" s="40">
        <v>35055</v>
      </c>
      <c r="G1326" s="39">
        <v>2280.4</v>
      </c>
      <c r="H1326" s="39">
        <f t="shared" si="137"/>
        <v>5</v>
      </c>
      <c r="I1326" s="39">
        <f t="shared" si="138"/>
        <v>2280.4</v>
      </c>
      <c r="K1326" s="40"/>
      <c r="Q1326" s="40">
        <v>35055</v>
      </c>
      <c r="R1326" s="39">
        <v>2280.4</v>
      </c>
      <c r="S1326" s="39">
        <f t="shared" si="139"/>
        <v>12</v>
      </c>
      <c r="T1326" s="39">
        <f t="shared" si="140"/>
        <v>0</v>
      </c>
      <c r="U1326" s="39">
        <f t="shared" si="141"/>
        <v>0</v>
      </c>
      <c r="V1326" s="40"/>
    </row>
    <row r="1327" spans="2:22" x14ac:dyDescent="0.35">
      <c r="B1327" s="40">
        <v>35060</v>
      </c>
      <c r="C1327" s="39">
        <v>2280.4</v>
      </c>
      <c r="D1327" s="219">
        <f t="shared" si="142"/>
        <v>0</v>
      </c>
      <c r="F1327" s="40">
        <v>35060</v>
      </c>
      <c r="G1327" s="39">
        <v>2280.4</v>
      </c>
      <c r="H1327" s="39">
        <f t="shared" si="137"/>
        <v>3</v>
      </c>
      <c r="I1327" s="39">
        <f t="shared" si="138"/>
        <v>0</v>
      </c>
      <c r="K1327" s="40"/>
      <c r="Q1327" s="40">
        <v>35060</v>
      </c>
      <c r="R1327" s="39">
        <v>2280.4</v>
      </c>
      <c r="S1327" s="39">
        <f t="shared" si="139"/>
        <v>12</v>
      </c>
      <c r="T1327" s="39">
        <f t="shared" si="140"/>
        <v>0</v>
      </c>
      <c r="U1327" s="39">
        <f t="shared" si="141"/>
        <v>0</v>
      </c>
      <c r="V1327" s="40"/>
    </row>
    <row r="1328" spans="2:22" x14ac:dyDescent="0.35">
      <c r="B1328" s="40">
        <v>35061</v>
      </c>
      <c r="C1328" s="39">
        <v>2275.8000000000002</v>
      </c>
      <c r="D1328" s="219">
        <f t="shared" si="142"/>
        <v>-2.0192272345184717E-3</v>
      </c>
      <c r="F1328" s="40">
        <v>35061</v>
      </c>
      <c r="G1328" s="39">
        <v>2275.8000000000002</v>
      </c>
      <c r="H1328" s="39">
        <f t="shared" si="137"/>
        <v>4</v>
      </c>
      <c r="I1328" s="39">
        <f t="shared" si="138"/>
        <v>0</v>
      </c>
      <c r="K1328" s="40"/>
      <c r="Q1328" s="40">
        <v>35061</v>
      </c>
      <c r="R1328" s="39">
        <v>2275.8000000000002</v>
      </c>
      <c r="S1328" s="39">
        <f t="shared" si="139"/>
        <v>12</v>
      </c>
      <c r="T1328" s="39">
        <f t="shared" si="140"/>
        <v>0</v>
      </c>
      <c r="U1328" s="39">
        <f t="shared" si="141"/>
        <v>0</v>
      </c>
      <c r="V1328" s="40"/>
    </row>
    <row r="1329" spans="2:22" x14ac:dyDescent="0.35">
      <c r="B1329" s="40">
        <v>35062</v>
      </c>
      <c r="C1329" s="39">
        <v>2253.9</v>
      </c>
      <c r="D1329" s="219">
        <f t="shared" si="142"/>
        <v>-9.6695898796836741E-3</v>
      </c>
      <c r="F1329" s="40">
        <v>35062</v>
      </c>
      <c r="G1329" s="39">
        <v>2253.9</v>
      </c>
      <c r="H1329" s="39">
        <f t="shared" si="137"/>
        <v>5</v>
      </c>
      <c r="I1329" s="39">
        <f t="shared" si="138"/>
        <v>2253.9</v>
      </c>
      <c r="K1329" s="40"/>
      <c r="Q1329" s="40">
        <v>35062</v>
      </c>
      <c r="R1329" s="39">
        <v>2253.9</v>
      </c>
      <c r="S1329" s="39">
        <f t="shared" si="139"/>
        <v>12</v>
      </c>
      <c r="T1329" s="39">
        <f t="shared" si="140"/>
        <v>2253.9</v>
      </c>
      <c r="U1329" s="39">
        <f t="shared" si="141"/>
        <v>2253.9</v>
      </c>
      <c r="V1329" s="40"/>
    </row>
    <row r="1330" spans="2:22" x14ac:dyDescent="0.35">
      <c r="B1330" s="40">
        <v>35066</v>
      </c>
      <c r="C1330" s="39">
        <v>2284.9</v>
      </c>
      <c r="D1330" s="219">
        <f t="shared" si="142"/>
        <v>1.3660210651273992E-2</v>
      </c>
      <c r="F1330" s="40">
        <v>35066</v>
      </c>
      <c r="G1330" s="39">
        <v>2284.9</v>
      </c>
      <c r="H1330" s="39">
        <f t="shared" si="137"/>
        <v>2</v>
      </c>
      <c r="I1330" s="39">
        <f t="shared" si="138"/>
        <v>0</v>
      </c>
      <c r="K1330" s="40"/>
      <c r="Q1330" s="40">
        <v>35066</v>
      </c>
      <c r="R1330" s="39">
        <v>2284.9</v>
      </c>
      <c r="S1330" s="39">
        <f t="shared" si="139"/>
        <v>1</v>
      </c>
      <c r="T1330" s="39">
        <f t="shared" si="140"/>
        <v>0</v>
      </c>
      <c r="U1330" s="39">
        <f t="shared" si="141"/>
        <v>0</v>
      </c>
      <c r="V1330" s="40"/>
    </row>
    <row r="1331" spans="2:22" x14ac:dyDescent="0.35">
      <c r="B1331" s="40">
        <v>35067</v>
      </c>
      <c r="C1331" s="39">
        <v>2329.1999999999998</v>
      </c>
      <c r="D1331" s="219">
        <f t="shared" si="142"/>
        <v>1.9202601268466159E-2</v>
      </c>
      <c r="F1331" s="40">
        <v>35067</v>
      </c>
      <c r="G1331" s="39">
        <v>2329.1999999999998</v>
      </c>
      <c r="H1331" s="39">
        <f t="shared" si="137"/>
        <v>3</v>
      </c>
      <c r="I1331" s="39">
        <f t="shared" si="138"/>
        <v>0</v>
      </c>
      <c r="K1331" s="40"/>
      <c r="Q1331" s="40">
        <v>35067</v>
      </c>
      <c r="R1331" s="39">
        <v>2329.1999999999998</v>
      </c>
      <c r="S1331" s="39">
        <f t="shared" si="139"/>
        <v>1</v>
      </c>
      <c r="T1331" s="39">
        <f t="shared" si="140"/>
        <v>0</v>
      </c>
      <c r="U1331" s="39">
        <f t="shared" si="141"/>
        <v>0</v>
      </c>
      <c r="V1331" s="40"/>
    </row>
    <row r="1332" spans="2:22" x14ac:dyDescent="0.35">
      <c r="B1332" s="40">
        <v>35068</v>
      </c>
      <c r="C1332" s="39">
        <v>2324.3000000000002</v>
      </c>
      <c r="D1332" s="219">
        <f t="shared" si="142"/>
        <v>-2.1059425425831208E-3</v>
      </c>
      <c r="F1332" s="40">
        <v>35068</v>
      </c>
      <c r="G1332" s="39">
        <v>2324.3000000000002</v>
      </c>
      <c r="H1332" s="39">
        <f t="shared" si="137"/>
        <v>4</v>
      </c>
      <c r="I1332" s="39">
        <f t="shared" si="138"/>
        <v>0</v>
      </c>
      <c r="K1332" s="40"/>
      <c r="Q1332" s="40">
        <v>35068</v>
      </c>
      <c r="R1332" s="39">
        <v>2324.3000000000002</v>
      </c>
      <c r="S1332" s="39">
        <f t="shared" si="139"/>
        <v>1</v>
      </c>
      <c r="T1332" s="39">
        <f t="shared" si="140"/>
        <v>0</v>
      </c>
      <c r="U1332" s="39">
        <f t="shared" si="141"/>
        <v>0</v>
      </c>
      <c r="V1332" s="40"/>
    </row>
    <row r="1333" spans="2:22" x14ac:dyDescent="0.35">
      <c r="B1333" s="40">
        <v>35069</v>
      </c>
      <c r="C1333" s="39">
        <v>2331.9</v>
      </c>
      <c r="D1333" s="219">
        <f t="shared" si="142"/>
        <v>3.2644674839021675E-3</v>
      </c>
      <c r="F1333" s="40">
        <v>35069</v>
      </c>
      <c r="G1333" s="39">
        <v>2331.9</v>
      </c>
      <c r="H1333" s="39">
        <f t="shared" si="137"/>
        <v>5</v>
      </c>
      <c r="I1333" s="39">
        <f t="shared" si="138"/>
        <v>2331.9</v>
      </c>
      <c r="K1333" s="40"/>
      <c r="Q1333" s="40">
        <v>35069</v>
      </c>
      <c r="R1333" s="39">
        <v>2331.9</v>
      </c>
      <c r="S1333" s="39">
        <f t="shared" si="139"/>
        <v>1</v>
      </c>
      <c r="T1333" s="39">
        <f t="shared" si="140"/>
        <v>0</v>
      </c>
      <c r="U1333" s="39">
        <f t="shared" si="141"/>
        <v>0</v>
      </c>
      <c r="V1333" s="40"/>
    </row>
    <row r="1334" spans="2:22" x14ac:dyDescent="0.35">
      <c r="B1334" s="40">
        <v>35072</v>
      </c>
      <c r="C1334" s="39">
        <v>2323.5</v>
      </c>
      <c r="D1334" s="219">
        <f t="shared" si="142"/>
        <v>-3.6087163792507017E-3</v>
      </c>
      <c r="F1334" s="40">
        <v>35072</v>
      </c>
      <c r="G1334" s="39">
        <v>2323.5</v>
      </c>
      <c r="H1334" s="39">
        <f t="shared" si="137"/>
        <v>1</v>
      </c>
      <c r="I1334" s="39">
        <f t="shared" si="138"/>
        <v>0</v>
      </c>
      <c r="K1334" s="40"/>
      <c r="Q1334" s="40">
        <v>35072</v>
      </c>
      <c r="R1334" s="39">
        <v>2323.5</v>
      </c>
      <c r="S1334" s="39">
        <f t="shared" si="139"/>
        <v>1</v>
      </c>
      <c r="T1334" s="39">
        <f t="shared" si="140"/>
        <v>0</v>
      </c>
      <c r="U1334" s="39">
        <f t="shared" si="141"/>
        <v>0</v>
      </c>
      <c r="V1334" s="40"/>
    </row>
    <row r="1335" spans="2:22" x14ac:dyDescent="0.35">
      <c r="B1335" s="40">
        <v>35073</v>
      </c>
      <c r="C1335" s="39">
        <v>2349.6999999999998</v>
      </c>
      <c r="D1335" s="219">
        <f t="shared" si="142"/>
        <v>1.1212990889526365E-2</v>
      </c>
      <c r="F1335" s="40">
        <v>35073</v>
      </c>
      <c r="G1335" s="39">
        <v>2349.6999999999998</v>
      </c>
      <c r="H1335" s="39">
        <f t="shared" ref="H1335:H1398" si="143">WEEKDAY(F1335,2)</f>
        <v>2</v>
      </c>
      <c r="I1335" s="39">
        <f t="shared" ref="I1335:I1398" si="144">IF(H1335&gt;H1336,G1335,0)</f>
        <v>0</v>
      </c>
      <c r="K1335" s="40"/>
      <c r="Q1335" s="40">
        <v>35073</v>
      </c>
      <c r="R1335" s="39">
        <v>2349.6999999999998</v>
      </c>
      <c r="S1335" s="39">
        <f t="shared" ref="S1335:S1398" si="145">MONTH(Q1335)</f>
        <v>1</v>
      </c>
      <c r="T1335" s="39">
        <f t="shared" ref="T1335:T1398" si="146">IF(S1336&lt;&gt;S1335,R1335,0)</f>
        <v>0</v>
      </c>
      <c r="U1335" s="39">
        <f t="shared" ref="U1335:U1398" si="147">IF(S1336=S1335,0,R1335)</f>
        <v>0</v>
      </c>
      <c r="V1335" s="40"/>
    </row>
    <row r="1336" spans="2:22" x14ac:dyDescent="0.35">
      <c r="B1336" s="40">
        <v>35074</v>
      </c>
      <c r="C1336" s="39">
        <v>2338.1999999999998</v>
      </c>
      <c r="D1336" s="219">
        <f t="shared" ref="D1336:D1399" si="148">LN(C1336/C1335)</f>
        <v>-4.9062578418410385E-3</v>
      </c>
      <c r="F1336" s="40">
        <v>35074</v>
      </c>
      <c r="G1336" s="39">
        <v>2338.1999999999998</v>
      </c>
      <c r="H1336" s="39">
        <f t="shared" si="143"/>
        <v>3</v>
      </c>
      <c r="I1336" s="39">
        <f t="shared" si="144"/>
        <v>0</v>
      </c>
      <c r="K1336" s="40"/>
      <c r="Q1336" s="40">
        <v>35074</v>
      </c>
      <c r="R1336" s="39">
        <v>2338.1999999999998</v>
      </c>
      <c r="S1336" s="39">
        <f t="shared" si="145"/>
        <v>1</v>
      </c>
      <c r="T1336" s="39">
        <f t="shared" si="146"/>
        <v>0</v>
      </c>
      <c r="U1336" s="39">
        <f t="shared" si="147"/>
        <v>0</v>
      </c>
      <c r="V1336" s="40"/>
    </row>
    <row r="1337" spans="2:22" x14ac:dyDescent="0.35">
      <c r="B1337" s="40">
        <v>35075</v>
      </c>
      <c r="C1337" s="39">
        <v>2329.5</v>
      </c>
      <c r="D1337" s="219">
        <f t="shared" si="148"/>
        <v>-3.7277503158670484E-3</v>
      </c>
      <c r="F1337" s="40">
        <v>35075</v>
      </c>
      <c r="G1337" s="39">
        <v>2329.5</v>
      </c>
      <c r="H1337" s="39">
        <f t="shared" si="143"/>
        <v>4</v>
      </c>
      <c r="I1337" s="39">
        <f t="shared" si="144"/>
        <v>0</v>
      </c>
      <c r="K1337" s="40"/>
      <c r="Q1337" s="40">
        <v>35075</v>
      </c>
      <c r="R1337" s="39">
        <v>2329.5</v>
      </c>
      <c r="S1337" s="39">
        <f t="shared" si="145"/>
        <v>1</v>
      </c>
      <c r="T1337" s="39">
        <f t="shared" si="146"/>
        <v>0</v>
      </c>
      <c r="U1337" s="39">
        <f t="shared" si="147"/>
        <v>0</v>
      </c>
      <c r="V1337" s="40"/>
    </row>
    <row r="1338" spans="2:22" x14ac:dyDescent="0.35">
      <c r="B1338" s="40">
        <v>35076</v>
      </c>
      <c r="C1338" s="39">
        <v>2356.5</v>
      </c>
      <c r="D1338" s="219">
        <f t="shared" si="148"/>
        <v>1.1523815106934067E-2</v>
      </c>
      <c r="F1338" s="40">
        <v>35076</v>
      </c>
      <c r="G1338" s="39">
        <v>2356.5</v>
      </c>
      <c r="H1338" s="39">
        <f t="shared" si="143"/>
        <v>5</v>
      </c>
      <c r="I1338" s="39">
        <f t="shared" si="144"/>
        <v>2356.5</v>
      </c>
      <c r="K1338" s="40"/>
      <c r="Q1338" s="40">
        <v>35076</v>
      </c>
      <c r="R1338" s="39">
        <v>2356.5</v>
      </c>
      <c r="S1338" s="39">
        <f t="shared" si="145"/>
        <v>1</v>
      </c>
      <c r="T1338" s="39">
        <f t="shared" si="146"/>
        <v>0</v>
      </c>
      <c r="U1338" s="39">
        <f t="shared" si="147"/>
        <v>0</v>
      </c>
      <c r="V1338" s="40"/>
    </row>
    <row r="1339" spans="2:22" x14ac:dyDescent="0.35">
      <c r="B1339" s="40">
        <v>35079</v>
      </c>
      <c r="C1339" s="39">
        <v>2359.1</v>
      </c>
      <c r="D1339" s="219">
        <f t="shared" si="148"/>
        <v>1.1027229890008083E-3</v>
      </c>
      <c r="F1339" s="40">
        <v>35079</v>
      </c>
      <c r="G1339" s="39">
        <v>2359.1</v>
      </c>
      <c r="H1339" s="39">
        <f t="shared" si="143"/>
        <v>1</v>
      </c>
      <c r="I1339" s="39">
        <f t="shared" si="144"/>
        <v>0</v>
      </c>
      <c r="K1339" s="40"/>
      <c r="Q1339" s="40">
        <v>35079</v>
      </c>
      <c r="R1339" s="39">
        <v>2359.1</v>
      </c>
      <c r="S1339" s="39">
        <f t="shared" si="145"/>
        <v>1</v>
      </c>
      <c r="T1339" s="39">
        <f t="shared" si="146"/>
        <v>0</v>
      </c>
      <c r="U1339" s="39">
        <f t="shared" si="147"/>
        <v>0</v>
      </c>
      <c r="V1339" s="40"/>
    </row>
    <row r="1340" spans="2:22" x14ac:dyDescent="0.35">
      <c r="B1340" s="40">
        <v>35080</v>
      </c>
      <c r="C1340" s="39">
        <v>2376.9</v>
      </c>
      <c r="D1340" s="219">
        <f t="shared" si="148"/>
        <v>7.5169272865194909E-3</v>
      </c>
      <c r="F1340" s="40">
        <v>35080</v>
      </c>
      <c r="G1340" s="39">
        <v>2376.9</v>
      </c>
      <c r="H1340" s="39">
        <f t="shared" si="143"/>
        <v>2</v>
      </c>
      <c r="I1340" s="39">
        <f t="shared" si="144"/>
        <v>0</v>
      </c>
      <c r="K1340" s="40"/>
      <c r="Q1340" s="40">
        <v>35080</v>
      </c>
      <c r="R1340" s="39">
        <v>2376.9</v>
      </c>
      <c r="S1340" s="39">
        <f t="shared" si="145"/>
        <v>1</v>
      </c>
      <c r="T1340" s="39">
        <f t="shared" si="146"/>
        <v>0</v>
      </c>
      <c r="U1340" s="39">
        <f t="shared" si="147"/>
        <v>0</v>
      </c>
      <c r="V1340" s="40"/>
    </row>
    <row r="1341" spans="2:22" x14ac:dyDescent="0.35">
      <c r="B1341" s="40">
        <v>35081</v>
      </c>
      <c r="C1341" s="39">
        <v>2371.3000000000002</v>
      </c>
      <c r="D1341" s="219">
        <f t="shared" si="148"/>
        <v>-2.3587896872419478E-3</v>
      </c>
      <c r="F1341" s="40">
        <v>35081</v>
      </c>
      <c r="G1341" s="39">
        <v>2371.3000000000002</v>
      </c>
      <c r="H1341" s="39">
        <f t="shared" si="143"/>
        <v>3</v>
      </c>
      <c r="I1341" s="39">
        <f t="shared" si="144"/>
        <v>0</v>
      </c>
      <c r="K1341" s="40"/>
      <c r="Q1341" s="40">
        <v>35081</v>
      </c>
      <c r="R1341" s="39">
        <v>2371.3000000000002</v>
      </c>
      <c r="S1341" s="39">
        <f t="shared" si="145"/>
        <v>1</v>
      </c>
      <c r="T1341" s="39">
        <f t="shared" si="146"/>
        <v>0</v>
      </c>
      <c r="U1341" s="39">
        <f t="shared" si="147"/>
        <v>0</v>
      </c>
      <c r="V1341" s="40"/>
    </row>
    <row r="1342" spans="2:22" x14ac:dyDescent="0.35">
      <c r="B1342" s="40">
        <v>35082</v>
      </c>
      <c r="C1342" s="39">
        <v>2380.9</v>
      </c>
      <c r="D1342" s="219">
        <f t="shared" si="148"/>
        <v>4.0402394927926888E-3</v>
      </c>
      <c r="F1342" s="40">
        <v>35082</v>
      </c>
      <c r="G1342" s="39">
        <v>2380.9</v>
      </c>
      <c r="H1342" s="39">
        <f t="shared" si="143"/>
        <v>4</v>
      </c>
      <c r="I1342" s="39">
        <f t="shared" si="144"/>
        <v>0</v>
      </c>
      <c r="K1342" s="40"/>
      <c r="Q1342" s="40">
        <v>35082</v>
      </c>
      <c r="R1342" s="39">
        <v>2380.9</v>
      </c>
      <c r="S1342" s="39">
        <f t="shared" si="145"/>
        <v>1</v>
      </c>
      <c r="T1342" s="39">
        <f t="shared" si="146"/>
        <v>0</v>
      </c>
      <c r="U1342" s="39">
        <f t="shared" si="147"/>
        <v>0</v>
      </c>
      <c r="V1342" s="40"/>
    </row>
    <row r="1343" spans="2:22" x14ac:dyDescent="0.35">
      <c r="B1343" s="40">
        <v>35083</v>
      </c>
      <c r="C1343" s="39">
        <v>2398.8000000000002</v>
      </c>
      <c r="D1343" s="219">
        <f t="shared" si="148"/>
        <v>7.4900448494981207E-3</v>
      </c>
      <c r="F1343" s="40">
        <v>35083</v>
      </c>
      <c r="G1343" s="39">
        <v>2398.8000000000002</v>
      </c>
      <c r="H1343" s="39">
        <f t="shared" si="143"/>
        <v>5</v>
      </c>
      <c r="I1343" s="39">
        <f t="shared" si="144"/>
        <v>2398.8000000000002</v>
      </c>
      <c r="K1343" s="40"/>
      <c r="Q1343" s="40">
        <v>35083</v>
      </c>
      <c r="R1343" s="39">
        <v>2398.8000000000002</v>
      </c>
      <c r="S1343" s="39">
        <f t="shared" si="145"/>
        <v>1</v>
      </c>
      <c r="T1343" s="39">
        <f t="shared" si="146"/>
        <v>0</v>
      </c>
      <c r="U1343" s="39">
        <f t="shared" si="147"/>
        <v>0</v>
      </c>
      <c r="V1343" s="40"/>
    </row>
    <row r="1344" spans="2:22" x14ac:dyDescent="0.35">
      <c r="B1344" s="40">
        <v>35086</v>
      </c>
      <c r="C1344" s="39">
        <v>2390.5</v>
      </c>
      <c r="D1344" s="219">
        <f t="shared" si="148"/>
        <v>-3.4660632281967095E-3</v>
      </c>
      <c r="F1344" s="40">
        <v>35086</v>
      </c>
      <c r="G1344" s="39">
        <v>2390.5</v>
      </c>
      <c r="H1344" s="39">
        <f t="shared" si="143"/>
        <v>1</v>
      </c>
      <c r="I1344" s="39">
        <f t="shared" si="144"/>
        <v>0</v>
      </c>
      <c r="K1344" s="40"/>
      <c r="Q1344" s="40">
        <v>35086</v>
      </c>
      <c r="R1344" s="39">
        <v>2390.5</v>
      </c>
      <c r="S1344" s="39">
        <f t="shared" si="145"/>
        <v>1</v>
      </c>
      <c r="T1344" s="39">
        <f t="shared" si="146"/>
        <v>0</v>
      </c>
      <c r="U1344" s="39">
        <f t="shared" si="147"/>
        <v>0</v>
      </c>
      <c r="V1344" s="40"/>
    </row>
    <row r="1345" spans="2:22" x14ac:dyDescent="0.35">
      <c r="B1345" s="40">
        <v>35087</v>
      </c>
      <c r="C1345" s="39">
        <v>2384.5</v>
      </c>
      <c r="D1345" s="219">
        <f t="shared" si="148"/>
        <v>-2.5130903278790702E-3</v>
      </c>
      <c r="F1345" s="40">
        <v>35087</v>
      </c>
      <c r="G1345" s="39">
        <v>2384.5</v>
      </c>
      <c r="H1345" s="39">
        <f t="shared" si="143"/>
        <v>2</v>
      </c>
      <c r="I1345" s="39">
        <f t="shared" si="144"/>
        <v>0</v>
      </c>
      <c r="K1345" s="40"/>
      <c r="Q1345" s="40">
        <v>35087</v>
      </c>
      <c r="R1345" s="39">
        <v>2384.5</v>
      </c>
      <c r="S1345" s="39">
        <f t="shared" si="145"/>
        <v>1</v>
      </c>
      <c r="T1345" s="39">
        <f t="shared" si="146"/>
        <v>0</v>
      </c>
      <c r="U1345" s="39">
        <f t="shared" si="147"/>
        <v>0</v>
      </c>
      <c r="V1345" s="40"/>
    </row>
    <row r="1346" spans="2:22" x14ac:dyDescent="0.35">
      <c r="B1346" s="40">
        <v>35088</v>
      </c>
      <c r="C1346" s="39">
        <v>2423.1</v>
      </c>
      <c r="D1346" s="219">
        <f t="shared" si="148"/>
        <v>1.6058253378081287E-2</v>
      </c>
      <c r="F1346" s="40">
        <v>35088</v>
      </c>
      <c r="G1346" s="39">
        <v>2423.1</v>
      </c>
      <c r="H1346" s="39">
        <f t="shared" si="143"/>
        <v>3</v>
      </c>
      <c r="I1346" s="39">
        <f t="shared" si="144"/>
        <v>0</v>
      </c>
      <c r="K1346" s="40"/>
      <c r="Q1346" s="40">
        <v>35088</v>
      </c>
      <c r="R1346" s="39">
        <v>2423.1</v>
      </c>
      <c r="S1346" s="39">
        <f t="shared" si="145"/>
        <v>1</v>
      </c>
      <c r="T1346" s="39">
        <f t="shared" si="146"/>
        <v>0</v>
      </c>
      <c r="U1346" s="39">
        <f t="shared" si="147"/>
        <v>0</v>
      </c>
      <c r="V1346" s="40"/>
    </row>
    <row r="1347" spans="2:22" x14ac:dyDescent="0.35">
      <c r="B1347" s="40">
        <v>35089</v>
      </c>
      <c r="C1347" s="39">
        <v>2443.6999999999998</v>
      </c>
      <c r="D1347" s="219">
        <f t="shared" si="148"/>
        <v>8.4655720499433873E-3</v>
      </c>
      <c r="F1347" s="40">
        <v>35089</v>
      </c>
      <c r="G1347" s="39">
        <v>2443.6999999999998</v>
      </c>
      <c r="H1347" s="39">
        <f t="shared" si="143"/>
        <v>4</v>
      </c>
      <c r="I1347" s="39">
        <f t="shared" si="144"/>
        <v>0</v>
      </c>
      <c r="K1347" s="40"/>
      <c r="Q1347" s="40">
        <v>35089</v>
      </c>
      <c r="R1347" s="39">
        <v>2443.6999999999998</v>
      </c>
      <c r="S1347" s="39">
        <f t="shared" si="145"/>
        <v>1</v>
      </c>
      <c r="T1347" s="39">
        <f t="shared" si="146"/>
        <v>0</v>
      </c>
      <c r="U1347" s="39">
        <f t="shared" si="147"/>
        <v>0</v>
      </c>
      <c r="V1347" s="40"/>
    </row>
    <row r="1348" spans="2:22" x14ac:dyDescent="0.35">
      <c r="B1348" s="40">
        <v>35090</v>
      </c>
      <c r="C1348" s="39">
        <v>2432.9</v>
      </c>
      <c r="D1348" s="219">
        <f t="shared" si="148"/>
        <v>-4.429322748227868E-3</v>
      </c>
      <c r="F1348" s="40">
        <v>35090</v>
      </c>
      <c r="G1348" s="39">
        <v>2432.9</v>
      </c>
      <c r="H1348" s="39">
        <f t="shared" si="143"/>
        <v>5</v>
      </c>
      <c r="I1348" s="39">
        <f t="shared" si="144"/>
        <v>2432.9</v>
      </c>
      <c r="K1348" s="40"/>
      <c r="Q1348" s="40">
        <v>35090</v>
      </c>
      <c r="R1348" s="39">
        <v>2432.9</v>
      </c>
      <c r="S1348" s="39">
        <f t="shared" si="145"/>
        <v>1</v>
      </c>
      <c r="T1348" s="39">
        <f t="shared" si="146"/>
        <v>0</v>
      </c>
      <c r="U1348" s="39">
        <f t="shared" si="147"/>
        <v>0</v>
      </c>
      <c r="V1348" s="40"/>
    </row>
    <row r="1349" spans="2:22" x14ac:dyDescent="0.35">
      <c r="B1349" s="40">
        <v>35093</v>
      </c>
      <c r="C1349" s="39">
        <v>2446.1</v>
      </c>
      <c r="D1349" s="219">
        <f t="shared" si="148"/>
        <v>5.4109580677588927E-3</v>
      </c>
      <c r="F1349" s="40">
        <v>35093</v>
      </c>
      <c r="G1349" s="39">
        <v>2446.1</v>
      </c>
      <c r="H1349" s="39">
        <f t="shared" si="143"/>
        <v>1</v>
      </c>
      <c r="I1349" s="39">
        <f t="shared" si="144"/>
        <v>0</v>
      </c>
      <c r="K1349" s="40"/>
      <c r="Q1349" s="40">
        <v>35093</v>
      </c>
      <c r="R1349" s="39">
        <v>2446.1</v>
      </c>
      <c r="S1349" s="39">
        <f t="shared" si="145"/>
        <v>1</v>
      </c>
      <c r="T1349" s="39">
        <f t="shared" si="146"/>
        <v>0</v>
      </c>
      <c r="U1349" s="39">
        <f t="shared" si="147"/>
        <v>0</v>
      </c>
      <c r="V1349" s="40"/>
    </row>
    <row r="1350" spans="2:22" x14ac:dyDescent="0.35">
      <c r="B1350" s="40">
        <v>35094</v>
      </c>
      <c r="C1350" s="39">
        <v>2435.8000000000002</v>
      </c>
      <c r="D1350" s="219">
        <f t="shared" si="148"/>
        <v>-4.2196748328244774E-3</v>
      </c>
      <c r="F1350" s="40">
        <v>35094</v>
      </c>
      <c r="G1350" s="39">
        <v>2435.8000000000002</v>
      </c>
      <c r="H1350" s="39">
        <f t="shared" si="143"/>
        <v>2</v>
      </c>
      <c r="I1350" s="39">
        <f t="shared" si="144"/>
        <v>0</v>
      </c>
      <c r="K1350" s="40"/>
      <c r="Q1350" s="40">
        <v>35094</v>
      </c>
      <c r="R1350" s="39">
        <v>2435.8000000000002</v>
      </c>
      <c r="S1350" s="39">
        <f t="shared" si="145"/>
        <v>1</v>
      </c>
      <c r="T1350" s="39">
        <f t="shared" si="146"/>
        <v>0</v>
      </c>
      <c r="U1350" s="39">
        <f t="shared" si="147"/>
        <v>0</v>
      </c>
      <c r="V1350" s="40"/>
    </row>
    <row r="1351" spans="2:22" x14ac:dyDescent="0.35">
      <c r="B1351" s="40">
        <v>35095</v>
      </c>
      <c r="C1351" s="39">
        <v>2470.1</v>
      </c>
      <c r="D1351" s="219">
        <f t="shared" si="148"/>
        <v>1.3983390979443086E-2</v>
      </c>
      <c r="F1351" s="40">
        <v>35095</v>
      </c>
      <c r="G1351" s="39">
        <v>2470.1</v>
      </c>
      <c r="H1351" s="39">
        <f t="shared" si="143"/>
        <v>3</v>
      </c>
      <c r="I1351" s="39">
        <f t="shared" si="144"/>
        <v>0</v>
      </c>
      <c r="K1351" s="40"/>
      <c r="Q1351" s="40">
        <v>35095</v>
      </c>
      <c r="R1351" s="39">
        <v>2470.1</v>
      </c>
      <c r="S1351" s="39">
        <f t="shared" si="145"/>
        <v>1</v>
      </c>
      <c r="T1351" s="39">
        <f t="shared" si="146"/>
        <v>2470.1</v>
      </c>
      <c r="U1351" s="39">
        <f t="shared" si="147"/>
        <v>2470.1</v>
      </c>
      <c r="V1351" s="40"/>
    </row>
    <row r="1352" spans="2:22" x14ac:dyDescent="0.35">
      <c r="B1352" s="40">
        <v>35096</v>
      </c>
      <c r="C1352" s="39">
        <v>2459.3000000000002</v>
      </c>
      <c r="D1352" s="219">
        <f t="shared" si="148"/>
        <v>-4.3818790444159041E-3</v>
      </c>
      <c r="F1352" s="40">
        <v>35096</v>
      </c>
      <c r="G1352" s="39">
        <v>2459.3000000000002</v>
      </c>
      <c r="H1352" s="39">
        <f t="shared" si="143"/>
        <v>4</v>
      </c>
      <c r="I1352" s="39">
        <f t="shared" si="144"/>
        <v>0</v>
      </c>
      <c r="K1352" s="40"/>
      <c r="Q1352" s="40">
        <v>35096</v>
      </c>
      <c r="R1352" s="39">
        <v>2459.3000000000002</v>
      </c>
      <c r="S1352" s="39">
        <f t="shared" si="145"/>
        <v>2</v>
      </c>
      <c r="T1352" s="39">
        <f t="shared" si="146"/>
        <v>0</v>
      </c>
      <c r="U1352" s="39">
        <f t="shared" si="147"/>
        <v>0</v>
      </c>
      <c r="V1352" s="40"/>
    </row>
    <row r="1353" spans="2:22" x14ac:dyDescent="0.35">
      <c r="B1353" s="40">
        <v>35097</v>
      </c>
      <c r="C1353" s="39">
        <v>2452.1</v>
      </c>
      <c r="D1353" s="219">
        <f t="shared" si="148"/>
        <v>-2.931956329282955E-3</v>
      </c>
      <c r="F1353" s="40">
        <v>35097</v>
      </c>
      <c r="G1353" s="39">
        <v>2452.1</v>
      </c>
      <c r="H1353" s="39">
        <f t="shared" si="143"/>
        <v>5</v>
      </c>
      <c r="I1353" s="39">
        <f t="shared" si="144"/>
        <v>2452.1</v>
      </c>
      <c r="K1353" s="40"/>
      <c r="Q1353" s="40">
        <v>35097</v>
      </c>
      <c r="R1353" s="39">
        <v>2452.1</v>
      </c>
      <c r="S1353" s="39">
        <f t="shared" si="145"/>
        <v>2</v>
      </c>
      <c r="T1353" s="39">
        <f t="shared" si="146"/>
        <v>0</v>
      </c>
      <c r="U1353" s="39">
        <f t="shared" si="147"/>
        <v>0</v>
      </c>
      <c r="V1353" s="40"/>
    </row>
    <row r="1354" spans="2:22" x14ac:dyDescent="0.35">
      <c r="B1354" s="40">
        <v>35100</v>
      </c>
      <c r="C1354" s="39">
        <v>2419</v>
      </c>
      <c r="D1354" s="219">
        <f t="shared" si="148"/>
        <v>-1.3590568648727144E-2</v>
      </c>
      <c r="F1354" s="40">
        <v>35100</v>
      </c>
      <c r="G1354" s="39">
        <v>2419</v>
      </c>
      <c r="H1354" s="39">
        <f t="shared" si="143"/>
        <v>1</v>
      </c>
      <c r="I1354" s="39">
        <f t="shared" si="144"/>
        <v>0</v>
      </c>
      <c r="K1354" s="40"/>
      <c r="Q1354" s="40">
        <v>35100</v>
      </c>
      <c r="R1354" s="39">
        <v>2419</v>
      </c>
      <c r="S1354" s="39">
        <f t="shared" si="145"/>
        <v>2</v>
      </c>
      <c r="T1354" s="39">
        <f t="shared" si="146"/>
        <v>0</v>
      </c>
      <c r="U1354" s="39">
        <f t="shared" si="147"/>
        <v>0</v>
      </c>
      <c r="V1354" s="40"/>
    </row>
    <row r="1355" spans="2:22" x14ac:dyDescent="0.35">
      <c r="B1355" s="40">
        <v>35101</v>
      </c>
      <c r="C1355" s="39">
        <v>2428.3000000000002</v>
      </c>
      <c r="D1355" s="219">
        <f t="shared" si="148"/>
        <v>3.8371924209901695E-3</v>
      </c>
      <c r="F1355" s="40">
        <v>35101</v>
      </c>
      <c r="G1355" s="39">
        <v>2428.3000000000002</v>
      </c>
      <c r="H1355" s="39">
        <f t="shared" si="143"/>
        <v>2</v>
      </c>
      <c r="I1355" s="39">
        <f t="shared" si="144"/>
        <v>0</v>
      </c>
      <c r="K1355" s="40"/>
      <c r="Q1355" s="40">
        <v>35101</v>
      </c>
      <c r="R1355" s="39">
        <v>2428.3000000000002</v>
      </c>
      <c r="S1355" s="39">
        <f t="shared" si="145"/>
        <v>2</v>
      </c>
      <c r="T1355" s="39">
        <f t="shared" si="146"/>
        <v>0</v>
      </c>
      <c r="U1355" s="39">
        <f t="shared" si="147"/>
        <v>0</v>
      </c>
      <c r="V1355" s="40"/>
    </row>
    <row r="1356" spans="2:22" x14ac:dyDescent="0.35">
      <c r="B1356" s="40">
        <v>35102</v>
      </c>
      <c r="C1356" s="39">
        <v>2446.1999999999998</v>
      </c>
      <c r="D1356" s="219">
        <f t="shared" si="148"/>
        <v>7.3443760222452539E-3</v>
      </c>
      <c r="F1356" s="40">
        <v>35102</v>
      </c>
      <c r="G1356" s="39">
        <v>2446.1999999999998</v>
      </c>
      <c r="H1356" s="39">
        <f t="shared" si="143"/>
        <v>3</v>
      </c>
      <c r="I1356" s="39">
        <f t="shared" si="144"/>
        <v>0</v>
      </c>
      <c r="K1356" s="40"/>
      <c r="Q1356" s="40">
        <v>35102</v>
      </c>
      <c r="R1356" s="39">
        <v>2446.1999999999998</v>
      </c>
      <c r="S1356" s="39">
        <f t="shared" si="145"/>
        <v>2</v>
      </c>
      <c r="T1356" s="39">
        <f t="shared" si="146"/>
        <v>0</v>
      </c>
      <c r="U1356" s="39">
        <f t="shared" si="147"/>
        <v>0</v>
      </c>
      <c r="V1356" s="40"/>
    </row>
    <row r="1357" spans="2:22" x14ac:dyDescent="0.35">
      <c r="B1357" s="40">
        <v>35103</v>
      </c>
      <c r="C1357" s="39">
        <v>2430.1999999999998</v>
      </c>
      <c r="D1357" s="219">
        <f t="shared" si="148"/>
        <v>-6.562241578751328E-3</v>
      </c>
      <c r="F1357" s="40">
        <v>35103</v>
      </c>
      <c r="G1357" s="39">
        <v>2430.1999999999998</v>
      </c>
      <c r="H1357" s="39">
        <f t="shared" si="143"/>
        <v>4</v>
      </c>
      <c r="I1357" s="39">
        <f t="shared" si="144"/>
        <v>0</v>
      </c>
      <c r="K1357" s="40"/>
      <c r="Q1357" s="40">
        <v>35103</v>
      </c>
      <c r="R1357" s="39">
        <v>2430.1999999999998</v>
      </c>
      <c r="S1357" s="39">
        <f t="shared" si="145"/>
        <v>2</v>
      </c>
      <c r="T1357" s="39">
        <f t="shared" si="146"/>
        <v>0</v>
      </c>
      <c r="U1357" s="39">
        <f t="shared" si="147"/>
        <v>0</v>
      </c>
      <c r="V1357" s="40"/>
    </row>
    <row r="1358" spans="2:22" x14ac:dyDescent="0.35">
      <c r="B1358" s="40">
        <v>35104</v>
      </c>
      <c r="C1358" s="39">
        <v>2411.9</v>
      </c>
      <c r="D1358" s="219">
        <f t="shared" si="148"/>
        <v>-7.5587398567162614E-3</v>
      </c>
      <c r="F1358" s="40">
        <v>35104</v>
      </c>
      <c r="G1358" s="39">
        <v>2411.9</v>
      </c>
      <c r="H1358" s="39">
        <f t="shared" si="143"/>
        <v>5</v>
      </c>
      <c r="I1358" s="39">
        <f t="shared" si="144"/>
        <v>2411.9</v>
      </c>
      <c r="K1358" s="40"/>
      <c r="Q1358" s="40">
        <v>35104</v>
      </c>
      <c r="R1358" s="39">
        <v>2411.9</v>
      </c>
      <c r="S1358" s="39">
        <f t="shared" si="145"/>
        <v>2</v>
      </c>
      <c r="T1358" s="39">
        <f t="shared" si="146"/>
        <v>0</v>
      </c>
      <c r="U1358" s="39">
        <f t="shared" si="147"/>
        <v>0</v>
      </c>
      <c r="V1358" s="40"/>
    </row>
    <row r="1359" spans="2:22" x14ac:dyDescent="0.35">
      <c r="B1359" s="40">
        <v>35107</v>
      </c>
      <c r="C1359" s="39">
        <v>2428.1</v>
      </c>
      <c r="D1359" s="219">
        <f t="shared" si="148"/>
        <v>6.6942398749167773E-3</v>
      </c>
      <c r="F1359" s="40">
        <v>35107</v>
      </c>
      <c r="G1359" s="39">
        <v>2428.1</v>
      </c>
      <c r="H1359" s="39">
        <f t="shared" si="143"/>
        <v>1</v>
      </c>
      <c r="I1359" s="39">
        <f t="shared" si="144"/>
        <v>0</v>
      </c>
      <c r="K1359" s="40"/>
      <c r="Q1359" s="40">
        <v>35107</v>
      </c>
      <c r="R1359" s="39">
        <v>2428.1</v>
      </c>
      <c r="S1359" s="39">
        <f t="shared" si="145"/>
        <v>2</v>
      </c>
      <c r="T1359" s="39">
        <f t="shared" si="146"/>
        <v>0</v>
      </c>
      <c r="U1359" s="39">
        <f t="shared" si="147"/>
        <v>0</v>
      </c>
      <c r="V1359" s="40"/>
    </row>
    <row r="1360" spans="2:22" x14ac:dyDescent="0.35">
      <c r="B1360" s="40">
        <v>35108</v>
      </c>
      <c r="C1360" s="39">
        <v>2433.9</v>
      </c>
      <c r="D1360" s="219">
        <f t="shared" si="148"/>
        <v>2.3858505764170804E-3</v>
      </c>
      <c r="F1360" s="40">
        <v>35108</v>
      </c>
      <c r="G1360" s="39">
        <v>2433.9</v>
      </c>
      <c r="H1360" s="39">
        <f t="shared" si="143"/>
        <v>2</v>
      </c>
      <c r="I1360" s="39">
        <f t="shared" si="144"/>
        <v>0</v>
      </c>
      <c r="K1360" s="40"/>
      <c r="Q1360" s="40">
        <v>35108</v>
      </c>
      <c r="R1360" s="39">
        <v>2433.9</v>
      </c>
      <c r="S1360" s="39">
        <f t="shared" si="145"/>
        <v>2</v>
      </c>
      <c r="T1360" s="39">
        <f t="shared" si="146"/>
        <v>0</v>
      </c>
      <c r="U1360" s="39">
        <f t="shared" si="147"/>
        <v>0</v>
      </c>
      <c r="V1360" s="40"/>
    </row>
    <row r="1361" spans="2:22" x14ac:dyDescent="0.35">
      <c r="B1361" s="40">
        <v>35109</v>
      </c>
      <c r="C1361" s="39">
        <v>2427.1</v>
      </c>
      <c r="D1361" s="219">
        <f t="shared" si="148"/>
        <v>-2.7977800599154755E-3</v>
      </c>
      <c r="F1361" s="40">
        <v>35109</v>
      </c>
      <c r="G1361" s="39">
        <v>2427.1</v>
      </c>
      <c r="H1361" s="39">
        <f t="shared" si="143"/>
        <v>3</v>
      </c>
      <c r="I1361" s="39">
        <f t="shared" si="144"/>
        <v>0</v>
      </c>
      <c r="K1361" s="40"/>
      <c r="Q1361" s="40">
        <v>35109</v>
      </c>
      <c r="R1361" s="39">
        <v>2427.1</v>
      </c>
      <c r="S1361" s="39">
        <f t="shared" si="145"/>
        <v>2</v>
      </c>
      <c r="T1361" s="39">
        <f t="shared" si="146"/>
        <v>0</v>
      </c>
      <c r="U1361" s="39">
        <f t="shared" si="147"/>
        <v>0</v>
      </c>
      <c r="V1361" s="40"/>
    </row>
    <row r="1362" spans="2:22" x14ac:dyDescent="0.35">
      <c r="B1362" s="40">
        <v>35110</v>
      </c>
      <c r="C1362" s="39">
        <v>2423</v>
      </c>
      <c r="D1362" s="219">
        <f t="shared" si="148"/>
        <v>-1.6906871926879125E-3</v>
      </c>
      <c r="F1362" s="40">
        <v>35110</v>
      </c>
      <c r="G1362" s="39">
        <v>2423</v>
      </c>
      <c r="H1362" s="39">
        <f t="shared" si="143"/>
        <v>4</v>
      </c>
      <c r="I1362" s="39">
        <f t="shared" si="144"/>
        <v>0</v>
      </c>
      <c r="K1362" s="40"/>
      <c r="Q1362" s="40">
        <v>35110</v>
      </c>
      <c r="R1362" s="39">
        <v>2423</v>
      </c>
      <c r="S1362" s="39">
        <f t="shared" si="145"/>
        <v>2</v>
      </c>
      <c r="T1362" s="39">
        <f t="shared" si="146"/>
        <v>0</v>
      </c>
      <c r="U1362" s="39">
        <f t="shared" si="147"/>
        <v>0</v>
      </c>
      <c r="V1362" s="40"/>
    </row>
    <row r="1363" spans="2:22" x14ac:dyDescent="0.35">
      <c r="B1363" s="40">
        <v>35111</v>
      </c>
      <c r="C1363" s="39">
        <v>2429</v>
      </c>
      <c r="D1363" s="219">
        <f t="shared" si="148"/>
        <v>2.4732081856468691E-3</v>
      </c>
      <c r="F1363" s="40">
        <v>35111</v>
      </c>
      <c r="G1363" s="39">
        <v>2429</v>
      </c>
      <c r="H1363" s="39">
        <f t="shared" si="143"/>
        <v>5</v>
      </c>
      <c r="I1363" s="39">
        <f t="shared" si="144"/>
        <v>2429</v>
      </c>
      <c r="K1363" s="40"/>
      <c r="Q1363" s="40">
        <v>35111</v>
      </c>
      <c r="R1363" s="39">
        <v>2429</v>
      </c>
      <c r="S1363" s="39">
        <f t="shared" si="145"/>
        <v>2</v>
      </c>
      <c r="T1363" s="39">
        <f t="shared" si="146"/>
        <v>0</v>
      </c>
      <c r="U1363" s="39">
        <f t="shared" si="147"/>
        <v>0</v>
      </c>
      <c r="V1363" s="40"/>
    </row>
    <row r="1364" spans="2:22" x14ac:dyDescent="0.35">
      <c r="B1364" s="40">
        <v>35114</v>
      </c>
      <c r="C1364" s="39">
        <v>2398.6</v>
      </c>
      <c r="D1364" s="219">
        <f t="shared" si="148"/>
        <v>-1.2594416204551893E-2</v>
      </c>
      <c r="F1364" s="40">
        <v>35114</v>
      </c>
      <c r="G1364" s="39">
        <v>2398.6</v>
      </c>
      <c r="H1364" s="39">
        <f t="shared" si="143"/>
        <v>1</v>
      </c>
      <c r="I1364" s="39">
        <f t="shared" si="144"/>
        <v>0</v>
      </c>
      <c r="K1364" s="40"/>
      <c r="Q1364" s="40">
        <v>35114</v>
      </c>
      <c r="R1364" s="39">
        <v>2398.6</v>
      </c>
      <c r="S1364" s="39">
        <f t="shared" si="145"/>
        <v>2</v>
      </c>
      <c r="T1364" s="39">
        <f t="shared" si="146"/>
        <v>0</v>
      </c>
      <c r="U1364" s="39">
        <f t="shared" si="147"/>
        <v>0</v>
      </c>
      <c r="V1364" s="40"/>
    </row>
    <row r="1365" spans="2:22" x14ac:dyDescent="0.35">
      <c r="B1365" s="40">
        <v>35115</v>
      </c>
      <c r="C1365" s="39">
        <v>2382.6</v>
      </c>
      <c r="D1365" s="219">
        <f t="shared" si="148"/>
        <v>-6.6929054323599116E-3</v>
      </c>
      <c r="F1365" s="40">
        <v>35115</v>
      </c>
      <c r="G1365" s="39">
        <v>2382.6</v>
      </c>
      <c r="H1365" s="39">
        <f t="shared" si="143"/>
        <v>2</v>
      </c>
      <c r="I1365" s="39">
        <f t="shared" si="144"/>
        <v>0</v>
      </c>
      <c r="K1365" s="40"/>
      <c r="Q1365" s="40">
        <v>35115</v>
      </c>
      <c r="R1365" s="39">
        <v>2382.6</v>
      </c>
      <c r="S1365" s="39">
        <f t="shared" si="145"/>
        <v>2</v>
      </c>
      <c r="T1365" s="39">
        <f t="shared" si="146"/>
        <v>0</v>
      </c>
      <c r="U1365" s="39">
        <f t="shared" si="147"/>
        <v>0</v>
      </c>
      <c r="V1365" s="40"/>
    </row>
    <row r="1366" spans="2:22" x14ac:dyDescent="0.35">
      <c r="B1366" s="40">
        <v>35116</v>
      </c>
      <c r="C1366" s="39">
        <v>2391.1</v>
      </c>
      <c r="D1366" s="219">
        <f t="shared" si="148"/>
        <v>3.561182723295257E-3</v>
      </c>
      <c r="F1366" s="40">
        <v>35116</v>
      </c>
      <c r="G1366" s="39">
        <v>2391.1</v>
      </c>
      <c r="H1366" s="39">
        <f t="shared" si="143"/>
        <v>3</v>
      </c>
      <c r="I1366" s="39">
        <f t="shared" si="144"/>
        <v>0</v>
      </c>
      <c r="K1366" s="40"/>
      <c r="Q1366" s="40">
        <v>35116</v>
      </c>
      <c r="R1366" s="39">
        <v>2391.1</v>
      </c>
      <c r="S1366" s="39">
        <f t="shared" si="145"/>
        <v>2</v>
      </c>
      <c r="T1366" s="39">
        <f t="shared" si="146"/>
        <v>0</v>
      </c>
      <c r="U1366" s="39">
        <f t="shared" si="147"/>
        <v>0</v>
      </c>
      <c r="V1366" s="40"/>
    </row>
    <row r="1367" spans="2:22" x14ac:dyDescent="0.35">
      <c r="B1367" s="40">
        <v>35117</v>
      </c>
      <c r="C1367" s="39">
        <v>2412</v>
      </c>
      <c r="D1367" s="219">
        <f t="shared" si="148"/>
        <v>8.7027677585199779E-3</v>
      </c>
      <c r="F1367" s="40">
        <v>35117</v>
      </c>
      <c r="G1367" s="39">
        <v>2412</v>
      </c>
      <c r="H1367" s="39">
        <f t="shared" si="143"/>
        <v>4</v>
      </c>
      <c r="I1367" s="39">
        <f t="shared" si="144"/>
        <v>0</v>
      </c>
      <c r="K1367" s="40"/>
      <c r="Q1367" s="40">
        <v>35117</v>
      </c>
      <c r="R1367" s="39">
        <v>2412</v>
      </c>
      <c r="S1367" s="39">
        <f t="shared" si="145"/>
        <v>2</v>
      </c>
      <c r="T1367" s="39">
        <f t="shared" si="146"/>
        <v>0</v>
      </c>
      <c r="U1367" s="39">
        <f t="shared" si="147"/>
        <v>0</v>
      </c>
      <c r="V1367" s="40"/>
    </row>
    <row r="1368" spans="2:22" x14ac:dyDescent="0.35">
      <c r="B1368" s="40">
        <v>35118</v>
      </c>
      <c r="C1368" s="39">
        <v>2451.8000000000002</v>
      </c>
      <c r="D1368" s="219">
        <f t="shared" si="148"/>
        <v>1.6366169813817923E-2</v>
      </c>
      <c r="F1368" s="40">
        <v>35118</v>
      </c>
      <c r="G1368" s="39">
        <v>2451.8000000000002</v>
      </c>
      <c r="H1368" s="39">
        <f t="shared" si="143"/>
        <v>5</v>
      </c>
      <c r="I1368" s="39">
        <f t="shared" si="144"/>
        <v>2451.8000000000002</v>
      </c>
      <c r="K1368" s="40"/>
      <c r="Q1368" s="40">
        <v>35118</v>
      </c>
      <c r="R1368" s="39">
        <v>2451.8000000000002</v>
      </c>
      <c r="S1368" s="39">
        <f t="shared" si="145"/>
        <v>2</v>
      </c>
      <c r="T1368" s="39">
        <f t="shared" si="146"/>
        <v>0</v>
      </c>
      <c r="U1368" s="39">
        <f t="shared" si="147"/>
        <v>0</v>
      </c>
      <c r="V1368" s="40"/>
    </row>
    <row r="1369" spans="2:22" x14ac:dyDescent="0.35">
      <c r="B1369" s="40">
        <v>35121</v>
      </c>
      <c r="C1369" s="39">
        <v>2442.3000000000002</v>
      </c>
      <c r="D1369" s="219">
        <f t="shared" si="148"/>
        <v>-3.8822304128521461E-3</v>
      </c>
      <c r="F1369" s="40">
        <v>35121</v>
      </c>
      <c r="G1369" s="39">
        <v>2442.3000000000002</v>
      </c>
      <c r="H1369" s="39">
        <f t="shared" si="143"/>
        <v>1</v>
      </c>
      <c r="I1369" s="39">
        <f t="shared" si="144"/>
        <v>0</v>
      </c>
      <c r="K1369" s="40"/>
      <c r="Q1369" s="40">
        <v>35121</v>
      </c>
      <c r="R1369" s="39">
        <v>2442.3000000000002</v>
      </c>
      <c r="S1369" s="39">
        <f t="shared" si="145"/>
        <v>2</v>
      </c>
      <c r="T1369" s="39">
        <f t="shared" si="146"/>
        <v>0</v>
      </c>
      <c r="U1369" s="39">
        <f t="shared" si="147"/>
        <v>0</v>
      </c>
      <c r="V1369" s="40"/>
    </row>
    <row r="1370" spans="2:22" x14ac:dyDescent="0.35">
      <c r="B1370" s="40">
        <v>35122</v>
      </c>
      <c r="C1370" s="39">
        <v>2444.9</v>
      </c>
      <c r="D1370" s="219">
        <f t="shared" si="148"/>
        <v>1.0640040290101169E-3</v>
      </c>
      <c r="F1370" s="40">
        <v>35122</v>
      </c>
      <c r="G1370" s="39">
        <v>2444.9</v>
      </c>
      <c r="H1370" s="39">
        <f t="shared" si="143"/>
        <v>2</v>
      </c>
      <c r="I1370" s="39">
        <f t="shared" si="144"/>
        <v>0</v>
      </c>
      <c r="K1370" s="40"/>
      <c r="Q1370" s="40">
        <v>35122</v>
      </c>
      <c r="R1370" s="39">
        <v>2444.9</v>
      </c>
      <c r="S1370" s="39">
        <f t="shared" si="145"/>
        <v>2</v>
      </c>
      <c r="T1370" s="39">
        <f t="shared" si="146"/>
        <v>0</v>
      </c>
      <c r="U1370" s="39">
        <f t="shared" si="147"/>
        <v>0</v>
      </c>
      <c r="V1370" s="40"/>
    </row>
    <row r="1371" spans="2:22" x14ac:dyDescent="0.35">
      <c r="B1371" s="40">
        <v>35123</v>
      </c>
      <c r="C1371" s="39">
        <v>2472.5</v>
      </c>
      <c r="D1371" s="219">
        <f t="shared" si="148"/>
        <v>1.1225562219815167E-2</v>
      </c>
      <c r="F1371" s="40">
        <v>35123</v>
      </c>
      <c r="G1371" s="39">
        <v>2472.5</v>
      </c>
      <c r="H1371" s="39">
        <f t="shared" si="143"/>
        <v>3</v>
      </c>
      <c r="I1371" s="39">
        <f t="shared" si="144"/>
        <v>0</v>
      </c>
      <c r="K1371" s="40"/>
      <c r="Q1371" s="40">
        <v>35123</v>
      </c>
      <c r="R1371" s="39">
        <v>2472.5</v>
      </c>
      <c r="S1371" s="39">
        <f t="shared" si="145"/>
        <v>2</v>
      </c>
      <c r="T1371" s="39">
        <f t="shared" si="146"/>
        <v>0</v>
      </c>
      <c r="U1371" s="39">
        <f t="shared" si="147"/>
        <v>0</v>
      </c>
      <c r="V1371" s="40"/>
    </row>
    <row r="1372" spans="2:22" x14ac:dyDescent="0.35">
      <c r="B1372" s="40">
        <v>35124</v>
      </c>
      <c r="C1372" s="39">
        <v>2473.6</v>
      </c>
      <c r="D1372" s="219">
        <f t="shared" si="148"/>
        <v>4.4479489623569117E-4</v>
      </c>
      <c r="F1372" s="40">
        <v>35124</v>
      </c>
      <c r="G1372" s="39">
        <v>2473.6</v>
      </c>
      <c r="H1372" s="39">
        <f t="shared" si="143"/>
        <v>4</v>
      </c>
      <c r="I1372" s="39">
        <f t="shared" si="144"/>
        <v>0</v>
      </c>
      <c r="K1372" s="40"/>
      <c r="Q1372" s="40">
        <v>35124</v>
      </c>
      <c r="R1372" s="39">
        <v>2473.6</v>
      </c>
      <c r="S1372" s="39">
        <f t="shared" si="145"/>
        <v>2</v>
      </c>
      <c r="T1372" s="39">
        <f t="shared" si="146"/>
        <v>2473.6</v>
      </c>
      <c r="U1372" s="39">
        <f t="shared" si="147"/>
        <v>2473.6</v>
      </c>
      <c r="V1372" s="40"/>
    </row>
    <row r="1373" spans="2:22" x14ac:dyDescent="0.35">
      <c r="B1373" s="40">
        <v>35125</v>
      </c>
      <c r="C1373" s="39">
        <v>2501.1999999999998</v>
      </c>
      <c r="D1373" s="219">
        <f t="shared" si="148"/>
        <v>1.1096037300040064E-2</v>
      </c>
      <c r="F1373" s="40">
        <v>35125</v>
      </c>
      <c r="G1373" s="39">
        <v>2501.1999999999998</v>
      </c>
      <c r="H1373" s="39">
        <f t="shared" si="143"/>
        <v>5</v>
      </c>
      <c r="I1373" s="39">
        <f t="shared" si="144"/>
        <v>2501.1999999999998</v>
      </c>
      <c r="K1373" s="40"/>
      <c r="Q1373" s="40">
        <v>35125</v>
      </c>
      <c r="R1373" s="39">
        <v>2501.1999999999998</v>
      </c>
      <c r="S1373" s="39">
        <f t="shared" si="145"/>
        <v>3</v>
      </c>
      <c r="T1373" s="39">
        <f t="shared" si="146"/>
        <v>0</v>
      </c>
      <c r="U1373" s="39">
        <f t="shared" si="147"/>
        <v>0</v>
      </c>
      <c r="V1373" s="40"/>
    </row>
    <row r="1374" spans="2:22" x14ac:dyDescent="0.35">
      <c r="B1374" s="40">
        <v>35128</v>
      </c>
      <c r="C1374" s="39">
        <v>2488</v>
      </c>
      <c r="D1374" s="219">
        <f t="shared" si="148"/>
        <v>-5.2914418340727675E-3</v>
      </c>
      <c r="F1374" s="40">
        <v>35128</v>
      </c>
      <c r="G1374" s="39">
        <v>2488</v>
      </c>
      <c r="H1374" s="39">
        <f t="shared" si="143"/>
        <v>1</v>
      </c>
      <c r="I1374" s="39">
        <f t="shared" si="144"/>
        <v>0</v>
      </c>
      <c r="K1374" s="40"/>
      <c r="Q1374" s="40">
        <v>35128</v>
      </c>
      <c r="R1374" s="39">
        <v>2488</v>
      </c>
      <c r="S1374" s="39">
        <f t="shared" si="145"/>
        <v>3</v>
      </c>
      <c r="T1374" s="39">
        <f t="shared" si="146"/>
        <v>0</v>
      </c>
      <c r="U1374" s="39">
        <f t="shared" si="147"/>
        <v>0</v>
      </c>
      <c r="V1374" s="40"/>
    </row>
    <row r="1375" spans="2:22" x14ac:dyDescent="0.35">
      <c r="B1375" s="40">
        <v>35129</v>
      </c>
      <c r="C1375" s="39">
        <v>2479</v>
      </c>
      <c r="D1375" s="219">
        <f t="shared" si="148"/>
        <v>-3.6239218238796056E-3</v>
      </c>
      <c r="F1375" s="40">
        <v>35129</v>
      </c>
      <c r="G1375" s="39">
        <v>2479</v>
      </c>
      <c r="H1375" s="39">
        <f t="shared" si="143"/>
        <v>2</v>
      </c>
      <c r="I1375" s="39">
        <f t="shared" si="144"/>
        <v>0</v>
      </c>
      <c r="K1375" s="40"/>
      <c r="Q1375" s="40">
        <v>35129</v>
      </c>
      <c r="R1375" s="39">
        <v>2479</v>
      </c>
      <c r="S1375" s="39">
        <f t="shared" si="145"/>
        <v>3</v>
      </c>
      <c r="T1375" s="39">
        <f t="shared" si="146"/>
        <v>0</v>
      </c>
      <c r="U1375" s="39">
        <f t="shared" si="147"/>
        <v>0</v>
      </c>
      <c r="V1375" s="40"/>
    </row>
    <row r="1376" spans="2:22" x14ac:dyDescent="0.35">
      <c r="B1376" s="40">
        <v>35130</v>
      </c>
      <c r="C1376" s="39">
        <v>2466</v>
      </c>
      <c r="D1376" s="219">
        <f t="shared" si="148"/>
        <v>-5.2578483109009507E-3</v>
      </c>
      <c r="F1376" s="40">
        <v>35130</v>
      </c>
      <c r="G1376" s="39">
        <v>2466</v>
      </c>
      <c r="H1376" s="39">
        <f t="shared" si="143"/>
        <v>3</v>
      </c>
      <c r="I1376" s="39">
        <f t="shared" si="144"/>
        <v>0</v>
      </c>
      <c r="K1376" s="40"/>
      <c r="Q1376" s="40">
        <v>35130</v>
      </c>
      <c r="R1376" s="39">
        <v>2466</v>
      </c>
      <c r="S1376" s="39">
        <f t="shared" si="145"/>
        <v>3</v>
      </c>
      <c r="T1376" s="39">
        <f t="shared" si="146"/>
        <v>0</v>
      </c>
      <c r="U1376" s="39">
        <f t="shared" si="147"/>
        <v>0</v>
      </c>
      <c r="V1376" s="40"/>
    </row>
    <row r="1377" spans="2:22" x14ac:dyDescent="0.35">
      <c r="B1377" s="40">
        <v>35131</v>
      </c>
      <c r="C1377" s="39">
        <v>2480.9</v>
      </c>
      <c r="D1377" s="219">
        <f t="shared" si="148"/>
        <v>6.0239928270959756E-3</v>
      </c>
      <c r="F1377" s="40">
        <v>35131</v>
      </c>
      <c r="G1377" s="39">
        <v>2480.9</v>
      </c>
      <c r="H1377" s="39">
        <f t="shared" si="143"/>
        <v>4</v>
      </c>
      <c r="I1377" s="39">
        <f t="shared" si="144"/>
        <v>0</v>
      </c>
      <c r="K1377" s="40"/>
      <c r="Q1377" s="40">
        <v>35131</v>
      </c>
      <c r="R1377" s="39">
        <v>2480.9</v>
      </c>
      <c r="S1377" s="39">
        <f t="shared" si="145"/>
        <v>3</v>
      </c>
      <c r="T1377" s="39">
        <f t="shared" si="146"/>
        <v>0</v>
      </c>
      <c r="U1377" s="39">
        <f t="shared" si="147"/>
        <v>0</v>
      </c>
      <c r="V1377" s="40"/>
    </row>
    <row r="1378" spans="2:22" x14ac:dyDescent="0.35">
      <c r="B1378" s="40">
        <v>35132</v>
      </c>
      <c r="C1378" s="39">
        <v>2469.1</v>
      </c>
      <c r="D1378" s="219">
        <f t="shared" si="148"/>
        <v>-4.7676857987767503E-3</v>
      </c>
      <c r="F1378" s="40">
        <v>35132</v>
      </c>
      <c r="G1378" s="39">
        <v>2469.1</v>
      </c>
      <c r="H1378" s="39">
        <f t="shared" si="143"/>
        <v>5</v>
      </c>
      <c r="I1378" s="39">
        <f t="shared" si="144"/>
        <v>2469.1</v>
      </c>
      <c r="K1378" s="40"/>
      <c r="Q1378" s="40">
        <v>35132</v>
      </c>
      <c r="R1378" s="39">
        <v>2469.1</v>
      </c>
      <c r="S1378" s="39">
        <f t="shared" si="145"/>
        <v>3</v>
      </c>
      <c r="T1378" s="39">
        <f t="shared" si="146"/>
        <v>0</v>
      </c>
      <c r="U1378" s="39">
        <f t="shared" si="147"/>
        <v>0</v>
      </c>
      <c r="V1378" s="40"/>
    </row>
    <row r="1379" spans="2:22" x14ac:dyDescent="0.35">
      <c r="B1379" s="40">
        <v>35135</v>
      </c>
      <c r="C1379" s="39">
        <v>2407.8000000000002</v>
      </c>
      <c r="D1379" s="219">
        <f t="shared" si="148"/>
        <v>-2.514024425168282E-2</v>
      </c>
      <c r="F1379" s="40">
        <v>35135</v>
      </c>
      <c r="G1379" s="39">
        <v>2407.8000000000002</v>
      </c>
      <c r="H1379" s="39">
        <f t="shared" si="143"/>
        <v>1</v>
      </c>
      <c r="I1379" s="39">
        <f t="shared" si="144"/>
        <v>0</v>
      </c>
      <c r="K1379" s="40"/>
      <c r="Q1379" s="40">
        <v>35135</v>
      </c>
      <c r="R1379" s="39">
        <v>2407.8000000000002</v>
      </c>
      <c r="S1379" s="39">
        <f t="shared" si="145"/>
        <v>3</v>
      </c>
      <c r="T1379" s="39">
        <f t="shared" si="146"/>
        <v>0</v>
      </c>
      <c r="U1379" s="39">
        <f t="shared" si="147"/>
        <v>0</v>
      </c>
      <c r="V1379" s="40"/>
    </row>
    <row r="1380" spans="2:22" x14ac:dyDescent="0.35">
      <c r="B1380" s="40">
        <v>35136</v>
      </c>
      <c r="C1380" s="39">
        <v>2436</v>
      </c>
      <c r="D1380" s="219">
        <f t="shared" si="148"/>
        <v>1.1643882328861547E-2</v>
      </c>
      <c r="F1380" s="40">
        <v>35136</v>
      </c>
      <c r="G1380" s="39">
        <v>2436</v>
      </c>
      <c r="H1380" s="39">
        <f t="shared" si="143"/>
        <v>2</v>
      </c>
      <c r="I1380" s="39">
        <f t="shared" si="144"/>
        <v>0</v>
      </c>
      <c r="K1380" s="40"/>
      <c r="Q1380" s="40">
        <v>35136</v>
      </c>
      <c r="R1380" s="39">
        <v>2436</v>
      </c>
      <c r="S1380" s="39">
        <f t="shared" si="145"/>
        <v>3</v>
      </c>
      <c r="T1380" s="39">
        <f t="shared" si="146"/>
        <v>0</v>
      </c>
      <c r="U1380" s="39">
        <f t="shared" si="147"/>
        <v>0</v>
      </c>
      <c r="V1380" s="40"/>
    </row>
    <row r="1381" spans="2:22" x14ac:dyDescent="0.35">
      <c r="B1381" s="40">
        <v>35137</v>
      </c>
      <c r="C1381" s="39">
        <v>2426.4</v>
      </c>
      <c r="D1381" s="219">
        <f t="shared" si="148"/>
        <v>-3.9486724554162189E-3</v>
      </c>
      <c r="F1381" s="40">
        <v>35137</v>
      </c>
      <c r="G1381" s="39">
        <v>2426.4</v>
      </c>
      <c r="H1381" s="39">
        <f t="shared" si="143"/>
        <v>3</v>
      </c>
      <c r="I1381" s="39">
        <f t="shared" si="144"/>
        <v>0</v>
      </c>
      <c r="K1381" s="40"/>
      <c r="Q1381" s="40">
        <v>35137</v>
      </c>
      <c r="R1381" s="39">
        <v>2426.4</v>
      </c>
      <c r="S1381" s="39">
        <f t="shared" si="145"/>
        <v>3</v>
      </c>
      <c r="T1381" s="39">
        <f t="shared" si="146"/>
        <v>0</v>
      </c>
      <c r="U1381" s="39">
        <f t="shared" si="147"/>
        <v>0</v>
      </c>
      <c r="V1381" s="40"/>
    </row>
    <row r="1382" spans="2:22" x14ac:dyDescent="0.35">
      <c r="B1382" s="40">
        <v>35138</v>
      </c>
      <c r="C1382" s="39">
        <v>2426.5</v>
      </c>
      <c r="D1382" s="219">
        <f t="shared" si="148"/>
        <v>4.121247089951623E-5</v>
      </c>
      <c r="F1382" s="40">
        <v>35138</v>
      </c>
      <c r="G1382" s="39">
        <v>2426.5</v>
      </c>
      <c r="H1382" s="39">
        <f t="shared" si="143"/>
        <v>4</v>
      </c>
      <c r="I1382" s="39">
        <f t="shared" si="144"/>
        <v>0</v>
      </c>
      <c r="K1382" s="40"/>
      <c r="Q1382" s="40">
        <v>35138</v>
      </c>
      <c r="R1382" s="39">
        <v>2426.5</v>
      </c>
      <c r="S1382" s="39">
        <f t="shared" si="145"/>
        <v>3</v>
      </c>
      <c r="T1382" s="39">
        <f t="shared" si="146"/>
        <v>0</v>
      </c>
      <c r="U1382" s="39">
        <f t="shared" si="147"/>
        <v>0</v>
      </c>
      <c r="V1382" s="40"/>
    </row>
    <row r="1383" spans="2:22" x14ac:dyDescent="0.35">
      <c r="B1383" s="40">
        <v>35139</v>
      </c>
      <c r="C1383" s="39">
        <v>2458.1999999999998</v>
      </c>
      <c r="D1383" s="219">
        <f t="shared" si="148"/>
        <v>1.297948493560952E-2</v>
      </c>
      <c r="F1383" s="40">
        <v>35139</v>
      </c>
      <c r="G1383" s="39">
        <v>2458.1999999999998</v>
      </c>
      <c r="H1383" s="39">
        <f t="shared" si="143"/>
        <v>5</v>
      </c>
      <c r="I1383" s="39">
        <f t="shared" si="144"/>
        <v>2458.1999999999998</v>
      </c>
      <c r="K1383" s="40"/>
      <c r="Q1383" s="40">
        <v>35139</v>
      </c>
      <c r="R1383" s="39">
        <v>2458.1999999999998</v>
      </c>
      <c r="S1383" s="39">
        <f t="shared" si="145"/>
        <v>3</v>
      </c>
      <c r="T1383" s="39">
        <f t="shared" si="146"/>
        <v>0</v>
      </c>
      <c r="U1383" s="39">
        <f t="shared" si="147"/>
        <v>0</v>
      </c>
      <c r="V1383" s="40"/>
    </row>
    <row r="1384" spans="2:22" x14ac:dyDescent="0.35">
      <c r="B1384" s="40">
        <v>35142</v>
      </c>
      <c r="C1384" s="39">
        <v>2463.1999999999998</v>
      </c>
      <c r="D1384" s="219">
        <f t="shared" si="148"/>
        <v>2.0319428294102177E-3</v>
      </c>
      <c r="F1384" s="40">
        <v>35142</v>
      </c>
      <c r="G1384" s="39">
        <v>2463.1999999999998</v>
      </c>
      <c r="H1384" s="39">
        <f t="shared" si="143"/>
        <v>1</v>
      </c>
      <c r="I1384" s="39">
        <f t="shared" si="144"/>
        <v>0</v>
      </c>
      <c r="K1384" s="40"/>
      <c r="Q1384" s="40">
        <v>35142</v>
      </c>
      <c r="R1384" s="39">
        <v>2463.1999999999998</v>
      </c>
      <c r="S1384" s="39">
        <f t="shared" si="145"/>
        <v>3</v>
      </c>
      <c r="T1384" s="39">
        <f t="shared" si="146"/>
        <v>0</v>
      </c>
      <c r="U1384" s="39">
        <f t="shared" si="147"/>
        <v>0</v>
      </c>
      <c r="V1384" s="40"/>
    </row>
    <row r="1385" spans="2:22" x14ac:dyDescent="0.35">
      <c r="B1385" s="40">
        <v>35143</v>
      </c>
      <c r="C1385" s="39">
        <v>2493.3000000000002</v>
      </c>
      <c r="D1385" s="219">
        <f t="shared" si="148"/>
        <v>1.2145816616799834E-2</v>
      </c>
      <c r="F1385" s="40">
        <v>35143</v>
      </c>
      <c r="G1385" s="39">
        <v>2493.3000000000002</v>
      </c>
      <c r="H1385" s="39">
        <f t="shared" si="143"/>
        <v>2</v>
      </c>
      <c r="I1385" s="39">
        <f t="shared" si="144"/>
        <v>0</v>
      </c>
      <c r="K1385" s="40"/>
      <c r="Q1385" s="40">
        <v>35143</v>
      </c>
      <c r="R1385" s="39">
        <v>2493.3000000000002</v>
      </c>
      <c r="S1385" s="39">
        <f t="shared" si="145"/>
        <v>3</v>
      </c>
      <c r="T1385" s="39">
        <f t="shared" si="146"/>
        <v>0</v>
      </c>
      <c r="U1385" s="39">
        <f t="shared" si="147"/>
        <v>0</v>
      </c>
      <c r="V1385" s="40"/>
    </row>
    <row r="1386" spans="2:22" x14ac:dyDescent="0.35">
      <c r="B1386" s="40">
        <v>35144</v>
      </c>
      <c r="C1386" s="39">
        <v>2485.9</v>
      </c>
      <c r="D1386" s="219">
        <f t="shared" si="148"/>
        <v>-2.9723672269556631E-3</v>
      </c>
      <c r="F1386" s="40">
        <v>35144</v>
      </c>
      <c r="G1386" s="39">
        <v>2485.9</v>
      </c>
      <c r="H1386" s="39">
        <f t="shared" si="143"/>
        <v>3</v>
      </c>
      <c r="I1386" s="39">
        <f t="shared" si="144"/>
        <v>0</v>
      </c>
      <c r="K1386" s="40"/>
      <c r="Q1386" s="40">
        <v>35144</v>
      </c>
      <c r="R1386" s="39">
        <v>2485.9</v>
      </c>
      <c r="S1386" s="39">
        <f t="shared" si="145"/>
        <v>3</v>
      </c>
      <c r="T1386" s="39">
        <f t="shared" si="146"/>
        <v>0</v>
      </c>
      <c r="U1386" s="39">
        <f t="shared" si="147"/>
        <v>0</v>
      </c>
      <c r="V1386" s="40"/>
    </row>
    <row r="1387" spans="2:22" x14ac:dyDescent="0.35">
      <c r="B1387" s="40">
        <v>35145</v>
      </c>
      <c r="C1387" s="39">
        <v>2504.1</v>
      </c>
      <c r="D1387" s="219">
        <f t="shared" si="148"/>
        <v>7.2946215246658327E-3</v>
      </c>
      <c r="F1387" s="40">
        <v>35145</v>
      </c>
      <c r="G1387" s="39">
        <v>2504.1</v>
      </c>
      <c r="H1387" s="39">
        <f t="shared" si="143"/>
        <v>4</v>
      </c>
      <c r="I1387" s="39">
        <f t="shared" si="144"/>
        <v>0</v>
      </c>
      <c r="K1387" s="40"/>
      <c r="Q1387" s="40">
        <v>35145</v>
      </c>
      <c r="R1387" s="39">
        <v>2504.1</v>
      </c>
      <c r="S1387" s="39">
        <f t="shared" si="145"/>
        <v>3</v>
      </c>
      <c r="T1387" s="39">
        <f t="shared" si="146"/>
        <v>0</v>
      </c>
      <c r="U1387" s="39">
        <f t="shared" si="147"/>
        <v>0</v>
      </c>
      <c r="V1387" s="40"/>
    </row>
    <row r="1388" spans="2:22" x14ac:dyDescent="0.35">
      <c r="B1388" s="40">
        <v>35146</v>
      </c>
      <c r="C1388" s="39">
        <v>2504.1999999999998</v>
      </c>
      <c r="D1388" s="219">
        <f t="shared" si="148"/>
        <v>3.9933710046588819E-5</v>
      </c>
      <c r="F1388" s="40">
        <v>35146</v>
      </c>
      <c r="G1388" s="39">
        <v>2504.1999999999998</v>
      </c>
      <c r="H1388" s="39">
        <f t="shared" si="143"/>
        <v>5</v>
      </c>
      <c r="I1388" s="39">
        <f t="shared" si="144"/>
        <v>2504.1999999999998</v>
      </c>
      <c r="K1388" s="40"/>
      <c r="Q1388" s="40">
        <v>35146</v>
      </c>
      <c r="R1388" s="39">
        <v>2504.1999999999998</v>
      </c>
      <c r="S1388" s="39">
        <f t="shared" si="145"/>
        <v>3</v>
      </c>
      <c r="T1388" s="39">
        <f t="shared" si="146"/>
        <v>0</v>
      </c>
      <c r="U1388" s="39">
        <f t="shared" si="147"/>
        <v>0</v>
      </c>
      <c r="V1388" s="40"/>
    </row>
    <row r="1389" spans="2:22" x14ac:dyDescent="0.35">
      <c r="B1389" s="40">
        <v>35149</v>
      </c>
      <c r="C1389" s="39">
        <v>2510.3000000000002</v>
      </c>
      <c r="D1389" s="219">
        <f t="shared" si="148"/>
        <v>2.4329456611582971E-3</v>
      </c>
      <c r="F1389" s="40">
        <v>35149</v>
      </c>
      <c r="G1389" s="39">
        <v>2510.3000000000002</v>
      </c>
      <c r="H1389" s="39">
        <f t="shared" si="143"/>
        <v>1</v>
      </c>
      <c r="I1389" s="39">
        <f t="shared" si="144"/>
        <v>0</v>
      </c>
      <c r="K1389" s="40"/>
      <c r="Q1389" s="40">
        <v>35149</v>
      </c>
      <c r="R1389" s="39">
        <v>2510.3000000000002</v>
      </c>
      <c r="S1389" s="39">
        <f t="shared" si="145"/>
        <v>3</v>
      </c>
      <c r="T1389" s="39">
        <f t="shared" si="146"/>
        <v>0</v>
      </c>
      <c r="U1389" s="39">
        <f t="shared" si="147"/>
        <v>0</v>
      </c>
      <c r="V1389" s="40"/>
    </row>
    <row r="1390" spans="2:22" x14ac:dyDescent="0.35">
      <c r="B1390" s="40">
        <v>35150</v>
      </c>
      <c r="C1390" s="39">
        <v>2499.3000000000002</v>
      </c>
      <c r="D1390" s="219">
        <f t="shared" si="148"/>
        <v>-4.3915752470322046E-3</v>
      </c>
      <c r="F1390" s="40">
        <v>35150</v>
      </c>
      <c r="G1390" s="39">
        <v>2499.3000000000002</v>
      </c>
      <c r="H1390" s="39">
        <f t="shared" si="143"/>
        <v>2</v>
      </c>
      <c r="I1390" s="39">
        <f t="shared" si="144"/>
        <v>0</v>
      </c>
      <c r="K1390" s="40"/>
      <c r="Q1390" s="40">
        <v>35150</v>
      </c>
      <c r="R1390" s="39">
        <v>2499.3000000000002</v>
      </c>
      <c r="S1390" s="39">
        <f t="shared" si="145"/>
        <v>3</v>
      </c>
      <c r="T1390" s="39">
        <f t="shared" si="146"/>
        <v>0</v>
      </c>
      <c r="U1390" s="39">
        <f t="shared" si="147"/>
        <v>0</v>
      </c>
      <c r="V1390" s="40"/>
    </row>
    <row r="1391" spans="2:22" x14ac:dyDescent="0.35">
      <c r="B1391" s="40">
        <v>35151</v>
      </c>
      <c r="C1391" s="39">
        <v>2525.4</v>
      </c>
      <c r="D1391" s="219">
        <f t="shared" si="148"/>
        <v>1.0388773355606611E-2</v>
      </c>
      <c r="F1391" s="40">
        <v>35151</v>
      </c>
      <c r="G1391" s="39">
        <v>2525.4</v>
      </c>
      <c r="H1391" s="39">
        <f t="shared" si="143"/>
        <v>3</v>
      </c>
      <c r="I1391" s="39">
        <f t="shared" si="144"/>
        <v>0</v>
      </c>
      <c r="K1391" s="40"/>
      <c r="Q1391" s="40">
        <v>35151</v>
      </c>
      <c r="R1391" s="39">
        <v>2525.4</v>
      </c>
      <c r="S1391" s="39">
        <f t="shared" si="145"/>
        <v>3</v>
      </c>
      <c r="T1391" s="39">
        <f t="shared" si="146"/>
        <v>0</v>
      </c>
      <c r="U1391" s="39">
        <f t="shared" si="147"/>
        <v>0</v>
      </c>
      <c r="V1391" s="40"/>
    </row>
    <row r="1392" spans="2:22" x14ac:dyDescent="0.35">
      <c r="B1392" s="40">
        <v>35152</v>
      </c>
      <c r="C1392" s="39">
        <v>2508.4</v>
      </c>
      <c r="D1392" s="219">
        <f t="shared" si="148"/>
        <v>-6.7543663357141617E-3</v>
      </c>
      <c r="F1392" s="40">
        <v>35152</v>
      </c>
      <c r="G1392" s="39">
        <v>2508.4</v>
      </c>
      <c r="H1392" s="39">
        <f t="shared" si="143"/>
        <v>4</v>
      </c>
      <c r="I1392" s="39">
        <f t="shared" si="144"/>
        <v>0</v>
      </c>
      <c r="K1392" s="40"/>
      <c r="Q1392" s="40">
        <v>35152</v>
      </c>
      <c r="R1392" s="39">
        <v>2508.4</v>
      </c>
      <c r="S1392" s="39">
        <f t="shared" si="145"/>
        <v>3</v>
      </c>
      <c r="T1392" s="39">
        <f t="shared" si="146"/>
        <v>0</v>
      </c>
      <c r="U1392" s="39">
        <f t="shared" si="147"/>
        <v>0</v>
      </c>
      <c r="V1392" s="40"/>
    </row>
    <row r="1393" spans="2:22" x14ac:dyDescent="0.35">
      <c r="B1393" s="40">
        <v>35153</v>
      </c>
      <c r="C1393" s="39">
        <v>2485.9</v>
      </c>
      <c r="D1393" s="219">
        <f t="shared" si="148"/>
        <v>-9.0103326687310543E-3</v>
      </c>
      <c r="F1393" s="40">
        <v>35153</v>
      </c>
      <c r="G1393" s="39">
        <v>2485.9</v>
      </c>
      <c r="H1393" s="39">
        <f t="shared" si="143"/>
        <v>5</v>
      </c>
      <c r="I1393" s="39">
        <f t="shared" si="144"/>
        <v>2485.9</v>
      </c>
      <c r="K1393" s="40"/>
      <c r="Q1393" s="40">
        <v>35153</v>
      </c>
      <c r="R1393" s="39">
        <v>2485.9</v>
      </c>
      <c r="S1393" s="39">
        <f t="shared" si="145"/>
        <v>3</v>
      </c>
      <c r="T1393" s="39">
        <f t="shared" si="146"/>
        <v>2485.9</v>
      </c>
      <c r="U1393" s="39">
        <f t="shared" si="147"/>
        <v>2485.9</v>
      </c>
      <c r="V1393" s="40"/>
    </row>
    <row r="1394" spans="2:22" x14ac:dyDescent="0.35">
      <c r="B1394" s="40">
        <v>35156</v>
      </c>
      <c r="C1394" s="39">
        <v>2489.1</v>
      </c>
      <c r="D1394" s="219">
        <f t="shared" si="148"/>
        <v>1.2864323382144665E-3</v>
      </c>
      <c r="F1394" s="40">
        <v>35156</v>
      </c>
      <c r="G1394" s="39">
        <v>2489.1</v>
      </c>
      <c r="H1394" s="39">
        <f t="shared" si="143"/>
        <v>1</v>
      </c>
      <c r="I1394" s="39">
        <f t="shared" si="144"/>
        <v>0</v>
      </c>
      <c r="K1394" s="40"/>
      <c r="Q1394" s="40">
        <v>35156</v>
      </c>
      <c r="R1394" s="39">
        <v>2489.1</v>
      </c>
      <c r="S1394" s="39">
        <f t="shared" si="145"/>
        <v>4</v>
      </c>
      <c r="T1394" s="39">
        <f t="shared" si="146"/>
        <v>0</v>
      </c>
      <c r="U1394" s="39">
        <f t="shared" si="147"/>
        <v>0</v>
      </c>
      <c r="V1394" s="40"/>
    </row>
    <row r="1395" spans="2:22" x14ac:dyDescent="0.35">
      <c r="B1395" s="40">
        <v>35157</v>
      </c>
      <c r="C1395" s="39">
        <v>2501.1999999999998</v>
      </c>
      <c r="D1395" s="219">
        <f t="shared" si="148"/>
        <v>4.8494173547935643E-3</v>
      </c>
      <c r="F1395" s="40">
        <v>35157</v>
      </c>
      <c r="G1395" s="39">
        <v>2501.1999999999998</v>
      </c>
      <c r="H1395" s="39">
        <f t="shared" si="143"/>
        <v>2</v>
      </c>
      <c r="I1395" s="39">
        <f t="shared" si="144"/>
        <v>0</v>
      </c>
      <c r="K1395" s="40"/>
      <c r="Q1395" s="40">
        <v>35157</v>
      </c>
      <c r="R1395" s="39">
        <v>2501.1999999999998</v>
      </c>
      <c r="S1395" s="39">
        <f t="shared" si="145"/>
        <v>4</v>
      </c>
      <c r="T1395" s="39">
        <f t="shared" si="146"/>
        <v>0</v>
      </c>
      <c r="U1395" s="39">
        <f t="shared" si="147"/>
        <v>0</v>
      </c>
      <c r="V1395" s="40"/>
    </row>
    <row r="1396" spans="2:22" x14ac:dyDescent="0.35">
      <c r="B1396" s="40">
        <v>35158</v>
      </c>
      <c r="C1396" s="39">
        <v>2494.4</v>
      </c>
      <c r="D1396" s="219">
        <f t="shared" si="148"/>
        <v>-2.7223973896306629E-3</v>
      </c>
      <c r="F1396" s="40">
        <v>35158</v>
      </c>
      <c r="G1396" s="39">
        <v>2494.4</v>
      </c>
      <c r="H1396" s="39">
        <f t="shared" si="143"/>
        <v>3</v>
      </c>
      <c r="I1396" s="39">
        <f t="shared" si="144"/>
        <v>0</v>
      </c>
      <c r="K1396" s="40"/>
      <c r="Q1396" s="40">
        <v>35158</v>
      </c>
      <c r="R1396" s="39">
        <v>2494.4</v>
      </c>
      <c r="S1396" s="39">
        <f t="shared" si="145"/>
        <v>4</v>
      </c>
      <c r="T1396" s="39">
        <f t="shared" si="146"/>
        <v>0</v>
      </c>
      <c r="U1396" s="39">
        <f t="shared" si="147"/>
        <v>0</v>
      </c>
      <c r="V1396" s="40"/>
    </row>
    <row r="1397" spans="2:22" x14ac:dyDescent="0.35">
      <c r="B1397" s="40">
        <v>35159</v>
      </c>
      <c r="C1397" s="39">
        <v>2495.1999999999998</v>
      </c>
      <c r="D1397" s="219">
        <f t="shared" si="148"/>
        <v>3.2066699008138319E-4</v>
      </c>
      <c r="F1397" s="40">
        <v>35159</v>
      </c>
      <c r="G1397" s="39">
        <v>2495.1999999999998</v>
      </c>
      <c r="H1397" s="39">
        <f t="shared" si="143"/>
        <v>4</v>
      </c>
      <c r="I1397" s="39">
        <f t="shared" si="144"/>
        <v>2495.1999999999998</v>
      </c>
      <c r="K1397" s="40"/>
      <c r="Q1397" s="40">
        <v>35159</v>
      </c>
      <c r="R1397" s="39">
        <v>2495.1999999999998</v>
      </c>
      <c r="S1397" s="39">
        <f t="shared" si="145"/>
        <v>4</v>
      </c>
      <c r="T1397" s="39">
        <f t="shared" si="146"/>
        <v>0</v>
      </c>
      <c r="U1397" s="39">
        <f t="shared" si="147"/>
        <v>0</v>
      </c>
      <c r="V1397" s="40"/>
    </row>
    <row r="1398" spans="2:22" x14ac:dyDescent="0.35">
      <c r="B1398" s="40">
        <v>35164</v>
      </c>
      <c r="C1398" s="39">
        <v>2503.3000000000002</v>
      </c>
      <c r="D1398" s="219">
        <f t="shared" si="148"/>
        <v>3.2409751285966668E-3</v>
      </c>
      <c r="F1398" s="40">
        <v>35164</v>
      </c>
      <c r="G1398" s="39">
        <v>2503.3000000000002</v>
      </c>
      <c r="H1398" s="39">
        <f t="shared" si="143"/>
        <v>2</v>
      </c>
      <c r="I1398" s="39">
        <f t="shared" si="144"/>
        <v>0</v>
      </c>
      <c r="K1398" s="40"/>
      <c r="Q1398" s="40">
        <v>35164</v>
      </c>
      <c r="R1398" s="39">
        <v>2503.3000000000002</v>
      </c>
      <c r="S1398" s="39">
        <f t="shared" si="145"/>
        <v>4</v>
      </c>
      <c r="T1398" s="39">
        <f t="shared" si="146"/>
        <v>0</v>
      </c>
      <c r="U1398" s="39">
        <f t="shared" si="147"/>
        <v>0</v>
      </c>
      <c r="V1398" s="40"/>
    </row>
    <row r="1399" spans="2:22" x14ac:dyDescent="0.35">
      <c r="B1399" s="40">
        <v>35165</v>
      </c>
      <c r="C1399" s="39">
        <v>2530</v>
      </c>
      <c r="D1399" s="219">
        <f t="shared" si="148"/>
        <v>1.0609441299376014E-2</v>
      </c>
      <c r="F1399" s="40">
        <v>35165</v>
      </c>
      <c r="G1399" s="39">
        <v>2530</v>
      </c>
      <c r="H1399" s="39">
        <f t="shared" ref="H1399:H1462" si="149">WEEKDAY(F1399,2)</f>
        <v>3</v>
      </c>
      <c r="I1399" s="39">
        <f t="shared" ref="I1399:I1462" si="150">IF(H1399&gt;H1400,G1399,0)</f>
        <v>0</v>
      </c>
      <c r="K1399" s="40"/>
      <c r="Q1399" s="40">
        <v>35165</v>
      </c>
      <c r="R1399" s="39">
        <v>2530</v>
      </c>
      <c r="S1399" s="39">
        <f t="shared" ref="S1399:S1462" si="151">MONTH(Q1399)</f>
        <v>4</v>
      </c>
      <c r="T1399" s="39">
        <f t="shared" ref="T1399:T1462" si="152">IF(S1400&lt;&gt;S1399,R1399,0)</f>
        <v>0</v>
      </c>
      <c r="U1399" s="39">
        <f t="shared" ref="U1399:U1462" si="153">IF(S1400=S1399,0,R1399)</f>
        <v>0</v>
      </c>
      <c r="V1399" s="40"/>
    </row>
    <row r="1400" spans="2:22" x14ac:dyDescent="0.35">
      <c r="B1400" s="40">
        <v>35166</v>
      </c>
      <c r="C1400" s="39">
        <v>2509.6999999999998</v>
      </c>
      <c r="D1400" s="219">
        <f t="shared" ref="D1400:D1463" si="154">LN(C1400/C1399)</f>
        <v>-8.0560786513999266E-3</v>
      </c>
      <c r="F1400" s="40">
        <v>35166</v>
      </c>
      <c r="G1400" s="39">
        <v>2509.6999999999998</v>
      </c>
      <c r="H1400" s="39">
        <f t="shared" si="149"/>
        <v>4</v>
      </c>
      <c r="I1400" s="39">
        <f t="shared" si="150"/>
        <v>0</v>
      </c>
      <c r="K1400" s="40"/>
      <c r="Q1400" s="40">
        <v>35166</v>
      </c>
      <c r="R1400" s="39">
        <v>2509.6999999999998</v>
      </c>
      <c r="S1400" s="39">
        <f t="shared" si="151"/>
        <v>4</v>
      </c>
      <c r="T1400" s="39">
        <f t="shared" si="152"/>
        <v>0</v>
      </c>
      <c r="U1400" s="39">
        <f t="shared" si="153"/>
        <v>0</v>
      </c>
      <c r="V1400" s="40"/>
    </row>
    <row r="1401" spans="2:22" x14ac:dyDescent="0.35">
      <c r="B1401" s="40">
        <v>35167</v>
      </c>
      <c r="C1401" s="39">
        <v>2511.8000000000002</v>
      </c>
      <c r="D1401" s="219">
        <f t="shared" si="154"/>
        <v>8.3640351386056553E-4</v>
      </c>
      <c r="F1401" s="40">
        <v>35167</v>
      </c>
      <c r="G1401" s="39">
        <v>2511.8000000000002</v>
      </c>
      <c r="H1401" s="39">
        <f t="shared" si="149"/>
        <v>5</v>
      </c>
      <c r="I1401" s="39">
        <f t="shared" si="150"/>
        <v>2511.8000000000002</v>
      </c>
      <c r="K1401" s="40"/>
      <c r="Q1401" s="40">
        <v>35167</v>
      </c>
      <c r="R1401" s="39">
        <v>2511.8000000000002</v>
      </c>
      <c r="S1401" s="39">
        <f t="shared" si="151"/>
        <v>4</v>
      </c>
      <c r="T1401" s="39">
        <f t="shared" si="152"/>
        <v>0</v>
      </c>
      <c r="U1401" s="39">
        <f t="shared" si="153"/>
        <v>0</v>
      </c>
      <c r="V1401" s="40"/>
    </row>
    <row r="1402" spans="2:22" x14ac:dyDescent="0.35">
      <c r="B1402" s="40">
        <v>35170</v>
      </c>
      <c r="C1402" s="39">
        <v>2545.9</v>
      </c>
      <c r="D1402" s="219">
        <f t="shared" si="154"/>
        <v>1.3484594464230207E-2</v>
      </c>
      <c r="F1402" s="40">
        <v>35170</v>
      </c>
      <c r="G1402" s="39">
        <v>2545.9</v>
      </c>
      <c r="H1402" s="39">
        <f t="shared" si="149"/>
        <v>1</v>
      </c>
      <c r="I1402" s="39">
        <f t="shared" si="150"/>
        <v>0</v>
      </c>
      <c r="K1402" s="40"/>
      <c r="Q1402" s="40">
        <v>35170</v>
      </c>
      <c r="R1402" s="39">
        <v>2545.9</v>
      </c>
      <c r="S1402" s="39">
        <f t="shared" si="151"/>
        <v>4</v>
      </c>
      <c r="T1402" s="39">
        <f t="shared" si="152"/>
        <v>0</v>
      </c>
      <c r="U1402" s="39">
        <f t="shared" si="153"/>
        <v>0</v>
      </c>
      <c r="V1402" s="40"/>
    </row>
    <row r="1403" spans="2:22" x14ac:dyDescent="0.35">
      <c r="B1403" s="40">
        <v>35171</v>
      </c>
      <c r="C1403" s="39">
        <v>2538.4</v>
      </c>
      <c r="D1403" s="219">
        <f t="shared" si="154"/>
        <v>-2.9502607792708381E-3</v>
      </c>
      <c r="F1403" s="40">
        <v>35171</v>
      </c>
      <c r="G1403" s="39">
        <v>2538.4</v>
      </c>
      <c r="H1403" s="39">
        <f t="shared" si="149"/>
        <v>2</v>
      </c>
      <c r="I1403" s="39">
        <f t="shared" si="150"/>
        <v>0</v>
      </c>
      <c r="K1403" s="40"/>
      <c r="Q1403" s="40">
        <v>35171</v>
      </c>
      <c r="R1403" s="39">
        <v>2538.4</v>
      </c>
      <c r="S1403" s="39">
        <f t="shared" si="151"/>
        <v>4</v>
      </c>
      <c r="T1403" s="39">
        <f t="shared" si="152"/>
        <v>0</v>
      </c>
      <c r="U1403" s="39">
        <f t="shared" si="153"/>
        <v>0</v>
      </c>
      <c r="V1403" s="40"/>
    </row>
    <row r="1404" spans="2:22" x14ac:dyDescent="0.35">
      <c r="B1404" s="40">
        <v>35172</v>
      </c>
      <c r="C1404" s="39">
        <v>2524.1999999999998</v>
      </c>
      <c r="D1404" s="219">
        <f t="shared" si="154"/>
        <v>-5.60978044445575E-3</v>
      </c>
      <c r="F1404" s="40">
        <v>35172</v>
      </c>
      <c r="G1404" s="39">
        <v>2524.1999999999998</v>
      </c>
      <c r="H1404" s="39">
        <f t="shared" si="149"/>
        <v>3</v>
      </c>
      <c r="I1404" s="39">
        <f t="shared" si="150"/>
        <v>0</v>
      </c>
      <c r="K1404" s="40"/>
      <c r="Q1404" s="40">
        <v>35172</v>
      </c>
      <c r="R1404" s="39">
        <v>2524.1999999999998</v>
      </c>
      <c r="S1404" s="39">
        <f t="shared" si="151"/>
        <v>4</v>
      </c>
      <c r="T1404" s="39">
        <f t="shared" si="152"/>
        <v>0</v>
      </c>
      <c r="U1404" s="39">
        <f t="shared" si="153"/>
        <v>0</v>
      </c>
      <c r="V1404" s="40"/>
    </row>
    <row r="1405" spans="2:22" x14ac:dyDescent="0.35">
      <c r="B1405" s="40">
        <v>35173</v>
      </c>
      <c r="C1405" s="39">
        <v>2535.5</v>
      </c>
      <c r="D1405" s="219">
        <f t="shared" si="154"/>
        <v>4.4666754105436111E-3</v>
      </c>
      <c r="F1405" s="40">
        <v>35173</v>
      </c>
      <c r="G1405" s="39">
        <v>2535.5</v>
      </c>
      <c r="H1405" s="39">
        <f t="shared" si="149"/>
        <v>4</v>
      </c>
      <c r="I1405" s="39">
        <f t="shared" si="150"/>
        <v>0</v>
      </c>
      <c r="K1405" s="40"/>
      <c r="Q1405" s="40">
        <v>35173</v>
      </c>
      <c r="R1405" s="39">
        <v>2535.5</v>
      </c>
      <c r="S1405" s="39">
        <f t="shared" si="151"/>
        <v>4</v>
      </c>
      <c r="T1405" s="39">
        <f t="shared" si="152"/>
        <v>0</v>
      </c>
      <c r="U1405" s="39">
        <f t="shared" si="153"/>
        <v>0</v>
      </c>
      <c r="V1405" s="40"/>
    </row>
    <row r="1406" spans="2:22" x14ac:dyDescent="0.35">
      <c r="B1406" s="40">
        <v>35174</v>
      </c>
      <c r="C1406" s="39">
        <v>2536.5</v>
      </c>
      <c r="D1406" s="219">
        <f t="shared" si="154"/>
        <v>3.9432177167096063E-4</v>
      </c>
      <c r="F1406" s="40">
        <v>35174</v>
      </c>
      <c r="G1406" s="39">
        <v>2536.5</v>
      </c>
      <c r="H1406" s="39">
        <f t="shared" si="149"/>
        <v>5</v>
      </c>
      <c r="I1406" s="39">
        <f t="shared" si="150"/>
        <v>2536.5</v>
      </c>
      <c r="K1406" s="40"/>
      <c r="Q1406" s="40">
        <v>35174</v>
      </c>
      <c r="R1406" s="39">
        <v>2536.5</v>
      </c>
      <c r="S1406" s="39">
        <f t="shared" si="151"/>
        <v>4</v>
      </c>
      <c r="T1406" s="39">
        <f t="shared" si="152"/>
        <v>0</v>
      </c>
      <c r="U1406" s="39">
        <f t="shared" si="153"/>
        <v>0</v>
      </c>
      <c r="V1406" s="40"/>
    </row>
    <row r="1407" spans="2:22" x14ac:dyDescent="0.35">
      <c r="B1407" s="40">
        <v>35177</v>
      </c>
      <c r="C1407" s="39">
        <v>2545.9</v>
      </c>
      <c r="D1407" s="219">
        <f t="shared" si="154"/>
        <v>3.699044041512022E-3</v>
      </c>
      <c r="F1407" s="40">
        <v>35177</v>
      </c>
      <c r="G1407" s="39">
        <v>2545.9</v>
      </c>
      <c r="H1407" s="39">
        <f t="shared" si="149"/>
        <v>1</v>
      </c>
      <c r="I1407" s="39">
        <f t="shared" si="150"/>
        <v>0</v>
      </c>
      <c r="K1407" s="40"/>
      <c r="Q1407" s="40">
        <v>35177</v>
      </c>
      <c r="R1407" s="39">
        <v>2545.9</v>
      </c>
      <c r="S1407" s="39">
        <f t="shared" si="151"/>
        <v>4</v>
      </c>
      <c r="T1407" s="39">
        <f t="shared" si="152"/>
        <v>0</v>
      </c>
      <c r="U1407" s="39">
        <f t="shared" si="153"/>
        <v>0</v>
      </c>
      <c r="V1407" s="40"/>
    </row>
    <row r="1408" spans="2:22" x14ac:dyDescent="0.35">
      <c r="B1408" s="40">
        <v>35178</v>
      </c>
      <c r="C1408" s="39">
        <v>2550.1999999999998</v>
      </c>
      <c r="D1408" s="219">
        <f t="shared" si="154"/>
        <v>1.6875654011847415E-3</v>
      </c>
      <c r="F1408" s="40">
        <v>35178</v>
      </c>
      <c r="G1408" s="39">
        <v>2550.1999999999998</v>
      </c>
      <c r="H1408" s="39">
        <f t="shared" si="149"/>
        <v>2</v>
      </c>
      <c r="I1408" s="39">
        <f t="shared" si="150"/>
        <v>0</v>
      </c>
      <c r="K1408" s="40"/>
      <c r="Q1408" s="40">
        <v>35178</v>
      </c>
      <c r="R1408" s="39">
        <v>2550.1999999999998</v>
      </c>
      <c r="S1408" s="39">
        <f t="shared" si="151"/>
        <v>4</v>
      </c>
      <c r="T1408" s="39">
        <f t="shared" si="152"/>
        <v>0</v>
      </c>
      <c r="U1408" s="39">
        <f t="shared" si="153"/>
        <v>0</v>
      </c>
      <c r="V1408" s="40"/>
    </row>
    <row r="1409" spans="2:22" x14ac:dyDescent="0.35">
      <c r="B1409" s="40">
        <v>35179</v>
      </c>
      <c r="C1409" s="39">
        <v>2538.3000000000002</v>
      </c>
      <c r="D1409" s="219">
        <f t="shared" si="154"/>
        <v>-4.6772218508765806E-3</v>
      </c>
      <c r="F1409" s="40">
        <v>35179</v>
      </c>
      <c r="G1409" s="39">
        <v>2538.3000000000002</v>
      </c>
      <c r="H1409" s="39">
        <f t="shared" si="149"/>
        <v>3</v>
      </c>
      <c r="I1409" s="39">
        <f t="shared" si="150"/>
        <v>0</v>
      </c>
      <c r="K1409" s="40"/>
      <c r="Q1409" s="40">
        <v>35179</v>
      </c>
      <c r="R1409" s="39">
        <v>2538.3000000000002</v>
      </c>
      <c r="S1409" s="39">
        <f t="shared" si="151"/>
        <v>4</v>
      </c>
      <c r="T1409" s="39">
        <f t="shared" si="152"/>
        <v>0</v>
      </c>
      <c r="U1409" s="39">
        <f t="shared" si="153"/>
        <v>0</v>
      </c>
      <c r="V1409" s="40"/>
    </row>
    <row r="1410" spans="2:22" x14ac:dyDescent="0.35">
      <c r="B1410" s="40">
        <v>35180</v>
      </c>
      <c r="C1410" s="39">
        <v>2532.4</v>
      </c>
      <c r="D1410" s="219">
        <f t="shared" si="154"/>
        <v>-2.327095928593423E-3</v>
      </c>
      <c r="F1410" s="40">
        <v>35180</v>
      </c>
      <c r="G1410" s="39">
        <v>2532.4</v>
      </c>
      <c r="H1410" s="39">
        <f t="shared" si="149"/>
        <v>4</v>
      </c>
      <c r="I1410" s="39">
        <f t="shared" si="150"/>
        <v>0</v>
      </c>
      <c r="K1410" s="40"/>
      <c r="Q1410" s="40">
        <v>35180</v>
      </c>
      <c r="R1410" s="39">
        <v>2532.4</v>
      </c>
      <c r="S1410" s="39">
        <f t="shared" si="151"/>
        <v>4</v>
      </c>
      <c r="T1410" s="39">
        <f t="shared" si="152"/>
        <v>0</v>
      </c>
      <c r="U1410" s="39">
        <f t="shared" si="153"/>
        <v>0</v>
      </c>
      <c r="V1410" s="40"/>
    </row>
    <row r="1411" spans="2:22" x14ac:dyDescent="0.35">
      <c r="B1411" s="40">
        <v>35181</v>
      </c>
      <c r="C1411" s="39">
        <v>2537.1999999999998</v>
      </c>
      <c r="D1411" s="219">
        <f t="shared" si="154"/>
        <v>1.893641089770588E-3</v>
      </c>
      <c r="F1411" s="40">
        <v>35181</v>
      </c>
      <c r="G1411" s="39">
        <v>2537.1999999999998</v>
      </c>
      <c r="H1411" s="39">
        <f t="shared" si="149"/>
        <v>5</v>
      </c>
      <c r="I1411" s="39">
        <f t="shared" si="150"/>
        <v>2537.1999999999998</v>
      </c>
      <c r="K1411" s="40"/>
      <c r="Q1411" s="40">
        <v>35181</v>
      </c>
      <c r="R1411" s="39">
        <v>2537.1999999999998</v>
      </c>
      <c r="S1411" s="39">
        <f t="shared" si="151"/>
        <v>4</v>
      </c>
      <c r="T1411" s="39">
        <f t="shared" si="152"/>
        <v>0</v>
      </c>
      <c r="U1411" s="39">
        <f t="shared" si="153"/>
        <v>0</v>
      </c>
      <c r="V1411" s="40"/>
    </row>
    <row r="1412" spans="2:22" x14ac:dyDescent="0.35">
      <c r="B1412" s="40">
        <v>35184</v>
      </c>
      <c r="C1412" s="39">
        <v>2506.5</v>
      </c>
      <c r="D1412" s="219">
        <f t="shared" si="154"/>
        <v>-1.217375305618389E-2</v>
      </c>
      <c r="F1412" s="40">
        <v>35184</v>
      </c>
      <c r="G1412" s="39">
        <v>2506.5</v>
      </c>
      <c r="H1412" s="39">
        <f t="shared" si="149"/>
        <v>1</v>
      </c>
      <c r="I1412" s="39">
        <f t="shared" si="150"/>
        <v>0</v>
      </c>
      <c r="K1412" s="40"/>
      <c r="Q1412" s="40">
        <v>35184</v>
      </c>
      <c r="R1412" s="39">
        <v>2506.5</v>
      </c>
      <c r="S1412" s="39">
        <f t="shared" si="151"/>
        <v>4</v>
      </c>
      <c r="T1412" s="39">
        <f t="shared" si="152"/>
        <v>0</v>
      </c>
      <c r="U1412" s="39">
        <f t="shared" si="153"/>
        <v>0</v>
      </c>
      <c r="V1412" s="40"/>
    </row>
    <row r="1413" spans="2:22" x14ac:dyDescent="0.35">
      <c r="B1413" s="40">
        <v>35185</v>
      </c>
      <c r="C1413" s="39">
        <v>2505.3000000000002</v>
      </c>
      <c r="D1413" s="219">
        <f t="shared" si="154"/>
        <v>-4.7886987626456925E-4</v>
      </c>
      <c r="F1413" s="40">
        <v>35185</v>
      </c>
      <c r="G1413" s="39">
        <v>2505.3000000000002</v>
      </c>
      <c r="H1413" s="39">
        <f t="shared" si="149"/>
        <v>2</v>
      </c>
      <c r="I1413" s="39">
        <f t="shared" si="150"/>
        <v>0</v>
      </c>
      <c r="K1413" s="40"/>
      <c r="Q1413" s="40">
        <v>35185</v>
      </c>
      <c r="R1413" s="39">
        <v>2505.3000000000002</v>
      </c>
      <c r="S1413" s="39">
        <f t="shared" si="151"/>
        <v>4</v>
      </c>
      <c r="T1413" s="39">
        <f t="shared" si="152"/>
        <v>2505.3000000000002</v>
      </c>
      <c r="U1413" s="39">
        <f t="shared" si="153"/>
        <v>2505.3000000000002</v>
      </c>
      <c r="V1413" s="40"/>
    </row>
    <row r="1414" spans="2:22" x14ac:dyDescent="0.35">
      <c r="B1414" s="40">
        <v>35187</v>
      </c>
      <c r="C1414" s="39">
        <v>2502.3000000000002</v>
      </c>
      <c r="D1414" s="219">
        <f t="shared" si="154"/>
        <v>-1.198178911617553E-3</v>
      </c>
      <c r="F1414" s="40">
        <v>35187</v>
      </c>
      <c r="G1414" s="39">
        <v>2502.3000000000002</v>
      </c>
      <c r="H1414" s="39">
        <f t="shared" si="149"/>
        <v>4</v>
      </c>
      <c r="I1414" s="39">
        <f t="shared" si="150"/>
        <v>0</v>
      </c>
      <c r="K1414" s="40"/>
      <c r="Q1414" s="40">
        <v>35187</v>
      </c>
      <c r="R1414" s="39">
        <v>2502.3000000000002</v>
      </c>
      <c r="S1414" s="39">
        <f t="shared" si="151"/>
        <v>5</v>
      </c>
      <c r="T1414" s="39">
        <f t="shared" si="152"/>
        <v>0</v>
      </c>
      <c r="U1414" s="39">
        <f t="shared" si="153"/>
        <v>0</v>
      </c>
      <c r="V1414" s="40"/>
    </row>
    <row r="1415" spans="2:22" x14ac:dyDescent="0.35">
      <c r="B1415" s="40">
        <v>35188</v>
      </c>
      <c r="C1415" s="39">
        <v>2457.5</v>
      </c>
      <c r="D1415" s="219">
        <f t="shared" si="154"/>
        <v>-1.8065735894354302E-2</v>
      </c>
      <c r="F1415" s="40">
        <v>35188</v>
      </c>
      <c r="G1415" s="39">
        <v>2457.5</v>
      </c>
      <c r="H1415" s="39">
        <f t="shared" si="149"/>
        <v>5</v>
      </c>
      <c r="I1415" s="39">
        <f t="shared" si="150"/>
        <v>2457.5</v>
      </c>
      <c r="K1415" s="40"/>
      <c r="Q1415" s="40">
        <v>35188</v>
      </c>
      <c r="R1415" s="39">
        <v>2457.5</v>
      </c>
      <c r="S1415" s="39">
        <f t="shared" si="151"/>
        <v>5</v>
      </c>
      <c r="T1415" s="39">
        <f t="shared" si="152"/>
        <v>0</v>
      </c>
      <c r="U1415" s="39">
        <f t="shared" si="153"/>
        <v>0</v>
      </c>
      <c r="V1415" s="40"/>
    </row>
    <row r="1416" spans="2:22" x14ac:dyDescent="0.35">
      <c r="B1416" s="40">
        <v>35191</v>
      </c>
      <c r="C1416" s="39">
        <v>2468.9</v>
      </c>
      <c r="D1416" s="219">
        <f t="shared" si="154"/>
        <v>4.6281342759981045E-3</v>
      </c>
      <c r="F1416" s="40">
        <v>35191</v>
      </c>
      <c r="G1416" s="39">
        <v>2468.9</v>
      </c>
      <c r="H1416" s="39">
        <f t="shared" si="149"/>
        <v>1</v>
      </c>
      <c r="I1416" s="39">
        <f t="shared" si="150"/>
        <v>0</v>
      </c>
      <c r="K1416" s="40"/>
      <c r="Q1416" s="40">
        <v>35191</v>
      </c>
      <c r="R1416" s="39">
        <v>2468.9</v>
      </c>
      <c r="S1416" s="39">
        <f t="shared" si="151"/>
        <v>5</v>
      </c>
      <c r="T1416" s="39">
        <f t="shared" si="152"/>
        <v>0</v>
      </c>
      <c r="U1416" s="39">
        <f t="shared" si="153"/>
        <v>0</v>
      </c>
      <c r="V1416" s="40"/>
    </row>
    <row r="1417" spans="2:22" x14ac:dyDescent="0.35">
      <c r="B1417" s="40">
        <v>35192</v>
      </c>
      <c r="C1417" s="39">
        <v>2479.5</v>
      </c>
      <c r="D1417" s="219">
        <f t="shared" si="154"/>
        <v>4.2842196318688356E-3</v>
      </c>
      <c r="F1417" s="40">
        <v>35192</v>
      </c>
      <c r="G1417" s="39">
        <v>2479.5</v>
      </c>
      <c r="H1417" s="39">
        <f t="shared" si="149"/>
        <v>2</v>
      </c>
      <c r="I1417" s="39">
        <f t="shared" si="150"/>
        <v>0</v>
      </c>
      <c r="K1417" s="40"/>
      <c r="Q1417" s="40">
        <v>35192</v>
      </c>
      <c r="R1417" s="39">
        <v>2479.5</v>
      </c>
      <c r="S1417" s="39">
        <f t="shared" si="151"/>
        <v>5</v>
      </c>
      <c r="T1417" s="39">
        <f t="shared" si="152"/>
        <v>0</v>
      </c>
      <c r="U1417" s="39">
        <f t="shared" si="153"/>
        <v>0</v>
      </c>
      <c r="V1417" s="40"/>
    </row>
    <row r="1418" spans="2:22" x14ac:dyDescent="0.35">
      <c r="B1418" s="40">
        <v>35193</v>
      </c>
      <c r="C1418" s="39">
        <v>2472.6</v>
      </c>
      <c r="D1418" s="219">
        <f t="shared" si="154"/>
        <v>-2.7866983563619675E-3</v>
      </c>
      <c r="F1418" s="40">
        <v>35193</v>
      </c>
      <c r="G1418" s="39">
        <v>2472.6</v>
      </c>
      <c r="H1418" s="39">
        <f t="shared" si="149"/>
        <v>3</v>
      </c>
      <c r="I1418" s="39">
        <f t="shared" si="150"/>
        <v>0</v>
      </c>
      <c r="K1418" s="40"/>
      <c r="Q1418" s="40">
        <v>35193</v>
      </c>
      <c r="R1418" s="39">
        <v>2472.6</v>
      </c>
      <c r="S1418" s="39">
        <f t="shared" si="151"/>
        <v>5</v>
      </c>
      <c r="T1418" s="39">
        <f t="shared" si="152"/>
        <v>0</v>
      </c>
      <c r="U1418" s="39">
        <f t="shared" si="153"/>
        <v>0</v>
      </c>
      <c r="V1418" s="40"/>
    </row>
    <row r="1419" spans="2:22" x14ac:dyDescent="0.35">
      <c r="B1419" s="40">
        <v>35194</v>
      </c>
      <c r="C1419" s="39">
        <v>2469.4</v>
      </c>
      <c r="D1419" s="219">
        <f t="shared" si="154"/>
        <v>-1.2950224391833545E-3</v>
      </c>
      <c r="F1419" s="40">
        <v>35194</v>
      </c>
      <c r="G1419" s="39">
        <v>2469.4</v>
      </c>
      <c r="H1419" s="39">
        <f t="shared" si="149"/>
        <v>4</v>
      </c>
      <c r="I1419" s="39">
        <f t="shared" si="150"/>
        <v>0</v>
      </c>
      <c r="K1419" s="40"/>
      <c r="Q1419" s="40">
        <v>35194</v>
      </c>
      <c r="R1419" s="39">
        <v>2469.4</v>
      </c>
      <c r="S1419" s="39">
        <f t="shared" si="151"/>
        <v>5</v>
      </c>
      <c r="T1419" s="39">
        <f t="shared" si="152"/>
        <v>0</v>
      </c>
      <c r="U1419" s="39">
        <f t="shared" si="153"/>
        <v>0</v>
      </c>
      <c r="V1419" s="40"/>
    </row>
    <row r="1420" spans="2:22" x14ac:dyDescent="0.35">
      <c r="B1420" s="40">
        <v>35195</v>
      </c>
      <c r="C1420" s="39">
        <v>2468.8000000000002</v>
      </c>
      <c r="D1420" s="219">
        <f t="shared" si="154"/>
        <v>-2.4300352474682473E-4</v>
      </c>
      <c r="F1420" s="40">
        <v>35195</v>
      </c>
      <c r="G1420" s="39">
        <v>2468.8000000000002</v>
      </c>
      <c r="H1420" s="39">
        <f t="shared" si="149"/>
        <v>5</v>
      </c>
      <c r="I1420" s="39">
        <f t="shared" si="150"/>
        <v>2468.8000000000002</v>
      </c>
      <c r="K1420" s="40"/>
      <c r="Q1420" s="40">
        <v>35195</v>
      </c>
      <c r="R1420" s="39">
        <v>2468.8000000000002</v>
      </c>
      <c r="S1420" s="39">
        <f t="shared" si="151"/>
        <v>5</v>
      </c>
      <c r="T1420" s="39">
        <f t="shared" si="152"/>
        <v>0</v>
      </c>
      <c r="U1420" s="39">
        <f t="shared" si="153"/>
        <v>0</v>
      </c>
      <c r="V1420" s="40"/>
    </row>
    <row r="1421" spans="2:22" x14ac:dyDescent="0.35">
      <c r="B1421" s="40">
        <v>35198</v>
      </c>
      <c r="C1421" s="39">
        <v>2496.1999999999998</v>
      </c>
      <c r="D1421" s="219">
        <f t="shared" si="154"/>
        <v>1.1037372875456884E-2</v>
      </c>
      <c r="F1421" s="40">
        <v>35198</v>
      </c>
      <c r="G1421" s="39">
        <v>2496.1999999999998</v>
      </c>
      <c r="H1421" s="39">
        <f t="shared" si="149"/>
        <v>1</v>
      </c>
      <c r="I1421" s="39">
        <f t="shared" si="150"/>
        <v>0</v>
      </c>
      <c r="K1421" s="40"/>
      <c r="Q1421" s="40">
        <v>35198</v>
      </c>
      <c r="R1421" s="39">
        <v>2496.1999999999998</v>
      </c>
      <c r="S1421" s="39">
        <f t="shared" si="151"/>
        <v>5</v>
      </c>
      <c r="T1421" s="39">
        <f t="shared" si="152"/>
        <v>0</v>
      </c>
      <c r="U1421" s="39">
        <f t="shared" si="153"/>
        <v>0</v>
      </c>
      <c r="V1421" s="40"/>
    </row>
    <row r="1422" spans="2:22" x14ac:dyDescent="0.35">
      <c r="B1422" s="40">
        <v>35199</v>
      </c>
      <c r="C1422" s="39">
        <v>2519.6999999999998</v>
      </c>
      <c r="D1422" s="219">
        <f t="shared" si="154"/>
        <v>9.3702713153377883E-3</v>
      </c>
      <c r="F1422" s="40">
        <v>35199</v>
      </c>
      <c r="G1422" s="39">
        <v>2519.6999999999998</v>
      </c>
      <c r="H1422" s="39">
        <f t="shared" si="149"/>
        <v>2</v>
      </c>
      <c r="I1422" s="39">
        <f t="shared" si="150"/>
        <v>0</v>
      </c>
      <c r="K1422" s="40"/>
      <c r="Q1422" s="40">
        <v>35199</v>
      </c>
      <c r="R1422" s="39">
        <v>2519.6999999999998</v>
      </c>
      <c r="S1422" s="39">
        <f t="shared" si="151"/>
        <v>5</v>
      </c>
      <c r="T1422" s="39">
        <f t="shared" si="152"/>
        <v>0</v>
      </c>
      <c r="U1422" s="39">
        <f t="shared" si="153"/>
        <v>0</v>
      </c>
      <c r="V1422" s="40"/>
    </row>
    <row r="1423" spans="2:22" x14ac:dyDescent="0.35">
      <c r="B1423" s="40">
        <v>35200</v>
      </c>
      <c r="C1423" s="39">
        <v>2528.8000000000002</v>
      </c>
      <c r="D1423" s="219">
        <f t="shared" si="154"/>
        <v>3.6050351017170761E-3</v>
      </c>
      <c r="F1423" s="40">
        <v>35200</v>
      </c>
      <c r="G1423" s="39">
        <v>2528.8000000000002</v>
      </c>
      <c r="H1423" s="39">
        <f t="shared" si="149"/>
        <v>3</v>
      </c>
      <c r="I1423" s="39">
        <f t="shared" si="150"/>
        <v>0</v>
      </c>
      <c r="K1423" s="40"/>
      <c r="Q1423" s="40">
        <v>35200</v>
      </c>
      <c r="R1423" s="39">
        <v>2528.8000000000002</v>
      </c>
      <c r="S1423" s="39">
        <f t="shared" si="151"/>
        <v>5</v>
      </c>
      <c r="T1423" s="39">
        <f t="shared" si="152"/>
        <v>0</v>
      </c>
      <c r="U1423" s="39">
        <f t="shared" si="153"/>
        <v>0</v>
      </c>
      <c r="V1423" s="40"/>
    </row>
    <row r="1424" spans="2:22" x14ac:dyDescent="0.35">
      <c r="B1424" s="40">
        <v>35202</v>
      </c>
      <c r="C1424" s="39">
        <v>2537.3000000000002</v>
      </c>
      <c r="D1424" s="219">
        <f t="shared" si="154"/>
        <v>3.3556416083637347E-3</v>
      </c>
      <c r="F1424" s="40">
        <v>35202</v>
      </c>
      <c r="G1424" s="39">
        <v>2537.3000000000002</v>
      </c>
      <c r="H1424" s="39">
        <f t="shared" si="149"/>
        <v>5</v>
      </c>
      <c r="I1424" s="39">
        <f t="shared" si="150"/>
        <v>2537.3000000000002</v>
      </c>
      <c r="K1424" s="40"/>
      <c r="Q1424" s="40">
        <v>35202</v>
      </c>
      <c r="R1424" s="39">
        <v>2537.3000000000002</v>
      </c>
      <c r="S1424" s="39">
        <f t="shared" si="151"/>
        <v>5</v>
      </c>
      <c r="T1424" s="39">
        <f t="shared" si="152"/>
        <v>0</v>
      </c>
      <c r="U1424" s="39">
        <f t="shared" si="153"/>
        <v>0</v>
      </c>
      <c r="V1424" s="40"/>
    </row>
    <row r="1425" spans="2:22" x14ac:dyDescent="0.35">
      <c r="B1425" s="40">
        <v>35205</v>
      </c>
      <c r="C1425" s="39">
        <v>2550</v>
      </c>
      <c r="D1425" s="219">
        <f t="shared" si="154"/>
        <v>4.9928356426998909E-3</v>
      </c>
      <c r="F1425" s="40">
        <v>35205</v>
      </c>
      <c r="G1425" s="39">
        <v>2550</v>
      </c>
      <c r="H1425" s="39">
        <f t="shared" si="149"/>
        <v>1</v>
      </c>
      <c r="I1425" s="39">
        <f t="shared" si="150"/>
        <v>0</v>
      </c>
      <c r="K1425" s="40"/>
      <c r="Q1425" s="40">
        <v>35205</v>
      </c>
      <c r="R1425" s="39">
        <v>2550</v>
      </c>
      <c r="S1425" s="39">
        <f t="shared" si="151"/>
        <v>5</v>
      </c>
      <c r="T1425" s="39">
        <f t="shared" si="152"/>
        <v>0</v>
      </c>
      <c r="U1425" s="39">
        <f t="shared" si="153"/>
        <v>0</v>
      </c>
      <c r="V1425" s="40"/>
    </row>
    <row r="1426" spans="2:22" x14ac:dyDescent="0.35">
      <c r="B1426" s="40">
        <v>35206</v>
      </c>
      <c r="C1426" s="39">
        <v>2570.8000000000002</v>
      </c>
      <c r="D1426" s="219">
        <f t="shared" si="154"/>
        <v>8.1237753446593338E-3</v>
      </c>
      <c r="F1426" s="40">
        <v>35206</v>
      </c>
      <c r="G1426" s="39">
        <v>2570.8000000000002</v>
      </c>
      <c r="H1426" s="39">
        <f t="shared" si="149"/>
        <v>2</v>
      </c>
      <c r="I1426" s="39">
        <f t="shared" si="150"/>
        <v>0</v>
      </c>
      <c r="K1426" s="40"/>
      <c r="Q1426" s="40">
        <v>35206</v>
      </c>
      <c r="R1426" s="39">
        <v>2570.8000000000002</v>
      </c>
      <c r="S1426" s="39">
        <f t="shared" si="151"/>
        <v>5</v>
      </c>
      <c r="T1426" s="39">
        <f t="shared" si="152"/>
        <v>0</v>
      </c>
      <c r="U1426" s="39">
        <f t="shared" si="153"/>
        <v>0</v>
      </c>
      <c r="V1426" s="40"/>
    </row>
    <row r="1427" spans="2:22" x14ac:dyDescent="0.35">
      <c r="B1427" s="40">
        <v>35207</v>
      </c>
      <c r="C1427" s="39">
        <v>2556.9</v>
      </c>
      <c r="D1427" s="219">
        <f t="shared" si="154"/>
        <v>-5.4215473007695305E-3</v>
      </c>
      <c r="F1427" s="40">
        <v>35207</v>
      </c>
      <c r="G1427" s="39">
        <v>2556.9</v>
      </c>
      <c r="H1427" s="39">
        <f t="shared" si="149"/>
        <v>3</v>
      </c>
      <c r="I1427" s="39">
        <f t="shared" si="150"/>
        <v>0</v>
      </c>
      <c r="K1427" s="40"/>
      <c r="Q1427" s="40">
        <v>35207</v>
      </c>
      <c r="R1427" s="39">
        <v>2556.9</v>
      </c>
      <c r="S1427" s="39">
        <f t="shared" si="151"/>
        <v>5</v>
      </c>
      <c r="T1427" s="39">
        <f t="shared" si="152"/>
        <v>0</v>
      </c>
      <c r="U1427" s="39">
        <f t="shared" si="153"/>
        <v>0</v>
      </c>
      <c r="V1427" s="40"/>
    </row>
    <row r="1428" spans="2:22" x14ac:dyDescent="0.35">
      <c r="B1428" s="40">
        <v>35208</v>
      </c>
      <c r="C1428" s="39">
        <v>2560.5</v>
      </c>
      <c r="D1428" s="219">
        <f t="shared" si="154"/>
        <v>1.4069647062433838E-3</v>
      </c>
      <c r="F1428" s="40">
        <v>35208</v>
      </c>
      <c r="G1428" s="39">
        <v>2560.5</v>
      </c>
      <c r="H1428" s="39">
        <f t="shared" si="149"/>
        <v>4</v>
      </c>
      <c r="I1428" s="39">
        <f t="shared" si="150"/>
        <v>0</v>
      </c>
      <c r="K1428" s="40"/>
      <c r="Q1428" s="40">
        <v>35208</v>
      </c>
      <c r="R1428" s="39">
        <v>2560.5</v>
      </c>
      <c r="S1428" s="39">
        <f t="shared" si="151"/>
        <v>5</v>
      </c>
      <c r="T1428" s="39">
        <f t="shared" si="152"/>
        <v>0</v>
      </c>
      <c r="U1428" s="39">
        <f t="shared" si="153"/>
        <v>0</v>
      </c>
      <c r="V1428" s="40"/>
    </row>
    <row r="1429" spans="2:22" x14ac:dyDescent="0.35">
      <c r="B1429" s="40">
        <v>35209</v>
      </c>
      <c r="C1429" s="39">
        <v>2542.1999999999998</v>
      </c>
      <c r="D1429" s="219">
        <f t="shared" si="154"/>
        <v>-7.172704042036496E-3</v>
      </c>
      <c r="F1429" s="40">
        <v>35209</v>
      </c>
      <c r="G1429" s="39">
        <v>2542.1999999999998</v>
      </c>
      <c r="H1429" s="39">
        <f t="shared" si="149"/>
        <v>5</v>
      </c>
      <c r="I1429" s="39">
        <f t="shared" si="150"/>
        <v>2542.1999999999998</v>
      </c>
      <c r="K1429" s="40"/>
      <c r="Q1429" s="40">
        <v>35209</v>
      </c>
      <c r="R1429" s="39">
        <v>2542.1999999999998</v>
      </c>
      <c r="S1429" s="39">
        <f t="shared" si="151"/>
        <v>5</v>
      </c>
      <c r="T1429" s="39">
        <f t="shared" si="152"/>
        <v>0</v>
      </c>
      <c r="U1429" s="39">
        <f t="shared" si="153"/>
        <v>0</v>
      </c>
      <c r="V1429" s="40"/>
    </row>
    <row r="1430" spans="2:22" x14ac:dyDescent="0.35">
      <c r="B1430" s="40">
        <v>35213</v>
      </c>
      <c r="C1430" s="39">
        <v>2558.3000000000002</v>
      </c>
      <c r="D1430" s="219">
        <f t="shared" si="154"/>
        <v>6.3131275258766217E-3</v>
      </c>
      <c r="F1430" s="40">
        <v>35213</v>
      </c>
      <c r="G1430" s="39">
        <v>2558.3000000000002</v>
      </c>
      <c r="H1430" s="39">
        <f t="shared" si="149"/>
        <v>2</v>
      </c>
      <c r="I1430" s="39">
        <f t="shared" si="150"/>
        <v>0</v>
      </c>
      <c r="K1430" s="40"/>
      <c r="Q1430" s="40">
        <v>35213</v>
      </c>
      <c r="R1430" s="39">
        <v>2558.3000000000002</v>
      </c>
      <c r="S1430" s="39">
        <f t="shared" si="151"/>
        <v>5</v>
      </c>
      <c r="T1430" s="39">
        <f t="shared" si="152"/>
        <v>0</v>
      </c>
      <c r="U1430" s="39">
        <f t="shared" si="153"/>
        <v>0</v>
      </c>
      <c r="V1430" s="40"/>
    </row>
    <row r="1431" spans="2:22" x14ac:dyDescent="0.35">
      <c r="B1431" s="40">
        <v>35214</v>
      </c>
      <c r="C1431" s="39">
        <v>2551.5</v>
      </c>
      <c r="D1431" s="219">
        <f t="shared" si="154"/>
        <v>-2.6615538824189709E-3</v>
      </c>
      <c r="F1431" s="40">
        <v>35214</v>
      </c>
      <c r="G1431" s="39">
        <v>2551.5</v>
      </c>
      <c r="H1431" s="39">
        <f t="shared" si="149"/>
        <v>3</v>
      </c>
      <c r="I1431" s="39">
        <f t="shared" si="150"/>
        <v>0</v>
      </c>
      <c r="K1431" s="40"/>
      <c r="Q1431" s="40">
        <v>35214</v>
      </c>
      <c r="R1431" s="39">
        <v>2551.5</v>
      </c>
      <c r="S1431" s="39">
        <f t="shared" si="151"/>
        <v>5</v>
      </c>
      <c r="T1431" s="39">
        <f t="shared" si="152"/>
        <v>0</v>
      </c>
      <c r="U1431" s="39">
        <f t="shared" si="153"/>
        <v>0</v>
      </c>
      <c r="V1431" s="40"/>
    </row>
    <row r="1432" spans="2:22" x14ac:dyDescent="0.35">
      <c r="B1432" s="40">
        <v>35215</v>
      </c>
      <c r="C1432" s="39">
        <v>2527.3000000000002</v>
      </c>
      <c r="D1432" s="219">
        <f t="shared" si="154"/>
        <v>-9.5298823149880373E-3</v>
      </c>
      <c r="F1432" s="40">
        <v>35215</v>
      </c>
      <c r="G1432" s="39">
        <v>2527.3000000000002</v>
      </c>
      <c r="H1432" s="39">
        <f t="shared" si="149"/>
        <v>4</v>
      </c>
      <c r="I1432" s="39">
        <f t="shared" si="150"/>
        <v>0</v>
      </c>
      <c r="K1432" s="40"/>
      <c r="Q1432" s="40">
        <v>35215</v>
      </c>
      <c r="R1432" s="39">
        <v>2527.3000000000002</v>
      </c>
      <c r="S1432" s="39">
        <f t="shared" si="151"/>
        <v>5</v>
      </c>
      <c r="T1432" s="39">
        <f t="shared" si="152"/>
        <v>0</v>
      </c>
      <c r="U1432" s="39">
        <f t="shared" si="153"/>
        <v>0</v>
      </c>
      <c r="V1432" s="40"/>
    </row>
    <row r="1433" spans="2:22" x14ac:dyDescent="0.35">
      <c r="B1433" s="40">
        <v>35216</v>
      </c>
      <c r="C1433" s="39">
        <v>2542.8000000000002</v>
      </c>
      <c r="D1433" s="219">
        <f t="shared" si="154"/>
        <v>6.1142968732156525E-3</v>
      </c>
      <c r="F1433" s="40">
        <v>35216</v>
      </c>
      <c r="G1433" s="39">
        <v>2542.8000000000002</v>
      </c>
      <c r="H1433" s="39">
        <f t="shared" si="149"/>
        <v>5</v>
      </c>
      <c r="I1433" s="39">
        <f t="shared" si="150"/>
        <v>2542.8000000000002</v>
      </c>
      <c r="K1433" s="40"/>
      <c r="Q1433" s="40">
        <v>35216</v>
      </c>
      <c r="R1433" s="39">
        <v>2542.8000000000002</v>
      </c>
      <c r="S1433" s="39">
        <f t="shared" si="151"/>
        <v>5</v>
      </c>
      <c r="T1433" s="39">
        <f t="shared" si="152"/>
        <v>2542.8000000000002</v>
      </c>
      <c r="U1433" s="39">
        <f t="shared" si="153"/>
        <v>2542.8000000000002</v>
      </c>
      <c r="V1433" s="40"/>
    </row>
    <row r="1434" spans="2:22" x14ac:dyDescent="0.35">
      <c r="B1434" s="40">
        <v>35219</v>
      </c>
      <c r="C1434" s="39">
        <v>2532.8000000000002</v>
      </c>
      <c r="D1434" s="219">
        <f t="shared" si="154"/>
        <v>-3.9404259355059687E-3</v>
      </c>
      <c r="F1434" s="40">
        <v>35219</v>
      </c>
      <c r="G1434" s="39">
        <v>2532.8000000000002</v>
      </c>
      <c r="H1434" s="39">
        <f t="shared" si="149"/>
        <v>1</v>
      </c>
      <c r="I1434" s="39">
        <f t="shared" si="150"/>
        <v>0</v>
      </c>
      <c r="K1434" s="40"/>
      <c r="Q1434" s="40">
        <v>35219</v>
      </c>
      <c r="R1434" s="39">
        <v>2532.8000000000002</v>
      </c>
      <c r="S1434" s="39">
        <f t="shared" si="151"/>
        <v>6</v>
      </c>
      <c r="T1434" s="39">
        <f t="shared" si="152"/>
        <v>0</v>
      </c>
      <c r="U1434" s="39">
        <f t="shared" si="153"/>
        <v>0</v>
      </c>
      <c r="V1434" s="40"/>
    </row>
    <row r="1435" spans="2:22" x14ac:dyDescent="0.35">
      <c r="B1435" s="40">
        <v>35220</v>
      </c>
      <c r="C1435" s="39">
        <v>2546.3000000000002</v>
      </c>
      <c r="D1435" s="219">
        <f t="shared" si="154"/>
        <v>5.3159149421376992E-3</v>
      </c>
      <c r="F1435" s="40">
        <v>35220</v>
      </c>
      <c r="G1435" s="39">
        <v>2546.3000000000002</v>
      </c>
      <c r="H1435" s="39">
        <f t="shared" si="149"/>
        <v>2</v>
      </c>
      <c r="I1435" s="39">
        <f t="shared" si="150"/>
        <v>0</v>
      </c>
      <c r="K1435" s="40"/>
      <c r="Q1435" s="40">
        <v>35220</v>
      </c>
      <c r="R1435" s="39">
        <v>2546.3000000000002</v>
      </c>
      <c r="S1435" s="39">
        <f t="shared" si="151"/>
        <v>6</v>
      </c>
      <c r="T1435" s="39">
        <f t="shared" si="152"/>
        <v>0</v>
      </c>
      <c r="U1435" s="39">
        <f t="shared" si="153"/>
        <v>0</v>
      </c>
      <c r="V1435" s="40"/>
    </row>
    <row r="1436" spans="2:22" x14ac:dyDescent="0.35">
      <c r="B1436" s="40">
        <v>35221</v>
      </c>
      <c r="C1436" s="39">
        <v>2552.5</v>
      </c>
      <c r="D1436" s="219">
        <f t="shared" si="154"/>
        <v>2.4319459699352979E-3</v>
      </c>
      <c r="F1436" s="40">
        <v>35221</v>
      </c>
      <c r="G1436" s="39">
        <v>2552.5</v>
      </c>
      <c r="H1436" s="39">
        <f t="shared" si="149"/>
        <v>3</v>
      </c>
      <c r="I1436" s="39">
        <f t="shared" si="150"/>
        <v>0</v>
      </c>
      <c r="K1436" s="40"/>
      <c r="Q1436" s="40">
        <v>35221</v>
      </c>
      <c r="R1436" s="39">
        <v>2552.5</v>
      </c>
      <c r="S1436" s="39">
        <f t="shared" si="151"/>
        <v>6</v>
      </c>
      <c r="T1436" s="39">
        <f t="shared" si="152"/>
        <v>0</v>
      </c>
      <c r="U1436" s="39">
        <f t="shared" si="153"/>
        <v>0</v>
      </c>
      <c r="V1436" s="40"/>
    </row>
    <row r="1437" spans="2:22" x14ac:dyDescent="0.35">
      <c r="B1437" s="40">
        <v>35223</v>
      </c>
      <c r="C1437" s="39">
        <v>2557.4</v>
      </c>
      <c r="D1437" s="219">
        <f t="shared" si="154"/>
        <v>1.9178463382472457E-3</v>
      </c>
      <c r="F1437" s="40">
        <v>35223</v>
      </c>
      <c r="G1437" s="39">
        <v>2557.4</v>
      </c>
      <c r="H1437" s="39">
        <f t="shared" si="149"/>
        <v>5</v>
      </c>
      <c r="I1437" s="39">
        <f t="shared" si="150"/>
        <v>2557.4</v>
      </c>
      <c r="K1437" s="40"/>
      <c r="Q1437" s="40">
        <v>35223</v>
      </c>
      <c r="R1437" s="39">
        <v>2557.4</v>
      </c>
      <c r="S1437" s="39">
        <f t="shared" si="151"/>
        <v>6</v>
      </c>
      <c r="T1437" s="39">
        <f t="shared" si="152"/>
        <v>0</v>
      </c>
      <c r="U1437" s="39">
        <f t="shared" si="153"/>
        <v>0</v>
      </c>
      <c r="V1437" s="40"/>
    </row>
    <row r="1438" spans="2:22" x14ac:dyDescent="0.35">
      <c r="B1438" s="40">
        <v>35226</v>
      </c>
      <c r="C1438" s="39">
        <v>2558.8000000000002</v>
      </c>
      <c r="D1438" s="219">
        <f t="shared" si="154"/>
        <v>5.4728119891480774E-4</v>
      </c>
      <c r="F1438" s="40">
        <v>35226</v>
      </c>
      <c r="G1438" s="39">
        <v>2558.8000000000002</v>
      </c>
      <c r="H1438" s="39">
        <f t="shared" si="149"/>
        <v>1</v>
      </c>
      <c r="I1438" s="39">
        <f t="shared" si="150"/>
        <v>0</v>
      </c>
      <c r="K1438" s="40"/>
      <c r="Q1438" s="40">
        <v>35226</v>
      </c>
      <c r="R1438" s="39">
        <v>2558.8000000000002</v>
      </c>
      <c r="S1438" s="39">
        <f t="shared" si="151"/>
        <v>6</v>
      </c>
      <c r="T1438" s="39">
        <f t="shared" si="152"/>
        <v>0</v>
      </c>
      <c r="U1438" s="39">
        <f t="shared" si="153"/>
        <v>0</v>
      </c>
      <c r="V1438" s="40"/>
    </row>
    <row r="1439" spans="2:22" x14ac:dyDescent="0.35">
      <c r="B1439" s="40">
        <v>35227</v>
      </c>
      <c r="C1439" s="39">
        <v>2546.4</v>
      </c>
      <c r="D1439" s="219">
        <f t="shared" si="154"/>
        <v>-4.857801608099485E-3</v>
      </c>
      <c r="F1439" s="40">
        <v>35227</v>
      </c>
      <c r="G1439" s="39">
        <v>2546.4</v>
      </c>
      <c r="H1439" s="39">
        <f t="shared" si="149"/>
        <v>2</v>
      </c>
      <c r="I1439" s="39">
        <f t="shared" si="150"/>
        <v>0</v>
      </c>
      <c r="K1439" s="40"/>
      <c r="Q1439" s="40">
        <v>35227</v>
      </c>
      <c r="R1439" s="39">
        <v>2546.4</v>
      </c>
      <c r="S1439" s="39">
        <f t="shared" si="151"/>
        <v>6</v>
      </c>
      <c r="T1439" s="39">
        <f t="shared" si="152"/>
        <v>0</v>
      </c>
      <c r="U1439" s="39">
        <f t="shared" si="153"/>
        <v>0</v>
      </c>
      <c r="V1439" s="40"/>
    </row>
    <row r="1440" spans="2:22" x14ac:dyDescent="0.35">
      <c r="B1440" s="40">
        <v>35228</v>
      </c>
      <c r="C1440" s="39">
        <v>2568.9</v>
      </c>
      <c r="D1440" s="219">
        <f t="shared" si="154"/>
        <v>8.7971947323730627E-3</v>
      </c>
      <c r="F1440" s="40">
        <v>35228</v>
      </c>
      <c r="G1440" s="39">
        <v>2568.9</v>
      </c>
      <c r="H1440" s="39">
        <f t="shared" si="149"/>
        <v>3</v>
      </c>
      <c r="I1440" s="39">
        <f t="shared" si="150"/>
        <v>0</v>
      </c>
      <c r="K1440" s="40"/>
      <c r="Q1440" s="40">
        <v>35228</v>
      </c>
      <c r="R1440" s="39">
        <v>2568.9</v>
      </c>
      <c r="S1440" s="39">
        <f t="shared" si="151"/>
        <v>6</v>
      </c>
      <c r="T1440" s="39">
        <f t="shared" si="152"/>
        <v>0</v>
      </c>
      <c r="U1440" s="39">
        <f t="shared" si="153"/>
        <v>0</v>
      </c>
      <c r="V1440" s="40"/>
    </row>
    <row r="1441" spans="2:22" x14ac:dyDescent="0.35">
      <c r="B1441" s="40">
        <v>35229</v>
      </c>
      <c r="C1441" s="39">
        <v>2567.5</v>
      </c>
      <c r="D1441" s="219">
        <f t="shared" si="154"/>
        <v>-5.4512889754274995E-4</v>
      </c>
      <c r="F1441" s="40">
        <v>35229</v>
      </c>
      <c r="G1441" s="39">
        <v>2567.5</v>
      </c>
      <c r="H1441" s="39">
        <f t="shared" si="149"/>
        <v>4</v>
      </c>
      <c r="I1441" s="39">
        <f t="shared" si="150"/>
        <v>0</v>
      </c>
      <c r="K1441" s="40"/>
      <c r="Q1441" s="40">
        <v>35229</v>
      </c>
      <c r="R1441" s="39">
        <v>2567.5</v>
      </c>
      <c r="S1441" s="39">
        <f t="shared" si="151"/>
        <v>6</v>
      </c>
      <c r="T1441" s="39">
        <f t="shared" si="152"/>
        <v>0</v>
      </c>
      <c r="U1441" s="39">
        <f t="shared" si="153"/>
        <v>0</v>
      </c>
      <c r="V1441" s="40"/>
    </row>
    <row r="1442" spans="2:22" x14ac:dyDescent="0.35">
      <c r="B1442" s="40">
        <v>35230</v>
      </c>
      <c r="C1442" s="39">
        <v>2548.8000000000002</v>
      </c>
      <c r="D1442" s="219">
        <f t="shared" si="154"/>
        <v>-7.3100026469291634E-3</v>
      </c>
      <c r="F1442" s="40">
        <v>35230</v>
      </c>
      <c r="G1442" s="39">
        <v>2548.8000000000002</v>
      </c>
      <c r="H1442" s="39">
        <f t="shared" si="149"/>
        <v>5</v>
      </c>
      <c r="I1442" s="39">
        <f t="shared" si="150"/>
        <v>2548.8000000000002</v>
      </c>
      <c r="K1442" s="40"/>
      <c r="Q1442" s="40">
        <v>35230</v>
      </c>
      <c r="R1442" s="39">
        <v>2548.8000000000002</v>
      </c>
      <c r="S1442" s="39">
        <f t="shared" si="151"/>
        <v>6</v>
      </c>
      <c r="T1442" s="39">
        <f t="shared" si="152"/>
        <v>0</v>
      </c>
      <c r="U1442" s="39">
        <f t="shared" si="153"/>
        <v>0</v>
      </c>
      <c r="V1442" s="40"/>
    </row>
    <row r="1443" spans="2:22" x14ac:dyDescent="0.35">
      <c r="B1443" s="40">
        <v>35233</v>
      </c>
      <c r="C1443" s="39">
        <v>2546.1</v>
      </c>
      <c r="D1443" s="219">
        <f t="shared" si="154"/>
        <v>-1.0598835120432463E-3</v>
      </c>
      <c r="F1443" s="40">
        <v>35233</v>
      </c>
      <c r="G1443" s="39">
        <v>2546.1</v>
      </c>
      <c r="H1443" s="39">
        <f t="shared" si="149"/>
        <v>1</v>
      </c>
      <c r="I1443" s="39">
        <f t="shared" si="150"/>
        <v>0</v>
      </c>
      <c r="K1443" s="40"/>
      <c r="Q1443" s="40">
        <v>35233</v>
      </c>
      <c r="R1443" s="39">
        <v>2546.1</v>
      </c>
      <c r="S1443" s="39">
        <f t="shared" si="151"/>
        <v>6</v>
      </c>
      <c r="T1443" s="39">
        <f t="shared" si="152"/>
        <v>0</v>
      </c>
      <c r="U1443" s="39">
        <f t="shared" si="153"/>
        <v>0</v>
      </c>
      <c r="V1443" s="40"/>
    </row>
    <row r="1444" spans="2:22" x14ac:dyDescent="0.35">
      <c r="B1444" s="40">
        <v>35234</v>
      </c>
      <c r="C1444" s="39">
        <v>2549.3000000000002</v>
      </c>
      <c r="D1444" s="219">
        <f t="shared" si="154"/>
        <v>1.256035020096581E-3</v>
      </c>
      <c r="F1444" s="40">
        <v>35234</v>
      </c>
      <c r="G1444" s="39">
        <v>2549.3000000000002</v>
      </c>
      <c r="H1444" s="39">
        <f t="shared" si="149"/>
        <v>2</v>
      </c>
      <c r="I1444" s="39">
        <f t="shared" si="150"/>
        <v>0</v>
      </c>
      <c r="K1444" s="40"/>
      <c r="Q1444" s="40">
        <v>35234</v>
      </c>
      <c r="R1444" s="39">
        <v>2549.3000000000002</v>
      </c>
      <c r="S1444" s="39">
        <f t="shared" si="151"/>
        <v>6</v>
      </c>
      <c r="T1444" s="39">
        <f t="shared" si="152"/>
        <v>0</v>
      </c>
      <c r="U1444" s="39">
        <f t="shared" si="153"/>
        <v>0</v>
      </c>
      <c r="V1444" s="40"/>
    </row>
    <row r="1445" spans="2:22" x14ac:dyDescent="0.35">
      <c r="B1445" s="40">
        <v>35235</v>
      </c>
      <c r="C1445" s="39">
        <v>2554.3000000000002</v>
      </c>
      <c r="D1445" s="219">
        <f t="shared" si="154"/>
        <v>1.9594018338780061E-3</v>
      </c>
      <c r="F1445" s="40">
        <v>35235</v>
      </c>
      <c r="G1445" s="39">
        <v>2554.3000000000002</v>
      </c>
      <c r="H1445" s="39">
        <f t="shared" si="149"/>
        <v>3</v>
      </c>
      <c r="I1445" s="39">
        <f t="shared" si="150"/>
        <v>0</v>
      </c>
      <c r="K1445" s="40"/>
      <c r="Q1445" s="40">
        <v>35235</v>
      </c>
      <c r="R1445" s="39">
        <v>2554.3000000000002</v>
      </c>
      <c r="S1445" s="39">
        <f t="shared" si="151"/>
        <v>6</v>
      </c>
      <c r="T1445" s="39">
        <f t="shared" si="152"/>
        <v>0</v>
      </c>
      <c r="U1445" s="39">
        <f t="shared" si="153"/>
        <v>0</v>
      </c>
      <c r="V1445" s="40"/>
    </row>
    <row r="1446" spans="2:22" x14ac:dyDescent="0.35">
      <c r="B1446" s="40">
        <v>35236</v>
      </c>
      <c r="C1446" s="39">
        <v>2539.6999999999998</v>
      </c>
      <c r="D1446" s="219">
        <f t="shared" si="154"/>
        <v>-5.7322496969168212E-3</v>
      </c>
      <c r="F1446" s="40">
        <v>35236</v>
      </c>
      <c r="G1446" s="39">
        <v>2539.6999999999998</v>
      </c>
      <c r="H1446" s="39">
        <f t="shared" si="149"/>
        <v>4</v>
      </c>
      <c r="I1446" s="39">
        <f t="shared" si="150"/>
        <v>0</v>
      </c>
      <c r="K1446" s="40"/>
      <c r="Q1446" s="40">
        <v>35236</v>
      </c>
      <c r="R1446" s="39">
        <v>2539.6999999999998</v>
      </c>
      <c r="S1446" s="39">
        <f t="shared" si="151"/>
        <v>6</v>
      </c>
      <c r="T1446" s="39">
        <f t="shared" si="152"/>
        <v>0</v>
      </c>
      <c r="U1446" s="39">
        <f t="shared" si="153"/>
        <v>0</v>
      </c>
      <c r="V1446" s="40"/>
    </row>
    <row r="1447" spans="2:22" x14ac:dyDescent="0.35">
      <c r="B1447" s="40">
        <v>35237</v>
      </c>
      <c r="C1447" s="39">
        <v>2540.1</v>
      </c>
      <c r="D1447" s="219">
        <f t="shared" si="154"/>
        <v>1.5748651554276443E-4</v>
      </c>
      <c r="F1447" s="40">
        <v>35237</v>
      </c>
      <c r="G1447" s="39">
        <v>2540.1</v>
      </c>
      <c r="H1447" s="39">
        <f t="shared" si="149"/>
        <v>5</v>
      </c>
      <c r="I1447" s="39">
        <f t="shared" si="150"/>
        <v>2540.1</v>
      </c>
      <c r="K1447" s="40"/>
      <c r="Q1447" s="40">
        <v>35237</v>
      </c>
      <c r="R1447" s="39">
        <v>2540.1</v>
      </c>
      <c r="S1447" s="39">
        <f t="shared" si="151"/>
        <v>6</v>
      </c>
      <c r="T1447" s="39">
        <f t="shared" si="152"/>
        <v>0</v>
      </c>
      <c r="U1447" s="39">
        <f t="shared" si="153"/>
        <v>0</v>
      </c>
      <c r="V1447" s="40"/>
    </row>
    <row r="1448" spans="2:22" x14ac:dyDescent="0.35">
      <c r="B1448" s="40">
        <v>35240</v>
      </c>
      <c r="C1448" s="39">
        <v>2566.4</v>
      </c>
      <c r="D1448" s="219">
        <f t="shared" si="154"/>
        <v>1.0300688355854126E-2</v>
      </c>
      <c r="F1448" s="40">
        <v>35240</v>
      </c>
      <c r="G1448" s="39">
        <v>2566.4</v>
      </c>
      <c r="H1448" s="39">
        <f t="shared" si="149"/>
        <v>1</v>
      </c>
      <c r="I1448" s="39">
        <f t="shared" si="150"/>
        <v>0</v>
      </c>
      <c r="K1448" s="40"/>
      <c r="Q1448" s="40">
        <v>35240</v>
      </c>
      <c r="R1448" s="39">
        <v>2566.4</v>
      </c>
      <c r="S1448" s="39">
        <f t="shared" si="151"/>
        <v>6</v>
      </c>
      <c r="T1448" s="39">
        <f t="shared" si="152"/>
        <v>0</v>
      </c>
      <c r="U1448" s="39">
        <f t="shared" si="153"/>
        <v>0</v>
      </c>
      <c r="V1448" s="40"/>
    </row>
    <row r="1449" spans="2:22" x14ac:dyDescent="0.35">
      <c r="B1449" s="40">
        <v>35241</v>
      </c>
      <c r="C1449" s="39">
        <v>2573</v>
      </c>
      <c r="D1449" s="219">
        <f t="shared" si="154"/>
        <v>2.5683946095488761E-3</v>
      </c>
      <c r="F1449" s="40">
        <v>35241</v>
      </c>
      <c r="G1449" s="39">
        <v>2573</v>
      </c>
      <c r="H1449" s="39">
        <f t="shared" si="149"/>
        <v>2</v>
      </c>
      <c r="I1449" s="39">
        <f t="shared" si="150"/>
        <v>0</v>
      </c>
      <c r="K1449" s="40"/>
      <c r="Q1449" s="40">
        <v>35241</v>
      </c>
      <c r="R1449" s="39">
        <v>2573</v>
      </c>
      <c r="S1449" s="39">
        <f t="shared" si="151"/>
        <v>6</v>
      </c>
      <c r="T1449" s="39">
        <f t="shared" si="152"/>
        <v>0</v>
      </c>
      <c r="U1449" s="39">
        <f t="shared" si="153"/>
        <v>0</v>
      </c>
      <c r="V1449" s="40"/>
    </row>
    <row r="1450" spans="2:22" x14ac:dyDescent="0.35">
      <c r="B1450" s="40">
        <v>35242</v>
      </c>
      <c r="C1450" s="39">
        <v>2573.6999999999998</v>
      </c>
      <c r="D1450" s="219">
        <f t="shared" si="154"/>
        <v>2.720189652851036E-4</v>
      </c>
      <c r="F1450" s="40">
        <v>35242</v>
      </c>
      <c r="G1450" s="39">
        <v>2573.6999999999998</v>
      </c>
      <c r="H1450" s="39">
        <f t="shared" si="149"/>
        <v>3</v>
      </c>
      <c r="I1450" s="39">
        <f t="shared" si="150"/>
        <v>0</v>
      </c>
      <c r="K1450" s="40"/>
      <c r="Q1450" s="40">
        <v>35242</v>
      </c>
      <c r="R1450" s="39">
        <v>2573.6999999999998</v>
      </c>
      <c r="S1450" s="39">
        <f t="shared" si="151"/>
        <v>6</v>
      </c>
      <c r="T1450" s="39">
        <f t="shared" si="152"/>
        <v>0</v>
      </c>
      <c r="U1450" s="39">
        <f t="shared" si="153"/>
        <v>0</v>
      </c>
      <c r="V1450" s="40"/>
    </row>
    <row r="1451" spans="2:22" x14ac:dyDescent="0.35">
      <c r="B1451" s="40">
        <v>35243</v>
      </c>
      <c r="C1451" s="39">
        <v>2551.6</v>
      </c>
      <c r="D1451" s="219">
        <f t="shared" si="154"/>
        <v>-8.6239388792289182E-3</v>
      </c>
      <c r="F1451" s="40">
        <v>35243</v>
      </c>
      <c r="G1451" s="39">
        <v>2551.6</v>
      </c>
      <c r="H1451" s="39">
        <f t="shared" si="149"/>
        <v>4</v>
      </c>
      <c r="I1451" s="39">
        <f t="shared" si="150"/>
        <v>0</v>
      </c>
      <c r="K1451" s="40"/>
      <c r="Q1451" s="40">
        <v>35243</v>
      </c>
      <c r="R1451" s="39">
        <v>2551.6</v>
      </c>
      <c r="S1451" s="39">
        <f t="shared" si="151"/>
        <v>6</v>
      </c>
      <c r="T1451" s="39">
        <f t="shared" si="152"/>
        <v>0</v>
      </c>
      <c r="U1451" s="39">
        <f t="shared" si="153"/>
        <v>0</v>
      </c>
      <c r="V1451" s="40"/>
    </row>
    <row r="1452" spans="2:22" x14ac:dyDescent="0.35">
      <c r="B1452" s="40">
        <v>35244</v>
      </c>
      <c r="C1452" s="39">
        <v>2561.4</v>
      </c>
      <c r="D1452" s="219">
        <f t="shared" si="154"/>
        <v>3.8333706241711982E-3</v>
      </c>
      <c r="F1452" s="40">
        <v>35244</v>
      </c>
      <c r="G1452" s="39">
        <v>2561.4</v>
      </c>
      <c r="H1452" s="39">
        <f t="shared" si="149"/>
        <v>5</v>
      </c>
      <c r="I1452" s="39">
        <f t="shared" si="150"/>
        <v>2561.4</v>
      </c>
      <c r="K1452" s="40"/>
      <c r="Q1452" s="40">
        <v>35244</v>
      </c>
      <c r="R1452" s="39">
        <v>2561.4</v>
      </c>
      <c r="S1452" s="39">
        <f t="shared" si="151"/>
        <v>6</v>
      </c>
      <c r="T1452" s="39">
        <f t="shared" si="152"/>
        <v>2561.4</v>
      </c>
      <c r="U1452" s="39">
        <f t="shared" si="153"/>
        <v>2561.4</v>
      </c>
      <c r="V1452" s="40"/>
    </row>
    <row r="1453" spans="2:22" x14ac:dyDescent="0.35">
      <c r="B1453" s="40">
        <v>35247</v>
      </c>
      <c r="C1453" s="39">
        <v>2564</v>
      </c>
      <c r="D1453" s="219">
        <f t="shared" si="154"/>
        <v>1.0145550485892E-3</v>
      </c>
      <c r="F1453" s="40">
        <v>35247</v>
      </c>
      <c r="G1453" s="39">
        <v>2564</v>
      </c>
      <c r="H1453" s="39">
        <f t="shared" si="149"/>
        <v>1</v>
      </c>
      <c r="I1453" s="39">
        <f t="shared" si="150"/>
        <v>0</v>
      </c>
      <c r="K1453" s="40"/>
      <c r="Q1453" s="40">
        <v>35247</v>
      </c>
      <c r="R1453" s="39">
        <v>2564</v>
      </c>
      <c r="S1453" s="39">
        <f t="shared" si="151"/>
        <v>7</v>
      </c>
      <c r="T1453" s="39">
        <f t="shared" si="152"/>
        <v>0</v>
      </c>
      <c r="U1453" s="39">
        <f t="shared" si="153"/>
        <v>0</v>
      </c>
      <c r="V1453" s="40"/>
    </row>
    <row r="1454" spans="2:22" x14ac:dyDescent="0.35">
      <c r="B1454" s="40">
        <v>35248</v>
      </c>
      <c r="C1454" s="39">
        <v>2572.3000000000002</v>
      </c>
      <c r="D1454" s="219">
        <f t="shared" si="154"/>
        <v>3.2319012614471696E-3</v>
      </c>
      <c r="F1454" s="40">
        <v>35248</v>
      </c>
      <c r="G1454" s="39">
        <v>2572.3000000000002</v>
      </c>
      <c r="H1454" s="39">
        <f t="shared" si="149"/>
        <v>2</v>
      </c>
      <c r="I1454" s="39">
        <f t="shared" si="150"/>
        <v>0</v>
      </c>
      <c r="K1454" s="40"/>
      <c r="Q1454" s="40">
        <v>35248</v>
      </c>
      <c r="R1454" s="39">
        <v>2572.3000000000002</v>
      </c>
      <c r="S1454" s="39">
        <f t="shared" si="151"/>
        <v>7</v>
      </c>
      <c r="T1454" s="39">
        <f t="shared" si="152"/>
        <v>0</v>
      </c>
      <c r="U1454" s="39">
        <f t="shared" si="153"/>
        <v>0</v>
      </c>
      <c r="V1454" s="40"/>
    </row>
    <row r="1455" spans="2:22" x14ac:dyDescent="0.35">
      <c r="B1455" s="40">
        <v>35249</v>
      </c>
      <c r="C1455" s="39">
        <v>2569</v>
      </c>
      <c r="D1455" s="219">
        <f t="shared" si="154"/>
        <v>-1.2837221921243329E-3</v>
      </c>
      <c r="F1455" s="40">
        <v>35249</v>
      </c>
      <c r="G1455" s="39">
        <v>2569</v>
      </c>
      <c r="H1455" s="39">
        <f t="shared" si="149"/>
        <v>3</v>
      </c>
      <c r="I1455" s="39">
        <f t="shared" si="150"/>
        <v>0</v>
      </c>
      <c r="K1455" s="40"/>
      <c r="Q1455" s="40">
        <v>35249</v>
      </c>
      <c r="R1455" s="39">
        <v>2569</v>
      </c>
      <c r="S1455" s="39">
        <f t="shared" si="151"/>
        <v>7</v>
      </c>
      <c r="T1455" s="39">
        <f t="shared" si="152"/>
        <v>0</v>
      </c>
      <c r="U1455" s="39">
        <f t="shared" si="153"/>
        <v>0</v>
      </c>
      <c r="V1455" s="40"/>
    </row>
    <row r="1456" spans="2:22" x14ac:dyDescent="0.35">
      <c r="B1456" s="40">
        <v>35250</v>
      </c>
      <c r="C1456" s="39">
        <v>2577.4</v>
      </c>
      <c r="D1456" s="219">
        <f t="shared" si="154"/>
        <v>3.2644207444072581E-3</v>
      </c>
      <c r="F1456" s="40">
        <v>35250</v>
      </c>
      <c r="G1456" s="39">
        <v>2577.4</v>
      </c>
      <c r="H1456" s="39">
        <f t="shared" si="149"/>
        <v>4</v>
      </c>
      <c r="I1456" s="39">
        <f t="shared" si="150"/>
        <v>0</v>
      </c>
      <c r="K1456" s="40"/>
      <c r="Q1456" s="40">
        <v>35250</v>
      </c>
      <c r="R1456" s="39">
        <v>2577.4</v>
      </c>
      <c r="S1456" s="39">
        <f t="shared" si="151"/>
        <v>7</v>
      </c>
      <c r="T1456" s="39">
        <f t="shared" si="152"/>
        <v>0</v>
      </c>
      <c r="U1456" s="39">
        <f t="shared" si="153"/>
        <v>0</v>
      </c>
      <c r="V1456" s="40"/>
    </row>
    <row r="1457" spans="2:22" x14ac:dyDescent="0.35">
      <c r="B1457" s="40">
        <v>35251</v>
      </c>
      <c r="C1457" s="39">
        <v>2583.5</v>
      </c>
      <c r="D1457" s="219">
        <f t="shared" si="154"/>
        <v>2.3639298729485766E-3</v>
      </c>
      <c r="F1457" s="40">
        <v>35251</v>
      </c>
      <c r="G1457" s="39">
        <v>2583.5</v>
      </c>
      <c r="H1457" s="39">
        <f t="shared" si="149"/>
        <v>5</v>
      </c>
      <c r="I1457" s="39">
        <f t="shared" si="150"/>
        <v>2583.5</v>
      </c>
      <c r="K1457" s="40"/>
      <c r="Q1457" s="40">
        <v>35251</v>
      </c>
      <c r="R1457" s="39">
        <v>2583.5</v>
      </c>
      <c r="S1457" s="39">
        <f t="shared" si="151"/>
        <v>7</v>
      </c>
      <c r="T1457" s="39">
        <f t="shared" si="152"/>
        <v>0</v>
      </c>
      <c r="U1457" s="39">
        <f t="shared" si="153"/>
        <v>0</v>
      </c>
      <c r="V1457" s="40"/>
    </row>
    <row r="1458" spans="2:22" x14ac:dyDescent="0.35">
      <c r="B1458" s="40">
        <v>35254</v>
      </c>
      <c r="C1458" s="39">
        <v>2551</v>
      </c>
      <c r="D1458" s="219">
        <f t="shared" si="154"/>
        <v>-1.2659629585427863E-2</v>
      </c>
      <c r="F1458" s="40">
        <v>35254</v>
      </c>
      <c r="G1458" s="39">
        <v>2551</v>
      </c>
      <c r="H1458" s="39">
        <f t="shared" si="149"/>
        <v>1</v>
      </c>
      <c r="I1458" s="39">
        <f t="shared" si="150"/>
        <v>0</v>
      </c>
      <c r="K1458" s="40"/>
      <c r="Q1458" s="40">
        <v>35254</v>
      </c>
      <c r="R1458" s="39">
        <v>2551</v>
      </c>
      <c r="S1458" s="39">
        <f t="shared" si="151"/>
        <v>7</v>
      </c>
      <c r="T1458" s="39">
        <f t="shared" si="152"/>
        <v>0</v>
      </c>
      <c r="U1458" s="39">
        <f t="shared" si="153"/>
        <v>0</v>
      </c>
      <c r="V1458" s="40"/>
    </row>
    <row r="1459" spans="2:22" x14ac:dyDescent="0.35">
      <c r="B1459" s="40">
        <v>35255</v>
      </c>
      <c r="C1459" s="39">
        <v>2562.1999999999998</v>
      </c>
      <c r="D1459" s="219">
        <f t="shared" si="154"/>
        <v>4.3808252805218736E-3</v>
      </c>
      <c r="F1459" s="40">
        <v>35255</v>
      </c>
      <c r="G1459" s="39">
        <v>2562.1999999999998</v>
      </c>
      <c r="H1459" s="39">
        <f t="shared" si="149"/>
        <v>2</v>
      </c>
      <c r="I1459" s="39">
        <f t="shared" si="150"/>
        <v>0</v>
      </c>
      <c r="K1459" s="40"/>
      <c r="Q1459" s="40">
        <v>35255</v>
      </c>
      <c r="R1459" s="39">
        <v>2562.1999999999998</v>
      </c>
      <c r="S1459" s="39">
        <f t="shared" si="151"/>
        <v>7</v>
      </c>
      <c r="T1459" s="39">
        <f t="shared" si="152"/>
        <v>0</v>
      </c>
      <c r="U1459" s="39">
        <f t="shared" si="153"/>
        <v>0</v>
      </c>
      <c r="V1459" s="40"/>
    </row>
    <row r="1460" spans="2:22" x14ac:dyDescent="0.35">
      <c r="B1460" s="40">
        <v>35256</v>
      </c>
      <c r="C1460" s="39">
        <v>2567.4</v>
      </c>
      <c r="D1460" s="219">
        <f t="shared" si="154"/>
        <v>2.0274492284929617E-3</v>
      </c>
      <c r="F1460" s="40">
        <v>35256</v>
      </c>
      <c r="G1460" s="39">
        <v>2567.4</v>
      </c>
      <c r="H1460" s="39">
        <f t="shared" si="149"/>
        <v>3</v>
      </c>
      <c r="I1460" s="39">
        <f t="shared" si="150"/>
        <v>0</v>
      </c>
      <c r="K1460" s="40"/>
      <c r="Q1460" s="40">
        <v>35256</v>
      </c>
      <c r="R1460" s="39">
        <v>2567.4</v>
      </c>
      <c r="S1460" s="39">
        <f t="shared" si="151"/>
        <v>7</v>
      </c>
      <c r="T1460" s="39">
        <f t="shared" si="152"/>
        <v>0</v>
      </c>
      <c r="U1460" s="39">
        <f t="shared" si="153"/>
        <v>0</v>
      </c>
      <c r="V1460" s="40"/>
    </row>
    <row r="1461" spans="2:22" x14ac:dyDescent="0.35">
      <c r="B1461" s="40">
        <v>35257</v>
      </c>
      <c r="C1461" s="39">
        <v>2575.5</v>
      </c>
      <c r="D1461" s="219">
        <f t="shared" si="154"/>
        <v>3.1499763548137752E-3</v>
      </c>
      <c r="F1461" s="40">
        <v>35257</v>
      </c>
      <c r="G1461" s="39">
        <v>2575.5</v>
      </c>
      <c r="H1461" s="39">
        <f t="shared" si="149"/>
        <v>4</v>
      </c>
      <c r="I1461" s="39">
        <f t="shared" si="150"/>
        <v>0</v>
      </c>
      <c r="K1461" s="40"/>
      <c r="Q1461" s="40">
        <v>35257</v>
      </c>
      <c r="R1461" s="39">
        <v>2575.5</v>
      </c>
      <c r="S1461" s="39">
        <f t="shared" si="151"/>
        <v>7</v>
      </c>
      <c r="T1461" s="39">
        <f t="shared" si="152"/>
        <v>0</v>
      </c>
      <c r="U1461" s="39">
        <f t="shared" si="153"/>
        <v>0</v>
      </c>
      <c r="V1461" s="40"/>
    </row>
    <row r="1462" spans="2:22" x14ac:dyDescent="0.35">
      <c r="B1462" s="40">
        <v>35258</v>
      </c>
      <c r="C1462" s="39">
        <v>2544.3000000000002</v>
      </c>
      <c r="D1462" s="219">
        <f t="shared" si="154"/>
        <v>-1.2188126969875764E-2</v>
      </c>
      <c r="F1462" s="40">
        <v>35258</v>
      </c>
      <c r="G1462" s="39">
        <v>2544.3000000000002</v>
      </c>
      <c r="H1462" s="39">
        <f t="shared" si="149"/>
        <v>5</v>
      </c>
      <c r="I1462" s="39">
        <f t="shared" si="150"/>
        <v>2544.3000000000002</v>
      </c>
      <c r="K1462" s="40"/>
      <c r="Q1462" s="40">
        <v>35258</v>
      </c>
      <c r="R1462" s="39">
        <v>2544.3000000000002</v>
      </c>
      <c r="S1462" s="39">
        <f t="shared" si="151"/>
        <v>7</v>
      </c>
      <c r="T1462" s="39">
        <f t="shared" si="152"/>
        <v>0</v>
      </c>
      <c r="U1462" s="39">
        <f t="shared" si="153"/>
        <v>0</v>
      </c>
      <c r="V1462" s="40"/>
    </row>
    <row r="1463" spans="2:22" x14ac:dyDescent="0.35">
      <c r="B1463" s="40">
        <v>35261</v>
      </c>
      <c r="C1463" s="39">
        <v>2550.5</v>
      </c>
      <c r="D1463" s="219">
        <f t="shared" si="154"/>
        <v>2.4338553272170941E-3</v>
      </c>
      <c r="F1463" s="40">
        <v>35261</v>
      </c>
      <c r="G1463" s="39">
        <v>2550.5</v>
      </c>
      <c r="H1463" s="39">
        <f t="shared" ref="H1463:H1526" si="155">WEEKDAY(F1463,2)</f>
        <v>1</v>
      </c>
      <c r="I1463" s="39">
        <f t="shared" ref="I1463:I1526" si="156">IF(H1463&gt;H1464,G1463,0)</f>
        <v>0</v>
      </c>
      <c r="K1463" s="40"/>
      <c r="Q1463" s="40">
        <v>35261</v>
      </c>
      <c r="R1463" s="39">
        <v>2550.5</v>
      </c>
      <c r="S1463" s="39">
        <f t="shared" ref="S1463:S1526" si="157">MONTH(Q1463)</f>
        <v>7</v>
      </c>
      <c r="T1463" s="39">
        <f t="shared" ref="T1463:T1526" si="158">IF(S1464&lt;&gt;S1463,R1463,0)</f>
        <v>0</v>
      </c>
      <c r="U1463" s="39">
        <f t="shared" ref="U1463:U1526" si="159">IF(S1464=S1463,0,R1463)</f>
        <v>0</v>
      </c>
      <c r="V1463" s="40"/>
    </row>
    <row r="1464" spans="2:22" x14ac:dyDescent="0.35">
      <c r="B1464" s="40">
        <v>35262</v>
      </c>
      <c r="C1464" s="39">
        <v>2469.8000000000002</v>
      </c>
      <c r="D1464" s="219">
        <f t="shared" ref="D1464:D1527" si="160">LN(C1464/C1463)</f>
        <v>-3.215224267925914E-2</v>
      </c>
      <c r="F1464" s="40">
        <v>35262</v>
      </c>
      <c r="G1464" s="39">
        <v>2469.8000000000002</v>
      </c>
      <c r="H1464" s="39">
        <f t="shared" si="155"/>
        <v>2</v>
      </c>
      <c r="I1464" s="39">
        <f t="shared" si="156"/>
        <v>0</v>
      </c>
      <c r="K1464" s="40"/>
      <c r="Q1464" s="40">
        <v>35262</v>
      </c>
      <c r="R1464" s="39">
        <v>2469.8000000000002</v>
      </c>
      <c r="S1464" s="39">
        <f t="shared" si="157"/>
        <v>7</v>
      </c>
      <c r="T1464" s="39">
        <f t="shared" si="158"/>
        <v>0</v>
      </c>
      <c r="U1464" s="39">
        <f t="shared" si="159"/>
        <v>0</v>
      </c>
      <c r="V1464" s="40"/>
    </row>
    <row r="1465" spans="2:22" x14ac:dyDescent="0.35">
      <c r="B1465" s="40">
        <v>35263</v>
      </c>
      <c r="C1465" s="39">
        <v>2497.1999999999998</v>
      </c>
      <c r="D1465" s="219">
        <f t="shared" si="160"/>
        <v>1.1032928503866821E-2</v>
      </c>
      <c r="F1465" s="40">
        <v>35263</v>
      </c>
      <c r="G1465" s="39">
        <v>2497.1999999999998</v>
      </c>
      <c r="H1465" s="39">
        <f t="shared" si="155"/>
        <v>3</v>
      </c>
      <c r="I1465" s="39">
        <f t="shared" si="156"/>
        <v>0</v>
      </c>
      <c r="K1465" s="40"/>
      <c r="Q1465" s="40">
        <v>35263</v>
      </c>
      <c r="R1465" s="39">
        <v>2497.1999999999998</v>
      </c>
      <c r="S1465" s="39">
        <f t="shared" si="157"/>
        <v>7</v>
      </c>
      <c r="T1465" s="39">
        <f t="shared" si="158"/>
        <v>0</v>
      </c>
      <c r="U1465" s="39">
        <f t="shared" si="159"/>
        <v>0</v>
      </c>
      <c r="V1465" s="40"/>
    </row>
    <row r="1466" spans="2:22" x14ac:dyDescent="0.35">
      <c r="B1466" s="40">
        <v>35264</v>
      </c>
      <c r="C1466" s="39">
        <v>2506.1999999999998</v>
      </c>
      <c r="D1466" s="219">
        <f t="shared" si="160"/>
        <v>3.5975575435955426E-3</v>
      </c>
      <c r="F1466" s="40">
        <v>35264</v>
      </c>
      <c r="G1466" s="39">
        <v>2506.1999999999998</v>
      </c>
      <c r="H1466" s="39">
        <f t="shared" si="155"/>
        <v>4</v>
      </c>
      <c r="I1466" s="39">
        <f t="shared" si="156"/>
        <v>0</v>
      </c>
      <c r="K1466" s="40"/>
      <c r="Q1466" s="40">
        <v>35264</v>
      </c>
      <c r="R1466" s="39">
        <v>2506.1999999999998</v>
      </c>
      <c r="S1466" s="39">
        <f t="shared" si="157"/>
        <v>7</v>
      </c>
      <c r="T1466" s="39">
        <f t="shared" si="158"/>
        <v>0</v>
      </c>
      <c r="U1466" s="39">
        <f t="shared" si="159"/>
        <v>0</v>
      </c>
      <c r="V1466" s="40"/>
    </row>
    <row r="1467" spans="2:22" x14ac:dyDescent="0.35">
      <c r="B1467" s="40">
        <v>35265</v>
      </c>
      <c r="C1467" s="39">
        <v>2520.1999999999998</v>
      </c>
      <c r="D1467" s="219">
        <f t="shared" si="160"/>
        <v>5.57060170440816E-3</v>
      </c>
      <c r="F1467" s="40">
        <v>35265</v>
      </c>
      <c r="G1467" s="39">
        <v>2520.1999999999998</v>
      </c>
      <c r="H1467" s="39">
        <f t="shared" si="155"/>
        <v>5</v>
      </c>
      <c r="I1467" s="39">
        <f t="shared" si="156"/>
        <v>2520.1999999999998</v>
      </c>
      <c r="K1467" s="40"/>
      <c r="Q1467" s="40">
        <v>35265</v>
      </c>
      <c r="R1467" s="39">
        <v>2520.1999999999998</v>
      </c>
      <c r="S1467" s="39">
        <f t="shared" si="157"/>
        <v>7</v>
      </c>
      <c r="T1467" s="39">
        <f t="shared" si="158"/>
        <v>0</v>
      </c>
      <c r="U1467" s="39">
        <f t="shared" si="159"/>
        <v>0</v>
      </c>
      <c r="V1467" s="40"/>
    </row>
    <row r="1468" spans="2:22" x14ac:dyDescent="0.35">
      <c r="B1468" s="40">
        <v>35268</v>
      </c>
      <c r="C1468" s="39">
        <v>2482.4</v>
      </c>
      <c r="D1468" s="219">
        <f t="shared" si="160"/>
        <v>-1.5112429301422222E-2</v>
      </c>
      <c r="F1468" s="40">
        <v>35268</v>
      </c>
      <c r="G1468" s="39">
        <v>2482.4</v>
      </c>
      <c r="H1468" s="39">
        <f t="shared" si="155"/>
        <v>1</v>
      </c>
      <c r="I1468" s="39">
        <f t="shared" si="156"/>
        <v>0</v>
      </c>
      <c r="K1468" s="40"/>
      <c r="Q1468" s="40">
        <v>35268</v>
      </c>
      <c r="R1468" s="39">
        <v>2482.4</v>
      </c>
      <c r="S1468" s="39">
        <f t="shared" si="157"/>
        <v>7</v>
      </c>
      <c r="T1468" s="39">
        <f t="shared" si="158"/>
        <v>0</v>
      </c>
      <c r="U1468" s="39">
        <f t="shared" si="159"/>
        <v>0</v>
      </c>
      <c r="V1468" s="40"/>
    </row>
    <row r="1469" spans="2:22" x14ac:dyDescent="0.35">
      <c r="B1469" s="40">
        <v>35269</v>
      </c>
      <c r="C1469" s="39">
        <v>2475.1</v>
      </c>
      <c r="D1469" s="219">
        <f t="shared" si="160"/>
        <v>-2.9450349071970627E-3</v>
      </c>
      <c r="F1469" s="40">
        <v>35269</v>
      </c>
      <c r="G1469" s="39">
        <v>2475.1</v>
      </c>
      <c r="H1469" s="39">
        <f t="shared" si="155"/>
        <v>2</v>
      </c>
      <c r="I1469" s="39">
        <f t="shared" si="156"/>
        <v>0</v>
      </c>
      <c r="K1469" s="40"/>
      <c r="Q1469" s="40">
        <v>35269</v>
      </c>
      <c r="R1469" s="39">
        <v>2475.1</v>
      </c>
      <c r="S1469" s="39">
        <f t="shared" si="157"/>
        <v>7</v>
      </c>
      <c r="T1469" s="39">
        <f t="shared" si="158"/>
        <v>0</v>
      </c>
      <c r="U1469" s="39">
        <f t="shared" si="159"/>
        <v>0</v>
      </c>
      <c r="V1469" s="40"/>
    </row>
    <row r="1470" spans="2:22" x14ac:dyDescent="0.35">
      <c r="B1470" s="40">
        <v>35270</v>
      </c>
      <c r="C1470" s="39">
        <v>2447.8000000000002</v>
      </c>
      <c r="D1470" s="219">
        <f t="shared" si="160"/>
        <v>-1.1091137278735244E-2</v>
      </c>
      <c r="F1470" s="40">
        <v>35270</v>
      </c>
      <c r="G1470" s="39">
        <v>2447.8000000000002</v>
      </c>
      <c r="H1470" s="39">
        <f t="shared" si="155"/>
        <v>3</v>
      </c>
      <c r="I1470" s="39">
        <f t="shared" si="156"/>
        <v>0</v>
      </c>
      <c r="K1470" s="40"/>
      <c r="Q1470" s="40">
        <v>35270</v>
      </c>
      <c r="R1470" s="39">
        <v>2447.8000000000002</v>
      </c>
      <c r="S1470" s="39">
        <f t="shared" si="157"/>
        <v>7</v>
      </c>
      <c r="T1470" s="39">
        <f t="shared" si="158"/>
        <v>0</v>
      </c>
      <c r="U1470" s="39">
        <f t="shared" si="159"/>
        <v>0</v>
      </c>
      <c r="V1470" s="40"/>
    </row>
    <row r="1471" spans="2:22" x14ac:dyDescent="0.35">
      <c r="B1471" s="40">
        <v>35271</v>
      </c>
      <c r="C1471" s="39">
        <v>2465</v>
      </c>
      <c r="D1471" s="219">
        <f t="shared" si="160"/>
        <v>7.0021455285522475E-3</v>
      </c>
      <c r="F1471" s="40">
        <v>35271</v>
      </c>
      <c r="G1471" s="39">
        <v>2465</v>
      </c>
      <c r="H1471" s="39">
        <f t="shared" si="155"/>
        <v>4</v>
      </c>
      <c r="I1471" s="39">
        <f t="shared" si="156"/>
        <v>0</v>
      </c>
      <c r="K1471" s="40"/>
      <c r="Q1471" s="40">
        <v>35271</v>
      </c>
      <c r="R1471" s="39">
        <v>2465</v>
      </c>
      <c r="S1471" s="39">
        <f t="shared" si="157"/>
        <v>7</v>
      </c>
      <c r="T1471" s="39">
        <f t="shared" si="158"/>
        <v>0</v>
      </c>
      <c r="U1471" s="39">
        <f t="shared" si="159"/>
        <v>0</v>
      </c>
      <c r="V1471" s="40"/>
    </row>
    <row r="1472" spans="2:22" x14ac:dyDescent="0.35">
      <c r="B1472" s="40">
        <v>35272</v>
      </c>
      <c r="C1472" s="39">
        <v>2470.3000000000002</v>
      </c>
      <c r="D1472" s="219">
        <f t="shared" si="160"/>
        <v>2.1477932597472795E-3</v>
      </c>
      <c r="F1472" s="40">
        <v>35272</v>
      </c>
      <c r="G1472" s="39">
        <v>2470.3000000000002</v>
      </c>
      <c r="H1472" s="39">
        <f t="shared" si="155"/>
        <v>5</v>
      </c>
      <c r="I1472" s="39">
        <f t="shared" si="156"/>
        <v>2470.3000000000002</v>
      </c>
      <c r="K1472" s="40"/>
      <c r="Q1472" s="40">
        <v>35272</v>
      </c>
      <c r="R1472" s="39">
        <v>2470.3000000000002</v>
      </c>
      <c r="S1472" s="39">
        <f t="shared" si="157"/>
        <v>7</v>
      </c>
      <c r="T1472" s="39">
        <f t="shared" si="158"/>
        <v>0</v>
      </c>
      <c r="U1472" s="39">
        <f t="shared" si="159"/>
        <v>0</v>
      </c>
      <c r="V1472" s="40"/>
    </row>
    <row r="1473" spans="2:22" x14ac:dyDescent="0.35">
      <c r="B1473" s="40">
        <v>35275</v>
      </c>
      <c r="C1473" s="39">
        <v>2477.8000000000002</v>
      </c>
      <c r="D1473" s="219">
        <f t="shared" si="160"/>
        <v>3.0314689451007583E-3</v>
      </c>
      <c r="F1473" s="40">
        <v>35275</v>
      </c>
      <c r="G1473" s="39">
        <v>2477.8000000000002</v>
      </c>
      <c r="H1473" s="39">
        <f t="shared" si="155"/>
        <v>1</v>
      </c>
      <c r="I1473" s="39">
        <f t="shared" si="156"/>
        <v>0</v>
      </c>
      <c r="K1473" s="40"/>
      <c r="Q1473" s="40">
        <v>35275</v>
      </c>
      <c r="R1473" s="39">
        <v>2477.8000000000002</v>
      </c>
      <c r="S1473" s="39">
        <f t="shared" si="157"/>
        <v>7</v>
      </c>
      <c r="T1473" s="39">
        <f t="shared" si="158"/>
        <v>0</v>
      </c>
      <c r="U1473" s="39">
        <f t="shared" si="159"/>
        <v>0</v>
      </c>
      <c r="V1473" s="40"/>
    </row>
    <row r="1474" spans="2:22" x14ac:dyDescent="0.35">
      <c r="B1474" s="40">
        <v>35276</v>
      </c>
      <c r="C1474" s="39">
        <v>2457.5</v>
      </c>
      <c r="D1474" s="219">
        <f t="shared" si="160"/>
        <v>-8.2264966603169745E-3</v>
      </c>
      <c r="F1474" s="40">
        <v>35276</v>
      </c>
      <c r="G1474" s="39">
        <v>2457.5</v>
      </c>
      <c r="H1474" s="39">
        <f t="shared" si="155"/>
        <v>2</v>
      </c>
      <c r="I1474" s="39">
        <f t="shared" si="156"/>
        <v>0</v>
      </c>
      <c r="K1474" s="40"/>
      <c r="Q1474" s="40">
        <v>35276</v>
      </c>
      <c r="R1474" s="39">
        <v>2457.5</v>
      </c>
      <c r="S1474" s="39">
        <f t="shared" si="157"/>
        <v>7</v>
      </c>
      <c r="T1474" s="39">
        <f t="shared" si="158"/>
        <v>0</v>
      </c>
      <c r="U1474" s="39">
        <f t="shared" si="159"/>
        <v>0</v>
      </c>
      <c r="V1474" s="40"/>
    </row>
    <row r="1475" spans="2:22" x14ac:dyDescent="0.35">
      <c r="B1475" s="40">
        <v>35277</v>
      </c>
      <c r="C1475" s="39">
        <v>2473.4</v>
      </c>
      <c r="D1475" s="219">
        <f t="shared" si="160"/>
        <v>6.4491492866352029E-3</v>
      </c>
      <c r="F1475" s="40">
        <v>35277</v>
      </c>
      <c r="G1475" s="39">
        <v>2473.4</v>
      </c>
      <c r="H1475" s="39">
        <f t="shared" si="155"/>
        <v>3</v>
      </c>
      <c r="I1475" s="39">
        <f t="shared" si="156"/>
        <v>0</v>
      </c>
      <c r="K1475" s="40"/>
      <c r="Q1475" s="40">
        <v>35277</v>
      </c>
      <c r="R1475" s="39">
        <v>2473.4</v>
      </c>
      <c r="S1475" s="39">
        <f t="shared" si="157"/>
        <v>7</v>
      </c>
      <c r="T1475" s="39">
        <f t="shared" si="158"/>
        <v>2473.4</v>
      </c>
      <c r="U1475" s="39">
        <f t="shared" si="159"/>
        <v>2473.4</v>
      </c>
      <c r="V1475" s="40"/>
    </row>
    <row r="1476" spans="2:22" x14ac:dyDescent="0.35">
      <c r="B1476" s="40">
        <v>35278</v>
      </c>
      <c r="C1476" s="39">
        <v>2494.5</v>
      </c>
      <c r="D1476" s="219">
        <f t="shared" si="160"/>
        <v>8.4945859931353038E-3</v>
      </c>
      <c r="F1476" s="40">
        <v>35278</v>
      </c>
      <c r="G1476" s="39">
        <v>2494.5</v>
      </c>
      <c r="H1476" s="39">
        <f t="shared" si="155"/>
        <v>4</v>
      </c>
      <c r="I1476" s="39">
        <f t="shared" si="156"/>
        <v>0</v>
      </c>
      <c r="K1476" s="40"/>
      <c r="Q1476" s="40">
        <v>35278</v>
      </c>
      <c r="R1476" s="39">
        <v>2494.5</v>
      </c>
      <c r="S1476" s="39">
        <f t="shared" si="157"/>
        <v>8</v>
      </c>
      <c r="T1476" s="39">
        <f t="shared" si="158"/>
        <v>0</v>
      </c>
      <c r="U1476" s="39">
        <f t="shared" si="159"/>
        <v>0</v>
      </c>
      <c r="V1476" s="40"/>
    </row>
    <row r="1477" spans="2:22" x14ac:dyDescent="0.35">
      <c r="B1477" s="40">
        <v>35279</v>
      </c>
      <c r="C1477" s="39">
        <v>2508.6999999999998</v>
      </c>
      <c r="D1477" s="219">
        <f t="shared" si="160"/>
        <v>5.6763823667003365E-3</v>
      </c>
      <c r="F1477" s="40">
        <v>35279</v>
      </c>
      <c r="G1477" s="39">
        <v>2508.6999999999998</v>
      </c>
      <c r="H1477" s="39">
        <f t="shared" si="155"/>
        <v>5</v>
      </c>
      <c r="I1477" s="39">
        <f t="shared" si="156"/>
        <v>2508.6999999999998</v>
      </c>
      <c r="K1477" s="40"/>
      <c r="Q1477" s="40">
        <v>35279</v>
      </c>
      <c r="R1477" s="39">
        <v>2508.6999999999998</v>
      </c>
      <c r="S1477" s="39">
        <f t="shared" si="157"/>
        <v>8</v>
      </c>
      <c r="T1477" s="39">
        <f t="shared" si="158"/>
        <v>0</v>
      </c>
      <c r="U1477" s="39">
        <f t="shared" si="159"/>
        <v>0</v>
      </c>
      <c r="V1477" s="40"/>
    </row>
    <row r="1478" spans="2:22" x14ac:dyDescent="0.35">
      <c r="B1478" s="40">
        <v>35282</v>
      </c>
      <c r="C1478" s="39">
        <v>2520.9</v>
      </c>
      <c r="D1478" s="219">
        <f t="shared" si="160"/>
        <v>4.851289934489778E-3</v>
      </c>
      <c r="F1478" s="40">
        <v>35282</v>
      </c>
      <c r="G1478" s="39">
        <v>2520.9</v>
      </c>
      <c r="H1478" s="39">
        <f t="shared" si="155"/>
        <v>1</v>
      </c>
      <c r="I1478" s="39">
        <f t="shared" si="156"/>
        <v>0</v>
      </c>
      <c r="K1478" s="40"/>
      <c r="Q1478" s="40">
        <v>35282</v>
      </c>
      <c r="R1478" s="39">
        <v>2520.9</v>
      </c>
      <c r="S1478" s="39">
        <f t="shared" si="157"/>
        <v>8</v>
      </c>
      <c r="T1478" s="39">
        <f t="shared" si="158"/>
        <v>0</v>
      </c>
      <c r="U1478" s="39">
        <f t="shared" si="159"/>
        <v>0</v>
      </c>
      <c r="V1478" s="40"/>
    </row>
    <row r="1479" spans="2:22" x14ac:dyDescent="0.35">
      <c r="B1479" s="40">
        <v>35283</v>
      </c>
      <c r="C1479" s="39">
        <v>2522.5</v>
      </c>
      <c r="D1479" s="219">
        <f t="shared" si="160"/>
        <v>6.344926254818207E-4</v>
      </c>
      <c r="F1479" s="40">
        <v>35283</v>
      </c>
      <c r="G1479" s="39">
        <v>2522.5</v>
      </c>
      <c r="H1479" s="39">
        <f t="shared" si="155"/>
        <v>2</v>
      </c>
      <c r="I1479" s="39">
        <f t="shared" si="156"/>
        <v>0</v>
      </c>
      <c r="K1479" s="40"/>
      <c r="Q1479" s="40">
        <v>35283</v>
      </c>
      <c r="R1479" s="39">
        <v>2522.5</v>
      </c>
      <c r="S1479" s="39">
        <f t="shared" si="157"/>
        <v>8</v>
      </c>
      <c r="T1479" s="39">
        <f t="shared" si="158"/>
        <v>0</v>
      </c>
      <c r="U1479" s="39">
        <f t="shared" si="159"/>
        <v>0</v>
      </c>
      <c r="V1479" s="40"/>
    </row>
    <row r="1480" spans="2:22" x14ac:dyDescent="0.35">
      <c r="B1480" s="40">
        <v>35284</v>
      </c>
      <c r="C1480" s="39">
        <v>2531.9</v>
      </c>
      <c r="D1480" s="219">
        <f t="shared" si="160"/>
        <v>3.7195357856016423E-3</v>
      </c>
      <c r="F1480" s="40">
        <v>35284</v>
      </c>
      <c r="G1480" s="39">
        <v>2531.9</v>
      </c>
      <c r="H1480" s="39">
        <f t="shared" si="155"/>
        <v>3</v>
      </c>
      <c r="I1480" s="39">
        <f t="shared" si="156"/>
        <v>0</v>
      </c>
      <c r="K1480" s="40"/>
      <c r="Q1480" s="40">
        <v>35284</v>
      </c>
      <c r="R1480" s="39">
        <v>2531.9</v>
      </c>
      <c r="S1480" s="39">
        <f t="shared" si="157"/>
        <v>8</v>
      </c>
      <c r="T1480" s="39">
        <f t="shared" si="158"/>
        <v>0</v>
      </c>
      <c r="U1480" s="39">
        <f t="shared" si="159"/>
        <v>0</v>
      </c>
      <c r="V1480" s="40"/>
    </row>
    <row r="1481" spans="2:22" x14ac:dyDescent="0.35">
      <c r="B1481" s="40">
        <v>35285</v>
      </c>
      <c r="C1481" s="39">
        <v>2538.1999999999998</v>
      </c>
      <c r="D1481" s="219">
        <f t="shared" si="160"/>
        <v>2.4851593626982848E-3</v>
      </c>
      <c r="F1481" s="40">
        <v>35285</v>
      </c>
      <c r="G1481" s="39">
        <v>2538.1999999999998</v>
      </c>
      <c r="H1481" s="39">
        <f t="shared" si="155"/>
        <v>4</v>
      </c>
      <c r="I1481" s="39">
        <f t="shared" si="156"/>
        <v>0</v>
      </c>
      <c r="K1481" s="40"/>
      <c r="Q1481" s="40">
        <v>35285</v>
      </c>
      <c r="R1481" s="39">
        <v>2538.1999999999998</v>
      </c>
      <c r="S1481" s="39">
        <f t="shared" si="157"/>
        <v>8</v>
      </c>
      <c r="T1481" s="39">
        <f t="shared" si="158"/>
        <v>0</v>
      </c>
      <c r="U1481" s="39">
        <f t="shared" si="159"/>
        <v>0</v>
      </c>
      <c r="V1481" s="40"/>
    </row>
    <row r="1482" spans="2:22" x14ac:dyDescent="0.35">
      <c r="B1482" s="40">
        <v>35286</v>
      </c>
      <c r="C1482" s="39">
        <v>2525.6</v>
      </c>
      <c r="D1482" s="219">
        <f t="shared" si="160"/>
        <v>-4.9765101322820299E-3</v>
      </c>
      <c r="F1482" s="40">
        <v>35286</v>
      </c>
      <c r="G1482" s="39">
        <v>2525.6</v>
      </c>
      <c r="H1482" s="39">
        <f t="shared" si="155"/>
        <v>5</v>
      </c>
      <c r="I1482" s="39">
        <f t="shared" si="156"/>
        <v>2525.6</v>
      </c>
      <c r="K1482" s="40"/>
      <c r="Q1482" s="40">
        <v>35286</v>
      </c>
      <c r="R1482" s="39">
        <v>2525.6</v>
      </c>
      <c r="S1482" s="39">
        <f t="shared" si="157"/>
        <v>8</v>
      </c>
      <c r="T1482" s="39">
        <f t="shared" si="158"/>
        <v>0</v>
      </c>
      <c r="U1482" s="39">
        <f t="shared" si="159"/>
        <v>0</v>
      </c>
      <c r="V1482" s="40"/>
    </row>
    <row r="1483" spans="2:22" x14ac:dyDescent="0.35">
      <c r="B1483" s="40">
        <v>35289</v>
      </c>
      <c r="C1483" s="39">
        <v>2528.1999999999998</v>
      </c>
      <c r="D1483" s="219">
        <f t="shared" si="160"/>
        <v>1.028928817675383E-3</v>
      </c>
      <c r="F1483" s="40">
        <v>35289</v>
      </c>
      <c r="G1483" s="39">
        <v>2528.1999999999998</v>
      </c>
      <c r="H1483" s="39">
        <f t="shared" si="155"/>
        <v>1</v>
      </c>
      <c r="I1483" s="39">
        <f t="shared" si="156"/>
        <v>0</v>
      </c>
      <c r="K1483" s="40"/>
      <c r="Q1483" s="40">
        <v>35289</v>
      </c>
      <c r="R1483" s="39">
        <v>2528.1999999999998</v>
      </c>
      <c r="S1483" s="39">
        <f t="shared" si="157"/>
        <v>8</v>
      </c>
      <c r="T1483" s="39">
        <f t="shared" si="158"/>
        <v>0</v>
      </c>
      <c r="U1483" s="39">
        <f t="shared" si="159"/>
        <v>0</v>
      </c>
      <c r="V1483" s="40"/>
    </row>
    <row r="1484" spans="2:22" x14ac:dyDescent="0.35">
      <c r="B1484" s="40">
        <v>35290</v>
      </c>
      <c r="C1484" s="39">
        <v>2539.4</v>
      </c>
      <c r="D1484" s="219">
        <f t="shared" si="160"/>
        <v>4.4202455742338191E-3</v>
      </c>
      <c r="F1484" s="40">
        <v>35290</v>
      </c>
      <c r="G1484" s="39">
        <v>2539.4</v>
      </c>
      <c r="H1484" s="39">
        <f t="shared" si="155"/>
        <v>2</v>
      </c>
      <c r="I1484" s="39">
        <f t="shared" si="156"/>
        <v>0</v>
      </c>
      <c r="K1484" s="40"/>
      <c r="Q1484" s="40">
        <v>35290</v>
      </c>
      <c r="R1484" s="39">
        <v>2539.4</v>
      </c>
      <c r="S1484" s="39">
        <f t="shared" si="157"/>
        <v>8</v>
      </c>
      <c r="T1484" s="39">
        <f t="shared" si="158"/>
        <v>0</v>
      </c>
      <c r="U1484" s="39">
        <f t="shared" si="159"/>
        <v>0</v>
      </c>
      <c r="V1484" s="40"/>
    </row>
    <row r="1485" spans="2:22" x14ac:dyDescent="0.35">
      <c r="B1485" s="40">
        <v>35291</v>
      </c>
      <c r="C1485" s="39">
        <v>2538.6999999999998</v>
      </c>
      <c r="D1485" s="219">
        <f t="shared" si="160"/>
        <v>-2.7569366669980396E-4</v>
      </c>
      <c r="F1485" s="40">
        <v>35291</v>
      </c>
      <c r="G1485" s="39">
        <v>2538.6999999999998</v>
      </c>
      <c r="H1485" s="39">
        <f t="shared" si="155"/>
        <v>3</v>
      </c>
      <c r="I1485" s="39">
        <f t="shared" si="156"/>
        <v>0</v>
      </c>
      <c r="K1485" s="40"/>
      <c r="Q1485" s="40">
        <v>35291</v>
      </c>
      <c r="R1485" s="39">
        <v>2538.6999999999998</v>
      </c>
      <c r="S1485" s="39">
        <f t="shared" si="157"/>
        <v>8</v>
      </c>
      <c r="T1485" s="39">
        <f t="shared" si="158"/>
        <v>0</v>
      </c>
      <c r="U1485" s="39">
        <f t="shared" si="159"/>
        <v>0</v>
      </c>
      <c r="V1485" s="40"/>
    </row>
    <row r="1486" spans="2:22" x14ac:dyDescent="0.35">
      <c r="B1486" s="40">
        <v>35292</v>
      </c>
      <c r="C1486" s="39">
        <v>2546.3000000000002</v>
      </c>
      <c r="D1486" s="219">
        <f t="shared" si="160"/>
        <v>2.9891860998941806E-3</v>
      </c>
      <c r="F1486" s="40">
        <v>35292</v>
      </c>
      <c r="G1486" s="39">
        <v>2546.3000000000002</v>
      </c>
      <c r="H1486" s="39">
        <f t="shared" si="155"/>
        <v>4</v>
      </c>
      <c r="I1486" s="39">
        <f t="shared" si="156"/>
        <v>0</v>
      </c>
      <c r="K1486" s="40"/>
      <c r="Q1486" s="40">
        <v>35292</v>
      </c>
      <c r="R1486" s="39">
        <v>2546.3000000000002</v>
      </c>
      <c r="S1486" s="39">
        <f t="shared" si="157"/>
        <v>8</v>
      </c>
      <c r="T1486" s="39">
        <f t="shared" si="158"/>
        <v>0</v>
      </c>
      <c r="U1486" s="39">
        <f t="shared" si="159"/>
        <v>0</v>
      </c>
      <c r="V1486" s="40"/>
    </row>
    <row r="1487" spans="2:22" x14ac:dyDescent="0.35">
      <c r="B1487" s="40">
        <v>35293</v>
      </c>
      <c r="C1487" s="39">
        <v>2548.4</v>
      </c>
      <c r="D1487" s="219">
        <f t="shared" si="160"/>
        <v>8.243861734478471E-4</v>
      </c>
      <c r="F1487" s="40">
        <v>35293</v>
      </c>
      <c r="G1487" s="39">
        <v>2548.4</v>
      </c>
      <c r="H1487" s="39">
        <f t="shared" si="155"/>
        <v>5</v>
      </c>
      <c r="I1487" s="39">
        <f t="shared" si="156"/>
        <v>2548.4</v>
      </c>
      <c r="K1487" s="40"/>
      <c r="Q1487" s="40">
        <v>35293</v>
      </c>
      <c r="R1487" s="39">
        <v>2548.4</v>
      </c>
      <c r="S1487" s="39">
        <f t="shared" si="157"/>
        <v>8</v>
      </c>
      <c r="T1487" s="39">
        <f t="shared" si="158"/>
        <v>0</v>
      </c>
      <c r="U1487" s="39">
        <f t="shared" si="159"/>
        <v>0</v>
      </c>
      <c r="V1487" s="40"/>
    </row>
    <row r="1488" spans="2:22" x14ac:dyDescent="0.35">
      <c r="B1488" s="40">
        <v>35296</v>
      </c>
      <c r="C1488" s="39">
        <v>2562.8000000000002</v>
      </c>
      <c r="D1488" s="219">
        <f t="shared" si="160"/>
        <v>5.6346995225334826E-3</v>
      </c>
      <c r="F1488" s="40">
        <v>35296</v>
      </c>
      <c r="G1488" s="39">
        <v>2562.8000000000002</v>
      </c>
      <c r="H1488" s="39">
        <f t="shared" si="155"/>
        <v>1</v>
      </c>
      <c r="I1488" s="39">
        <f t="shared" si="156"/>
        <v>0</v>
      </c>
      <c r="K1488" s="40"/>
      <c r="Q1488" s="40">
        <v>35296</v>
      </c>
      <c r="R1488" s="39">
        <v>2562.8000000000002</v>
      </c>
      <c r="S1488" s="39">
        <f t="shared" si="157"/>
        <v>8</v>
      </c>
      <c r="T1488" s="39">
        <f t="shared" si="158"/>
        <v>0</v>
      </c>
      <c r="U1488" s="39">
        <f t="shared" si="159"/>
        <v>0</v>
      </c>
      <c r="V1488" s="40"/>
    </row>
    <row r="1489" spans="2:22" x14ac:dyDescent="0.35">
      <c r="B1489" s="40">
        <v>35297</v>
      </c>
      <c r="C1489" s="39">
        <v>2560.3000000000002</v>
      </c>
      <c r="D1489" s="219">
        <f t="shared" si="160"/>
        <v>-9.7597165717699681E-4</v>
      </c>
      <c r="F1489" s="40">
        <v>35297</v>
      </c>
      <c r="G1489" s="39">
        <v>2560.3000000000002</v>
      </c>
      <c r="H1489" s="39">
        <f t="shared" si="155"/>
        <v>2</v>
      </c>
      <c r="I1489" s="39">
        <f t="shared" si="156"/>
        <v>0</v>
      </c>
      <c r="K1489" s="40"/>
      <c r="Q1489" s="40">
        <v>35297</v>
      </c>
      <c r="R1489" s="39">
        <v>2560.3000000000002</v>
      </c>
      <c r="S1489" s="39">
        <f t="shared" si="157"/>
        <v>8</v>
      </c>
      <c r="T1489" s="39">
        <f t="shared" si="158"/>
        <v>0</v>
      </c>
      <c r="U1489" s="39">
        <f t="shared" si="159"/>
        <v>0</v>
      </c>
      <c r="V1489" s="40"/>
    </row>
    <row r="1490" spans="2:22" x14ac:dyDescent="0.35">
      <c r="B1490" s="40">
        <v>35298</v>
      </c>
      <c r="C1490" s="39">
        <v>2543.6999999999998</v>
      </c>
      <c r="D1490" s="219">
        <f t="shared" si="160"/>
        <v>-6.5047251296226445E-3</v>
      </c>
      <c r="F1490" s="40">
        <v>35298</v>
      </c>
      <c r="G1490" s="39">
        <v>2543.6999999999998</v>
      </c>
      <c r="H1490" s="39">
        <f t="shared" si="155"/>
        <v>3</v>
      </c>
      <c r="I1490" s="39">
        <f t="shared" si="156"/>
        <v>0</v>
      </c>
      <c r="K1490" s="40"/>
      <c r="Q1490" s="40">
        <v>35298</v>
      </c>
      <c r="R1490" s="39">
        <v>2543.6999999999998</v>
      </c>
      <c r="S1490" s="39">
        <f t="shared" si="157"/>
        <v>8</v>
      </c>
      <c r="T1490" s="39">
        <f t="shared" si="158"/>
        <v>0</v>
      </c>
      <c r="U1490" s="39">
        <f t="shared" si="159"/>
        <v>0</v>
      </c>
      <c r="V1490" s="40"/>
    </row>
    <row r="1491" spans="2:22" x14ac:dyDescent="0.35">
      <c r="B1491" s="40">
        <v>35299</v>
      </c>
      <c r="C1491" s="39">
        <v>2557.3000000000002</v>
      </c>
      <c r="D1491" s="219">
        <f t="shared" si="160"/>
        <v>5.3323004213042076E-3</v>
      </c>
      <c r="F1491" s="40">
        <v>35299</v>
      </c>
      <c r="G1491" s="39">
        <v>2557.3000000000002</v>
      </c>
      <c r="H1491" s="39">
        <f t="shared" si="155"/>
        <v>4</v>
      </c>
      <c r="I1491" s="39">
        <f t="shared" si="156"/>
        <v>0</v>
      </c>
      <c r="K1491" s="40"/>
      <c r="Q1491" s="40">
        <v>35299</v>
      </c>
      <c r="R1491" s="39">
        <v>2557.3000000000002</v>
      </c>
      <c r="S1491" s="39">
        <f t="shared" si="157"/>
        <v>8</v>
      </c>
      <c r="T1491" s="39">
        <f t="shared" si="158"/>
        <v>0</v>
      </c>
      <c r="U1491" s="39">
        <f t="shared" si="159"/>
        <v>0</v>
      </c>
      <c r="V1491" s="40"/>
    </row>
    <row r="1492" spans="2:22" x14ac:dyDescent="0.35">
      <c r="B1492" s="40">
        <v>35300</v>
      </c>
      <c r="C1492" s="39">
        <v>2555.1999999999998</v>
      </c>
      <c r="D1492" s="219">
        <f t="shared" si="160"/>
        <v>-8.2151593862328466E-4</v>
      </c>
      <c r="F1492" s="40">
        <v>35300</v>
      </c>
      <c r="G1492" s="39">
        <v>2555.1999999999998</v>
      </c>
      <c r="H1492" s="39">
        <f t="shared" si="155"/>
        <v>5</v>
      </c>
      <c r="I1492" s="39">
        <f t="shared" si="156"/>
        <v>2555.1999999999998</v>
      </c>
      <c r="K1492" s="40"/>
      <c r="Q1492" s="40">
        <v>35300</v>
      </c>
      <c r="R1492" s="39">
        <v>2555.1999999999998</v>
      </c>
      <c r="S1492" s="39">
        <f t="shared" si="157"/>
        <v>8</v>
      </c>
      <c r="T1492" s="39">
        <f t="shared" si="158"/>
        <v>0</v>
      </c>
      <c r="U1492" s="39">
        <f t="shared" si="159"/>
        <v>0</v>
      </c>
      <c r="V1492" s="40"/>
    </row>
    <row r="1493" spans="2:22" x14ac:dyDescent="0.35">
      <c r="B1493" s="40">
        <v>35303</v>
      </c>
      <c r="C1493" s="39">
        <v>2552.4</v>
      </c>
      <c r="D1493" s="219">
        <f t="shared" si="160"/>
        <v>-1.0964054665560854E-3</v>
      </c>
      <c r="F1493" s="40">
        <v>35303</v>
      </c>
      <c r="G1493" s="39">
        <v>2552.4</v>
      </c>
      <c r="H1493" s="39">
        <f t="shared" si="155"/>
        <v>1</v>
      </c>
      <c r="I1493" s="39">
        <f t="shared" si="156"/>
        <v>0</v>
      </c>
      <c r="K1493" s="40"/>
      <c r="Q1493" s="40">
        <v>35303</v>
      </c>
      <c r="R1493" s="39">
        <v>2552.4</v>
      </c>
      <c r="S1493" s="39">
        <f t="shared" si="157"/>
        <v>8</v>
      </c>
      <c r="T1493" s="39">
        <f t="shared" si="158"/>
        <v>0</v>
      </c>
      <c r="U1493" s="39">
        <f t="shared" si="159"/>
        <v>0</v>
      </c>
      <c r="V1493" s="40"/>
    </row>
    <row r="1494" spans="2:22" x14ac:dyDescent="0.35">
      <c r="B1494" s="40">
        <v>35304</v>
      </c>
      <c r="C1494" s="39">
        <v>2558.8000000000002</v>
      </c>
      <c r="D1494" s="219">
        <f t="shared" si="160"/>
        <v>2.5043055817907389E-3</v>
      </c>
      <c r="F1494" s="40">
        <v>35304</v>
      </c>
      <c r="G1494" s="39">
        <v>2558.8000000000002</v>
      </c>
      <c r="H1494" s="39">
        <f t="shared" si="155"/>
        <v>2</v>
      </c>
      <c r="I1494" s="39">
        <f t="shared" si="156"/>
        <v>0</v>
      </c>
      <c r="K1494" s="40"/>
      <c r="Q1494" s="40">
        <v>35304</v>
      </c>
      <c r="R1494" s="39">
        <v>2558.8000000000002</v>
      </c>
      <c r="S1494" s="39">
        <f t="shared" si="157"/>
        <v>8</v>
      </c>
      <c r="T1494" s="39">
        <f t="shared" si="158"/>
        <v>0</v>
      </c>
      <c r="U1494" s="39">
        <f t="shared" si="159"/>
        <v>0</v>
      </c>
      <c r="V1494" s="40"/>
    </row>
    <row r="1495" spans="2:22" x14ac:dyDescent="0.35">
      <c r="B1495" s="40">
        <v>35305</v>
      </c>
      <c r="C1495" s="39">
        <v>2563.1999999999998</v>
      </c>
      <c r="D1495" s="219">
        <f t="shared" si="160"/>
        <v>1.7180792980574411E-3</v>
      </c>
      <c r="F1495" s="40">
        <v>35305</v>
      </c>
      <c r="G1495" s="39">
        <v>2563.1999999999998</v>
      </c>
      <c r="H1495" s="39">
        <f t="shared" si="155"/>
        <v>3</v>
      </c>
      <c r="I1495" s="39">
        <f t="shared" si="156"/>
        <v>0</v>
      </c>
      <c r="K1495" s="40"/>
      <c r="Q1495" s="40">
        <v>35305</v>
      </c>
      <c r="R1495" s="39">
        <v>2563.1999999999998</v>
      </c>
      <c r="S1495" s="39">
        <f t="shared" si="157"/>
        <v>8</v>
      </c>
      <c r="T1495" s="39">
        <f t="shared" si="158"/>
        <v>0</v>
      </c>
      <c r="U1495" s="39">
        <f t="shared" si="159"/>
        <v>0</v>
      </c>
      <c r="V1495" s="40"/>
    </row>
    <row r="1496" spans="2:22" x14ac:dyDescent="0.35">
      <c r="B1496" s="40">
        <v>35306</v>
      </c>
      <c r="C1496" s="39">
        <v>2560.1</v>
      </c>
      <c r="D1496" s="219">
        <f t="shared" si="160"/>
        <v>-1.2101576633514785E-3</v>
      </c>
      <c r="F1496" s="40">
        <v>35306</v>
      </c>
      <c r="G1496" s="39">
        <v>2560.1</v>
      </c>
      <c r="H1496" s="39">
        <f t="shared" si="155"/>
        <v>4</v>
      </c>
      <c r="I1496" s="39">
        <f t="shared" si="156"/>
        <v>0</v>
      </c>
      <c r="K1496" s="40"/>
      <c r="Q1496" s="40">
        <v>35306</v>
      </c>
      <c r="R1496" s="39">
        <v>2560.1</v>
      </c>
      <c r="S1496" s="39">
        <f t="shared" si="157"/>
        <v>8</v>
      </c>
      <c r="T1496" s="39">
        <f t="shared" si="158"/>
        <v>0</v>
      </c>
      <c r="U1496" s="39">
        <f t="shared" si="159"/>
        <v>0</v>
      </c>
      <c r="V1496" s="40"/>
    </row>
    <row r="1497" spans="2:22" x14ac:dyDescent="0.35">
      <c r="B1497" s="40">
        <v>35307</v>
      </c>
      <c r="C1497" s="39">
        <v>2543.8000000000002</v>
      </c>
      <c r="D1497" s="219">
        <f t="shared" si="160"/>
        <v>-6.3872941933043343E-3</v>
      </c>
      <c r="F1497" s="40">
        <v>35307</v>
      </c>
      <c r="G1497" s="39">
        <v>2543.8000000000002</v>
      </c>
      <c r="H1497" s="39">
        <f t="shared" si="155"/>
        <v>5</v>
      </c>
      <c r="I1497" s="39">
        <f t="shared" si="156"/>
        <v>2543.8000000000002</v>
      </c>
      <c r="K1497" s="40"/>
      <c r="Q1497" s="40">
        <v>35307</v>
      </c>
      <c r="R1497" s="39">
        <v>2543.8000000000002</v>
      </c>
      <c r="S1497" s="39">
        <f t="shared" si="157"/>
        <v>8</v>
      </c>
      <c r="T1497" s="39">
        <f t="shared" si="158"/>
        <v>2543.8000000000002</v>
      </c>
      <c r="U1497" s="39">
        <f t="shared" si="159"/>
        <v>2543.8000000000002</v>
      </c>
      <c r="V1497" s="40"/>
    </row>
    <row r="1498" spans="2:22" x14ac:dyDescent="0.35">
      <c r="B1498" s="40">
        <v>35310</v>
      </c>
      <c r="C1498" s="39">
        <v>2532.9</v>
      </c>
      <c r="D1498" s="219">
        <f t="shared" si="160"/>
        <v>-4.2941346738202425E-3</v>
      </c>
      <c r="F1498" s="40">
        <v>35310</v>
      </c>
      <c r="G1498" s="39">
        <v>2532.9</v>
      </c>
      <c r="H1498" s="39">
        <f t="shared" si="155"/>
        <v>1</v>
      </c>
      <c r="I1498" s="39">
        <f t="shared" si="156"/>
        <v>0</v>
      </c>
      <c r="K1498" s="40"/>
      <c r="Q1498" s="40">
        <v>35310</v>
      </c>
      <c r="R1498" s="39">
        <v>2532.9</v>
      </c>
      <c r="S1498" s="39">
        <f t="shared" si="157"/>
        <v>9</v>
      </c>
      <c r="T1498" s="39">
        <f t="shared" si="158"/>
        <v>0</v>
      </c>
      <c r="U1498" s="39">
        <f t="shared" si="159"/>
        <v>0</v>
      </c>
      <c r="V1498" s="40"/>
    </row>
    <row r="1499" spans="2:22" x14ac:dyDescent="0.35">
      <c r="B1499" s="40">
        <v>35311</v>
      </c>
      <c r="C1499" s="39">
        <v>2510.8000000000002</v>
      </c>
      <c r="D1499" s="219">
        <f t="shared" si="160"/>
        <v>-8.7634639001872468E-3</v>
      </c>
      <c r="F1499" s="40">
        <v>35311</v>
      </c>
      <c r="G1499" s="39">
        <v>2510.8000000000002</v>
      </c>
      <c r="H1499" s="39">
        <f t="shared" si="155"/>
        <v>2</v>
      </c>
      <c r="I1499" s="39">
        <f t="shared" si="156"/>
        <v>0</v>
      </c>
      <c r="K1499" s="40"/>
      <c r="Q1499" s="40">
        <v>35311</v>
      </c>
      <c r="R1499" s="39">
        <v>2510.8000000000002</v>
      </c>
      <c r="S1499" s="39">
        <f t="shared" si="157"/>
        <v>9</v>
      </c>
      <c r="T1499" s="39">
        <f t="shared" si="158"/>
        <v>0</v>
      </c>
      <c r="U1499" s="39">
        <f t="shared" si="159"/>
        <v>0</v>
      </c>
      <c r="V1499" s="40"/>
    </row>
    <row r="1500" spans="2:22" x14ac:dyDescent="0.35">
      <c r="B1500" s="40">
        <v>35312</v>
      </c>
      <c r="C1500" s="39">
        <v>2532.4</v>
      </c>
      <c r="D1500" s="219">
        <f t="shared" si="160"/>
        <v>8.5660422265946834E-3</v>
      </c>
      <c r="F1500" s="40">
        <v>35312</v>
      </c>
      <c r="G1500" s="39">
        <v>2532.4</v>
      </c>
      <c r="H1500" s="39">
        <f t="shared" si="155"/>
        <v>3</v>
      </c>
      <c r="I1500" s="39">
        <f t="shared" si="156"/>
        <v>0</v>
      </c>
      <c r="K1500" s="40"/>
      <c r="Q1500" s="40">
        <v>35312</v>
      </c>
      <c r="R1500" s="39">
        <v>2532.4</v>
      </c>
      <c r="S1500" s="39">
        <f t="shared" si="157"/>
        <v>9</v>
      </c>
      <c r="T1500" s="39">
        <f t="shared" si="158"/>
        <v>0</v>
      </c>
      <c r="U1500" s="39">
        <f t="shared" si="159"/>
        <v>0</v>
      </c>
      <c r="V1500" s="40"/>
    </row>
    <row r="1501" spans="2:22" x14ac:dyDescent="0.35">
      <c r="B1501" s="40">
        <v>35313</v>
      </c>
      <c r="C1501" s="39">
        <v>2529.5</v>
      </c>
      <c r="D1501" s="219">
        <f t="shared" si="160"/>
        <v>-1.1458149379807189E-3</v>
      </c>
      <c r="F1501" s="40">
        <v>35313</v>
      </c>
      <c r="G1501" s="39">
        <v>2529.5</v>
      </c>
      <c r="H1501" s="39">
        <f t="shared" si="155"/>
        <v>4</v>
      </c>
      <c r="I1501" s="39">
        <f t="shared" si="156"/>
        <v>0</v>
      </c>
      <c r="K1501" s="40"/>
      <c r="Q1501" s="40">
        <v>35313</v>
      </c>
      <c r="R1501" s="39">
        <v>2529.5</v>
      </c>
      <c r="S1501" s="39">
        <f t="shared" si="157"/>
        <v>9</v>
      </c>
      <c r="T1501" s="39">
        <f t="shared" si="158"/>
        <v>0</v>
      </c>
      <c r="U1501" s="39">
        <f t="shared" si="159"/>
        <v>0</v>
      </c>
      <c r="V1501" s="40"/>
    </row>
    <row r="1502" spans="2:22" x14ac:dyDescent="0.35">
      <c r="B1502" s="40">
        <v>35314</v>
      </c>
      <c r="C1502" s="39">
        <v>2517</v>
      </c>
      <c r="D1502" s="219">
        <f t="shared" si="160"/>
        <v>-4.9539385966748872E-3</v>
      </c>
      <c r="F1502" s="40">
        <v>35314</v>
      </c>
      <c r="G1502" s="39">
        <v>2517</v>
      </c>
      <c r="H1502" s="39">
        <f t="shared" si="155"/>
        <v>5</v>
      </c>
      <c r="I1502" s="39">
        <f t="shared" si="156"/>
        <v>2517</v>
      </c>
      <c r="K1502" s="40"/>
      <c r="Q1502" s="40">
        <v>35314</v>
      </c>
      <c r="R1502" s="39">
        <v>2517</v>
      </c>
      <c r="S1502" s="39">
        <f t="shared" si="157"/>
        <v>9</v>
      </c>
      <c r="T1502" s="39">
        <f t="shared" si="158"/>
        <v>0</v>
      </c>
      <c r="U1502" s="39">
        <f t="shared" si="159"/>
        <v>0</v>
      </c>
      <c r="V1502" s="40"/>
    </row>
    <row r="1503" spans="2:22" x14ac:dyDescent="0.35">
      <c r="B1503" s="40">
        <v>35317</v>
      </c>
      <c r="C1503" s="39">
        <v>2548.6999999999998</v>
      </c>
      <c r="D1503" s="219">
        <f t="shared" si="160"/>
        <v>1.2515709101385206E-2</v>
      </c>
      <c r="F1503" s="40">
        <v>35317</v>
      </c>
      <c r="G1503" s="39">
        <v>2548.6999999999998</v>
      </c>
      <c r="H1503" s="39">
        <f t="shared" si="155"/>
        <v>1</v>
      </c>
      <c r="I1503" s="39">
        <f t="shared" si="156"/>
        <v>0</v>
      </c>
      <c r="K1503" s="40"/>
      <c r="Q1503" s="40">
        <v>35317</v>
      </c>
      <c r="R1503" s="39">
        <v>2548.6999999999998</v>
      </c>
      <c r="S1503" s="39">
        <f t="shared" si="157"/>
        <v>9</v>
      </c>
      <c r="T1503" s="39">
        <f t="shared" si="158"/>
        <v>0</v>
      </c>
      <c r="U1503" s="39">
        <f t="shared" si="159"/>
        <v>0</v>
      </c>
      <c r="V1503" s="40"/>
    </row>
    <row r="1504" spans="2:22" x14ac:dyDescent="0.35">
      <c r="B1504" s="40">
        <v>35318</v>
      </c>
      <c r="C1504" s="39">
        <v>2570.1</v>
      </c>
      <c r="D1504" s="219">
        <f t="shared" si="160"/>
        <v>8.3613834014068505E-3</v>
      </c>
      <c r="F1504" s="40">
        <v>35318</v>
      </c>
      <c r="G1504" s="39">
        <v>2570.1</v>
      </c>
      <c r="H1504" s="39">
        <f t="shared" si="155"/>
        <v>2</v>
      </c>
      <c r="I1504" s="39">
        <f t="shared" si="156"/>
        <v>0</v>
      </c>
      <c r="K1504" s="40"/>
      <c r="Q1504" s="40">
        <v>35318</v>
      </c>
      <c r="R1504" s="39">
        <v>2570.1</v>
      </c>
      <c r="S1504" s="39">
        <f t="shared" si="157"/>
        <v>9</v>
      </c>
      <c r="T1504" s="39">
        <f t="shared" si="158"/>
        <v>0</v>
      </c>
      <c r="U1504" s="39">
        <f t="shared" si="159"/>
        <v>0</v>
      </c>
      <c r="V1504" s="40"/>
    </row>
    <row r="1505" spans="2:22" x14ac:dyDescent="0.35">
      <c r="B1505" s="40">
        <v>35319</v>
      </c>
      <c r="C1505" s="39">
        <v>2566.8000000000002</v>
      </c>
      <c r="D1505" s="219">
        <f t="shared" si="160"/>
        <v>-1.2848217617476127E-3</v>
      </c>
      <c r="F1505" s="40">
        <v>35319</v>
      </c>
      <c r="G1505" s="39">
        <v>2566.8000000000002</v>
      </c>
      <c r="H1505" s="39">
        <f t="shared" si="155"/>
        <v>3</v>
      </c>
      <c r="I1505" s="39">
        <f t="shared" si="156"/>
        <v>0</v>
      </c>
      <c r="K1505" s="40"/>
      <c r="Q1505" s="40">
        <v>35319</v>
      </c>
      <c r="R1505" s="39">
        <v>2566.8000000000002</v>
      </c>
      <c r="S1505" s="39">
        <f t="shared" si="157"/>
        <v>9</v>
      </c>
      <c r="T1505" s="39">
        <f t="shared" si="158"/>
        <v>0</v>
      </c>
      <c r="U1505" s="39">
        <f t="shared" si="159"/>
        <v>0</v>
      </c>
      <c r="V1505" s="40"/>
    </row>
    <row r="1506" spans="2:22" x14ac:dyDescent="0.35">
      <c r="B1506" s="40">
        <v>35320</v>
      </c>
      <c r="C1506" s="39">
        <v>2570.3000000000002</v>
      </c>
      <c r="D1506" s="219">
        <f t="shared" si="160"/>
        <v>1.3626367178214578E-3</v>
      </c>
      <c r="F1506" s="40">
        <v>35320</v>
      </c>
      <c r="G1506" s="39">
        <v>2570.3000000000002</v>
      </c>
      <c r="H1506" s="39">
        <f t="shared" si="155"/>
        <v>4</v>
      </c>
      <c r="I1506" s="39">
        <f t="shared" si="156"/>
        <v>0</v>
      </c>
      <c r="K1506" s="40"/>
      <c r="Q1506" s="40">
        <v>35320</v>
      </c>
      <c r="R1506" s="39">
        <v>2570.3000000000002</v>
      </c>
      <c r="S1506" s="39">
        <f t="shared" si="157"/>
        <v>9</v>
      </c>
      <c r="T1506" s="39">
        <f t="shared" si="158"/>
        <v>0</v>
      </c>
      <c r="U1506" s="39">
        <f t="shared" si="159"/>
        <v>0</v>
      </c>
      <c r="V1506" s="40"/>
    </row>
    <row r="1507" spans="2:22" x14ac:dyDescent="0.35">
      <c r="B1507" s="40">
        <v>35321</v>
      </c>
      <c r="C1507" s="39">
        <v>2596</v>
      </c>
      <c r="D1507" s="219">
        <f t="shared" si="160"/>
        <v>9.9491752297987575E-3</v>
      </c>
      <c r="F1507" s="40">
        <v>35321</v>
      </c>
      <c r="G1507" s="39">
        <v>2596</v>
      </c>
      <c r="H1507" s="39">
        <f t="shared" si="155"/>
        <v>5</v>
      </c>
      <c r="I1507" s="39">
        <f t="shared" si="156"/>
        <v>2596</v>
      </c>
      <c r="K1507" s="40"/>
      <c r="Q1507" s="40">
        <v>35321</v>
      </c>
      <c r="R1507" s="39">
        <v>2596</v>
      </c>
      <c r="S1507" s="39">
        <f t="shared" si="157"/>
        <v>9</v>
      </c>
      <c r="T1507" s="39">
        <f t="shared" si="158"/>
        <v>0</v>
      </c>
      <c r="U1507" s="39">
        <f t="shared" si="159"/>
        <v>0</v>
      </c>
      <c r="V1507" s="40"/>
    </row>
    <row r="1508" spans="2:22" x14ac:dyDescent="0.35">
      <c r="B1508" s="40">
        <v>35324</v>
      </c>
      <c r="C1508" s="39">
        <v>2629.9</v>
      </c>
      <c r="D1508" s="219">
        <f t="shared" si="160"/>
        <v>1.2974023811255867E-2</v>
      </c>
      <c r="F1508" s="40">
        <v>35324</v>
      </c>
      <c r="G1508" s="39">
        <v>2629.9</v>
      </c>
      <c r="H1508" s="39">
        <f t="shared" si="155"/>
        <v>1</v>
      </c>
      <c r="I1508" s="39">
        <f t="shared" si="156"/>
        <v>0</v>
      </c>
      <c r="K1508" s="40"/>
      <c r="Q1508" s="40">
        <v>35324</v>
      </c>
      <c r="R1508" s="39">
        <v>2629.9</v>
      </c>
      <c r="S1508" s="39">
        <f t="shared" si="157"/>
        <v>9</v>
      </c>
      <c r="T1508" s="39">
        <f t="shared" si="158"/>
        <v>0</v>
      </c>
      <c r="U1508" s="39">
        <f t="shared" si="159"/>
        <v>0</v>
      </c>
      <c r="V1508" s="40"/>
    </row>
    <row r="1509" spans="2:22" x14ac:dyDescent="0.35">
      <c r="B1509" s="40">
        <v>35325</v>
      </c>
      <c r="C1509" s="39">
        <v>2628.1</v>
      </c>
      <c r="D1509" s="219">
        <f t="shared" si="160"/>
        <v>-6.8467100430444046E-4</v>
      </c>
      <c r="F1509" s="40">
        <v>35325</v>
      </c>
      <c r="G1509" s="39">
        <v>2628.1</v>
      </c>
      <c r="H1509" s="39">
        <f t="shared" si="155"/>
        <v>2</v>
      </c>
      <c r="I1509" s="39">
        <f t="shared" si="156"/>
        <v>0</v>
      </c>
      <c r="K1509" s="40"/>
      <c r="Q1509" s="40">
        <v>35325</v>
      </c>
      <c r="R1509" s="39">
        <v>2628.1</v>
      </c>
      <c r="S1509" s="39">
        <f t="shared" si="157"/>
        <v>9</v>
      </c>
      <c r="T1509" s="39">
        <f t="shared" si="158"/>
        <v>0</v>
      </c>
      <c r="U1509" s="39">
        <f t="shared" si="159"/>
        <v>0</v>
      </c>
      <c r="V1509" s="40"/>
    </row>
    <row r="1510" spans="2:22" x14ac:dyDescent="0.35">
      <c r="B1510" s="40">
        <v>35326</v>
      </c>
      <c r="C1510" s="39">
        <v>2625.7</v>
      </c>
      <c r="D1510" s="219">
        <f t="shared" si="160"/>
        <v>-9.1362448777726013E-4</v>
      </c>
      <c r="F1510" s="40">
        <v>35326</v>
      </c>
      <c r="G1510" s="39">
        <v>2625.7</v>
      </c>
      <c r="H1510" s="39">
        <f t="shared" si="155"/>
        <v>3</v>
      </c>
      <c r="I1510" s="39">
        <f t="shared" si="156"/>
        <v>0</v>
      </c>
      <c r="K1510" s="40"/>
      <c r="Q1510" s="40">
        <v>35326</v>
      </c>
      <c r="R1510" s="39">
        <v>2625.7</v>
      </c>
      <c r="S1510" s="39">
        <f t="shared" si="157"/>
        <v>9</v>
      </c>
      <c r="T1510" s="39">
        <f t="shared" si="158"/>
        <v>0</v>
      </c>
      <c r="U1510" s="39">
        <f t="shared" si="159"/>
        <v>0</v>
      </c>
      <c r="V1510" s="40"/>
    </row>
    <row r="1511" spans="2:22" x14ac:dyDescent="0.35">
      <c r="B1511" s="40">
        <v>35327</v>
      </c>
      <c r="C1511" s="39">
        <v>2624.4</v>
      </c>
      <c r="D1511" s="219">
        <f t="shared" si="160"/>
        <v>-4.9522867243238051E-4</v>
      </c>
      <c r="F1511" s="40">
        <v>35327</v>
      </c>
      <c r="G1511" s="39">
        <v>2624.4</v>
      </c>
      <c r="H1511" s="39">
        <f t="shared" si="155"/>
        <v>4</v>
      </c>
      <c r="I1511" s="39">
        <f t="shared" si="156"/>
        <v>0</v>
      </c>
      <c r="K1511" s="40"/>
      <c r="Q1511" s="40">
        <v>35327</v>
      </c>
      <c r="R1511" s="39">
        <v>2624.4</v>
      </c>
      <c r="S1511" s="39">
        <f t="shared" si="157"/>
        <v>9</v>
      </c>
      <c r="T1511" s="39">
        <f t="shared" si="158"/>
        <v>0</v>
      </c>
      <c r="U1511" s="39">
        <f t="shared" si="159"/>
        <v>0</v>
      </c>
      <c r="V1511" s="40"/>
    </row>
    <row r="1512" spans="2:22" x14ac:dyDescent="0.35">
      <c r="B1512" s="40">
        <v>35328</v>
      </c>
      <c r="C1512" s="39">
        <v>2646.1</v>
      </c>
      <c r="D1512" s="219">
        <f t="shared" si="160"/>
        <v>8.2345593849807927E-3</v>
      </c>
      <c r="F1512" s="40">
        <v>35328</v>
      </c>
      <c r="G1512" s="39">
        <v>2646.1</v>
      </c>
      <c r="H1512" s="39">
        <f t="shared" si="155"/>
        <v>5</v>
      </c>
      <c r="I1512" s="39">
        <f t="shared" si="156"/>
        <v>2646.1</v>
      </c>
      <c r="K1512" s="40"/>
      <c r="Q1512" s="40">
        <v>35328</v>
      </c>
      <c r="R1512" s="39">
        <v>2646.1</v>
      </c>
      <c r="S1512" s="39">
        <f t="shared" si="157"/>
        <v>9</v>
      </c>
      <c r="T1512" s="39">
        <f t="shared" si="158"/>
        <v>0</v>
      </c>
      <c r="U1512" s="39">
        <f t="shared" si="159"/>
        <v>0</v>
      </c>
      <c r="V1512" s="40"/>
    </row>
    <row r="1513" spans="2:22" x14ac:dyDescent="0.35">
      <c r="B1513" s="40">
        <v>35331</v>
      </c>
      <c r="C1513" s="39">
        <v>2627</v>
      </c>
      <c r="D1513" s="219">
        <f t="shared" si="160"/>
        <v>-7.2443471701633504E-3</v>
      </c>
      <c r="F1513" s="40">
        <v>35331</v>
      </c>
      <c r="G1513" s="39">
        <v>2627</v>
      </c>
      <c r="H1513" s="39">
        <f t="shared" si="155"/>
        <v>1</v>
      </c>
      <c r="I1513" s="39">
        <f t="shared" si="156"/>
        <v>0</v>
      </c>
      <c r="K1513" s="40"/>
      <c r="Q1513" s="40">
        <v>35331</v>
      </c>
      <c r="R1513" s="39">
        <v>2627</v>
      </c>
      <c r="S1513" s="39">
        <f t="shared" si="157"/>
        <v>9</v>
      </c>
      <c r="T1513" s="39">
        <f t="shared" si="158"/>
        <v>0</v>
      </c>
      <c r="U1513" s="39">
        <f t="shared" si="159"/>
        <v>0</v>
      </c>
      <c r="V1513" s="40"/>
    </row>
    <row r="1514" spans="2:22" x14ac:dyDescent="0.35">
      <c r="B1514" s="40">
        <v>35332</v>
      </c>
      <c r="C1514" s="39">
        <v>2638.5</v>
      </c>
      <c r="D1514" s="219">
        <f t="shared" si="160"/>
        <v>4.3680631601826381E-3</v>
      </c>
      <c r="F1514" s="40">
        <v>35332</v>
      </c>
      <c r="G1514" s="39">
        <v>2638.5</v>
      </c>
      <c r="H1514" s="39">
        <f t="shared" si="155"/>
        <v>2</v>
      </c>
      <c r="I1514" s="39">
        <f t="shared" si="156"/>
        <v>0</v>
      </c>
      <c r="K1514" s="40"/>
      <c r="Q1514" s="40">
        <v>35332</v>
      </c>
      <c r="R1514" s="39">
        <v>2638.5</v>
      </c>
      <c r="S1514" s="39">
        <f t="shared" si="157"/>
        <v>9</v>
      </c>
      <c r="T1514" s="39">
        <f t="shared" si="158"/>
        <v>0</v>
      </c>
      <c r="U1514" s="39">
        <f t="shared" si="159"/>
        <v>0</v>
      </c>
      <c r="V1514" s="40"/>
    </row>
    <row r="1515" spans="2:22" x14ac:dyDescent="0.35">
      <c r="B1515" s="40">
        <v>35333</v>
      </c>
      <c r="C1515" s="39">
        <v>2659</v>
      </c>
      <c r="D1515" s="219">
        <f t="shared" si="160"/>
        <v>7.7395383972972036E-3</v>
      </c>
      <c r="F1515" s="40">
        <v>35333</v>
      </c>
      <c r="G1515" s="39">
        <v>2659</v>
      </c>
      <c r="H1515" s="39">
        <f t="shared" si="155"/>
        <v>3</v>
      </c>
      <c r="I1515" s="39">
        <f t="shared" si="156"/>
        <v>0</v>
      </c>
      <c r="K1515" s="40"/>
      <c r="Q1515" s="40">
        <v>35333</v>
      </c>
      <c r="R1515" s="39">
        <v>2659</v>
      </c>
      <c r="S1515" s="39">
        <f t="shared" si="157"/>
        <v>9</v>
      </c>
      <c r="T1515" s="39">
        <f t="shared" si="158"/>
        <v>0</v>
      </c>
      <c r="U1515" s="39">
        <f t="shared" si="159"/>
        <v>0</v>
      </c>
      <c r="V1515" s="40"/>
    </row>
    <row r="1516" spans="2:22" x14ac:dyDescent="0.35">
      <c r="B1516" s="40">
        <v>35334</v>
      </c>
      <c r="C1516" s="39">
        <v>2666.6</v>
      </c>
      <c r="D1516" s="219">
        <f t="shared" si="160"/>
        <v>2.8541404383382318E-3</v>
      </c>
      <c r="F1516" s="40">
        <v>35334</v>
      </c>
      <c r="G1516" s="39">
        <v>2666.6</v>
      </c>
      <c r="H1516" s="39">
        <f t="shared" si="155"/>
        <v>4</v>
      </c>
      <c r="I1516" s="39">
        <f t="shared" si="156"/>
        <v>0</v>
      </c>
      <c r="K1516" s="40"/>
      <c r="Q1516" s="40">
        <v>35334</v>
      </c>
      <c r="R1516" s="39">
        <v>2666.6</v>
      </c>
      <c r="S1516" s="39">
        <f t="shared" si="157"/>
        <v>9</v>
      </c>
      <c r="T1516" s="39">
        <f t="shared" si="158"/>
        <v>0</v>
      </c>
      <c r="U1516" s="39">
        <f t="shared" si="159"/>
        <v>0</v>
      </c>
      <c r="V1516" s="40"/>
    </row>
    <row r="1517" spans="2:22" x14ac:dyDescent="0.35">
      <c r="B1517" s="40">
        <v>35335</v>
      </c>
      <c r="C1517" s="39">
        <v>2659</v>
      </c>
      <c r="D1517" s="219">
        <f t="shared" si="160"/>
        <v>-2.8541404383382453E-3</v>
      </c>
      <c r="F1517" s="40">
        <v>35335</v>
      </c>
      <c r="G1517" s="39">
        <v>2659</v>
      </c>
      <c r="H1517" s="39">
        <f t="shared" si="155"/>
        <v>5</v>
      </c>
      <c r="I1517" s="39">
        <f t="shared" si="156"/>
        <v>2659</v>
      </c>
      <c r="K1517" s="40"/>
      <c r="Q1517" s="40">
        <v>35335</v>
      </c>
      <c r="R1517" s="39">
        <v>2659</v>
      </c>
      <c r="S1517" s="39">
        <f t="shared" si="157"/>
        <v>9</v>
      </c>
      <c r="T1517" s="39">
        <f t="shared" si="158"/>
        <v>0</v>
      </c>
      <c r="U1517" s="39">
        <f t="shared" si="159"/>
        <v>0</v>
      </c>
      <c r="V1517" s="40"/>
    </row>
    <row r="1518" spans="2:22" x14ac:dyDescent="0.35">
      <c r="B1518" s="40">
        <v>35338</v>
      </c>
      <c r="C1518" s="39">
        <v>2651.9</v>
      </c>
      <c r="D1518" s="219">
        <f t="shared" si="160"/>
        <v>-2.6737480388567226E-3</v>
      </c>
      <c r="F1518" s="40">
        <v>35338</v>
      </c>
      <c r="G1518" s="39">
        <v>2651.9</v>
      </c>
      <c r="H1518" s="39">
        <f t="shared" si="155"/>
        <v>1</v>
      </c>
      <c r="I1518" s="39">
        <f t="shared" si="156"/>
        <v>0</v>
      </c>
      <c r="K1518" s="40"/>
      <c r="Q1518" s="40">
        <v>35338</v>
      </c>
      <c r="R1518" s="39">
        <v>2651.9</v>
      </c>
      <c r="S1518" s="39">
        <f t="shared" si="157"/>
        <v>9</v>
      </c>
      <c r="T1518" s="39">
        <f t="shared" si="158"/>
        <v>2651.9</v>
      </c>
      <c r="U1518" s="39">
        <f t="shared" si="159"/>
        <v>2651.9</v>
      </c>
      <c r="V1518" s="40"/>
    </row>
    <row r="1519" spans="2:22" x14ac:dyDescent="0.35">
      <c r="B1519" s="40">
        <v>35339</v>
      </c>
      <c r="C1519" s="39">
        <v>2655.7</v>
      </c>
      <c r="D1519" s="219">
        <f t="shared" si="160"/>
        <v>1.4319092053967017E-3</v>
      </c>
      <c r="F1519" s="40">
        <v>35339</v>
      </c>
      <c r="G1519" s="39">
        <v>2655.7</v>
      </c>
      <c r="H1519" s="39">
        <f t="shared" si="155"/>
        <v>2</v>
      </c>
      <c r="I1519" s="39">
        <f t="shared" si="156"/>
        <v>0</v>
      </c>
      <c r="K1519" s="40"/>
      <c r="Q1519" s="40">
        <v>35339</v>
      </c>
      <c r="R1519" s="39">
        <v>2655.7</v>
      </c>
      <c r="S1519" s="39">
        <f t="shared" si="157"/>
        <v>10</v>
      </c>
      <c r="T1519" s="39">
        <f t="shared" si="158"/>
        <v>0</v>
      </c>
      <c r="U1519" s="39">
        <f t="shared" si="159"/>
        <v>0</v>
      </c>
      <c r="V1519" s="40"/>
    </row>
    <row r="1520" spans="2:22" x14ac:dyDescent="0.35">
      <c r="B1520" s="40">
        <v>35340</v>
      </c>
      <c r="C1520" s="39">
        <v>2676.5</v>
      </c>
      <c r="D1520" s="219">
        <f t="shared" si="160"/>
        <v>7.8016974238762889E-3</v>
      </c>
      <c r="F1520" s="40">
        <v>35340</v>
      </c>
      <c r="G1520" s="39">
        <v>2676.5</v>
      </c>
      <c r="H1520" s="39">
        <f t="shared" si="155"/>
        <v>3</v>
      </c>
      <c r="I1520" s="39">
        <f t="shared" si="156"/>
        <v>0</v>
      </c>
      <c r="K1520" s="40"/>
      <c r="Q1520" s="40">
        <v>35340</v>
      </c>
      <c r="R1520" s="39">
        <v>2676.5</v>
      </c>
      <c r="S1520" s="39">
        <f t="shared" si="157"/>
        <v>10</v>
      </c>
      <c r="T1520" s="39">
        <f t="shared" si="158"/>
        <v>0</v>
      </c>
      <c r="U1520" s="39">
        <f t="shared" si="159"/>
        <v>0</v>
      </c>
      <c r="V1520" s="40"/>
    </row>
    <row r="1521" spans="2:22" x14ac:dyDescent="0.35">
      <c r="B1521" s="40">
        <v>35342</v>
      </c>
      <c r="C1521" s="39">
        <v>2683.3</v>
      </c>
      <c r="D1521" s="219">
        <f t="shared" si="160"/>
        <v>2.5374094736567991E-3</v>
      </c>
      <c r="F1521" s="40">
        <v>35342</v>
      </c>
      <c r="G1521" s="39">
        <v>2683.3</v>
      </c>
      <c r="H1521" s="39">
        <f t="shared" si="155"/>
        <v>5</v>
      </c>
      <c r="I1521" s="39">
        <f t="shared" si="156"/>
        <v>2683.3</v>
      </c>
      <c r="K1521" s="40"/>
      <c r="Q1521" s="40">
        <v>35342</v>
      </c>
      <c r="R1521" s="39">
        <v>2683.3</v>
      </c>
      <c r="S1521" s="39">
        <f t="shared" si="157"/>
        <v>10</v>
      </c>
      <c r="T1521" s="39">
        <f t="shared" si="158"/>
        <v>0</v>
      </c>
      <c r="U1521" s="39">
        <f t="shared" si="159"/>
        <v>0</v>
      </c>
      <c r="V1521" s="40"/>
    </row>
    <row r="1522" spans="2:22" x14ac:dyDescent="0.35">
      <c r="B1522" s="40">
        <v>35345</v>
      </c>
      <c r="C1522" s="39">
        <v>2702.6</v>
      </c>
      <c r="D1522" s="219">
        <f t="shared" si="160"/>
        <v>7.1668922968929029E-3</v>
      </c>
      <c r="F1522" s="40">
        <v>35345</v>
      </c>
      <c r="G1522" s="39">
        <v>2702.6</v>
      </c>
      <c r="H1522" s="39">
        <f t="shared" si="155"/>
        <v>1</v>
      </c>
      <c r="I1522" s="39">
        <f t="shared" si="156"/>
        <v>0</v>
      </c>
      <c r="K1522" s="40"/>
      <c r="Q1522" s="40">
        <v>35345</v>
      </c>
      <c r="R1522" s="39">
        <v>2702.6</v>
      </c>
      <c r="S1522" s="39">
        <f t="shared" si="157"/>
        <v>10</v>
      </c>
      <c r="T1522" s="39">
        <f t="shared" si="158"/>
        <v>0</v>
      </c>
      <c r="U1522" s="39">
        <f t="shared" si="159"/>
        <v>0</v>
      </c>
      <c r="V1522" s="40"/>
    </row>
    <row r="1523" spans="2:22" x14ac:dyDescent="0.35">
      <c r="B1523" s="40">
        <v>35346</v>
      </c>
      <c r="C1523" s="39">
        <v>2691.2</v>
      </c>
      <c r="D1523" s="219">
        <f t="shared" si="160"/>
        <v>-4.2270818253567766E-3</v>
      </c>
      <c r="F1523" s="40">
        <v>35346</v>
      </c>
      <c r="G1523" s="39">
        <v>2691.2</v>
      </c>
      <c r="H1523" s="39">
        <f t="shared" si="155"/>
        <v>2</v>
      </c>
      <c r="I1523" s="39">
        <f t="shared" si="156"/>
        <v>0</v>
      </c>
      <c r="K1523" s="40"/>
      <c r="Q1523" s="40">
        <v>35346</v>
      </c>
      <c r="R1523" s="39">
        <v>2691.2</v>
      </c>
      <c r="S1523" s="39">
        <f t="shared" si="157"/>
        <v>10</v>
      </c>
      <c r="T1523" s="39">
        <f t="shared" si="158"/>
        <v>0</v>
      </c>
      <c r="U1523" s="39">
        <f t="shared" si="159"/>
        <v>0</v>
      </c>
      <c r="V1523" s="40"/>
    </row>
    <row r="1524" spans="2:22" x14ac:dyDescent="0.35">
      <c r="B1524" s="40">
        <v>35347</v>
      </c>
      <c r="C1524" s="39">
        <v>2703</v>
      </c>
      <c r="D1524" s="219">
        <f t="shared" si="160"/>
        <v>4.3750764978188654E-3</v>
      </c>
      <c r="F1524" s="40">
        <v>35347</v>
      </c>
      <c r="G1524" s="39">
        <v>2703</v>
      </c>
      <c r="H1524" s="39">
        <f t="shared" si="155"/>
        <v>3</v>
      </c>
      <c r="I1524" s="39">
        <f t="shared" si="156"/>
        <v>0</v>
      </c>
      <c r="K1524" s="40"/>
      <c r="Q1524" s="40">
        <v>35347</v>
      </c>
      <c r="R1524" s="39">
        <v>2703</v>
      </c>
      <c r="S1524" s="39">
        <f t="shared" si="157"/>
        <v>10</v>
      </c>
      <c r="T1524" s="39">
        <f t="shared" si="158"/>
        <v>0</v>
      </c>
      <c r="U1524" s="39">
        <f t="shared" si="159"/>
        <v>0</v>
      </c>
      <c r="V1524" s="40"/>
    </row>
    <row r="1525" spans="2:22" x14ac:dyDescent="0.35">
      <c r="B1525" s="40">
        <v>35348</v>
      </c>
      <c r="C1525" s="39">
        <v>2680.8</v>
      </c>
      <c r="D1525" s="219">
        <f t="shared" si="160"/>
        <v>-8.2470098533468997E-3</v>
      </c>
      <c r="F1525" s="40">
        <v>35348</v>
      </c>
      <c r="G1525" s="39">
        <v>2680.8</v>
      </c>
      <c r="H1525" s="39">
        <f t="shared" si="155"/>
        <v>4</v>
      </c>
      <c r="I1525" s="39">
        <f t="shared" si="156"/>
        <v>0</v>
      </c>
      <c r="K1525" s="40"/>
      <c r="Q1525" s="40">
        <v>35348</v>
      </c>
      <c r="R1525" s="39">
        <v>2680.8</v>
      </c>
      <c r="S1525" s="39">
        <f t="shared" si="157"/>
        <v>10</v>
      </c>
      <c r="T1525" s="39">
        <f t="shared" si="158"/>
        <v>0</v>
      </c>
      <c r="U1525" s="39">
        <f t="shared" si="159"/>
        <v>0</v>
      </c>
      <c r="V1525" s="40"/>
    </row>
    <row r="1526" spans="2:22" x14ac:dyDescent="0.35">
      <c r="B1526" s="40">
        <v>35349</v>
      </c>
      <c r="C1526" s="39">
        <v>2686</v>
      </c>
      <c r="D1526" s="219">
        <f t="shared" si="160"/>
        <v>1.9378406600821948E-3</v>
      </c>
      <c r="F1526" s="40">
        <v>35349</v>
      </c>
      <c r="G1526" s="39">
        <v>2686</v>
      </c>
      <c r="H1526" s="39">
        <f t="shared" si="155"/>
        <v>5</v>
      </c>
      <c r="I1526" s="39">
        <f t="shared" si="156"/>
        <v>2686</v>
      </c>
      <c r="K1526" s="40"/>
      <c r="Q1526" s="40">
        <v>35349</v>
      </c>
      <c r="R1526" s="39">
        <v>2686</v>
      </c>
      <c r="S1526" s="39">
        <f t="shared" si="157"/>
        <v>10</v>
      </c>
      <c r="T1526" s="39">
        <f t="shared" si="158"/>
        <v>0</v>
      </c>
      <c r="U1526" s="39">
        <f t="shared" si="159"/>
        <v>0</v>
      </c>
      <c r="V1526" s="40"/>
    </row>
    <row r="1527" spans="2:22" x14ac:dyDescent="0.35">
      <c r="B1527" s="40">
        <v>35352</v>
      </c>
      <c r="C1527" s="39">
        <v>2693.9</v>
      </c>
      <c r="D1527" s="219">
        <f t="shared" si="160"/>
        <v>2.9368596733097057E-3</v>
      </c>
      <c r="F1527" s="40">
        <v>35352</v>
      </c>
      <c r="G1527" s="39">
        <v>2693.9</v>
      </c>
      <c r="H1527" s="39">
        <f t="shared" ref="H1527:H1590" si="161">WEEKDAY(F1527,2)</f>
        <v>1</v>
      </c>
      <c r="I1527" s="39">
        <f t="shared" ref="I1527:I1590" si="162">IF(H1527&gt;H1528,G1527,0)</f>
        <v>0</v>
      </c>
      <c r="K1527" s="40"/>
      <c r="Q1527" s="40">
        <v>35352</v>
      </c>
      <c r="R1527" s="39">
        <v>2693.9</v>
      </c>
      <c r="S1527" s="39">
        <f t="shared" ref="S1527:S1590" si="163">MONTH(Q1527)</f>
        <v>10</v>
      </c>
      <c r="T1527" s="39">
        <f t="shared" ref="T1527:T1590" si="164">IF(S1528&lt;&gt;S1527,R1527,0)</f>
        <v>0</v>
      </c>
      <c r="U1527" s="39">
        <f t="shared" ref="U1527:U1590" si="165">IF(S1528=S1527,0,R1527)</f>
        <v>0</v>
      </c>
      <c r="V1527" s="40"/>
    </row>
    <row r="1528" spans="2:22" x14ac:dyDescent="0.35">
      <c r="B1528" s="40">
        <v>35353</v>
      </c>
      <c r="C1528" s="39">
        <v>2728.5</v>
      </c>
      <c r="D1528" s="219">
        <f t="shared" ref="D1528:D1591" si="166">LN(C1528/C1527)</f>
        <v>1.2762049869794029E-2</v>
      </c>
      <c r="F1528" s="40">
        <v>35353</v>
      </c>
      <c r="G1528" s="39">
        <v>2728.5</v>
      </c>
      <c r="H1528" s="39">
        <f t="shared" si="161"/>
        <v>2</v>
      </c>
      <c r="I1528" s="39">
        <f t="shared" si="162"/>
        <v>0</v>
      </c>
      <c r="K1528" s="40"/>
      <c r="Q1528" s="40">
        <v>35353</v>
      </c>
      <c r="R1528" s="39">
        <v>2728.5</v>
      </c>
      <c r="S1528" s="39">
        <f t="shared" si="163"/>
        <v>10</v>
      </c>
      <c r="T1528" s="39">
        <f t="shared" si="164"/>
        <v>0</v>
      </c>
      <c r="U1528" s="39">
        <f t="shared" si="165"/>
        <v>0</v>
      </c>
      <c r="V1528" s="40"/>
    </row>
    <row r="1529" spans="2:22" x14ac:dyDescent="0.35">
      <c r="B1529" s="40">
        <v>35354</v>
      </c>
      <c r="C1529" s="39">
        <v>2714.9</v>
      </c>
      <c r="D1529" s="219">
        <f t="shared" si="166"/>
        <v>-4.9968873491037166E-3</v>
      </c>
      <c r="F1529" s="40">
        <v>35354</v>
      </c>
      <c r="G1529" s="39">
        <v>2714.9</v>
      </c>
      <c r="H1529" s="39">
        <f t="shared" si="161"/>
        <v>3</v>
      </c>
      <c r="I1529" s="39">
        <f t="shared" si="162"/>
        <v>0</v>
      </c>
      <c r="K1529" s="40"/>
      <c r="Q1529" s="40">
        <v>35354</v>
      </c>
      <c r="R1529" s="39">
        <v>2714.9</v>
      </c>
      <c r="S1529" s="39">
        <f t="shared" si="163"/>
        <v>10</v>
      </c>
      <c r="T1529" s="39">
        <f t="shared" si="164"/>
        <v>0</v>
      </c>
      <c r="U1529" s="39">
        <f t="shared" si="165"/>
        <v>0</v>
      </c>
      <c r="V1529" s="40"/>
    </row>
    <row r="1530" spans="2:22" x14ac:dyDescent="0.35">
      <c r="B1530" s="40">
        <v>35355</v>
      </c>
      <c r="C1530" s="39">
        <v>2716.3</v>
      </c>
      <c r="D1530" s="219">
        <f t="shared" si="166"/>
        <v>5.1553985528354611E-4</v>
      </c>
      <c r="F1530" s="40">
        <v>35355</v>
      </c>
      <c r="G1530" s="39">
        <v>2716.3</v>
      </c>
      <c r="H1530" s="39">
        <f t="shared" si="161"/>
        <v>4</v>
      </c>
      <c r="I1530" s="39">
        <f t="shared" si="162"/>
        <v>0</v>
      </c>
      <c r="K1530" s="40"/>
      <c r="Q1530" s="40">
        <v>35355</v>
      </c>
      <c r="R1530" s="39">
        <v>2716.3</v>
      </c>
      <c r="S1530" s="39">
        <f t="shared" si="163"/>
        <v>10</v>
      </c>
      <c r="T1530" s="39">
        <f t="shared" si="164"/>
        <v>0</v>
      </c>
      <c r="U1530" s="39">
        <f t="shared" si="165"/>
        <v>0</v>
      </c>
      <c r="V1530" s="40"/>
    </row>
    <row r="1531" spans="2:22" x14ac:dyDescent="0.35">
      <c r="B1531" s="40">
        <v>35356</v>
      </c>
      <c r="C1531" s="39">
        <v>2734.8</v>
      </c>
      <c r="D1531" s="219">
        <f t="shared" si="166"/>
        <v>6.7876469071725129E-3</v>
      </c>
      <c r="F1531" s="40">
        <v>35356</v>
      </c>
      <c r="G1531" s="39">
        <v>2734.8</v>
      </c>
      <c r="H1531" s="39">
        <f t="shared" si="161"/>
        <v>5</v>
      </c>
      <c r="I1531" s="39">
        <f t="shared" si="162"/>
        <v>2734.8</v>
      </c>
      <c r="K1531" s="40"/>
      <c r="Q1531" s="40">
        <v>35356</v>
      </c>
      <c r="R1531" s="39">
        <v>2734.8</v>
      </c>
      <c r="S1531" s="39">
        <f t="shared" si="163"/>
        <v>10</v>
      </c>
      <c r="T1531" s="39">
        <f t="shared" si="164"/>
        <v>0</v>
      </c>
      <c r="U1531" s="39">
        <f t="shared" si="165"/>
        <v>0</v>
      </c>
      <c r="V1531" s="40"/>
    </row>
    <row r="1532" spans="2:22" x14ac:dyDescent="0.35">
      <c r="B1532" s="40">
        <v>35359</v>
      </c>
      <c r="C1532" s="39">
        <v>2729</v>
      </c>
      <c r="D1532" s="219">
        <f t="shared" si="166"/>
        <v>-2.1230653313004458E-3</v>
      </c>
      <c r="F1532" s="40">
        <v>35359</v>
      </c>
      <c r="G1532" s="39">
        <v>2729</v>
      </c>
      <c r="H1532" s="39">
        <f t="shared" si="161"/>
        <v>1</v>
      </c>
      <c r="I1532" s="39">
        <f t="shared" si="162"/>
        <v>0</v>
      </c>
      <c r="K1532" s="40"/>
      <c r="Q1532" s="40">
        <v>35359</v>
      </c>
      <c r="R1532" s="39">
        <v>2729</v>
      </c>
      <c r="S1532" s="39">
        <f t="shared" si="163"/>
        <v>10</v>
      </c>
      <c r="T1532" s="39">
        <f t="shared" si="164"/>
        <v>0</v>
      </c>
      <c r="U1532" s="39">
        <f t="shared" si="165"/>
        <v>0</v>
      </c>
      <c r="V1532" s="40"/>
    </row>
    <row r="1533" spans="2:22" x14ac:dyDescent="0.35">
      <c r="B1533" s="40">
        <v>35360</v>
      </c>
      <c r="C1533" s="39">
        <v>2719</v>
      </c>
      <c r="D1533" s="219">
        <f t="shared" si="166"/>
        <v>-3.6710760758678048E-3</v>
      </c>
      <c r="F1533" s="40">
        <v>35360</v>
      </c>
      <c r="G1533" s="39">
        <v>2719</v>
      </c>
      <c r="H1533" s="39">
        <f t="shared" si="161"/>
        <v>2</v>
      </c>
      <c r="I1533" s="39">
        <f t="shared" si="162"/>
        <v>0</v>
      </c>
      <c r="K1533" s="40"/>
      <c r="Q1533" s="40">
        <v>35360</v>
      </c>
      <c r="R1533" s="39">
        <v>2719</v>
      </c>
      <c r="S1533" s="39">
        <f t="shared" si="163"/>
        <v>10</v>
      </c>
      <c r="T1533" s="39">
        <f t="shared" si="164"/>
        <v>0</v>
      </c>
      <c r="U1533" s="39">
        <f t="shared" si="165"/>
        <v>0</v>
      </c>
      <c r="V1533" s="40"/>
    </row>
    <row r="1534" spans="2:22" x14ac:dyDescent="0.35">
      <c r="B1534" s="40">
        <v>35361</v>
      </c>
      <c r="C1534" s="39">
        <v>2699.5</v>
      </c>
      <c r="D1534" s="219">
        <f t="shared" si="166"/>
        <v>-7.1975949741290169E-3</v>
      </c>
      <c r="F1534" s="40">
        <v>35361</v>
      </c>
      <c r="G1534" s="39">
        <v>2699.5</v>
      </c>
      <c r="H1534" s="39">
        <f t="shared" si="161"/>
        <v>3</v>
      </c>
      <c r="I1534" s="39">
        <f t="shared" si="162"/>
        <v>0</v>
      </c>
      <c r="K1534" s="40"/>
      <c r="Q1534" s="40">
        <v>35361</v>
      </c>
      <c r="R1534" s="39">
        <v>2699.5</v>
      </c>
      <c r="S1534" s="39">
        <f t="shared" si="163"/>
        <v>10</v>
      </c>
      <c r="T1534" s="39">
        <f t="shared" si="164"/>
        <v>0</v>
      </c>
      <c r="U1534" s="39">
        <f t="shared" si="165"/>
        <v>0</v>
      </c>
      <c r="V1534" s="40"/>
    </row>
    <row r="1535" spans="2:22" x14ac:dyDescent="0.35">
      <c r="B1535" s="40">
        <v>35362</v>
      </c>
      <c r="C1535" s="39">
        <v>2678.4</v>
      </c>
      <c r="D1535" s="219">
        <f t="shared" si="166"/>
        <v>-7.8469693631855082E-3</v>
      </c>
      <c r="F1535" s="40">
        <v>35362</v>
      </c>
      <c r="G1535" s="39">
        <v>2678.4</v>
      </c>
      <c r="H1535" s="39">
        <f t="shared" si="161"/>
        <v>4</v>
      </c>
      <c r="I1535" s="39">
        <f t="shared" si="162"/>
        <v>0</v>
      </c>
      <c r="K1535" s="40"/>
      <c r="Q1535" s="40">
        <v>35362</v>
      </c>
      <c r="R1535" s="39">
        <v>2678.4</v>
      </c>
      <c r="S1535" s="39">
        <f t="shared" si="163"/>
        <v>10</v>
      </c>
      <c r="T1535" s="39">
        <f t="shared" si="164"/>
        <v>0</v>
      </c>
      <c r="U1535" s="39">
        <f t="shared" si="165"/>
        <v>0</v>
      </c>
      <c r="V1535" s="40"/>
    </row>
    <row r="1536" spans="2:22" x14ac:dyDescent="0.35">
      <c r="B1536" s="40">
        <v>35363</v>
      </c>
      <c r="C1536" s="39">
        <v>2674.2</v>
      </c>
      <c r="D1536" s="219">
        <f t="shared" si="166"/>
        <v>-1.5693311145911371E-3</v>
      </c>
      <c r="F1536" s="40">
        <v>35363</v>
      </c>
      <c r="G1536" s="39">
        <v>2674.2</v>
      </c>
      <c r="H1536" s="39">
        <f t="shared" si="161"/>
        <v>5</v>
      </c>
      <c r="I1536" s="39">
        <f t="shared" si="162"/>
        <v>2674.2</v>
      </c>
      <c r="K1536" s="40"/>
      <c r="Q1536" s="40">
        <v>35363</v>
      </c>
      <c r="R1536" s="39">
        <v>2674.2</v>
      </c>
      <c r="S1536" s="39">
        <f t="shared" si="163"/>
        <v>10</v>
      </c>
      <c r="T1536" s="39">
        <f t="shared" si="164"/>
        <v>0</v>
      </c>
      <c r="U1536" s="39">
        <f t="shared" si="165"/>
        <v>0</v>
      </c>
      <c r="V1536" s="40"/>
    </row>
    <row r="1537" spans="2:22" x14ac:dyDescent="0.35">
      <c r="B1537" s="40">
        <v>35366</v>
      </c>
      <c r="C1537" s="39">
        <v>2703.8</v>
      </c>
      <c r="D1537" s="219">
        <f t="shared" si="166"/>
        <v>1.1007920749739891E-2</v>
      </c>
      <c r="F1537" s="40">
        <v>35366</v>
      </c>
      <c r="G1537" s="39">
        <v>2703.8</v>
      </c>
      <c r="H1537" s="39">
        <f t="shared" si="161"/>
        <v>1</v>
      </c>
      <c r="I1537" s="39">
        <f t="shared" si="162"/>
        <v>0</v>
      </c>
      <c r="K1537" s="40"/>
      <c r="Q1537" s="40">
        <v>35366</v>
      </c>
      <c r="R1537" s="39">
        <v>2703.8</v>
      </c>
      <c r="S1537" s="39">
        <f t="shared" si="163"/>
        <v>10</v>
      </c>
      <c r="T1537" s="39">
        <f t="shared" si="164"/>
        <v>0</v>
      </c>
      <c r="U1537" s="39">
        <f t="shared" si="165"/>
        <v>0</v>
      </c>
      <c r="V1537" s="40"/>
    </row>
    <row r="1538" spans="2:22" x14ac:dyDescent="0.35">
      <c r="B1538" s="40">
        <v>35367</v>
      </c>
      <c r="C1538" s="39">
        <v>2673.6</v>
      </c>
      <c r="D1538" s="219">
        <f t="shared" si="166"/>
        <v>-1.1232312089175783E-2</v>
      </c>
      <c r="F1538" s="40">
        <v>35367</v>
      </c>
      <c r="G1538" s="39">
        <v>2673.6</v>
      </c>
      <c r="H1538" s="39">
        <f t="shared" si="161"/>
        <v>2</v>
      </c>
      <c r="I1538" s="39">
        <f t="shared" si="162"/>
        <v>0</v>
      </c>
      <c r="K1538" s="40"/>
      <c r="Q1538" s="40">
        <v>35367</v>
      </c>
      <c r="R1538" s="39">
        <v>2673.6</v>
      </c>
      <c r="S1538" s="39">
        <f t="shared" si="163"/>
        <v>10</v>
      </c>
      <c r="T1538" s="39">
        <f t="shared" si="164"/>
        <v>0</v>
      </c>
      <c r="U1538" s="39">
        <f t="shared" si="165"/>
        <v>0</v>
      </c>
      <c r="V1538" s="40"/>
    </row>
    <row r="1539" spans="2:22" x14ac:dyDescent="0.35">
      <c r="B1539" s="40">
        <v>35368</v>
      </c>
      <c r="C1539" s="39">
        <v>2678.7</v>
      </c>
      <c r="D1539" s="219">
        <f t="shared" si="166"/>
        <v>1.9057233501511895E-3</v>
      </c>
      <c r="F1539" s="40">
        <v>35368</v>
      </c>
      <c r="G1539" s="39">
        <v>2678.7</v>
      </c>
      <c r="H1539" s="39">
        <f t="shared" si="161"/>
        <v>3</v>
      </c>
      <c r="I1539" s="39">
        <f t="shared" si="162"/>
        <v>0</v>
      </c>
      <c r="K1539" s="40"/>
      <c r="Q1539" s="40">
        <v>35368</v>
      </c>
      <c r="R1539" s="39">
        <v>2678.7</v>
      </c>
      <c r="S1539" s="39">
        <f t="shared" si="163"/>
        <v>10</v>
      </c>
      <c r="T1539" s="39">
        <f t="shared" si="164"/>
        <v>0</v>
      </c>
      <c r="U1539" s="39">
        <f t="shared" si="165"/>
        <v>0</v>
      </c>
      <c r="V1539" s="40"/>
    </row>
    <row r="1540" spans="2:22" x14ac:dyDescent="0.35">
      <c r="B1540" s="40">
        <v>35369</v>
      </c>
      <c r="C1540" s="39">
        <v>2659.3</v>
      </c>
      <c r="D1540" s="219">
        <f t="shared" si="166"/>
        <v>-7.2686719423871527E-3</v>
      </c>
      <c r="F1540" s="40">
        <v>35369</v>
      </c>
      <c r="G1540" s="39">
        <v>2659.3</v>
      </c>
      <c r="H1540" s="39">
        <f t="shared" si="161"/>
        <v>4</v>
      </c>
      <c r="I1540" s="39">
        <f t="shared" si="162"/>
        <v>0</v>
      </c>
      <c r="K1540" s="40"/>
      <c r="Q1540" s="40">
        <v>35369</v>
      </c>
      <c r="R1540" s="39">
        <v>2659.3</v>
      </c>
      <c r="S1540" s="39">
        <f t="shared" si="163"/>
        <v>10</v>
      </c>
      <c r="T1540" s="39">
        <f t="shared" si="164"/>
        <v>2659.3</v>
      </c>
      <c r="U1540" s="39">
        <f t="shared" si="165"/>
        <v>2659.3</v>
      </c>
      <c r="V1540" s="40"/>
    </row>
    <row r="1541" spans="2:22" x14ac:dyDescent="0.35">
      <c r="B1541" s="40">
        <v>35370</v>
      </c>
      <c r="C1541" s="39">
        <v>2683.3</v>
      </c>
      <c r="D1541" s="219">
        <f t="shared" si="166"/>
        <v>8.9844500581994832E-3</v>
      </c>
      <c r="F1541" s="40">
        <v>35370</v>
      </c>
      <c r="G1541" s="39">
        <v>2683.3</v>
      </c>
      <c r="H1541" s="39">
        <f t="shared" si="161"/>
        <v>5</v>
      </c>
      <c r="I1541" s="39">
        <f t="shared" si="162"/>
        <v>2683.3</v>
      </c>
      <c r="K1541" s="40"/>
      <c r="Q1541" s="40">
        <v>35370</v>
      </c>
      <c r="R1541" s="39">
        <v>2683.3</v>
      </c>
      <c r="S1541" s="39">
        <f t="shared" si="163"/>
        <v>11</v>
      </c>
      <c r="T1541" s="39">
        <f t="shared" si="164"/>
        <v>0</v>
      </c>
      <c r="U1541" s="39">
        <f t="shared" si="165"/>
        <v>0</v>
      </c>
      <c r="V1541" s="40"/>
    </row>
    <row r="1542" spans="2:22" x14ac:dyDescent="0.35">
      <c r="B1542" s="40">
        <v>35373</v>
      </c>
      <c r="C1542" s="39">
        <v>2671.9</v>
      </c>
      <c r="D1542" s="219">
        <f t="shared" si="166"/>
        <v>-4.2575505005954016E-3</v>
      </c>
      <c r="F1542" s="40">
        <v>35373</v>
      </c>
      <c r="G1542" s="39">
        <v>2671.9</v>
      </c>
      <c r="H1542" s="39">
        <f t="shared" si="161"/>
        <v>1</v>
      </c>
      <c r="I1542" s="39">
        <f t="shared" si="162"/>
        <v>0</v>
      </c>
      <c r="K1542" s="40"/>
      <c r="Q1542" s="40">
        <v>35373</v>
      </c>
      <c r="R1542" s="39">
        <v>2671.9</v>
      </c>
      <c r="S1542" s="39">
        <f t="shared" si="163"/>
        <v>11</v>
      </c>
      <c r="T1542" s="39">
        <f t="shared" si="164"/>
        <v>0</v>
      </c>
      <c r="U1542" s="39">
        <f t="shared" si="165"/>
        <v>0</v>
      </c>
      <c r="V1542" s="40"/>
    </row>
    <row r="1543" spans="2:22" x14ac:dyDescent="0.35">
      <c r="B1543" s="40">
        <v>35374</v>
      </c>
      <c r="C1543" s="39">
        <v>2691.3</v>
      </c>
      <c r="D1543" s="219">
        <f t="shared" si="166"/>
        <v>7.234518426850199E-3</v>
      </c>
      <c r="F1543" s="40">
        <v>35374</v>
      </c>
      <c r="G1543" s="39">
        <v>2691.3</v>
      </c>
      <c r="H1543" s="39">
        <f t="shared" si="161"/>
        <v>2</v>
      </c>
      <c r="I1543" s="39">
        <f t="shared" si="162"/>
        <v>0</v>
      </c>
      <c r="K1543" s="40"/>
      <c r="Q1543" s="40">
        <v>35374</v>
      </c>
      <c r="R1543" s="39">
        <v>2691.3</v>
      </c>
      <c r="S1543" s="39">
        <f t="shared" si="163"/>
        <v>11</v>
      </c>
      <c r="T1543" s="39">
        <f t="shared" si="164"/>
        <v>0</v>
      </c>
      <c r="U1543" s="39">
        <f t="shared" si="165"/>
        <v>0</v>
      </c>
      <c r="V1543" s="40"/>
    </row>
    <row r="1544" spans="2:22" x14ac:dyDescent="0.35">
      <c r="B1544" s="40">
        <v>35375</v>
      </c>
      <c r="C1544" s="39">
        <v>2729.2</v>
      </c>
      <c r="D1544" s="219">
        <f t="shared" si="166"/>
        <v>1.3984177707920877E-2</v>
      </c>
      <c r="F1544" s="40">
        <v>35375</v>
      </c>
      <c r="G1544" s="39">
        <v>2729.2</v>
      </c>
      <c r="H1544" s="39">
        <f t="shared" si="161"/>
        <v>3</v>
      </c>
      <c r="I1544" s="39">
        <f t="shared" si="162"/>
        <v>0</v>
      </c>
      <c r="K1544" s="40"/>
      <c r="Q1544" s="40">
        <v>35375</v>
      </c>
      <c r="R1544" s="39">
        <v>2729.2</v>
      </c>
      <c r="S1544" s="39">
        <f t="shared" si="163"/>
        <v>11</v>
      </c>
      <c r="T1544" s="39">
        <f t="shared" si="164"/>
        <v>0</v>
      </c>
      <c r="U1544" s="39">
        <f t="shared" si="165"/>
        <v>0</v>
      </c>
      <c r="V1544" s="40"/>
    </row>
    <row r="1545" spans="2:22" x14ac:dyDescent="0.35">
      <c r="B1545" s="40">
        <v>35376</v>
      </c>
      <c r="C1545" s="39">
        <v>2713.2</v>
      </c>
      <c r="D1545" s="219">
        <f t="shared" si="166"/>
        <v>-5.8797758693440701E-3</v>
      </c>
      <c r="F1545" s="40">
        <v>35376</v>
      </c>
      <c r="G1545" s="39">
        <v>2713.2</v>
      </c>
      <c r="H1545" s="39">
        <f t="shared" si="161"/>
        <v>4</v>
      </c>
      <c r="I1545" s="39">
        <f t="shared" si="162"/>
        <v>0</v>
      </c>
      <c r="K1545" s="40"/>
      <c r="Q1545" s="40">
        <v>35376</v>
      </c>
      <c r="R1545" s="39">
        <v>2713.2</v>
      </c>
      <c r="S1545" s="39">
        <f t="shared" si="163"/>
        <v>11</v>
      </c>
      <c r="T1545" s="39">
        <f t="shared" si="164"/>
        <v>0</v>
      </c>
      <c r="U1545" s="39">
        <f t="shared" si="165"/>
        <v>0</v>
      </c>
      <c r="V1545" s="40"/>
    </row>
    <row r="1546" spans="2:22" x14ac:dyDescent="0.35">
      <c r="B1546" s="40">
        <v>35377</v>
      </c>
      <c r="C1546" s="39">
        <v>2739.8</v>
      </c>
      <c r="D1546" s="219">
        <f t="shared" si="166"/>
        <v>9.7561749453648743E-3</v>
      </c>
      <c r="F1546" s="40">
        <v>35377</v>
      </c>
      <c r="G1546" s="39">
        <v>2739.8</v>
      </c>
      <c r="H1546" s="39">
        <f t="shared" si="161"/>
        <v>5</v>
      </c>
      <c r="I1546" s="39">
        <f t="shared" si="162"/>
        <v>2739.8</v>
      </c>
      <c r="K1546" s="40"/>
      <c r="Q1546" s="40">
        <v>35377</v>
      </c>
      <c r="R1546" s="39">
        <v>2739.8</v>
      </c>
      <c r="S1546" s="39">
        <f t="shared" si="163"/>
        <v>11</v>
      </c>
      <c r="T1546" s="39">
        <f t="shared" si="164"/>
        <v>0</v>
      </c>
      <c r="U1546" s="39">
        <f t="shared" si="165"/>
        <v>0</v>
      </c>
      <c r="V1546" s="40"/>
    </row>
    <row r="1547" spans="2:22" x14ac:dyDescent="0.35">
      <c r="B1547" s="40">
        <v>35380</v>
      </c>
      <c r="C1547" s="39">
        <v>2728.3</v>
      </c>
      <c r="D1547" s="219">
        <f t="shared" si="166"/>
        <v>-4.2062204257810034E-3</v>
      </c>
      <c r="F1547" s="40">
        <v>35380</v>
      </c>
      <c r="G1547" s="39">
        <v>2728.3</v>
      </c>
      <c r="H1547" s="39">
        <f t="shared" si="161"/>
        <v>1</v>
      </c>
      <c r="I1547" s="39">
        <f t="shared" si="162"/>
        <v>0</v>
      </c>
      <c r="K1547" s="40"/>
      <c r="Q1547" s="40">
        <v>35380</v>
      </c>
      <c r="R1547" s="39">
        <v>2728.3</v>
      </c>
      <c r="S1547" s="39">
        <f t="shared" si="163"/>
        <v>11</v>
      </c>
      <c r="T1547" s="39">
        <f t="shared" si="164"/>
        <v>0</v>
      </c>
      <c r="U1547" s="39">
        <f t="shared" si="165"/>
        <v>0</v>
      </c>
      <c r="V1547" s="40"/>
    </row>
    <row r="1548" spans="2:22" x14ac:dyDescent="0.35">
      <c r="B1548" s="40">
        <v>35381</v>
      </c>
      <c r="C1548" s="39">
        <v>2734.3</v>
      </c>
      <c r="D1548" s="219">
        <f t="shared" si="166"/>
        <v>2.1967570068723284E-3</v>
      </c>
      <c r="F1548" s="40">
        <v>35381</v>
      </c>
      <c r="G1548" s="39">
        <v>2734.3</v>
      </c>
      <c r="H1548" s="39">
        <f t="shared" si="161"/>
        <v>2</v>
      </c>
      <c r="I1548" s="39">
        <f t="shared" si="162"/>
        <v>0</v>
      </c>
      <c r="K1548" s="40"/>
      <c r="Q1548" s="40">
        <v>35381</v>
      </c>
      <c r="R1548" s="39">
        <v>2734.3</v>
      </c>
      <c r="S1548" s="39">
        <f t="shared" si="163"/>
        <v>11</v>
      </c>
      <c r="T1548" s="39">
        <f t="shared" si="164"/>
        <v>0</v>
      </c>
      <c r="U1548" s="39">
        <f t="shared" si="165"/>
        <v>0</v>
      </c>
      <c r="V1548" s="40"/>
    </row>
    <row r="1549" spans="2:22" x14ac:dyDescent="0.35">
      <c r="B1549" s="40">
        <v>35382</v>
      </c>
      <c r="C1549" s="39">
        <v>2773.4</v>
      </c>
      <c r="D1549" s="219">
        <f t="shared" si="166"/>
        <v>1.419854272138329E-2</v>
      </c>
      <c r="F1549" s="40">
        <v>35382</v>
      </c>
      <c r="G1549" s="39">
        <v>2773.4</v>
      </c>
      <c r="H1549" s="39">
        <f t="shared" si="161"/>
        <v>3</v>
      </c>
      <c r="I1549" s="39">
        <f t="shared" si="162"/>
        <v>0</v>
      </c>
      <c r="K1549" s="40"/>
      <c r="Q1549" s="40">
        <v>35382</v>
      </c>
      <c r="R1549" s="39">
        <v>2773.4</v>
      </c>
      <c r="S1549" s="39">
        <f t="shared" si="163"/>
        <v>11</v>
      </c>
      <c r="T1549" s="39">
        <f t="shared" si="164"/>
        <v>0</v>
      </c>
      <c r="U1549" s="39">
        <f t="shared" si="165"/>
        <v>0</v>
      </c>
      <c r="V1549" s="40"/>
    </row>
    <row r="1550" spans="2:22" x14ac:dyDescent="0.35">
      <c r="B1550" s="40">
        <v>35383</v>
      </c>
      <c r="C1550" s="39">
        <v>2777</v>
      </c>
      <c r="D1550" s="219">
        <f t="shared" si="166"/>
        <v>1.2972039870357559E-3</v>
      </c>
      <c r="F1550" s="40">
        <v>35383</v>
      </c>
      <c r="G1550" s="39">
        <v>2777</v>
      </c>
      <c r="H1550" s="39">
        <f t="shared" si="161"/>
        <v>4</v>
      </c>
      <c r="I1550" s="39">
        <f t="shared" si="162"/>
        <v>0</v>
      </c>
      <c r="K1550" s="40"/>
      <c r="Q1550" s="40">
        <v>35383</v>
      </c>
      <c r="R1550" s="39">
        <v>2777</v>
      </c>
      <c r="S1550" s="39">
        <f t="shared" si="163"/>
        <v>11</v>
      </c>
      <c r="T1550" s="39">
        <f t="shared" si="164"/>
        <v>0</v>
      </c>
      <c r="U1550" s="39">
        <f t="shared" si="165"/>
        <v>0</v>
      </c>
      <c r="V1550" s="40"/>
    </row>
    <row r="1551" spans="2:22" x14ac:dyDescent="0.35">
      <c r="B1551" s="40">
        <v>35384</v>
      </c>
      <c r="C1551" s="39">
        <v>2795.8</v>
      </c>
      <c r="D1551" s="219">
        <f t="shared" si="166"/>
        <v>6.7470827302285839E-3</v>
      </c>
      <c r="F1551" s="40">
        <v>35384</v>
      </c>
      <c r="G1551" s="39">
        <v>2795.8</v>
      </c>
      <c r="H1551" s="39">
        <f t="shared" si="161"/>
        <v>5</v>
      </c>
      <c r="I1551" s="39">
        <f t="shared" si="162"/>
        <v>2795.8</v>
      </c>
      <c r="K1551" s="40"/>
      <c r="Q1551" s="40">
        <v>35384</v>
      </c>
      <c r="R1551" s="39">
        <v>2795.8</v>
      </c>
      <c r="S1551" s="39">
        <f t="shared" si="163"/>
        <v>11</v>
      </c>
      <c r="T1551" s="39">
        <f t="shared" si="164"/>
        <v>0</v>
      </c>
      <c r="U1551" s="39">
        <f t="shared" si="165"/>
        <v>0</v>
      </c>
      <c r="V1551" s="40"/>
    </row>
    <row r="1552" spans="2:22" x14ac:dyDescent="0.35">
      <c r="B1552" s="40">
        <v>35387</v>
      </c>
      <c r="C1552" s="39">
        <v>2763.8</v>
      </c>
      <c r="D1552" s="219">
        <f t="shared" si="166"/>
        <v>-1.15117466676439E-2</v>
      </c>
      <c r="F1552" s="40">
        <v>35387</v>
      </c>
      <c r="G1552" s="39">
        <v>2763.8</v>
      </c>
      <c r="H1552" s="39">
        <f t="shared" si="161"/>
        <v>1</v>
      </c>
      <c r="I1552" s="39">
        <f t="shared" si="162"/>
        <v>0</v>
      </c>
      <c r="K1552" s="40"/>
      <c r="Q1552" s="40">
        <v>35387</v>
      </c>
      <c r="R1552" s="39">
        <v>2763.8</v>
      </c>
      <c r="S1552" s="39">
        <f t="shared" si="163"/>
        <v>11</v>
      </c>
      <c r="T1552" s="39">
        <f t="shared" si="164"/>
        <v>0</v>
      </c>
      <c r="U1552" s="39">
        <f t="shared" si="165"/>
        <v>0</v>
      </c>
      <c r="V1552" s="40"/>
    </row>
    <row r="1553" spans="2:22" x14ac:dyDescent="0.35">
      <c r="B1553" s="40">
        <v>35388</v>
      </c>
      <c r="C1553" s="39">
        <v>2764.1</v>
      </c>
      <c r="D1553" s="219">
        <f t="shared" si="166"/>
        <v>1.0854031378797558E-4</v>
      </c>
      <c r="F1553" s="40">
        <v>35388</v>
      </c>
      <c r="G1553" s="39">
        <v>2764.1</v>
      </c>
      <c r="H1553" s="39">
        <f t="shared" si="161"/>
        <v>2</v>
      </c>
      <c r="I1553" s="39">
        <f t="shared" si="162"/>
        <v>0</v>
      </c>
      <c r="K1553" s="40"/>
      <c r="Q1553" s="40">
        <v>35388</v>
      </c>
      <c r="R1553" s="39">
        <v>2764.1</v>
      </c>
      <c r="S1553" s="39">
        <f t="shared" si="163"/>
        <v>11</v>
      </c>
      <c r="T1553" s="39">
        <f t="shared" si="164"/>
        <v>0</v>
      </c>
      <c r="U1553" s="39">
        <f t="shared" si="165"/>
        <v>0</v>
      </c>
      <c r="V1553" s="40"/>
    </row>
    <row r="1554" spans="2:22" x14ac:dyDescent="0.35">
      <c r="B1554" s="40">
        <v>35389</v>
      </c>
      <c r="C1554" s="39">
        <v>2774.5</v>
      </c>
      <c r="D1554" s="219">
        <f t="shared" si="166"/>
        <v>3.7554660827836847E-3</v>
      </c>
      <c r="F1554" s="40">
        <v>35389</v>
      </c>
      <c r="G1554" s="39">
        <v>2774.5</v>
      </c>
      <c r="H1554" s="39">
        <f t="shared" si="161"/>
        <v>3</v>
      </c>
      <c r="I1554" s="39">
        <f t="shared" si="162"/>
        <v>0</v>
      </c>
      <c r="K1554" s="40"/>
      <c r="Q1554" s="40">
        <v>35389</v>
      </c>
      <c r="R1554" s="39">
        <v>2774.5</v>
      </c>
      <c r="S1554" s="39">
        <f t="shared" si="163"/>
        <v>11</v>
      </c>
      <c r="T1554" s="39">
        <f t="shared" si="164"/>
        <v>0</v>
      </c>
      <c r="U1554" s="39">
        <f t="shared" si="165"/>
        <v>0</v>
      </c>
      <c r="V1554" s="40"/>
    </row>
    <row r="1555" spans="2:22" x14ac:dyDescent="0.35">
      <c r="B1555" s="40">
        <v>35390</v>
      </c>
      <c r="C1555" s="39">
        <v>2772.3</v>
      </c>
      <c r="D1555" s="219">
        <f t="shared" si="166"/>
        <v>-7.9325020385143986E-4</v>
      </c>
      <c r="F1555" s="40">
        <v>35390</v>
      </c>
      <c r="G1555" s="39">
        <v>2772.3</v>
      </c>
      <c r="H1555" s="39">
        <f t="shared" si="161"/>
        <v>4</v>
      </c>
      <c r="I1555" s="39">
        <f t="shared" si="162"/>
        <v>0</v>
      </c>
      <c r="K1555" s="40"/>
      <c r="Q1555" s="40">
        <v>35390</v>
      </c>
      <c r="R1555" s="39">
        <v>2772.3</v>
      </c>
      <c r="S1555" s="39">
        <f t="shared" si="163"/>
        <v>11</v>
      </c>
      <c r="T1555" s="39">
        <f t="shared" si="164"/>
        <v>0</v>
      </c>
      <c r="U1555" s="39">
        <f t="shared" si="165"/>
        <v>0</v>
      </c>
      <c r="V1555" s="40"/>
    </row>
    <row r="1556" spans="2:22" x14ac:dyDescent="0.35">
      <c r="B1556" s="40">
        <v>35391</v>
      </c>
      <c r="C1556" s="39">
        <v>2763.7</v>
      </c>
      <c r="D1556" s="219">
        <f t="shared" si="166"/>
        <v>-3.106938915474072E-3</v>
      </c>
      <c r="F1556" s="40">
        <v>35391</v>
      </c>
      <c r="G1556" s="39">
        <v>2763.7</v>
      </c>
      <c r="H1556" s="39">
        <f t="shared" si="161"/>
        <v>5</v>
      </c>
      <c r="I1556" s="39">
        <f t="shared" si="162"/>
        <v>2763.7</v>
      </c>
      <c r="K1556" s="40"/>
      <c r="Q1556" s="40">
        <v>35391</v>
      </c>
      <c r="R1556" s="39">
        <v>2763.7</v>
      </c>
      <c r="S1556" s="39">
        <f t="shared" si="163"/>
        <v>11</v>
      </c>
      <c r="T1556" s="39">
        <f t="shared" si="164"/>
        <v>0</v>
      </c>
      <c r="U1556" s="39">
        <f t="shared" si="165"/>
        <v>0</v>
      </c>
      <c r="V1556" s="40"/>
    </row>
    <row r="1557" spans="2:22" x14ac:dyDescent="0.35">
      <c r="B1557" s="40">
        <v>35394</v>
      </c>
      <c r="C1557" s="39">
        <v>2799.2</v>
      </c>
      <c r="D1557" s="219">
        <f t="shared" si="166"/>
        <v>1.2763300406847707E-2</v>
      </c>
      <c r="F1557" s="40">
        <v>35394</v>
      </c>
      <c r="G1557" s="39">
        <v>2799.2</v>
      </c>
      <c r="H1557" s="39">
        <f t="shared" si="161"/>
        <v>1</v>
      </c>
      <c r="I1557" s="39">
        <f t="shared" si="162"/>
        <v>0</v>
      </c>
      <c r="K1557" s="40"/>
      <c r="Q1557" s="40">
        <v>35394</v>
      </c>
      <c r="R1557" s="39">
        <v>2799.2</v>
      </c>
      <c r="S1557" s="39">
        <f t="shared" si="163"/>
        <v>11</v>
      </c>
      <c r="T1557" s="39">
        <f t="shared" si="164"/>
        <v>0</v>
      </c>
      <c r="U1557" s="39">
        <f t="shared" si="165"/>
        <v>0</v>
      </c>
      <c r="V1557" s="40"/>
    </row>
    <row r="1558" spans="2:22" x14ac:dyDescent="0.35">
      <c r="B1558" s="40">
        <v>35395</v>
      </c>
      <c r="C1558" s="39">
        <v>2810.6</v>
      </c>
      <c r="D1558" s="219">
        <f t="shared" si="166"/>
        <v>4.0643216131664838E-3</v>
      </c>
      <c r="F1558" s="40">
        <v>35395</v>
      </c>
      <c r="G1558" s="39">
        <v>2810.6</v>
      </c>
      <c r="H1558" s="39">
        <f t="shared" si="161"/>
        <v>2</v>
      </c>
      <c r="I1558" s="39">
        <f t="shared" si="162"/>
        <v>0</v>
      </c>
      <c r="K1558" s="40"/>
      <c r="Q1558" s="40">
        <v>35395</v>
      </c>
      <c r="R1558" s="39">
        <v>2810.6</v>
      </c>
      <c r="S1558" s="39">
        <f t="shared" si="163"/>
        <v>11</v>
      </c>
      <c r="T1558" s="39">
        <f t="shared" si="164"/>
        <v>0</v>
      </c>
      <c r="U1558" s="39">
        <f t="shared" si="165"/>
        <v>0</v>
      </c>
      <c r="V1558" s="40"/>
    </row>
    <row r="1559" spans="2:22" x14ac:dyDescent="0.35">
      <c r="B1559" s="40">
        <v>35396</v>
      </c>
      <c r="C1559" s="39">
        <v>2797</v>
      </c>
      <c r="D1559" s="219">
        <f t="shared" si="166"/>
        <v>-4.8505694646848669E-3</v>
      </c>
      <c r="F1559" s="40">
        <v>35396</v>
      </c>
      <c r="G1559" s="39">
        <v>2797</v>
      </c>
      <c r="H1559" s="39">
        <f t="shared" si="161"/>
        <v>3</v>
      </c>
      <c r="I1559" s="39">
        <f t="shared" si="162"/>
        <v>0</v>
      </c>
      <c r="K1559" s="40"/>
      <c r="Q1559" s="40">
        <v>35396</v>
      </c>
      <c r="R1559" s="39">
        <v>2797</v>
      </c>
      <c r="S1559" s="39">
        <f t="shared" si="163"/>
        <v>11</v>
      </c>
      <c r="T1559" s="39">
        <f t="shared" si="164"/>
        <v>0</v>
      </c>
      <c r="U1559" s="39">
        <f t="shared" si="165"/>
        <v>0</v>
      </c>
      <c r="V1559" s="40"/>
    </row>
    <row r="1560" spans="2:22" x14ac:dyDescent="0.35">
      <c r="B1560" s="40">
        <v>35397</v>
      </c>
      <c r="C1560" s="39">
        <v>2817.5</v>
      </c>
      <c r="D1560" s="219">
        <f t="shared" si="166"/>
        <v>7.3025527119716703E-3</v>
      </c>
      <c r="F1560" s="40">
        <v>35397</v>
      </c>
      <c r="G1560" s="39">
        <v>2817.5</v>
      </c>
      <c r="H1560" s="39">
        <f t="shared" si="161"/>
        <v>4</v>
      </c>
      <c r="I1560" s="39">
        <f t="shared" si="162"/>
        <v>0</v>
      </c>
      <c r="K1560" s="40"/>
      <c r="Q1560" s="40">
        <v>35397</v>
      </c>
      <c r="R1560" s="39">
        <v>2817.5</v>
      </c>
      <c r="S1560" s="39">
        <f t="shared" si="163"/>
        <v>11</v>
      </c>
      <c r="T1560" s="39">
        <f t="shared" si="164"/>
        <v>0</v>
      </c>
      <c r="U1560" s="39">
        <f t="shared" si="165"/>
        <v>0</v>
      </c>
      <c r="V1560" s="40"/>
    </row>
    <row r="1561" spans="2:22" x14ac:dyDescent="0.35">
      <c r="B1561" s="40">
        <v>35398</v>
      </c>
      <c r="C1561" s="39">
        <v>2845.5</v>
      </c>
      <c r="D1561" s="219">
        <f t="shared" si="166"/>
        <v>9.8888321292471947E-3</v>
      </c>
      <c r="F1561" s="40">
        <v>35398</v>
      </c>
      <c r="G1561" s="39">
        <v>2845.5</v>
      </c>
      <c r="H1561" s="39">
        <f t="shared" si="161"/>
        <v>5</v>
      </c>
      <c r="I1561" s="39">
        <f t="shared" si="162"/>
        <v>2845.5</v>
      </c>
      <c r="K1561" s="40"/>
      <c r="Q1561" s="40">
        <v>35398</v>
      </c>
      <c r="R1561" s="39">
        <v>2845.5</v>
      </c>
      <c r="S1561" s="39">
        <f t="shared" si="163"/>
        <v>11</v>
      </c>
      <c r="T1561" s="39">
        <f t="shared" si="164"/>
        <v>2845.5</v>
      </c>
      <c r="U1561" s="39">
        <f t="shared" si="165"/>
        <v>2845.5</v>
      </c>
      <c r="V1561" s="40"/>
    </row>
    <row r="1562" spans="2:22" x14ac:dyDescent="0.35">
      <c r="B1562" s="40">
        <v>35401</v>
      </c>
      <c r="C1562" s="39">
        <v>2858.6</v>
      </c>
      <c r="D1562" s="219">
        <f t="shared" si="166"/>
        <v>4.5931954318362798E-3</v>
      </c>
      <c r="F1562" s="40">
        <v>35401</v>
      </c>
      <c r="G1562" s="39">
        <v>2858.6</v>
      </c>
      <c r="H1562" s="39">
        <f t="shared" si="161"/>
        <v>1</v>
      </c>
      <c r="I1562" s="39">
        <f t="shared" si="162"/>
        <v>0</v>
      </c>
      <c r="K1562" s="40"/>
      <c r="Q1562" s="40">
        <v>35401</v>
      </c>
      <c r="R1562" s="39">
        <v>2858.6</v>
      </c>
      <c r="S1562" s="39">
        <f t="shared" si="163"/>
        <v>12</v>
      </c>
      <c r="T1562" s="39">
        <f t="shared" si="164"/>
        <v>0</v>
      </c>
      <c r="U1562" s="39">
        <f t="shared" si="165"/>
        <v>0</v>
      </c>
      <c r="V1562" s="40"/>
    </row>
    <row r="1563" spans="2:22" x14ac:dyDescent="0.35">
      <c r="B1563" s="40">
        <v>35402</v>
      </c>
      <c r="C1563" s="39">
        <v>2887</v>
      </c>
      <c r="D1563" s="219">
        <f t="shared" si="166"/>
        <v>9.8859061879202608E-3</v>
      </c>
      <c r="F1563" s="40">
        <v>35402</v>
      </c>
      <c r="G1563" s="39">
        <v>2887</v>
      </c>
      <c r="H1563" s="39">
        <f t="shared" si="161"/>
        <v>2</v>
      </c>
      <c r="I1563" s="39">
        <f t="shared" si="162"/>
        <v>0</v>
      </c>
      <c r="K1563" s="40"/>
      <c r="Q1563" s="40">
        <v>35402</v>
      </c>
      <c r="R1563" s="39">
        <v>2887</v>
      </c>
      <c r="S1563" s="39">
        <f t="shared" si="163"/>
        <v>12</v>
      </c>
      <c r="T1563" s="39">
        <f t="shared" si="164"/>
        <v>0</v>
      </c>
      <c r="U1563" s="39">
        <f t="shared" si="165"/>
        <v>0</v>
      </c>
      <c r="V1563" s="40"/>
    </row>
    <row r="1564" spans="2:22" x14ac:dyDescent="0.35">
      <c r="B1564" s="40">
        <v>35403</v>
      </c>
      <c r="C1564" s="39">
        <v>2866.1</v>
      </c>
      <c r="D1564" s="219">
        <f t="shared" si="166"/>
        <v>-7.2656800482133353E-3</v>
      </c>
      <c r="F1564" s="40">
        <v>35403</v>
      </c>
      <c r="G1564" s="39">
        <v>2866.1</v>
      </c>
      <c r="H1564" s="39">
        <f t="shared" si="161"/>
        <v>3</v>
      </c>
      <c r="I1564" s="39">
        <f t="shared" si="162"/>
        <v>0</v>
      </c>
      <c r="K1564" s="40"/>
      <c r="Q1564" s="40">
        <v>35403</v>
      </c>
      <c r="R1564" s="39">
        <v>2866.1</v>
      </c>
      <c r="S1564" s="39">
        <f t="shared" si="163"/>
        <v>12</v>
      </c>
      <c r="T1564" s="39">
        <f t="shared" si="164"/>
        <v>0</v>
      </c>
      <c r="U1564" s="39">
        <f t="shared" si="165"/>
        <v>0</v>
      </c>
      <c r="V1564" s="40"/>
    </row>
    <row r="1565" spans="2:22" x14ac:dyDescent="0.35">
      <c r="B1565" s="40">
        <v>35404</v>
      </c>
      <c r="C1565" s="39">
        <v>2909.9</v>
      </c>
      <c r="D1565" s="219">
        <f t="shared" si="166"/>
        <v>1.5166495699183264E-2</v>
      </c>
      <c r="F1565" s="40">
        <v>35404</v>
      </c>
      <c r="G1565" s="39">
        <v>2909.9</v>
      </c>
      <c r="H1565" s="39">
        <f t="shared" si="161"/>
        <v>4</v>
      </c>
      <c r="I1565" s="39">
        <f t="shared" si="162"/>
        <v>0</v>
      </c>
      <c r="K1565" s="40"/>
      <c r="Q1565" s="40">
        <v>35404</v>
      </c>
      <c r="R1565" s="39">
        <v>2909.9</v>
      </c>
      <c r="S1565" s="39">
        <f t="shared" si="163"/>
        <v>12</v>
      </c>
      <c r="T1565" s="39">
        <f t="shared" si="164"/>
        <v>0</v>
      </c>
      <c r="U1565" s="39">
        <f t="shared" si="165"/>
        <v>0</v>
      </c>
      <c r="V1565" s="40"/>
    </row>
    <row r="1566" spans="2:22" x14ac:dyDescent="0.35">
      <c r="B1566" s="40">
        <v>35405</v>
      </c>
      <c r="C1566" s="39">
        <v>2792</v>
      </c>
      <c r="D1566" s="219">
        <f t="shared" si="166"/>
        <v>-4.1360531431641957E-2</v>
      </c>
      <c r="F1566" s="40">
        <v>35405</v>
      </c>
      <c r="G1566" s="39">
        <v>2792</v>
      </c>
      <c r="H1566" s="39">
        <f t="shared" si="161"/>
        <v>5</v>
      </c>
      <c r="I1566" s="39">
        <f t="shared" si="162"/>
        <v>2792</v>
      </c>
      <c r="K1566" s="40"/>
      <c r="Q1566" s="40">
        <v>35405</v>
      </c>
      <c r="R1566" s="39">
        <v>2792</v>
      </c>
      <c r="S1566" s="39">
        <f t="shared" si="163"/>
        <v>12</v>
      </c>
      <c r="T1566" s="39">
        <f t="shared" si="164"/>
        <v>0</v>
      </c>
      <c r="U1566" s="39">
        <f t="shared" si="165"/>
        <v>0</v>
      </c>
      <c r="V1566" s="40"/>
    </row>
    <row r="1567" spans="2:22" x14ac:dyDescent="0.35">
      <c r="B1567" s="40">
        <v>35408</v>
      </c>
      <c r="C1567" s="39">
        <v>2857.2</v>
      </c>
      <c r="D1567" s="219">
        <f t="shared" si="166"/>
        <v>2.3083939398554174E-2</v>
      </c>
      <c r="F1567" s="40">
        <v>35408</v>
      </c>
      <c r="G1567" s="39">
        <v>2857.2</v>
      </c>
      <c r="H1567" s="39">
        <f t="shared" si="161"/>
        <v>1</v>
      </c>
      <c r="I1567" s="39">
        <f t="shared" si="162"/>
        <v>0</v>
      </c>
      <c r="K1567" s="40"/>
      <c r="Q1567" s="40">
        <v>35408</v>
      </c>
      <c r="R1567" s="39">
        <v>2857.2</v>
      </c>
      <c r="S1567" s="39">
        <f t="shared" si="163"/>
        <v>12</v>
      </c>
      <c r="T1567" s="39">
        <f t="shared" si="164"/>
        <v>0</v>
      </c>
      <c r="U1567" s="39">
        <f t="shared" si="165"/>
        <v>0</v>
      </c>
      <c r="V1567" s="40"/>
    </row>
    <row r="1568" spans="2:22" x14ac:dyDescent="0.35">
      <c r="B1568" s="40">
        <v>35409</v>
      </c>
      <c r="C1568" s="39">
        <v>2891</v>
      </c>
      <c r="D1568" s="219">
        <f t="shared" si="166"/>
        <v>1.1760338735528711E-2</v>
      </c>
      <c r="F1568" s="40">
        <v>35409</v>
      </c>
      <c r="G1568" s="39">
        <v>2891</v>
      </c>
      <c r="H1568" s="39">
        <f t="shared" si="161"/>
        <v>2</v>
      </c>
      <c r="I1568" s="39">
        <f t="shared" si="162"/>
        <v>0</v>
      </c>
      <c r="K1568" s="40"/>
      <c r="Q1568" s="40">
        <v>35409</v>
      </c>
      <c r="R1568" s="39">
        <v>2891</v>
      </c>
      <c r="S1568" s="39">
        <f t="shared" si="163"/>
        <v>12</v>
      </c>
      <c r="T1568" s="39">
        <f t="shared" si="164"/>
        <v>0</v>
      </c>
      <c r="U1568" s="39">
        <f t="shared" si="165"/>
        <v>0</v>
      </c>
      <c r="V1568" s="40"/>
    </row>
    <row r="1569" spans="2:22" x14ac:dyDescent="0.35">
      <c r="B1569" s="40">
        <v>35410</v>
      </c>
      <c r="C1569" s="39">
        <v>2841.1</v>
      </c>
      <c r="D1569" s="219">
        <f t="shared" si="166"/>
        <v>-1.7411161907987957E-2</v>
      </c>
      <c r="F1569" s="40">
        <v>35410</v>
      </c>
      <c r="G1569" s="39">
        <v>2841.1</v>
      </c>
      <c r="H1569" s="39">
        <f t="shared" si="161"/>
        <v>3</v>
      </c>
      <c r="I1569" s="39">
        <f t="shared" si="162"/>
        <v>0</v>
      </c>
      <c r="K1569" s="40"/>
      <c r="Q1569" s="40">
        <v>35410</v>
      </c>
      <c r="R1569" s="39">
        <v>2841.1</v>
      </c>
      <c r="S1569" s="39">
        <f t="shared" si="163"/>
        <v>12</v>
      </c>
      <c r="T1569" s="39">
        <f t="shared" si="164"/>
        <v>0</v>
      </c>
      <c r="U1569" s="39">
        <f t="shared" si="165"/>
        <v>0</v>
      </c>
      <c r="V1569" s="40"/>
    </row>
    <row r="1570" spans="2:22" x14ac:dyDescent="0.35">
      <c r="B1570" s="40">
        <v>35411</v>
      </c>
      <c r="C1570" s="39">
        <v>2847.1</v>
      </c>
      <c r="D1570" s="219">
        <f t="shared" si="166"/>
        <v>2.109631245480689E-3</v>
      </c>
      <c r="F1570" s="40">
        <v>35411</v>
      </c>
      <c r="G1570" s="39">
        <v>2847.1</v>
      </c>
      <c r="H1570" s="39">
        <f t="shared" si="161"/>
        <v>4</v>
      </c>
      <c r="I1570" s="39">
        <f t="shared" si="162"/>
        <v>0</v>
      </c>
      <c r="K1570" s="40"/>
      <c r="Q1570" s="40">
        <v>35411</v>
      </c>
      <c r="R1570" s="39">
        <v>2847.1</v>
      </c>
      <c r="S1570" s="39">
        <f t="shared" si="163"/>
        <v>12</v>
      </c>
      <c r="T1570" s="39">
        <f t="shared" si="164"/>
        <v>0</v>
      </c>
      <c r="U1570" s="39">
        <f t="shared" si="165"/>
        <v>0</v>
      </c>
      <c r="V1570" s="40"/>
    </row>
    <row r="1571" spans="2:22" x14ac:dyDescent="0.35">
      <c r="B1571" s="40">
        <v>35412</v>
      </c>
      <c r="C1571" s="39">
        <v>2799.7</v>
      </c>
      <c r="D1571" s="219">
        <f t="shared" si="166"/>
        <v>-1.6788663787892458E-2</v>
      </c>
      <c r="F1571" s="40">
        <v>35412</v>
      </c>
      <c r="G1571" s="39">
        <v>2799.7</v>
      </c>
      <c r="H1571" s="39">
        <f t="shared" si="161"/>
        <v>5</v>
      </c>
      <c r="I1571" s="39">
        <f t="shared" si="162"/>
        <v>2799.7</v>
      </c>
      <c r="K1571" s="40"/>
      <c r="Q1571" s="40">
        <v>35412</v>
      </c>
      <c r="R1571" s="39">
        <v>2799.7</v>
      </c>
      <c r="S1571" s="39">
        <f t="shared" si="163"/>
        <v>12</v>
      </c>
      <c r="T1571" s="39">
        <f t="shared" si="164"/>
        <v>0</v>
      </c>
      <c r="U1571" s="39">
        <f t="shared" si="165"/>
        <v>0</v>
      </c>
      <c r="V1571" s="40"/>
    </row>
    <row r="1572" spans="2:22" x14ac:dyDescent="0.35">
      <c r="B1572" s="40">
        <v>35415</v>
      </c>
      <c r="C1572" s="39">
        <v>2855.8</v>
      </c>
      <c r="D1572" s="219">
        <f t="shared" si="166"/>
        <v>1.9839745430248457E-2</v>
      </c>
      <c r="F1572" s="40">
        <v>35415</v>
      </c>
      <c r="G1572" s="39">
        <v>2855.8</v>
      </c>
      <c r="H1572" s="39">
        <f t="shared" si="161"/>
        <v>1</v>
      </c>
      <c r="I1572" s="39">
        <f t="shared" si="162"/>
        <v>0</v>
      </c>
      <c r="K1572" s="40"/>
      <c r="Q1572" s="40">
        <v>35415</v>
      </c>
      <c r="R1572" s="39">
        <v>2855.8</v>
      </c>
      <c r="S1572" s="39">
        <f t="shared" si="163"/>
        <v>12</v>
      </c>
      <c r="T1572" s="39">
        <f t="shared" si="164"/>
        <v>0</v>
      </c>
      <c r="U1572" s="39">
        <f t="shared" si="165"/>
        <v>0</v>
      </c>
      <c r="V1572" s="40"/>
    </row>
    <row r="1573" spans="2:22" x14ac:dyDescent="0.35">
      <c r="B1573" s="40">
        <v>35416</v>
      </c>
      <c r="C1573" s="39">
        <v>2815.1</v>
      </c>
      <c r="D1573" s="219">
        <f t="shared" si="166"/>
        <v>-1.4354229074680213E-2</v>
      </c>
      <c r="F1573" s="40">
        <v>35416</v>
      </c>
      <c r="G1573" s="39">
        <v>2815.1</v>
      </c>
      <c r="H1573" s="39">
        <f t="shared" si="161"/>
        <v>2</v>
      </c>
      <c r="I1573" s="39">
        <f t="shared" si="162"/>
        <v>0</v>
      </c>
      <c r="K1573" s="40"/>
      <c r="Q1573" s="40">
        <v>35416</v>
      </c>
      <c r="R1573" s="39">
        <v>2815.1</v>
      </c>
      <c r="S1573" s="39">
        <f t="shared" si="163"/>
        <v>12</v>
      </c>
      <c r="T1573" s="39">
        <f t="shared" si="164"/>
        <v>0</v>
      </c>
      <c r="U1573" s="39">
        <f t="shared" si="165"/>
        <v>0</v>
      </c>
      <c r="V1573" s="40"/>
    </row>
    <row r="1574" spans="2:22" x14ac:dyDescent="0.35">
      <c r="B1574" s="40">
        <v>35417</v>
      </c>
      <c r="C1574" s="39">
        <v>2820.8</v>
      </c>
      <c r="D1574" s="219">
        <f t="shared" si="166"/>
        <v>2.0227477220911851E-3</v>
      </c>
      <c r="F1574" s="40">
        <v>35417</v>
      </c>
      <c r="G1574" s="39">
        <v>2820.8</v>
      </c>
      <c r="H1574" s="39">
        <f t="shared" si="161"/>
        <v>3</v>
      </c>
      <c r="I1574" s="39">
        <f t="shared" si="162"/>
        <v>0</v>
      </c>
      <c r="K1574" s="40"/>
      <c r="Q1574" s="40">
        <v>35417</v>
      </c>
      <c r="R1574" s="39">
        <v>2820.8</v>
      </c>
      <c r="S1574" s="39">
        <f t="shared" si="163"/>
        <v>12</v>
      </c>
      <c r="T1574" s="39">
        <f t="shared" si="164"/>
        <v>0</v>
      </c>
      <c r="U1574" s="39">
        <f t="shared" si="165"/>
        <v>0</v>
      </c>
      <c r="V1574" s="40"/>
    </row>
    <row r="1575" spans="2:22" x14ac:dyDescent="0.35">
      <c r="B1575" s="40">
        <v>35418</v>
      </c>
      <c r="C1575" s="39">
        <v>2807.8</v>
      </c>
      <c r="D1575" s="219">
        <f t="shared" si="166"/>
        <v>-4.6192741057549235E-3</v>
      </c>
      <c r="F1575" s="40">
        <v>35418</v>
      </c>
      <c r="G1575" s="39">
        <v>2807.8</v>
      </c>
      <c r="H1575" s="39">
        <f t="shared" si="161"/>
        <v>4</v>
      </c>
      <c r="I1575" s="39">
        <f t="shared" si="162"/>
        <v>0</v>
      </c>
      <c r="K1575" s="40"/>
      <c r="Q1575" s="40">
        <v>35418</v>
      </c>
      <c r="R1575" s="39">
        <v>2807.8</v>
      </c>
      <c r="S1575" s="39">
        <f t="shared" si="163"/>
        <v>12</v>
      </c>
      <c r="T1575" s="39">
        <f t="shared" si="164"/>
        <v>0</v>
      </c>
      <c r="U1575" s="39">
        <f t="shared" si="165"/>
        <v>0</v>
      </c>
      <c r="V1575" s="40"/>
    </row>
    <row r="1576" spans="2:22" x14ac:dyDescent="0.35">
      <c r="B1576" s="40">
        <v>35419</v>
      </c>
      <c r="C1576" s="39">
        <v>2854.5</v>
      </c>
      <c r="D1576" s="219">
        <f t="shared" si="166"/>
        <v>1.6495437866462903E-2</v>
      </c>
      <c r="F1576" s="40">
        <v>35419</v>
      </c>
      <c r="G1576" s="39">
        <v>2854.5</v>
      </c>
      <c r="H1576" s="39">
        <f t="shared" si="161"/>
        <v>5</v>
      </c>
      <c r="I1576" s="39">
        <f t="shared" si="162"/>
        <v>2854.5</v>
      </c>
      <c r="K1576" s="40"/>
      <c r="Q1576" s="40">
        <v>35419</v>
      </c>
      <c r="R1576" s="39">
        <v>2854.5</v>
      </c>
      <c r="S1576" s="39">
        <f t="shared" si="163"/>
        <v>12</v>
      </c>
      <c r="T1576" s="39">
        <f t="shared" si="164"/>
        <v>0</v>
      </c>
      <c r="U1576" s="39">
        <f t="shared" si="165"/>
        <v>0</v>
      </c>
      <c r="V1576" s="40"/>
    </row>
    <row r="1577" spans="2:22" x14ac:dyDescent="0.35">
      <c r="B1577" s="40">
        <v>35422</v>
      </c>
      <c r="C1577" s="39">
        <v>2845.6</v>
      </c>
      <c r="D1577" s="219">
        <f t="shared" si="166"/>
        <v>-3.1227547700685009E-3</v>
      </c>
      <c r="F1577" s="40">
        <v>35422</v>
      </c>
      <c r="G1577" s="39">
        <v>2845.6</v>
      </c>
      <c r="H1577" s="39">
        <f t="shared" si="161"/>
        <v>1</v>
      </c>
      <c r="I1577" s="39">
        <f t="shared" si="162"/>
        <v>0</v>
      </c>
      <c r="K1577" s="40"/>
      <c r="Q1577" s="40">
        <v>35422</v>
      </c>
      <c r="R1577" s="39">
        <v>2845.6</v>
      </c>
      <c r="S1577" s="39">
        <f t="shared" si="163"/>
        <v>12</v>
      </c>
      <c r="T1577" s="39">
        <f t="shared" si="164"/>
        <v>0</v>
      </c>
      <c r="U1577" s="39">
        <f t="shared" si="165"/>
        <v>0</v>
      </c>
      <c r="V1577" s="40"/>
    </row>
    <row r="1578" spans="2:22" x14ac:dyDescent="0.35">
      <c r="B1578" s="40">
        <v>35426</v>
      </c>
      <c r="C1578" s="39">
        <v>2852.9</v>
      </c>
      <c r="D1578" s="219">
        <f t="shared" si="166"/>
        <v>2.5620791412657908E-3</v>
      </c>
      <c r="F1578" s="40">
        <v>35426</v>
      </c>
      <c r="G1578" s="39">
        <v>2852.9</v>
      </c>
      <c r="H1578" s="39">
        <f t="shared" si="161"/>
        <v>5</v>
      </c>
      <c r="I1578" s="39">
        <f t="shared" si="162"/>
        <v>2852.9</v>
      </c>
      <c r="K1578" s="40"/>
      <c r="Q1578" s="40">
        <v>35426</v>
      </c>
      <c r="R1578" s="39">
        <v>2852.9</v>
      </c>
      <c r="S1578" s="39">
        <f t="shared" si="163"/>
        <v>12</v>
      </c>
      <c r="T1578" s="39">
        <f t="shared" si="164"/>
        <v>0</v>
      </c>
      <c r="U1578" s="39">
        <f t="shared" si="165"/>
        <v>0</v>
      </c>
      <c r="V1578" s="40"/>
    </row>
    <row r="1579" spans="2:22" x14ac:dyDescent="0.35">
      <c r="B1579" s="40">
        <v>35429</v>
      </c>
      <c r="C1579" s="39">
        <v>2888.7</v>
      </c>
      <c r="D1579" s="219">
        <f t="shared" si="166"/>
        <v>1.2470553138836741E-2</v>
      </c>
      <c r="F1579" s="40">
        <v>35429</v>
      </c>
      <c r="G1579" s="39">
        <v>2888.7</v>
      </c>
      <c r="H1579" s="39">
        <f t="shared" si="161"/>
        <v>1</v>
      </c>
      <c r="I1579" s="39">
        <f t="shared" si="162"/>
        <v>0</v>
      </c>
      <c r="K1579" s="40"/>
      <c r="Q1579" s="40">
        <v>35429</v>
      </c>
      <c r="R1579" s="39">
        <v>2888.7</v>
      </c>
      <c r="S1579" s="39">
        <f t="shared" si="163"/>
        <v>12</v>
      </c>
      <c r="T1579" s="39">
        <f t="shared" si="164"/>
        <v>2888.7</v>
      </c>
      <c r="U1579" s="39">
        <f t="shared" si="165"/>
        <v>2888.7</v>
      </c>
      <c r="V1579" s="40"/>
    </row>
    <row r="1580" spans="2:22" x14ac:dyDescent="0.35">
      <c r="B1580" s="40">
        <v>35432</v>
      </c>
      <c r="C1580" s="39">
        <v>2848.8</v>
      </c>
      <c r="D1580" s="219">
        <f t="shared" si="166"/>
        <v>-1.3908720950779881E-2</v>
      </c>
      <c r="F1580" s="40">
        <v>35432</v>
      </c>
      <c r="G1580" s="39">
        <v>2848.8</v>
      </c>
      <c r="H1580" s="39">
        <f t="shared" si="161"/>
        <v>4</v>
      </c>
      <c r="I1580" s="39">
        <f t="shared" si="162"/>
        <v>0</v>
      </c>
      <c r="K1580" s="40"/>
      <c r="Q1580" s="40">
        <v>35432</v>
      </c>
      <c r="R1580" s="39">
        <v>2848.8</v>
      </c>
      <c r="S1580" s="39">
        <f t="shared" si="163"/>
        <v>1</v>
      </c>
      <c r="T1580" s="39">
        <f t="shared" si="164"/>
        <v>0</v>
      </c>
      <c r="U1580" s="39">
        <f t="shared" si="165"/>
        <v>0</v>
      </c>
      <c r="V1580" s="40"/>
    </row>
    <row r="1581" spans="2:22" x14ac:dyDescent="0.35">
      <c r="B1581" s="40">
        <v>35433</v>
      </c>
      <c r="C1581" s="39">
        <v>2859.3</v>
      </c>
      <c r="D1581" s="219">
        <f t="shared" si="166"/>
        <v>3.6789866481218361E-3</v>
      </c>
      <c r="F1581" s="40">
        <v>35433</v>
      </c>
      <c r="G1581" s="39">
        <v>2859.3</v>
      </c>
      <c r="H1581" s="39">
        <f t="shared" si="161"/>
        <v>5</v>
      </c>
      <c r="I1581" s="39">
        <f t="shared" si="162"/>
        <v>2859.3</v>
      </c>
      <c r="K1581" s="40"/>
      <c r="Q1581" s="40">
        <v>35433</v>
      </c>
      <c r="R1581" s="39">
        <v>2859.3</v>
      </c>
      <c r="S1581" s="39">
        <f t="shared" si="163"/>
        <v>1</v>
      </c>
      <c r="T1581" s="39">
        <f t="shared" si="164"/>
        <v>0</v>
      </c>
      <c r="U1581" s="39">
        <f t="shared" si="165"/>
        <v>0</v>
      </c>
      <c r="V1581" s="40"/>
    </row>
    <row r="1582" spans="2:22" x14ac:dyDescent="0.35">
      <c r="B1582" s="40">
        <v>35436</v>
      </c>
      <c r="C1582" s="39">
        <v>2881.3</v>
      </c>
      <c r="D1582" s="219">
        <f t="shared" si="166"/>
        <v>7.6647415618729233E-3</v>
      </c>
      <c r="F1582" s="40">
        <v>35436</v>
      </c>
      <c r="G1582" s="39">
        <v>2881.3</v>
      </c>
      <c r="H1582" s="39">
        <f t="shared" si="161"/>
        <v>1</v>
      </c>
      <c r="I1582" s="39">
        <f t="shared" si="162"/>
        <v>0</v>
      </c>
      <c r="K1582" s="40"/>
      <c r="Q1582" s="40">
        <v>35436</v>
      </c>
      <c r="R1582" s="39">
        <v>2881.3</v>
      </c>
      <c r="S1582" s="39">
        <f t="shared" si="163"/>
        <v>1</v>
      </c>
      <c r="T1582" s="39">
        <f t="shared" si="164"/>
        <v>0</v>
      </c>
      <c r="U1582" s="39">
        <f t="shared" si="165"/>
        <v>0</v>
      </c>
      <c r="V1582" s="40"/>
    </row>
    <row r="1583" spans="2:22" x14ac:dyDescent="0.35">
      <c r="B1583" s="40">
        <v>35437</v>
      </c>
      <c r="C1583" s="39">
        <v>2886.1</v>
      </c>
      <c r="D1583" s="219">
        <f t="shared" si="166"/>
        <v>1.6645285946048942E-3</v>
      </c>
      <c r="F1583" s="40">
        <v>35437</v>
      </c>
      <c r="G1583" s="39">
        <v>2886.1</v>
      </c>
      <c r="H1583" s="39">
        <f t="shared" si="161"/>
        <v>2</v>
      </c>
      <c r="I1583" s="39">
        <f t="shared" si="162"/>
        <v>0</v>
      </c>
      <c r="K1583" s="40"/>
      <c r="Q1583" s="40">
        <v>35437</v>
      </c>
      <c r="R1583" s="39">
        <v>2886.1</v>
      </c>
      <c r="S1583" s="39">
        <f t="shared" si="163"/>
        <v>1</v>
      </c>
      <c r="T1583" s="39">
        <f t="shared" si="164"/>
        <v>0</v>
      </c>
      <c r="U1583" s="39">
        <f t="shared" si="165"/>
        <v>0</v>
      </c>
      <c r="V1583" s="40"/>
    </row>
    <row r="1584" spans="2:22" x14ac:dyDescent="0.35">
      <c r="B1584" s="40">
        <v>35438</v>
      </c>
      <c r="C1584" s="39">
        <v>2906.3</v>
      </c>
      <c r="D1584" s="219">
        <f t="shared" si="166"/>
        <v>6.974684720581944E-3</v>
      </c>
      <c r="F1584" s="40">
        <v>35438</v>
      </c>
      <c r="G1584" s="39">
        <v>2906.3</v>
      </c>
      <c r="H1584" s="39">
        <f t="shared" si="161"/>
        <v>3</v>
      </c>
      <c r="I1584" s="39">
        <f t="shared" si="162"/>
        <v>0</v>
      </c>
      <c r="K1584" s="40"/>
      <c r="Q1584" s="40">
        <v>35438</v>
      </c>
      <c r="R1584" s="39">
        <v>2906.3</v>
      </c>
      <c r="S1584" s="39">
        <f t="shared" si="163"/>
        <v>1</v>
      </c>
      <c r="T1584" s="39">
        <f t="shared" si="164"/>
        <v>0</v>
      </c>
      <c r="U1584" s="39">
        <f t="shared" si="165"/>
        <v>0</v>
      </c>
      <c r="V1584" s="40"/>
    </row>
    <row r="1585" spans="2:22" x14ac:dyDescent="0.35">
      <c r="B1585" s="40">
        <v>35439</v>
      </c>
      <c r="C1585" s="39">
        <v>2892.6</v>
      </c>
      <c r="D1585" s="219">
        <f t="shared" si="166"/>
        <v>-4.7250428491178902E-3</v>
      </c>
      <c r="F1585" s="40">
        <v>35439</v>
      </c>
      <c r="G1585" s="39">
        <v>2892.6</v>
      </c>
      <c r="H1585" s="39">
        <f t="shared" si="161"/>
        <v>4</v>
      </c>
      <c r="I1585" s="39">
        <f t="shared" si="162"/>
        <v>0</v>
      </c>
      <c r="K1585" s="40"/>
      <c r="Q1585" s="40">
        <v>35439</v>
      </c>
      <c r="R1585" s="39">
        <v>2892.6</v>
      </c>
      <c r="S1585" s="39">
        <f t="shared" si="163"/>
        <v>1</v>
      </c>
      <c r="T1585" s="39">
        <f t="shared" si="164"/>
        <v>0</v>
      </c>
      <c r="U1585" s="39">
        <f t="shared" si="165"/>
        <v>0</v>
      </c>
      <c r="V1585" s="40"/>
    </row>
    <row r="1586" spans="2:22" x14ac:dyDescent="0.35">
      <c r="B1586" s="40">
        <v>35440</v>
      </c>
      <c r="C1586" s="39">
        <v>2933.4</v>
      </c>
      <c r="D1586" s="219">
        <f t="shared" si="166"/>
        <v>1.4006408173023241E-2</v>
      </c>
      <c r="F1586" s="40">
        <v>35440</v>
      </c>
      <c r="G1586" s="39">
        <v>2933.4</v>
      </c>
      <c r="H1586" s="39">
        <f t="shared" si="161"/>
        <v>5</v>
      </c>
      <c r="I1586" s="39">
        <f t="shared" si="162"/>
        <v>2933.4</v>
      </c>
      <c r="K1586" s="40"/>
      <c r="Q1586" s="40">
        <v>35440</v>
      </c>
      <c r="R1586" s="39">
        <v>2933.4</v>
      </c>
      <c r="S1586" s="39">
        <f t="shared" si="163"/>
        <v>1</v>
      </c>
      <c r="T1586" s="39">
        <f t="shared" si="164"/>
        <v>0</v>
      </c>
      <c r="U1586" s="39">
        <f t="shared" si="165"/>
        <v>0</v>
      </c>
      <c r="V1586" s="40"/>
    </row>
    <row r="1587" spans="2:22" x14ac:dyDescent="0.35">
      <c r="B1587" s="40">
        <v>35443</v>
      </c>
      <c r="C1587" s="39">
        <v>2955</v>
      </c>
      <c r="D1587" s="219">
        <f t="shared" si="166"/>
        <v>7.3364910275436519E-3</v>
      </c>
      <c r="F1587" s="40">
        <v>35443</v>
      </c>
      <c r="G1587" s="39">
        <v>2955</v>
      </c>
      <c r="H1587" s="39">
        <f t="shared" si="161"/>
        <v>1</v>
      </c>
      <c r="I1587" s="39">
        <f t="shared" si="162"/>
        <v>0</v>
      </c>
      <c r="K1587" s="40"/>
      <c r="Q1587" s="40">
        <v>35443</v>
      </c>
      <c r="R1587" s="39">
        <v>2955</v>
      </c>
      <c r="S1587" s="39">
        <f t="shared" si="163"/>
        <v>1</v>
      </c>
      <c r="T1587" s="39">
        <f t="shared" si="164"/>
        <v>0</v>
      </c>
      <c r="U1587" s="39">
        <f t="shared" si="165"/>
        <v>0</v>
      </c>
      <c r="V1587" s="40"/>
    </row>
    <row r="1588" spans="2:22" x14ac:dyDescent="0.35">
      <c r="B1588" s="40">
        <v>35444</v>
      </c>
      <c r="C1588" s="39">
        <v>2949</v>
      </c>
      <c r="D1588" s="219">
        <f t="shared" si="166"/>
        <v>-2.0325210249223578E-3</v>
      </c>
      <c r="F1588" s="40">
        <v>35444</v>
      </c>
      <c r="G1588" s="39">
        <v>2949</v>
      </c>
      <c r="H1588" s="39">
        <f t="shared" si="161"/>
        <v>2</v>
      </c>
      <c r="I1588" s="39">
        <f t="shared" si="162"/>
        <v>0</v>
      </c>
      <c r="K1588" s="40"/>
      <c r="Q1588" s="40">
        <v>35444</v>
      </c>
      <c r="R1588" s="39">
        <v>2949</v>
      </c>
      <c r="S1588" s="39">
        <f t="shared" si="163"/>
        <v>1</v>
      </c>
      <c r="T1588" s="39">
        <f t="shared" si="164"/>
        <v>0</v>
      </c>
      <c r="U1588" s="39">
        <f t="shared" si="165"/>
        <v>0</v>
      </c>
      <c r="V1588" s="40"/>
    </row>
    <row r="1589" spans="2:22" x14ac:dyDescent="0.35">
      <c r="B1589" s="40">
        <v>35445</v>
      </c>
      <c r="C1589" s="39">
        <v>2988.5</v>
      </c>
      <c r="D1589" s="219">
        <f t="shared" si="166"/>
        <v>1.3305459449032537E-2</v>
      </c>
      <c r="F1589" s="40">
        <v>35445</v>
      </c>
      <c r="G1589" s="39">
        <v>2988.5</v>
      </c>
      <c r="H1589" s="39">
        <f t="shared" si="161"/>
        <v>3</v>
      </c>
      <c r="I1589" s="39">
        <f t="shared" si="162"/>
        <v>0</v>
      </c>
      <c r="K1589" s="40"/>
      <c r="Q1589" s="40">
        <v>35445</v>
      </c>
      <c r="R1589" s="39">
        <v>2988.5</v>
      </c>
      <c r="S1589" s="39">
        <f t="shared" si="163"/>
        <v>1</v>
      </c>
      <c r="T1589" s="39">
        <f t="shared" si="164"/>
        <v>0</v>
      </c>
      <c r="U1589" s="39">
        <f t="shared" si="165"/>
        <v>0</v>
      </c>
      <c r="V1589" s="40"/>
    </row>
    <row r="1590" spans="2:22" x14ac:dyDescent="0.35">
      <c r="B1590" s="40">
        <v>35446</v>
      </c>
      <c r="C1590" s="39">
        <v>2993.3</v>
      </c>
      <c r="D1590" s="219">
        <f t="shared" si="166"/>
        <v>1.6048684443616759E-3</v>
      </c>
      <c r="F1590" s="40">
        <v>35446</v>
      </c>
      <c r="G1590" s="39">
        <v>2993.3</v>
      </c>
      <c r="H1590" s="39">
        <f t="shared" si="161"/>
        <v>4</v>
      </c>
      <c r="I1590" s="39">
        <f t="shared" si="162"/>
        <v>0</v>
      </c>
      <c r="K1590" s="40"/>
      <c r="Q1590" s="40">
        <v>35446</v>
      </c>
      <c r="R1590" s="39">
        <v>2993.3</v>
      </c>
      <c r="S1590" s="39">
        <f t="shared" si="163"/>
        <v>1</v>
      </c>
      <c r="T1590" s="39">
        <f t="shared" si="164"/>
        <v>0</v>
      </c>
      <c r="U1590" s="39">
        <f t="shared" si="165"/>
        <v>0</v>
      </c>
      <c r="V1590" s="40"/>
    </row>
    <row r="1591" spans="2:22" x14ac:dyDescent="0.35">
      <c r="B1591" s="40">
        <v>35447</v>
      </c>
      <c r="C1591" s="39">
        <v>3001.4</v>
      </c>
      <c r="D1591" s="219">
        <f t="shared" si="166"/>
        <v>2.7023887532186814E-3</v>
      </c>
      <c r="F1591" s="40">
        <v>35447</v>
      </c>
      <c r="G1591" s="39">
        <v>3001.4</v>
      </c>
      <c r="H1591" s="39">
        <f t="shared" ref="H1591:H1654" si="167">WEEKDAY(F1591,2)</f>
        <v>5</v>
      </c>
      <c r="I1591" s="39">
        <f t="shared" ref="I1591:I1654" si="168">IF(H1591&gt;H1592,G1591,0)</f>
        <v>3001.4</v>
      </c>
      <c r="K1591" s="40"/>
      <c r="Q1591" s="40">
        <v>35447</v>
      </c>
      <c r="R1591" s="39">
        <v>3001.4</v>
      </c>
      <c r="S1591" s="39">
        <f t="shared" ref="S1591:S1654" si="169">MONTH(Q1591)</f>
        <v>1</v>
      </c>
      <c r="T1591" s="39">
        <f t="shared" ref="T1591:T1654" si="170">IF(S1592&lt;&gt;S1591,R1591,0)</f>
        <v>0</v>
      </c>
      <c r="U1591" s="39">
        <f t="shared" ref="U1591:U1654" si="171">IF(S1592=S1591,0,R1591)</f>
        <v>0</v>
      </c>
      <c r="V1591" s="40"/>
    </row>
    <row r="1592" spans="2:22" x14ac:dyDescent="0.35">
      <c r="B1592" s="40">
        <v>35450</v>
      </c>
      <c r="C1592" s="39">
        <v>3030.7</v>
      </c>
      <c r="D1592" s="219">
        <f t="shared" ref="D1592:D1655" si="172">LN(C1592/C1591)</f>
        <v>9.7147694621081086E-3</v>
      </c>
      <c r="F1592" s="40">
        <v>35450</v>
      </c>
      <c r="G1592" s="39">
        <v>3030.7</v>
      </c>
      <c r="H1592" s="39">
        <f t="shared" si="167"/>
        <v>1</v>
      </c>
      <c r="I1592" s="39">
        <f t="shared" si="168"/>
        <v>0</v>
      </c>
      <c r="K1592" s="40"/>
      <c r="Q1592" s="40">
        <v>35450</v>
      </c>
      <c r="R1592" s="39">
        <v>3030.7</v>
      </c>
      <c r="S1592" s="39">
        <f t="shared" si="169"/>
        <v>1</v>
      </c>
      <c r="T1592" s="39">
        <f t="shared" si="170"/>
        <v>0</v>
      </c>
      <c r="U1592" s="39">
        <f t="shared" si="171"/>
        <v>0</v>
      </c>
      <c r="V1592" s="40"/>
    </row>
    <row r="1593" spans="2:22" x14ac:dyDescent="0.35">
      <c r="B1593" s="40">
        <v>35451</v>
      </c>
      <c r="C1593" s="39">
        <v>2976.7</v>
      </c>
      <c r="D1593" s="219">
        <f t="shared" si="172"/>
        <v>-1.7978311575975202E-2</v>
      </c>
      <c r="F1593" s="40">
        <v>35451</v>
      </c>
      <c r="G1593" s="39">
        <v>2976.7</v>
      </c>
      <c r="H1593" s="39">
        <f t="shared" si="167"/>
        <v>2</v>
      </c>
      <c r="I1593" s="39">
        <f t="shared" si="168"/>
        <v>0</v>
      </c>
      <c r="K1593" s="40"/>
      <c r="Q1593" s="40">
        <v>35451</v>
      </c>
      <c r="R1593" s="39">
        <v>2976.7</v>
      </c>
      <c r="S1593" s="39">
        <f t="shared" si="169"/>
        <v>1</v>
      </c>
      <c r="T1593" s="39">
        <f t="shared" si="170"/>
        <v>0</v>
      </c>
      <c r="U1593" s="39">
        <f t="shared" si="171"/>
        <v>0</v>
      </c>
      <c r="V1593" s="40"/>
    </row>
    <row r="1594" spans="2:22" x14ac:dyDescent="0.35">
      <c r="B1594" s="40">
        <v>35452</v>
      </c>
      <c r="C1594" s="39">
        <v>3028.7</v>
      </c>
      <c r="D1594" s="219">
        <f t="shared" si="172"/>
        <v>1.7318180185861082E-2</v>
      </c>
      <c r="F1594" s="40">
        <v>35452</v>
      </c>
      <c r="G1594" s="39">
        <v>3028.7</v>
      </c>
      <c r="H1594" s="39">
        <f t="shared" si="167"/>
        <v>3</v>
      </c>
      <c r="I1594" s="39">
        <f t="shared" si="168"/>
        <v>0</v>
      </c>
      <c r="K1594" s="40"/>
      <c r="Q1594" s="40">
        <v>35452</v>
      </c>
      <c r="R1594" s="39">
        <v>3028.7</v>
      </c>
      <c r="S1594" s="39">
        <f t="shared" si="169"/>
        <v>1</v>
      </c>
      <c r="T1594" s="39">
        <f t="shared" si="170"/>
        <v>0</v>
      </c>
      <c r="U1594" s="39">
        <f t="shared" si="171"/>
        <v>0</v>
      </c>
      <c r="V1594" s="40"/>
    </row>
    <row r="1595" spans="2:22" x14ac:dyDescent="0.35">
      <c r="B1595" s="40">
        <v>35453</v>
      </c>
      <c r="C1595" s="39">
        <v>3033.5</v>
      </c>
      <c r="D1595" s="219">
        <f t="shared" si="172"/>
        <v>1.5835838484692119E-3</v>
      </c>
      <c r="F1595" s="40">
        <v>35453</v>
      </c>
      <c r="G1595" s="39">
        <v>3033.5</v>
      </c>
      <c r="H1595" s="39">
        <f t="shared" si="167"/>
        <v>4</v>
      </c>
      <c r="I1595" s="39">
        <f t="shared" si="168"/>
        <v>0</v>
      </c>
      <c r="K1595" s="40"/>
      <c r="Q1595" s="40">
        <v>35453</v>
      </c>
      <c r="R1595" s="39">
        <v>3033.5</v>
      </c>
      <c r="S1595" s="39">
        <f t="shared" si="169"/>
        <v>1</v>
      </c>
      <c r="T1595" s="39">
        <f t="shared" si="170"/>
        <v>0</v>
      </c>
      <c r="U1595" s="39">
        <f t="shared" si="171"/>
        <v>0</v>
      </c>
      <c r="V1595" s="40"/>
    </row>
    <row r="1596" spans="2:22" x14ac:dyDescent="0.35">
      <c r="B1596" s="40">
        <v>35454</v>
      </c>
      <c r="C1596" s="39">
        <v>2998.2</v>
      </c>
      <c r="D1596" s="219">
        <f t="shared" si="172"/>
        <v>-1.1704959804138267E-2</v>
      </c>
      <c r="F1596" s="40">
        <v>35454</v>
      </c>
      <c r="G1596" s="39">
        <v>2998.2</v>
      </c>
      <c r="H1596" s="39">
        <f t="shared" si="167"/>
        <v>5</v>
      </c>
      <c r="I1596" s="39">
        <f t="shared" si="168"/>
        <v>2998.2</v>
      </c>
      <c r="K1596" s="40"/>
      <c r="Q1596" s="40">
        <v>35454</v>
      </c>
      <c r="R1596" s="39">
        <v>2998.2</v>
      </c>
      <c r="S1596" s="39">
        <f t="shared" si="169"/>
        <v>1</v>
      </c>
      <c r="T1596" s="39">
        <f t="shared" si="170"/>
        <v>0</v>
      </c>
      <c r="U1596" s="39">
        <f t="shared" si="171"/>
        <v>0</v>
      </c>
      <c r="V1596" s="40"/>
    </row>
    <row r="1597" spans="2:22" x14ac:dyDescent="0.35">
      <c r="B1597" s="40">
        <v>35457</v>
      </c>
      <c r="C1597" s="39">
        <v>2994.5</v>
      </c>
      <c r="D1597" s="219">
        <f t="shared" si="172"/>
        <v>-1.2348358736972169E-3</v>
      </c>
      <c r="F1597" s="40">
        <v>35457</v>
      </c>
      <c r="G1597" s="39">
        <v>2994.5</v>
      </c>
      <c r="H1597" s="39">
        <f t="shared" si="167"/>
        <v>1</v>
      </c>
      <c r="I1597" s="39">
        <f t="shared" si="168"/>
        <v>0</v>
      </c>
      <c r="K1597" s="40"/>
      <c r="Q1597" s="40">
        <v>35457</v>
      </c>
      <c r="R1597" s="39">
        <v>2994.5</v>
      </c>
      <c r="S1597" s="39">
        <f t="shared" si="169"/>
        <v>1</v>
      </c>
      <c r="T1597" s="39">
        <f t="shared" si="170"/>
        <v>0</v>
      </c>
      <c r="U1597" s="39">
        <f t="shared" si="171"/>
        <v>0</v>
      </c>
      <c r="V1597" s="40"/>
    </row>
    <row r="1598" spans="2:22" x14ac:dyDescent="0.35">
      <c r="B1598" s="40">
        <v>35458</v>
      </c>
      <c r="C1598" s="39">
        <v>2989.3</v>
      </c>
      <c r="D1598" s="219">
        <f t="shared" si="172"/>
        <v>-1.7380264410526204E-3</v>
      </c>
      <c r="F1598" s="40">
        <v>35458</v>
      </c>
      <c r="G1598" s="39">
        <v>2989.3</v>
      </c>
      <c r="H1598" s="39">
        <f t="shared" si="167"/>
        <v>2</v>
      </c>
      <c r="I1598" s="39">
        <f t="shared" si="168"/>
        <v>0</v>
      </c>
      <c r="K1598" s="40"/>
      <c r="Q1598" s="40">
        <v>35458</v>
      </c>
      <c r="R1598" s="39">
        <v>2989.3</v>
      </c>
      <c r="S1598" s="39">
        <f t="shared" si="169"/>
        <v>1</v>
      </c>
      <c r="T1598" s="39">
        <f t="shared" si="170"/>
        <v>0</v>
      </c>
      <c r="U1598" s="39">
        <f t="shared" si="171"/>
        <v>0</v>
      </c>
      <c r="V1598" s="40"/>
    </row>
    <row r="1599" spans="2:22" x14ac:dyDescent="0.35">
      <c r="B1599" s="40">
        <v>35459</v>
      </c>
      <c r="C1599" s="39">
        <v>2999.2</v>
      </c>
      <c r="D1599" s="219">
        <f t="shared" si="172"/>
        <v>3.3063401582378023E-3</v>
      </c>
      <c r="F1599" s="40">
        <v>35459</v>
      </c>
      <c r="G1599" s="39">
        <v>2999.2</v>
      </c>
      <c r="H1599" s="39">
        <f t="shared" si="167"/>
        <v>3</v>
      </c>
      <c r="I1599" s="39">
        <f t="shared" si="168"/>
        <v>0</v>
      </c>
      <c r="K1599" s="40"/>
      <c r="Q1599" s="40">
        <v>35459</v>
      </c>
      <c r="R1599" s="39">
        <v>2999.2</v>
      </c>
      <c r="S1599" s="39">
        <f t="shared" si="169"/>
        <v>1</v>
      </c>
      <c r="T1599" s="39">
        <f t="shared" si="170"/>
        <v>0</v>
      </c>
      <c r="U1599" s="39">
        <f t="shared" si="171"/>
        <v>0</v>
      </c>
      <c r="V1599" s="40"/>
    </row>
    <row r="1600" spans="2:22" x14ac:dyDescent="0.35">
      <c r="B1600" s="40">
        <v>35460</v>
      </c>
      <c r="C1600" s="39">
        <v>3017.3</v>
      </c>
      <c r="D1600" s="219">
        <f t="shared" si="172"/>
        <v>6.0168053202258433E-3</v>
      </c>
      <c r="F1600" s="40">
        <v>35460</v>
      </c>
      <c r="G1600" s="39">
        <v>3017.3</v>
      </c>
      <c r="H1600" s="39">
        <f t="shared" si="167"/>
        <v>4</v>
      </c>
      <c r="I1600" s="39">
        <f t="shared" si="168"/>
        <v>0</v>
      </c>
      <c r="K1600" s="40"/>
      <c r="Q1600" s="40">
        <v>35460</v>
      </c>
      <c r="R1600" s="39">
        <v>3017.3</v>
      </c>
      <c r="S1600" s="39">
        <f t="shared" si="169"/>
        <v>1</v>
      </c>
      <c r="T1600" s="39">
        <f t="shared" si="170"/>
        <v>0</v>
      </c>
      <c r="U1600" s="39">
        <f t="shared" si="171"/>
        <v>0</v>
      </c>
      <c r="V1600" s="40"/>
    </row>
    <row r="1601" spans="2:22" x14ac:dyDescent="0.35">
      <c r="B1601" s="40">
        <v>35461</v>
      </c>
      <c r="C1601" s="39">
        <v>3035.2</v>
      </c>
      <c r="D1601" s="219">
        <f t="shared" si="172"/>
        <v>5.9149284388216239E-3</v>
      </c>
      <c r="F1601" s="40">
        <v>35461</v>
      </c>
      <c r="G1601" s="39">
        <v>3035.2</v>
      </c>
      <c r="H1601" s="39">
        <f t="shared" si="167"/>
        <v>5</v>
      </c>
      <c r="I1601" s="39">
        <f t="shared" si="168"/>
        <v>3035.2</v>
      </c>
      <c r="K1601" s="40"/>
      <c r="Q1601" s="40">
        <v>35461</v>
      </c>
      <c r="R1601" s="39">
        <v>3035.2</v>
      </c>
      <c r="S1601" s="39">
        <f t="shared" si="169"/>
        <v>1</v>
      </c>
      <c r="T1601" s="39">
        <f t="shared" si="170"/>
        <v>3035.2</v>
      </c>
      <c r="U1601" s="39">
        <f t="shared" si="171"/>
        <v>3035.2</v>
      </c>
      <c r="V1601" s="40"/>
    </row>
    <row r="1602" spans="2:22" x14ac:dyDescent="0.35">
      <c r="B1602" s="40">
        <v>35464</v>
      </c>
      <c r="C1602" s="39">
        <v>3062.3</v>
      </c>
      <c r="D1602" s="219">
        <f t="shared" si="172"/>
        <v>8.8889474172462145E-3</v>
      </c>
      <c r="F1602" s="40">
        <v>35464</v>
      </c>
      <c r="G1602" s="39">
        <v>3062.3</v>
      </c>
      <c r="H1602" s="39">
        <f t="shared" si="167"/>
        <v>1</v>
      </c>
      <c r="I1602" s="39">
        <f t="shared" si="168"/>
        <v>0</v>
      </c>
      <c r="K1602" s="40"/>
      <c r="Q1602" s="40">
        <v>35464</v>
      </c>
      <c r="R1602" s="39">
        <v>3062.3</v>
      </c>
      <c r="S1602" s="39">
        <f t="shared" si="169"/>
        <v>2</v>
      </c>
      <c r="T1602" s="39">
        <f t="shared" si="170"/>
        <v>0</v>
      </c>
      <c r="U1602" s="39">
        <f t="shared" si="171"/>
        <v>0</v>
      </c>
      <c r="V1602" s="40"/>
    </row>
    <row r="1603" spans="2:22" x14ac:dyDescent="0.35">
      <c r="B1603" s="40">
        <v>35465</v>
      </c>
      <c r="C1603" s="39">
        <v>3067.1</v>
      </c>
      <c r="D1603" s="219">
        <f t="shared" si="172"/>
        <v>1.5662221363331871E-3</v>
      </c>
      <c r="F1603" s="40">
        <v>35465</v>
      </c>
      <c r="G1603" s="39">
        <v>3067.1</v>
      </c>
      <c r="H1603" s="39">
        <f t="shared" si="167"/>
        <v>2</v>
      </c>
      <c r="I1603" s="39">
        <f t="shared" si="168"/>
        <v>0</v>
      </c>
      <c r="K1603" s="40"/>
      <c r="Q1603" s="40">
        <v>35465</v>
      </c>
      <c r="R1603" s="39">
        <v>3067.1</v>
      </c>
      <c r="S1603" s="39">
        <f t="shared" si="169"/>
        <v>2</v>
      </c>
      <c r="T1603" s="39">
        <f t="shared" si="170"/>
        <v>0</v>
      </c>
      <c r="U1603" s="39">
        <f t="shared" si="171"/>
        <v>0</v>
      </c>
      <c r="V1603" s="40"/>
    </row>
    <row r="1604" spans="2:22" x14ac:dyDescent="0.35">
      <c r="B1604" s="40">
        <v>35466</v>
      </c>
      <c r="C1604" s="39">
        <v>3098</v>
      </c>
      <c r="D1604" s="219">
        <f t="shared" si="172"/>
        <v>1.0024252242484889E-2</v>
      </c>
      <c r="F1604" s="40">
        <v>35466</v>
      </c>
      <c r="G1604" s="39">
        <v>3098</v>
      </c>
      <c r="H1604" s="39">
        <f t="shared" si="167"/>
        <v>3</v>
      </c>
      <c r="I1604" s="39">
        <f t="shared" si="168"/>
        <v>0</v>
      </c>
      <c r="K1604" s="40"/>
      <c r="Q1604" s="40">
        <v>35466</v>
      </c>
      <c r="R1604" s="39">
        <v>3098</v>
      </c>
      <c r="S1604" s="39">
        <f t="shared" si="169"/>
        <v>2</v>
      </c>
      <c r="T1604" s="39">
        <f t="shared" si="170"/>
        <v>0</v>
      </c>
      <c r="U1604" s="39">
        <f t="shared" si="171"/>
        <v>0</v>
      </c>
      <c r="V1604" s="40"/>
    </row>
    <row r="1605" spans="2:22" x14ac:dyDescent="0.35">
      <c r="B1605" s="40">
        <v>35467</v>
      </c>
      <c r="C1605" s="39">
        <v>3104.1</v>
      </c>
      <c r="D1605" s="219">
        <f t="shared" si="172"/>
        <v>1.9670763022007353E-3</v>
      </c>
      <c r="F1605" s="40">
        <v>35467</v>
      </c>
      <c r="G1605" s="39">
        <v>3104.1</v>
      </c>
      <c r="H1605" s="39">
        <f t="shared" si="167"/>
        <v>4</v>
      </c>
      <c r="I1605" s="39">
        <f t="shared" si="168"/>
        <v>0</v>
      </c>
      <c r="K1605" s="40"/>
      <c r="Q1605" s="40">
        <v>35467</v>
      </c>
      <c r="R1605" s="39">
        <v>3104.1</v>
      </c>
      <c r="S1605" s="39">
        <f t="shared" si="169"/>
        <v>2</v>
      </c>
      <c r="T1605" s="39">
        <f t="shared" si="170"/>
        <v>0</v>
      </c>
      <c r="U1605" s="39">
        <f t="shared" si="171"/>
        <v>0</v>
      </c>
      <c r="V1605" s="40"/>
    </row>
    <row r="1606" spans="2:22" x14ac:dyDescent="0.35">
      <c r="B1606" s="40">
        <v>35468</v>
      </c>
      <c r="C1606" s="39">
        <v>3138</v>
      </c>
      <c r="D1606" s="219">
        <f t="shared" si="172"/>
        <v>1.0861836013963405E-2</v>
      </c>
      <c r="F1606" s="40">
        <v>35468</v>
      </c>
      <c r="G1606" s="39">
        <v>3138</v>
      </c>
      <c r="H1606" s="39">
        <f t="shared" si="167"/>
        <v>5</v>
      </c>
      <c r="I1606" s="39">
        <f t="shared" si="168"/>
        <v>3138</v>
      </c>
      <c r="K1606" s="40"/>
      <c r="Q1606" s="40">
        <v>35468</v>
      </c>
      <c r="R1606" s="39">
        <v>3138</v>
      </c>
      <c r="S1606" s="39">
        <f t="shared" si="169"/>
        <v>2</v>
      </c>
      <c r="T1606" s="39">
        <f t="shared" si="170"/>
        <v>0</v>
      </c>
      <c r="U1606" s="39">
        <f t="shared" si="171"/>
        <v>0</v>
      </c>
      <c r="V1606" s="40"/>
    </row>
    <row r="1607" spans="2:22" x14ac:dyDescent="0.35">
      <c r="B1607" s="40">
        <v>35471</v>
      </c>
      <c r="C1607" s="39">
        <v>3184.4</v>
      </c>
      <c r="D1607" s="219">
        <f t="shared" si="172"/>
        <v>1.4678233921445358E-2</v>
      </c>
      <c r="F1607" s="40">
        <v>35471</v>
      </c>
      <c r="G1607" s="39">
        <v>3184.4</v>
      </c>
      <c r="H1607" s="39">
        <f t="shared" si="167"/>
        <v>1</v>
      </c>
      <c r="I1607" s="39">
        <f t="shared" si="168"/>
        <v>0</v>
      </c>
      <c r="K1607" s="40"/>
      <c r="Q1607" s="40">
        <v>35471</v>
      </c>
      <c r="R1607" s="39">
        <v>3184.4</v>
      </c>
      <c r="S1607" s="39">
        <f t="shared" si="169"/>
        <v>2</v>
      </c>
      <c r="T1607" s="39">
        <f t="shared" si="170"/>
        <v>0</v>
      </c>
      <c r="U1607" s="39">
        <f t="shared" si="171"/>
        <v>0</v>
      </c>
      <c r="V1607" s="40"/>
    </row>
    <row r="1608" spans="2:22" x14ac:dyDescent="0.35">
      <c r="B1608" s="40">
        <v>35472</v>
      </c>
      <c r="C1608" s="39">
        <v>3187.6</v>
      </c>
      <c r="D1608" s="219">
        <f t="shared" si="172"/>
        <v>1.0043943091698603E-3</v>
      </c>
      <c r="F1608" s="40">
        <v>35472</v>
      </c>
      <c r="G1608" s="39">
        <v>3187.6</v>
      </c>
      <c r="H1608" s="39">
        <f t="shared" si="167"/>
        <v>2</v>
      </c>
      <c r="I1608" s="39">
        <f t="shared" si="168"/>
        <v>0</v>
      </c>
      <c r="K1608" s="40"/>
      <c r="Q1608" s="40">
        <v>35472</v>
      </c>
      <c r="R1608" s="39">
        <v>3187.6</v>
      </c>
      <c r="S1608" s="39">
        <f t="shared" si="169"/>
        <v>2</v>
      </c>
      <c r="T1608" s="39">
        <f t="shared" si="170"/>
        <v>0</v>
      </c>
      <c r="U1608" s="39">
        <f t="shared" si="171"/>
        <v>0</v>
      </c>
      <c r="V1608" s="40"/>
    </row>
    <row r="1609" spans="2:22" x14ac:dyDescent="0.35">
      <c r="B1609" s="40">
        <v>35473</v>
      </c>
      <c r="C1609" s="39">
        <v>3216.1</v>
      </c>
      <c r="D1609" s="219">
        <f t="shared" si="172"/>
        <v>8.9011628192023021E-3</v>
      </c>
      <c r="F1609" s="40">
        <v>35473</v>
      </c>
      <c r="G1609" s="39">
        <v>3216.1</v>
      </c>
      <c r="H1609" s="39">
        <f t="shared" si="167"/>
        <v>3</v>
      </c>
      <c r="I1609" s="39">
        <f t="shared" si="168"/>
        <v>0</v>
      </c>
      <c r="K1609" s="40"/>
      <c r="Q1609" s="40">
        <v>35473</v>
      </c>
      <c r="R1609" s="39">
        <v>3216.1</v>
      </c>
      <c r="S1609" s="39">
        <f t="shared" si="169"/>
        <v>2</v>
      </c>
      <c r="T1609" s="39">
        <f t="shared" si="170"/>
        <v>0</v>
      </c>
      <c r="U1609" s="39">
        <f t="shared" si="171"/>
        <v>0</v>
      </c>
      <c r="V1609" s="40"/>
    </row>
    <row r="1610" spans="2:22" x14ac:dyDescent="0.35">
      <c r="B1610" s="40">
        <v>35474</v>
      </c>
      <c r="C1610" s="39">
        <v>3229.5</v>
      </c>
      <c r="D1610" s="219">
        <f t="shared" si="172"/>
        <v>4.1578811297320085E-3</v>
      </c>
      <c r="F1610" s="40">
        <v>35474</v>
      </c>
      <c r="G1610" s="39">
        <v>3229.5</v>
      </c>
      <c r="H1610" s="39">
        <f t="shared" si="167"/>
        <v>4</v>
      </c>
      <c r="I1610" s="39">
        <f t="shared" si="168"/>
        <v>0</v>
      </c>
      <c r="K1610" s="40"/>
      <c r="Q1610" s="40">
        <v>35474</v>
      </c>
      <c r="R1610" s="39">
        <v>3229.5</v>
      </c>
      <c r="S1610" s="39">
        <f t="shared" si="169"/>
        <v>2</v>
      </c>
      <c r="T1610" s="39">
        <f t="shared" si="170"/>
        <v>0</v>
      </c>
      <c r="U1610" s="39">
        <f t="shared" si="171"/>
        <v>0</v>
      </c>
      <c r="V1610" s="40"/>
    </row>
    <row r="1611" spans="2:22" x14ac:dyDescent="0.35">
      <c r="B1611" s="40">
        <v>35475</v>
      </c>
      <c r="C1611" s="39">
        <v>3248.2</v>
      </c>
      <c r="D1611" s="219">
        <f t="shared" si="172"/>
        <v>5.7736702679749598E-3</v>
      </c>
      <c r="F1611" s="40">
        <v>35475</v>
      </c>
      <c r="G1611" s="39">
        <v>3248.2</v>
      </c>
      <c r="H1611" s="39">
        <f t="shared" si="167"/>
        <v>5</v>
      </c>
      <c r="I1611" s="39">
        <f t="shared" si="168"/>
        <v>3248.2</v>
      </c>
      <c r="K1611" s="40"/>
      <c r="Q1611" s="40">
        <v>35475</v>
      </c>
      <c r="R1611" s="39">
        <v>3248.2</v>
      </c>
      <c r="S1611" s="39">
        <f t="shared" si="169"/>
        <v>2</v>
      </c>
      <c r="T1611" s="39">
        <f t="shared" si="170"/>
        <v>0</v>
      </c>
      <c r="U1611" s="39">
        <f t="shared" si="171"/>
        <v>0</v>
      </c>
      <c r="V1611" s="40"/>
    </row>
    <row r="1612" spans="2:22" x14ac:dyDescent="0.35">
      <c r="B1612" s="40">
        <v>35478</v>
      </c>
      <c r="C1612" s="39">
        <v>3232.6</v>
      </c>
      <c r="D1612" s="219">
        <f t="shared" si="172"/>
        <v>-4.8142297647941514E-3</v>
      </c>
      <c r="F1612" s="40">
        <v>35478</v>
      </c>
      <c r="G1612" s="39">
        <v>3232.6</v>
      </c>
      <c r="H1612" s="39">
        <f t="shared" si="167"/>
        <v>1</v>
      </c>
      <c r="I1612" s="39">
        <f t="shared" si="168"/>
        <v>0</v>
      </c>
      <c r="K1612" s="40"/>
      <c r="Q1612" s="40">
        <v>35478</v>
      </c>
      <c r="R1612" s="39">
        <v>3232.6</v>
      </c>
      <c r="S1612" s="39">
        <f t="shared" si="169"/>
        <v>2</v>
      </c>
      <c r="T1612" s="39">
        <f t="shared" si="170"/>
        <v>0</v>
      </c>
      <c r="U1612" s="39">
        <f t="shared" si="171"/>
        <v>0</v>
      </c>
      <c r="V1612" s="40"/>
    </row>
    <row r="1613" spans="2:22" x14ac:dyDescent="0.35">
      <c r="B1613" s="40">
        <v>35479</v>
      </c>
      <c r="C1613" s="39">
        <v>3276.2</v>
      </c>
      <c r="D1613" s="219">
        <f t="shared" si="172"/>
        <v>1.3397447194822585E-2</v>
      </c>
      <c r="F1613" s="40">
        <v>35479</v>
      </c>
      <c r="G1613" s="39">
        <v>3276.2</v>
      </c>
      <c r="H1613" s="39">
        <f t="shared" si="167"/>
        <v>2</v>
      </c>
      <c r="I1613" s="39">
        <f t="shared" si="168"/>
        <v>0</v>
      </c>
      <c r="K1613" s="40"/>
      <c r="Q1613" s="40">
        <v>35479</v>
      </c>
      <c r="R1613" s="39">
        <v>3276.2</v>
      </c>
      <c r="S1613" s="39">
        <f t="shared" si="169"/>
        <v>2</v>
      </c>
      <c r="T1613" s="39">
        <f t="shared" si="170"/>
        <v>0</v>
      </c>
      <c r="U1613" s="39">
        <f t="shared" si="171"/>
        <v>0</v>
      </c>
      <c r="V1613" s="40"/>
    </row>
    <row r="1614" spans="2:22" x14ac:dyDescent="0.35">
      <c r="B1614" s="40">
        <v>35480</v>
      </c>
      <c r="C1614" s="39">
        <v>3233.8</v>
      </c>
      <c r="D1614" s="219">
        <f t="shared" si="172"/>
        <v>-1.3026297864816679E-2</v>
      </c>
      <c r="F1614" s="40">
        <v>35480</v>
      </c>
      <c r="G1614" s="39">
        <v>3233.8</v>
      </c>
      <c r="H1614" s="39">
        <f t="shared" si="167"/>
        <v>3</v>
      </c>
      <c r="I1614" s="39">
        <f t="shared" si="168"/>
        <v>0</v>
      </c>
      <c r="K1614" s="40"/>
      <c r="Q1614" s="40">
        <v>35480</v>
      </c>
      <c r="R1614" s="39">
        <v>3233.8</v>
      </c>
      <c r="S1614" s="39">
        <f t="shared" si="169"/>
        <v>2</v>
      </c>
      <c r="T1614" s="39">
        <f t="shared" si="170"/>
        <v>0</v>
      </c>
      <c r="U1614" s="39">
        <f t="shared" si="171"/>
        <v>0</v>
      </c>
      <c r="V1614" s="40"/>
    </row>
    <row r="1615" spans="2:22" x14ac:dyDescent="0.35">
      <c r="B1615" s="40">
        <v>35481</v>
      </c>
      <c r="C1615" s="39">
        <v>3196</v>
      </c>
      <c r="D1615" s="219">
        <f t="shared" si="172"/>
        <v>-1.1757888419549006E-2</v>
      </c>
      <c r="F1615" s="40">
        <v>35481</v>
      </c>
      <c r="G1615" s="39">
        <v>3196</v>
      </c>
      <c r="H1615" s="39">
        <f t="shared" si="167"/>
        <v>4</v>
      </c>
      <c r="I1615" s="39">
        <f t="shared" si="168"/>
        <v>0</v>
      </c>
      <c r="K1615" s="40"/>
      <c r="Q1615" s="40">
        <v>35481</v>
      </c>
      <c r="R1615" s="39">
        <v>3196</v>
      </c>
      <c r="S1615" s="39">
        <f t="shared" si="169"/>
        <v>2</v>
      </c>
      <c r="T1615" s="39">
        <f t="shared" si="170"/>
        <v>0</v>
      </c>
      <c r="U1615" s="39">
        <f t="shared" si="171"/>
        <v>0</v>
      </c>
      <c r="V1615" s="40"/>
    </row>
    <row r="1616" spans="2:22" x14ac:dyDescent="0.35">
      <c r="B1616" s="40">
        <v>35482</v>
      </c>
      <c r="C1616" s="39">
        <v>3184.1</v>
      </c>
      <c r="D1616" s="219">
        <f t="shared" si="172"/>
        <v>-3.7303533799063677E-3</v>
      </c>
      <c r="F1616" s="40">
        <v>35482</v>
      </c>
      <c r="G1616" s="39">
        <v>3184.1</v>
      </c>
      <c r="H1616" s="39">
        <f t="shared" si="167"/>
        <v>5</v>
      </c>
      <c r="I1616" s="39">
        <f t="shared" si="168"/>
        <v>3184.1</v>
      </c>
      <c r="K1616" s="40"/>
      <c r="Q1616" s="40">
        <v>35482</v>
      </c>
      <c r="R1616" s="39">
        <v>3184.1</v>
      </c>
      <c r="S1616" s="39">
        <f t="shared" si="169"/>
        <v>2</v>
      </c>
      <c r="T1616" s="39">
        <f t="shared" si="170"/>
        <v>0</v>
      </c>
      <c r="U1616" s="39">
        <f t="shared" si="171"/>
        <v>0</v>
      </c>
      <c r="V1616" s="40"/>
    </row>
    <row r="1617" spans="2:22" x14ac:dyDescent="0.35">
      <c r="B1617" s="40">
        <v>35485</v>
      </c>
      <c r="C1617" s="39">
        <v>3184.2</v>
      </c>
      <c r="D1617" s="219">
        <f t="shared" si="172"/>
        <v>3.1405555645290821E-5</v>
      </c>
      <c r="F1617" s="40">
        <v>35485</v>
      </c>
      <c r="G1617" s="39">
        <v>3184.2</v>
      </c>
      <c r="H1617" s="39">
        <f t="shared" si="167"/>
        <v>1</v>
      </c>
      <c r="I1617" s="39">
        <f t="shared" si="168"/>
        <v>0</v>
      </c>
      <c r="K1617" s="40"/>
      <c r="Q1617" s="40">
        <v>35485</v>
      </c>
      <c r="R1617" s="39">
        <v>3184.2</v>
      </c>
      <c r="S1617" s="39">
        <f t="shared" si="169"/>
        <v>2</v>
      </c>
      <c r="T1617" s="39">
        <f t="shared" si="170"/>
        <v>0</v>
      </c>
      <c r="U1617" s="39">
        <f t="shared" si="171"/>
        <v>0</v>
      </c>
      <c r="V1617" s="40"/>
    </row>
    <row r="1618" spans="2:22" x14ac:dyDescent="0.35">
      <c r="B1618" s="40">
        <v>35486</v>
      </c>
      <c r="C1618" s="39">
        <v>3233.2</v>
      </c>
      <c r="D1618" s="219">
        <f t="shared" si="172"/>
        <v>1.5271278797784983E-2</v>
      </c>
      <c r="F1618" s="40">
        <v>35486</v>
      </c>
      <c r="G1618" s="39">
        <v>3233.2</v>
      </c>
      <c r="H1618" s="39">
        <f t="shared" si="167"/>
        <v>2</v>
      </c>
      <c r="I1618" s="39">
        <f t="shared" si="168"/>
        <v>0</v>
      </c>
      <c r="K1618" s="40"/>
      <c r="Q1618" s="40">
        <v>35486</v>
      </c>
      <c r="R1618" s="39">
        <v>3233.2</v>
      </c>
      <c r="S1618" s="39">
        <f t="shared" si="169"/>
        <v>2</v>
      </c>
      <c r="T1618" s="39">
        <f t="shared" si="170"/>
        <v>0</v>
      </c>
      <c r="U1618" s="39">
        <f t="shared" si="171"/>
        <v>0</v>
      </c>
      <c r="V1618" s="40"/>
    </row>
    <row r="1619" spans="2:22" x14ac:dyDescent="0.35">
      <c r="B1619" s="40">
        <v>35487</v>
      </c>
      <c r="C1619" s="39">
        <v>3237.9</v>
      </c>
      <c r="D1619" s="219">
        <f t="shared" si="172"/>
        <v>1.4526126397210431E-3</v>
      </c>
      <c r="F1619" s="40">
        <v>35487</v>
      </c>
      <c r="G1619" s="39">
        <v>3237.9</v>
      </c>
      <c r="H1619" s="39">
        <f t="shared" si="167"/>
        <v>3</v>
      </c>
      <c r="I1619" s="39">
        <f t="shared" si="168"/>
        <v>0</v>
      </c>
      <c r="K1619" s="40"/>
      <c r="Q1619" s="40">
        <v>35487</v>
      </c>
      <c r="R1619" s="39">
        <v>3237.9</v>
      </c>
      <c r="S1619" s="39">
        <f t="shared" si="169"/>
        <v>2</v>
      </c>
      <c r="T1619" s="39">
        <f t="shared" si="170"/>
        <v>0</v>
      </c>
      <c r="U1619" s="39">
        <f t="shared" si="171"/>
        <v>0</v>
      </c>
      <c r="V1619" s="40"/>
    </row>
    <row r="1620" spans="2:22" x14ac:dyDescent="0.35">
      <c r="B1620" s="40">
        <v>35488</v>
      </c>
      <c r="C1620" s="39">
        <v>3276.7</v>
      </c>
      <c r="D1620" s="219">
        <f t="shared" si="172"/>
        <v>1.1911846861927771E-2</v>
      </c>
      <c r="F1620" s="40">
        <v>35488</v>
      </c>
      <c r="G1620" s="39">
        <v>3276.7</v>
      </c>
      <c r="H1620" s="39">
        <f t="shared" si="167"/>
        <v>4</v>
      </c>
      <c r="I1620" s="39">
        <f t="shared" si="168"/>
        <v>0</v>
      </c>
      <c r="K1620" s="40"/>
      <c r="Q1620" s="40">
        <v>35488</v>
      </c>
      <c r="R1620" s="39">
        <v>3276.7</v>
      </c>
      <c r="S1620" s="39">
        <f t="shared" si="169"/>
        <v>2</v>
      </c>
      <c r="T1620" s="39">
        <f t="shared" si="170"/>
        <v>0</v>
      </c>
      <c r="U1620" s="39">
        <f t="shared" si="171"/>
        <v>0</v>
      </c>
      <c r="V1620" s="40"/>
    </row>
    <row r="1621" spans="2:22" x14ac:dyDescent="0.35">
      <c r="B1621" s="40">
        <v>35489</v>
      </c>
      <c r="C1621" s="39">
        <v>3259.6</v>
      </c>
      <c r="D1621" s="219">
        <f t="shared" si="172"/>
        <v>-5.2323299152734308E-3</v>
      </c>
      <c r="F1621" s="40">
        <v>35489</v>
      </c>
      <c r="G1621" s="39">
        <v>3259.6</v>
      </c>
      <c r="H1621" s="39">
        <f t="shared" si="167"/>
        <v>5</v>
      </c>
      <c r="I1621" s="39">
        <f t="shared" si="168"/>
        <v>3259.6</v>
      </c>
      <c r="K1621" s="40"/>
      <c r="Q1621" s="40">
        <v>35489</v>
      </c>
      <c r="R1621" s="39">
        <v>3259.6</v>
      </c>
      <c r="S1621" s="39">
        <f t="shared" si="169"/>
        <v>2</v>
      </c>
      <c r="T1621" s="39">
        <f t="shared" si="170"/>
        <v>3259.6</v>
      </c>
      <c r="U1621" s="39">
        <f t="shared" si="171"/>
        <v>3259.6</v>
      </c>
      <c r="V1621" s="40"/>
    </row>
    <row r="1622" spans="2:22" x14ac:dyDescent="0.35">
      <c r="B1622" s="40">
        <v>35492</v>
      </c>
      <c r="C1622" s="39">
        <v>3263.9</v>
      </c>
      <c r="D1622" s="219">
        <f t="shared" si="172"/>
        <v>1.3183109137008234E-3</v>
      </c>
      <c r="F1622" s="40">
        <v>35492</v>
      </c>
      <c r="G1622" s="39">
        <v>3263.9</v>
      </c>
      <c r="H1622" s="39">
        <f t="shared" si="167"/>
        <v>1</v>
      </c>
      <c r="I1622" s="39">
        <f t="shared" si="168"/>
        <v>0</v>
      </c>
      <c r="K1622" s="40"/>
      <c r="Q1622" s="40">
        <v>35492</v>
      </c>
      <c r="R1622" s="39">
        <v>3263.9</v>
      </c>
      <c r="S1622" s="39">
        <f t="shared" si="169"/>
        <v>3</v>
      </c>
      <c r="T1622" s="39">
        <f t="shared" si="170"/>
        <v>0</v>
      </c>
      <c r="U1622" s="39">
        <f t="shared" si="171"/>
        <v>0</v>
      </c>
      <c r="V1622" s="40"/>
    </row>
    <row r="1623" spans="2:22" x14ac:dyDescent="0.35">
      <c r="B1623" s="40">
        <v>35493</v>
      </c>
      <c r="C1623" s="39">
        <v>3320.7</v>
      </c>
      <c r="D1623" s="219">
        <f t="shared" si="172"/>
        <v>1.7252804699922585E-2</v>
      </c>
      <c r="F1623" s="40">
        <v>35493</v>
      </c>
      <c r="G1623" s="39">
        <v>3320.7</v>
      </c>
      <c r="H1623" s="39">
        <f t="shared" si="167"/>
        <v>2</v>
      </c>
      <c r="I1623" s="39">
        <f t="shared" si="168"/>
        <v>0</v>
      </c>
      <c r="K1623" s="40"/>
      <c r="Q1623" s="40">
        <v>35493</v>
      </c>
      <c r="R1623" s="39">
        <v>3320.7</v>
      </c>
      <c r="S1623" s="39">
        <f t="shared" si="169"/>
        <v>3</v>
      </c>
      <c r="T1623" s="39">
        <f t="shared" si="170"/>
        <v>0</v>
      </c>
      <c r="U1623" s="39">
        <f t="shared" si="171"/>
        <v>0</v>
      </c>
      <c r="V1623" s="40"/>
    </row>
    <row r="1624" spans="2:22" x14ac:dyDescent="0.35">
      <c r="B1624" s="40">
        <v>35494</v>
      </c>
      <c r="C1624" s="39">
        <v>3365</v>
      </c>
      <c r="D1624" s="219">
        <f t="shared" si="172"/>
        <v>1.325235901914033E-2</v>
      </c>
      <c r="F1624" s="40">
        <v>35494</v>
      </c>
      <c r="G1624" s="39">
        <v>3365</v>
      </c>
      <c r="H1624" s="39">
        <f t="shared" si="167"/>
        <v>3</v>
      </c>
      <c r="I1624" s="39">
        <f t="shared" si="168"/>
        <v>0</v>
      </c>
      <c r="K1624" s="40"/>
      <c r="Q1624" s="40">
        <v>35494</v>
      </c>
      <c r="R1624" s="39">
        <v>3365</v>
      </c>
      <c r="S1624" s="39">
        <f t="shared" si="169"/>
        <v>3</v>
      </c>
      <c r="T1624" s="39">
        <f t="shared" si="170"/>
        <v>0</v>
      </c>
      <c r="U1624" s="39">
        <f t="shared" si="171"/>
        <v>0</v>
      </c>
      <c r="V1624" s="40"/>
    </row>
    <row r="1625" spans="2:22" x14ac:dyDescent="0.35">
      <c r="B1625" s="40">
        <v>35495</v>
      </c>
      <c r="C1625" s="39">
        <v>3417.6</v>
      </c>
      <c r="D1625" s="219">
        <f t="shared" si="172"/>
        <v>1.5510587246992735E-2</v>
      </c>
      <c r="F1625" s="40">
        <v>35495</v>
      </c>
      <c r="G1625" s="39">
        <v>3417.6</v>
      </c>
      <c r="H1625" s="39">
        <f t="shared" si="167"/>
        <v>4</v>
      </c>
      <c r="I1625" s="39">
        <f t="shared" si="168"/>
        <v>0</v>
      </c>
      <c r="K1625" s="40"/>
      <c r="Q1625" s="40">
        <v>35495</v>
      </c>
      <c r="R1625" s="39">
        <v>3417.6</v>
      </c>
      <c r="S1625" s="39">
        <f t="shared" si="169"/>
        <v>3</v>
      </c>
      <c r="T1625" s="39">
        <f t="shared" si="170"/>
        <v>0</v>
      </c>
      <c r="U1625" s="39">
        <f t="shared" si="171"/>
        <v>0</v>
      </c>
      <c r="V1625" s="40"/>
    </row>
    <row r="1626" spans="2:22" x14ac:dyDescent="0.35">
      <c r="B1626" s="40">
        <v>35496</v>
      </c>
      <c r="C1626" s="39">
        <v>3376.2</v>
      </c>
      <c r="D1626" s="219">
        <f t="shared" si="172"/>
        <v>-1.2187733658532691E-2</v>
      </c>
      <c r="F1626" s="40">
        <v>35496</v>
      </c>
      <c r="G1626" s="39">
        <v>3376.2</v>
      </c>
      <c r="H1626" s="39">
        <f t="shared" si="167"/>
        <v>5</v>
      </c>
      <c r="I1626" s="39">
        <f t="shared" si="168"/>
        <v>3376.2</v>
      </c>
      <c r="K1626" s="40"/>
      <c r="Q1626" s="40">
        <v>35496</v>
      </c>
      <c r="R1626" s="39">
        <v>3376.2</v>
      </c>
      <c r="S1626" s="39">
        <f t="shared" si="169"/>
        <v>3</v>
      </c>
      <c r="T1626" s="39">
        <f t="shared" si="170"/>
        <v>0</v>
      </c>
      <c r="U1626" s="39">
        <f t="shared" si="171"/>
        <v>0</v>
      </c>
      <c r="V1626" s="40"/>
    </row>
    <row r="1627" spans="2:22" x14ac:dyDescent="0.35">
      <c r="B1627" s="40">
        <v>35499</v>
      </c>
      <c r="C1627" s="39">
        <v>3436.1</v>
      </c>
      <c r="D1627" s="219">
        <f t="shared" si="172"/>
        <v>1.7586290622203505E-2</v>
      </c>
      <c r="F1627" s="40">
        <v>35499</v>
      </c>
      <c r="G1627" s="39">
        <v>3436.1</v>
      </c>
      <c r="H1627" s="39">
        <f t="shared" si="167"/>
        <v>1</v>
      </c>
      <c r="I1627" s="39">
        <f t="shared" si="168"/>
        <v>0</v>
      </c>
      <c r="K1627" s="40"/>
      <c r="Q1627" s="40">
        <v>35499</v>
      </c>
      <c r="R1627" s="39">
        <v>3436.1</v>
      </c>
      <c r="S1627" s="39">
        <f t="shared" si="169"/>
        <v>3</v>
      </c>
      <c r="T1627" s="39">
        <f t="shared" si="170"/>
        <v>0</v>
      </c>
      <c r="U1627" s="39">
        <f t="shared" si="171"/>
        <v>0</v>
      </c>
      <c r="V1627" s="40"/>
    </row>
    <row r="1628" spans="2:22" x14ac:dyDescent="0.35">
      <c r="B1628" s="40">
        <v>35500</v>
      </c>
      <c r="C1628" s="39">
        <v>3460.6</v>
      </c>
      <c r="D1628" s="219">
        <f t="shared" si="172"/>
        <v>7.1048771330562361E-3</v>
      </c>
      <c r="F1628" s="40">
        <v>35500</v>
      </c>
      <c r="G1628" s="39">
        <v>3460.6</v>
      </c>
      <c r="H1628" s="39">
        <f t="shared" si="167"/>
        <v>2</v>
      </c>
      <c r="I1628" s="39">
        <f t="shared" si="168"/>
        <v>0</v>
      </c>
      <c r="K1628" s="40"/>
      <c r="Q1628" s="40">
        <v>35500</v>
      </c>
      <c r="R1628" s="39">
        <v>3460.6</v>
      </c>
      <c r="S1628" s="39">
        <f t="shared" si="169"/>
        <v>3</v>
      </c>
      <c r="T1628" s="39">
        <f t="shared" si="170"/>
        <v>0</v>
      </c>
      <c r="U1628" s="39">
        <f t="shared" si="171"/>
        <v>0</v>
      </c>
      <c r="V1628" s="40"/>
    </row>
    <row r="1629" spans="2:22" x14ac:dyDescent="0.35">
      <c r="B1629" s="40">
        <v>35501</v>
      </c>
      <c r="C1629" s="39">
        <v>3415.4</v>
      </c>
      <c r="D1629" s="219">
        <f t="shared" si="172"/>
        <v>-1.3147367969409332E-2</v>
      </c>
      <c r="F1629" s="40">
        <v>35501</v>
      </c>
      <c r="G1629" s="39">
        <v>3415.4</v>
      </c>
      <c r="H1629" s="39">
        <f t="shared" si="167"/>
        <v>3</v>
      </c>
      <c r="I1629" s="39">
        <f t="shared" si="168"/>
        <v>0</v>
      </c>
      <c r="K1629" s="40"/>
      <c r="Q1629" s="40">
        <v>35501</v>
      </c>
      <c r="R1629" s="39">
        <v>3415.4</v>
      </c>
      <c r="S1629" s="39">
        <f t="shared" si="169"/>
        <v>3</v>
      </c>
      <c r="T1629" s="39">
        <f t="shared" si="170"/>
        <v>0</v>
      </c>
      <c r="U1629" s="39">
        <f t="shared" si="171"/>
        <v>0</v>
      </c>
      <c r="V1629" s="40"/>
    </row>
    <row r="1630" spans="2:22" x14ac:dyDescent="0.35">
      <c r="B1630" s="40">
        <v>35502</v>
      </c>
      <c r="C1630" s="39">
        <v>3349.8</v>
      </c>
      <c r="D1630" s="219">
        <f t="shared" si="172"/>
        <v>-1.9393973908768822E-2</v>
      </c>
      <c r="F1630" s="40">
        <v>35502</v>
      </c>
      <c r="G1630" s="39">
        <v>3349.8</v>
      </c>
      <c r="H1630" s="39">
        <f t="shared" si="167"/>
        <v>4</v>
      </c>
      <c r="I1630" s="39">
        <f t="shared" si="168"/>
        <v>0</v>
      </c>
      <c r="K1630" s="40"/>
      <c r="Q1630" s="40">
        <v>35502</v>
      </c>
      <c r="R1630" s="39">
        <v>3349.8</v>
      </c>
      <c r="S1630" s="39">
        <f t="shared" si="169"/>
        <v>3</v>
      </c>
      <c r="T1630" s="39">
        <f t="shared" si="170"/>
        <v>0</v>
      </c>
      <c r="U1630" s="39">
        <f t="shared" si="171"/>
        <v>0</v>
      </c>
      <c r="V1630" s="40"/>
    </row>
    <row r="1631" spans="2:22" x14ac:dyDescent="0.35">
      <c r="B1631" s="40">
        <v>35503</v>
      </c>
      <c r="C1631" s="39">
        <v>3359.3</v>
      </c>
      <c r="D1631" s="219">
        <f t="shared" si="172"/>
        <v>2.8319763751432827E-3</v>
      </c>
      <c r="F1631" s="40">
        <v>35503</v>
      </c>
      <c r="G1631" s="39">
        <v>3359.3</v>
      </c>
      <c r="H1631" s="39">
        <f t="shared" si="167"/>
        <v>5</v>
      </c>
      <c r="I1631" s="39">
        <f t="shared" si="168"/>
        <v>3359.3</v>
      </c>
      <c r="K1631" s="40"/>
      <c r="Q1631" s="40">
        <v>35503</v>
      </c>
      <c r="R1631" s="39">
        <v>3359.3</v>
      </c>
      <c r="S1631" s="39">
        <f t="shared" si="169"/>
        <v>3</v>
      </c>
      <c r="T1631" s="39">
        <f t="shared" si="170"/>
        <v>0</v>
      </c>
      <c r="U1631" s="39">
        <f t="shared" si="171"/>
        <v>0</v>
      </c>
      <c r="V1631" s="40"/>
    </row>
    <row r="1632" spans="2:22" x14ac:dyDescent="0.35">
      <c r="B1632" s="40">
        <v>35506</v>
      </c>
      <c r="C1632" s="39">
        <v>3351</v>
      </c>
      <c r="D1632" s="219">
        <f t="shared" si="172"/>
        <v>-2.4738101822028083E-3</v>
      </c>
      <c r="F1632" s="40">
        <v>35506</v>
      </c>
      <c r="G1632" s="39">
        <v>3351</v>
      </c>
      <c r="H1632" s="39">
        <f t="shared" si="167"/>
        <v>1</v>
      </c>
      <c r="I1632" s="39">
        <f t="shared" si="168"/>
        <v>0</v>
      </c>
      <c r="K1632" s="40"/>
      <c r="Q1632" s="40">
        <v>35506</v>
      </c>
      <c r="R1632" s="39">
        <v>3351</v>
      </c>
      <c r="S1632" s="39">
        <f t="shared" si="169"/>
        <v>3</v>
      </c>
      <c r="T1632" s="39">
        <f t="shared" si="170"/>
        <v>0</v>
      </c>
      <c r="U1632" s="39">
        <f t="shared" si="171"/>
        <v>0</v>
      </c>
      <c r="V1632" s="40"/>
    </row>
    <row r="1633" spans="2:22" x14ac:dyDescent="0.35">
      <c r="B1633" s="40">
        <v>35507</v>
      </c>
      <c r="C1633" s="39">
        <v>3291.2</v>
      </c>
      <c r="D1633" s="219">
        <f t="shared" si="172"/>
        <v>-1.8006568838617731E-2</v>
      </c>
      <c r="F1633" s="40">
        <v>35507</v>
      </c>
      <c r="G1633" s="39">
        <v>3291.2</v>
      </c>
      <c r="H1633" s="39">
        <f t="shared" si="167"/>
        <v>2</v>
      </c>
      <c r="I1633" s="39">
        <f t="shared" si="168"/>
        <v>0</v>
      </c>
      <c r="K1633" s="40"/>
      <c r="Q1633" s="40">
        <v>35507</v>
      </c>
      <c r="R1633" s="39">
        <v>3291.2</v>
      </c>
      <c r="S1633" s="39">
        <f t="shared" si="169"/>
        <v>3</v>
      </c>
      <c r="T1633" s="39">
        <f t="shared" si="170"/>
        <v>0</v>
      </c>
      <c r="U1633" s="39">
        <f t="shared" si="171"/>
        <v>0</v>
      </c>
      <c r="V1633" s="40"/>
    </row>
    <row r="1634" spans="2:22" x14ac:dyDescent="0.35">
      <c r="B1634" s="40">
        <v>35508</v>
      </c>
      <c r="C1634" s="39">
        <v>3315.9</v>
      </c>
      <c r="D1634" s="219">
        <f t="shared" si="172"/>
        <v>7.4768400863268383E-3</v>
      </c>
      <c r="F1634" s="40">
        <v>35508</v>
      </c>
      <c r="G1634" s="39">
        <v>3315.9</v>
      </c>
      <c r="H1634" s="39">
        <f t="shared" si="167"/>
        <v>3</v>
      </c>
      <c r="I1634" s="39">
        <f t="shared" si="168"/>
        <v>0</v>
      </c>
      <c r="K1634" s="40"/>
      <c r="Q1634" s="40">
        <v>35508</v>
      </c>
      <c r="R1634" s="39">
        <v>3315.9</v>
      </c>
      <c r="S1634" s="39">
        <f t="shared" si="169"/>
        <v>3</v>
      </c>
      <c r="T1634" s="39">
        <f t="shared" si="170"/>
        <v>0</v>
      </c>
      <c r="U1634" s="39">
        <f t="shared" si="171"/>
        <v>0</v>
      </c>
      <c r="V1634" s="40"/>
    </row>
    <row r="1635" spans="2:22" x14ac:dyDescent="0.35">
      <c r="B1635" s="40">
        <v>35509</v>
      </c>
      <c r="C1635" s="39">
        <v>3264.7</v>
      </c>
      <c r="D1635" s="219">
        <f t="shared" si="172"/>
        <v>-1.556120511013479E-2</v>
      </c>
      <c r="F1635" s="40">
        <v>35509</v>
      </c>
      <c r="G1635" s="39">
        <v>3264.7</v>
      </c>
      <c r="H1635" s="39">
        <f t="shared" si="167"/>
        <v>4</v>
      </c>
      <c r="I1635" s="39">
        <f t="shared" si="168"/>
        <v>0</v>
      </c>
      <c r="K1635" s="40"/>
      <c r="Q1635" s="40">
        <v>35509</v>
      </c>
      <c r="R1635" s="39">
        <v>3264.7</v>
      </c>
      <c r="S1635" s="39">
        <f t="shared" si="169"/>
        <v>3</v>
      </c>
      <c r="T1635" s="39">
        <f t="shared" si="170"/>
        <v>0</v>
      </c>
      <c r="U1635" s="39">
        <f t="shared" si="171"/>
        <v>0</v>
      </c>
      <c r="V1635" s="40"/>
    </row>
    <row r="1636" spans="2:22" x14ac:dyDescent="0.35">
      <c r="B1636" s="40">
        <v>35510</v>
      </c>
      <c r="C1636" s="39">
        <v>3298.2</v>
      </c>
      <c r="D1636" s="219">
        <f t="shared" si="172"/>
        <v>1.0208990219784964E-2</v>
      </c>
      <c r="F1636" s="40">
        <v>35510</v>
      </c>
      <c r="G1636" s="39">
        <v>3298.2</v>
      </c>
      <c r="H1636" s="39">
        <f t="shared" si="167"/>
        <v>5</v>
      </c>
      <c r="I1636" s="39">
        <f t="shared" si="168"/>
        <v>3298.2</v>
      </c>
      <c r="K1636" s="40"/>
      <c r="Q1636" s="40">
        <v>35510</v>
      </c>
      <c r="R1636" s="39">
        <v>3298.2</v>
      </c>
      <c r="S1636" s="39">
        <f t="shared" si="169"/>
        <v>3</v>
      </c>
      <c r="T1636" s="39">
        <f t="shared" si="170"/>
        <v>0</v>
      </c>
      <c r="U1636" s="39">
        <f t="shared" si="171"/>
        <v>0</v>
      </c>
      <c r="V1636" s="40"/>
    </row>
    <row r="1637" spans="2:22" x14ac:dyDescent="0.35">
      <c r="B1637" s="40">
        <v>35513</v>
      </c>
      <c r="C1637" s="39">
        <v>3321.8</v>
      </c>
      <c r="D1637" s="219">
        <f t="shared" si="172"/>
        <v>7.1299395702288902E-3</v>
      </c>
      <c r="F1637" s="40">
        <v>35513</v>
      </c>
      <c r="G1637" s="39">
        <v>3321.8</v>
      </c>
      <c r="H1637" s="39">
        <f t="shared" si="167"/>
        <v>1</v>
      </c>
      <c r="I1637" s="39">
        <f t="shared" si="168"/>
        <v>0</v>
      </c>
      <c r="K1637" s="40"/>
      <c r="Q1637" s="40">
        <v>35513</v>
      </c>
      <c r="R1637" s="39">
        <v>3321.8</v>
      </c>
      <c r="S1637" s="39">
        <f t="shared" si="169"/>
        <v>3</v>
      </c>
      <c r="T1637" s="39">
        <f t="shared" si="170"/>
        <v>0</v>
      </c>
      <c r="U1637" s="39">
        <f t="shared" si="171"/>
        <v>0</v>
      </c>
      <c r="V1637" s="40"/>
    </row>
    <row r="1638" spans="2:22" x14ac:dyDescent="0.35">
      <c r="B1638" s="40">
        <v>35514</v>
      </c>
      <c r="C1638" s="39">
        <v>3349.1</v>
      </c>
      <c r="D1638" s="219">
        <f t="shared" si="172"/>
        <v>8.1848483431152669E-3</v>
      </c>
      <c r="F1638" s="40">
        <v>35514</v>
      </c>
      <c r="G1638" s="39">
        <v>3349.1</v>
      </c>
      <c r="H1638" s="39">
        <f t="shared" si="167"/>
        <v>2</v>
      </c>
      <c r="I1638" s="39">
        <f t="shared" si="168"/>
        <v>0</v>
      </c>
      <c r="K1638" s="40"/>
      <c r="Q1638" s="40">
        <v>35514</v>
      </c>
      <c r="R1638" s="39">
        <v>3349.1</v>
      </c>
      <c r="S1638" s="39">
        <f t="shared" si="169"/>
        <v>3</v>
      </c>
      <c r="T1638" s="39">
        <f t="shared" si="170"/>
        <v>0</v>
      </c>
      <c r="U1638" s="39">
        <f t="shared" si="171"/>
        <v>0</v>
      </c>
      <c r="V1638" s="40"/>
    </row>
    <row r="1639" spans="2:22" x14ac:dyDescent="0.35">
      <c r="B1639" s="40">
        <v>35515</v>
      </c>
      <c r="C1639" s="39">
        <v>3418.1</v>
      </c>
      <c r="D1639" s="219">
        <f t="shared" si="172"/>
        <v>2.0393188114914272E-2</v>
      </c>
      <c r="F1639" s="40">
        <v>35515</v>
      </c>
      <c r="G1639" s="39">
        <v>3418.1</v>
      </c>
      <c r="H1639" s="39">
        <f t="shared" si="167"/>
        <v>3</v>
      </c>
      <c r="I1639" s="39">
        <f t="shared" si="168"/>
        <v>0</v>
      </c>
      <c r="K1639" s="40"/>
      <c r="Q1639" s="40">
        <v>35515</v>
      </c>
      <c r="R1639" s="39">
        <v>3418.1</v>
      </c>
      <c r="S1639" s="39">
        <f t="shared" si="169"/>
        <v>3</v>
      </c>
      <c r="T1639" s="39">
        <f t="shared" si="170"/>
        <v>0</v>
      </c>
      <c r="U1639" s="39">
        <f t="shared" si="171"/>
        <v>0</v>
      </c>
      <c r="V1639" s="40"/>
    </row>
    <row r="1640" spans="2:22" x14ac:dyDescent="0.35">
      <c r="B1640" s="40">
        <v>35516</v>
      </c>
      <c r="C1640" s="39">
        <v>3429.1</v>
      </c>
      <c r="D1640" s="219">
        <f t="shared" si="172"/>
        <v>3.2129949360488355E-3</v>
      </c>
      <c r="F1640" s="40">
        <v>35516</v>
      </c>
      <c r="G1640" s="39">
        <v>3429.1</v>
      </c>
      <c r="H1640" s="39">
        <f t="shared" si="167"/>
        <v>4</v>
      </c>
      <c r="I1640" s="39">
        <f t="shared" si="168"/>
        <v>3429.1</v>
      </c>
      <c r="K1640" s="40"/>
      <c r="Q1640" s="40">
        <v>35516</v>
      </c>
      <c r="R1640" s="39">
        <v>3429.1</v>
      </c>
      <c r="S1640" s="39">
        <f t="shared" si="169"/>
        <v>3</v>
      </c>
      <c r="T1640" s="39">
        <f t="shared" si="170"/>
        <v>3429.1</v>
      </c>
      <c r="U1640" s="39">
        <f t="shared" si="171"/>
        <v>3429.1</v>
      </c>
      <c r="V1640" s="40"/>
    </row>
    <row r="1641" spans="2:22" x14ac:dyDescent="0.35">
      <c r="B1641" s="40">
        <v>35521</v>
      </c>
      <c r="C1641" s="39">
        <v>3295.9</v>
      </c>
      <c r="D1641" s="219">
        <f t="shared" si="172"/>
        <v>-3.9618564295700799E-2</v>
      </c>
      <c r="F1641" s="40">
        <v>35521</v>
      </c>
      <c r="G1641" s="39">
        <v>3295.9</v>
      </c>
      <c r="H1641" s="39">
        <f t="shared" si="167"/>
        <v>2</v>
      </c>
      <c r="I1641" s="39">
        <f t="shared" si="168"/>
        <v>0</v>
      </c>
      <c r="K1641" s="40"/>
      <c r="Q1641" s="40">
        <v>35521</v>
      </c>
      <c r="R1641" s="39">
        <v>3295.9</v>
      </c>
      <c r="S1641" s="39">
        <f t="shared" si="169"/>
        <v>4</v>
      </c>
      <c r="T1641" s="39">
        <f t="shared" si="170"/>
        <v>0</v>
      </c>
      <c r="U1641" s="39">
        <f t="shared" si="171"/>
        <v>0</v>
      </c>
      <c r="V1641" s="40"/>
    </row>
    <row r="1642" spans="2:22" x14ac:dyDescent="0.35">
      <c r="B1642" s="40">
        <v>35522</v>
      </c>
      <c r="C1642" s="39">
        <v>3301.9</v>
      </c>
      <c r="D1642" s="219">
        <f t="shared" si="172"/>
        <v>1.8187885822534041E-3</v>
      </c>
      <c r="F1642" s="40">
        <v>35522</v>
      </c>
      <c r="G1642" s="39">
        <v>3301.9</v>
      </c>
      <c r="H1642" s="39">
        <f t="shared" si="167"/>
        <v>3</v>
      </c>
      <c r="I1642" s="39">
        <f t="shared" si="168"/>
        <v>0</v>
      </c>
      <c r="K1642" s="40"/>
      <c r="Q1642" s="40">
        <v>35522</v>
      </c>
      <c r="R1642" s="39">
        <v>3301.9</v>
      </c>
      <c r="S1642" s="39">
        <f t="shared" si="169"/>
        <v>4</v>
      </c>
      <c r="T1642" s="39">
        <f t="shared" si="170"/>
        <v>0</v>
      </c>
      <c r="U1642" s="39">
        <f t="shared" si="171"/>
        <v>0</v>
      </c>
      <c r="V1642" s="40"/>
    </row>
    <row r="1643" spans="2:22" x14ac:dyDescent="0.35">
      <c r="B1643" s="40">
        <v>35523</v>
      </c>
      <c r="C1643" s="39">
        <v>3215.2</v>
      </c>
      <c r="D1643" s="219">
        <f t="shared" si="172"/>
        <v>-2.6608496210537992E-2</v>
      </c>
      <c r="F1643" s="40">
        <v>35523</v>
      </c>
      <c r="G1643" s="39">
        <v>3215.2</v>
      </c>
      <c r="H1643" s="39">
        <f t="shared" si="167"/>
        <v>4</v>
      </c>
      <c r="I1643" s="39">
        <f t="shared" si="168"/>
        <v>0</v>
      </c>
      <c r="K1643" s="40"/>
      <c r="Q1643" s="40">
        <v>35523</v>
      </c>
      <c r="R1643" s="39">
        <v>3215.2</v>
      </c>
      <c r="S1643" s="39">
        <f t="shared" si="169"/>
        <v>4</v>
      </c>
      <c r="T1643" s="39">
        <f t="shared" si="170"/>
        <v>0</v>
      </c>
      <c r="U1643" s="39">
        <f t="shared" si="171"/>
        <v>0</v>
      </c>
      <c r="V1643" s="40"/>
    </row>
    <row r="1644" spans="2:22" x14ac:dyDescent="0.35">
      <c r="B1644" s="40">
        <v>35524</v>
      </c>
      <c r="C1644" s="39">
        <v>3244.9</v>
      </c>
      <c r="D1644" s="219">
        <f t="shared" si="172"/>
        <v>9.1949688873705047E-3</v>
      </c>
      <c r="F1644" s="40">
        <v>35524</v>
      </c>
      <c r="G1644" s="39">
        <v>3244.9</v>
      </c>
      <c r="H1644" s="39">
        <f t="shared" si="167"/>
        <v>5</v>
      </c>
      <c r="I1644" s="39">
        <f t="shared" si="168"/>
        <v>3244.9</v>
      </c>
      <c r="K1644" s="40"/>
      <c r="Q1644" s="40">
        <v>35524</v>
      </c>
      <c r="R1644" s="39">
        <v>3244.9</v>
      </c>
      <c r="S1644" s="39">
        <f t="shared" si="169"/>
        <v>4</v>
      </c>
      <c r="T1644" s="39">
        <f t="shared" si="170"/>
        <v>0</v>
      </c>
      <c r="U1644" s="39">
        <f t="shared" si="171"/>
        <v>0</v>
      </c>
      <c r="V1644" s="40"/>
    </row>
    <row r="1645" spans="2:22" x14ac:dyDescent="0.35">
      <c r="B1645" s="40">
        <v>35527</v>
      </c>
      <c r="C1645" s="39">
        <v>3312.9</v>
      </c>
      <c r="D1645" s="219">
        <f t="shared" si="172"/>
        <v>2.0739405698832966E-2</v>
      </c>
      <c r="F1645" s="40">
        <v>35527</v>
      </c>
      <c r="G1645" s="39">
        <v>3312.9</v>
      </c>
      <c r="H1645" s="39">
        <f t="shared" si="167"/>
        <v>1</v>
      </c>
      <c r="I1645" s="39">
        <f t="shared" si="168"/>
        <v>0</v>
      </c>
      <c r="K1645" s="40"/>
      <c r="Q1645" s="40">
        <v>35527</v>
      </c>
      <c r="R1645" s="39">
        <v>3312.9</v>
      </c>
      <c r="S1645" s="39">
        <f t="shared" si="169"/>
        <v>4</v>
      </c>
      <c r="T1645" s="39">
        <f t="shared" si="170"/>
        <v>0</v>
      </c>
      <c r="U1645" s="39">
        <f t="shared" si="171"/>
        <v>0</v>
      </c>
      <c r="V1645" s="40"/>
    </row>
    <row r="1646" spans="2:22" x14ac:dyDescent="0.35">
      <c r="B1646" s="40">
        <v>35528</v>
      </c>
      <c r="C1646" s="39">
        <v>3329.8</v>
      </c>
      <c r="D1646" s="219">
        <f t="shared" si="172"/>
        <v>5.0883033895569203E-3</v>
      </c>
      <c r="F1646" s="40">
        <v>35528</v>
      </c>
      <c r="G1646" s="39">
        <v>3329.8</v>
      </c>
      <c r="H1646" s="39">
        <f t="shared" si="167"/>
        <v>2</v>
      </c>
      <c r="I1646" s="39">
        <f t="shared" si="168"/>
        <v>0</v>
      </c>
      <c r="K1646" s="40"/>
      <c r="Q1646" s="40">
        <v>35528</v>
      </c>
      <c r="R1646" s="39">
        <v>3329.8</v>
      </c>
      <c r="S1646" s="39">
        <f t="shared" si="169"/>
        <v>4</v>
      </c>
      <c r="T1646" s="39">
        <f t="shared" si="170"/>
        <v>0</v>
      </c>
      <c r="U1646" s="39">
        <f t="shared" si="171"/>
        <v>0</v>
      </c>
      <c r="V1646" s="40"/>
    </row>
    <row r="1647" spans="2:22" x14ac:dyDescent="0.35">
      <c r="B1647" s="40">
        <v>35529</v>
      </c>
      <c r="C1647" s="39">
        <v>3359.5</v>
      </c>
      <c r="D1647" s="219">
        <f t="shared" si="172"/>
        <v>8.8799112494527578E-3</v>
      </c>
      <c r="F1647" s="40">
        <v>35529</v>
      </c>
      <c r="G1647" s="39">
        <v>3359.5</v>
      </c>
      <c r="H1647" s="39">
        <f t="shared" si="167"/>
        <v>3</v>
      </c>
      <c r="I1647" s="39">
        <f t="shared" si="168"/>
        <v>0</v>
      </c>
      <c r="K1647" s="40"/>
      <c r="Q1647" s="40">
        <v>35529</v>
      </c>
      <c r="R1647" s="39">
        <v>3359.5</v>
      </c>
      <c r="S1647" s="39">
        <f t="shared" si="169"/>
        <v>4</v>
      </c>
      <c r="T1647" s="39">
        <f t="shared" si="170"/>
        <v>0</v>
      </c>
      <c r="U1647" s="39">
        <f t="shared" si="171"/>
        <v>0</v>
      </c>
      <c r="V1647" s="40"/>
    </row>
    <row r="1648" spans="2:22" x14ac:dyDescent="0.35">
      <c r="B1648" s="40">
        <v>35530</v>
      </c>
      <c r="C1648" s="39">
        <v>3351.5</v>
      </c>
      <c r="D1648" s="219">
        <f t="shared" si="172"/>
        <v>-2.384146562192273E-3</v>
      </c>
      <c r="F1648" s="40">
        <v>35530</v>
      </c>
      <c r="G1648" s="39">
        <v>3351.5</v>
      </c>
      <c r="H1648" s="39">
        <f t="shared" si="167"/>
        <v>4</v>
      </c>
      <c r="I1648" s="39">
        <f t="shared" si="168"/>
        <v>0</v>
      </c>
      <c r="K1648" s="40"/>
      <c r="Q1648" s="40">
        <v>35530</v>
      </c>
      <c r="R1648" s="39">
        <v>3351.5</v>
      </c>
      <c r="S1648" s="39">
        <f t="shared" si="169"/>
        <v>4</v>
      </c>
      <c r="T1648" s="39">
        <f t="shared" si="170"/>
        <v>0</v>
      </c>
      <c r="U1648" s="39">
        <f t="shared" si="171"/>
        <v>0</v>
      </c>
      <c r="V1648" s="40"/>
    </row>
    <row r="1649" spans="2:22" x14ac:dyDescent="0.35">
      <c r="B1649" s="40">
        <v>35531</v>
      </c>
      <c r="C1649" s="39">
        <v>3340.1</v>
      </c>
      <c r="D1649" s="219">
        <f t="shared" si="172"/>
        <v>-3.4072601557022736E-3</v>
      </c>
      <c r="F1649" s="40">
        <v>35531</v>
      </c>
      <c r="G1649" s="39">
        <v>3340.1</v>
      </c>
      <c r="H1649" s="39">
        <f t="shared" si="167"/>
        <v>5</v>
      </c>
      <c r="I1649" s="39">
        <f t="shared" si="168"/>
        <v>3340.1</v>
      </c>
      <c r="K1649" s="40"/>
      <c r="Q1649" s="40">
        <v>35531</v>
      </c>
      <c r="R1649" s="39">
        <v>3340.1</v>
      </c>
      <c r="S1649" s="39">
        <f t="shared" si="169"/>
        <v>4</v>
      </c>
      <c r="T1649" s="39">
        <f t="shared" si="170"/>
        <v>0</v>
      </c>
      <c r="U1649" s="39">
        <f t="shared" si="171"/>
        <v>0</v>
      </c>
      <c r="V1649" s="40"/>
    </row>
    <row r="1650" spans="2:22" x14ac:dyDescent="0.35">
      <c r="B1650" s="40">
        <v>35534</v>
      </c>
      <c r="C1650" s="39">
        <v>3279.9</v>
      </c>
      <c r="D1650" s="219">
        <f t="shared" si="172"/>
        <v>-1.8187812533761238E-2</v>
      </c>
      <c r="F1650" s="40">
        <v>35534</v>
      </c>
      <c r="G1650" s="39">
        <v>3279.9</v>
      </c>
      <c r="H1650" s="39">
        <f t="shared" si="167"/>
        <v>1</v>
      </c>
      <c r="I1650" s="39">
        <f t="shared" si="168"/>
        <v>0</v>
      </c>
      <c r="K1650" s="40"/>
      <c r="Q1650" s="40">
        <v>35534</v>
      </c>
      <c r="R1650" s="39">
        <v>3279.9</v>
      </c>
      <c r="S1650" s="39">
        <f t="shared" si="169"/>
        <v>4</v>
      </c>
      <c r="T1650" s="39">
        <f t="shared" si="170"/>
        <v>0</v>
      </c>
      <c r="U1650" s="39">
        <f t="shared" si="171"/>
        <v>0</v>
      </c>
      <c r="V1650" s="40"/>
    </row>
    <row r="1651" spans="2:22" x14ac:dyDescent="0.35">
      <c r="B1651" s="40">
        <v>35535</v>
      </c>
      <c r="C1651" s="39">
        <v>3327.7</v>
      </c>
      <c r="D1651" s="219">
        <f t="shared" si="172"/>
        <v>1.4468440538545783E-2</v>
      </c>
      <c r="F1651" s="40">
        <v>35535</v>
      </c>
      <c r="G1651" s="39">
        <v>3327.7</v>
      </c>
      <c r="H1651" s="39">
        <f t="shared" si="167"/>
        <v>2</v>
      </c>
      <c r="I1651" s="39">
        <f t="shared" si="168"/>
        <v>0</v>
      </c>
      <c r="K1651" s="40"/>
      <c r="Q1651" s="40">
        <v>35535</v>
      </c>
      <c r="R1651" s="39">
        <v>3327.7</v>
      </c>
      <c r="S1651" s="39">
        <f t="shared" si="169"/>
        <v>4</v>
      </c>
      <c r="T1651" s="39">
        <f t="shared" si="170"/>
        <v>0</v>
      </c>
      <c r="U1651" s="39">
        <f t="shared" si="171"/>
        <v>0</v>
      </c>
      <c r="V1651" s="40"/>
    </row>
    <row r="1652" spans="2:22" x14ac:dyDescent="0.35">
      <c r="B1652" s="40">
        <v>35536</v>
      </c>
      <c r="C1652" s="39">
        <v>3353.5</v>
      </c>
      <c r="D1652" s="219">
        <f t="shared" si="172"/>
        <v>7.7232018926973785E-3</v>
      </c>
      <c r="F1652" s="40">
        <v>35536</v>
      </c>
      <c r="G1652" s="39">
        <v>3353.5</v>
      </c>
      <c r="H1652" s="39">
        <f t="shared" si="167"/>
        <v>3</v>
      </c>
      <c r="I1652" s="39">
        <f t="shared" si="168"/>
        <v>0</v>
      </c>
      <c r="K1652" s="40"/>
      <c r="Q1652" s="40">
        <v>35536</v>
      </c>
      <c r="R1652" s="39">
        <v>3353.5</v>
      </c>
      <c r="S1652" s="39">
        <f t="shared" si="169"/>
        <v>4</v>
      </c>
      <c r="T1652" s="39">
        <f t="shared" si="170"/>
        <v>0</v>
      </c>
      <c r="U1652" s="39">
        <f t="shared" si="171"/>
        <v>0</v>
      </c>
      <c r="V1652" s="40"/>
    </row>
    <row r="1653" spans="2:22" x14ac:dyDescent="0.35">
      <c r="B1653" s="40">
        <v>35537</v>
      </c>
      <c r="C1653" s="39">
        <v>3383.3</v>
      </c>
      <c r="D1653" s="219">
        <f t="shared" si="172"/>
        <v>8.8469879967497094E-3</v>
      </c>
      <c r="F1653" s="40">
        <v>35537</v>
      </c>
      <c r="G1653" s="39">
        <v>3383.3</v>
      </c>
      <c r="H1653" s="39">
        <f t="shared" si="167"/>
        <v>4</v>
      </c>
      <c r="I1653" s="39">
        <f t="shared" si="168"/>
        <v>0</v>
      </c>
      <c r="K1653" s="40"/>
      <c r="Q1653" s="40">
        <v>35537</v>
      </c>
      <c r="R1653" s="39">
        <v>3383.3</v>
      </c>
      <c r="S1653" s="39">
        <f t="shared" si="169"/>
        <v>4</v>
      </c>
      <c r="T1653" s="39">
        <f t="shared" si="170"/>
        <v>0</v>
      </c>
      <c r="U1653" s="39">
        <f t="shared" si="171"/>
        <v>0</v>
      </c>
      <c r="V1653" s="40"/>
    </row>
    <row r="1654" spans="2:22" x14ac:dyDescent="0.35">
      <c r="B1654" s="40">
        <v>35538</v>
      </c>
      <c r="C1654" s="39">
        <v>3344.4</v>
      </c>
      <c r="D1654" s="219">
        <f t="shared" si="172"/>
        <v>-1.1564259260638747E-2</v>
      </c>
      <c r="F1654" s="40">
        <v>35538</v>
      </c>
      <c r="G1654" s="39">
        <v>3344.4</v>
      </c>
      <c r="H1654" s="39">
        <f t="shared" si="167"/>
        <v>5</v>
      </c>
      <c r="I1654" s="39">
        <f t="shared" si="168"/>
        <v>3344.4</v>
      </c>
      <c r="K1654" s="40"/>
      <c r="Q1654" s="40">
        <v>35538</v>
      </c>
      <c r="R1654" s="39">
        <v>3344.4</v>
      </c>
      <c r="S1654" s="39">
        <f t="shared" si="169"/>
        <v>4</v>
      </c>
      <c r="T1654" s="39">
        <f t="shared" si="170"/>
        <v>0</v>
      </c>
      <c r="U1654" s="39">
        <f t="shared" si="171"/>
        <v>0</v>
      </c>
      <c r="V1654" s="40"/>
    </row>
    <row r="1655" spans="2:22" x14ac:dyDescent="0.35">
      <c r="B1655" s="40">
        <v>35541</v>
      </c>
      <c r="C1655" s="39">
        <v>3347.6</v>
      </c>
      <c r="D1655" s="219">
        <f t="shared" si="172"/>
        <v>9.5636588281610964E-4</v>
      </c>
      <c r="F1655" s="40">
        <v>35541</v>
      </c>
      <c r="G1655" s="39">
        <v>3347.6</v>
      </c>
      <c r="H1655" s="39">
        <f t="shared" ref="H1655:H1718" si="173">WEEKDAY(F1655,2)</f>
        <v>1</v>
      </c>
      <c r="I1655" s="39">
        <f t="shared" ref="I1655:I1718" si="174">IF(H1655&gt;H1656,G1655,0)</f>
        <v>0</v>
      </c>
      <c r="K1655" s="40"/>
      <c r="Q1655" s="40">
        <v>35541</v>
      </c>
      <c r="R1655" s="39">
        <v>3347.6</v>
      </c>
      <c r="S1655" s="39">
        <f t="shared" ref="S1655:S1718" si="175">MONTH(Q1655)</f>
        <v>4</v>
      </c>
      <c r="T1655" s="39">
        <f t="shared" ref="T1655:T1718" si="176">IF(S1656&lt;&gt;S1655,R1655,0)</f>
        <v>0</v>
      </c>
      <c r="U1655" s="39">
        <f t="shared" ref="U1655:U1718" si="177">IF(S1656=S1655,0,R1655)</f>
        <v>0</v>
      </c>
      <c r="V1655" s="40"/>
    </row>
    <row r="1656" spans="2:22" x14ac:dyDescent="0.35">
      <c r="B1656" s="40">
        <v>35542</v>
      </c>
      <c r="C1656" s="39">
        <v>3340.3</v>
      </c>
      <c r="D1656" s="219">
        <f t="shared" ref="D1656:D1719" si="178">LN(C1656/C1655)</f>
        <v>-2.1830478622983296E-3</v>
      </c>
      <c r="F1656" s="40">
        <v>35542</v>
      </c>
      <c r="G1656" s="39">
        <v>3340.3</v>
      </c>
      <c r="H1656" s="39">
        <f t="shared" si="173"/>
        <v>2</v>
      </c>
      <c r="I1656" s="39">
        <f t="shared" si="174"/>
        <v>0</v>
      </c>
      <c r="K1656" s="40"/>
      <c r="Q1656" s="40">
        <v>35542</v>
      </c>
      <c r="R1656" s="39">
        <v>3340.3</v>
      </c>
      <c r="S1656" s="39">
        <f t="shared" si="175"/>
        <v>4</v>
      </c>
      <c r="T1656" s="39">
        <f t="shared" si="176"/>
        <v>0</v>
      </c>
      <c r="U1656" s="39">
        <f t="shared" si="177"/>
        <v>0</v>
      </c>
      <c r="V1656" s="40"/>
    </row>
    <row r="1657" spans="2:22" x14ac:dyDescent="0.35">
      <c r="B1657" s="40">
        <v>35543</v>
      </c>
      <c r="C1657" s="39">
        <v>3396</v>
      </c>
      <c r="D1657" s="219">
        <f t="shared" si="178"/>
        <v>1.6537645134817279E-2</v>
      </c>
      <c r="F1657" s="40">
        <v>35543</v>
      </c>
      <c r="G1657" s="39">
        <v>3396</v>
      </c>
      <c r="H1657" s="39">
        <f t="shared" si="173"/>
        <v>3</v>
      </c>
      <c r="I1657" s="39">
        <f t="shared" si="174"/>
        <v>0</v>
      </c>
      <c r="K1657" s="40"/>
      <c r="Q1657" s="40">
        <v>35543</v>
      </c>
      <c r="R1657" s="39">
        <v>3396</v>
      </c>
      <c r="S1657" s="39">
        <f t="shared" si="175"/>
        <v>4</v>
      </c>
      <c r="T1657" s="39">
        <f t="shared" si="176"/>
        <v>0</v>
      </c>
      <c r="U1657" s="39">
        <f t="shared" si="177"/>
        <v>0</v>
      </c>
      <c r="V1657" s="40"/>
    </row>
    <row r="1658" spans="2:22" x14ac:dyDescent="0.35">
      <c r="B1658" s="40">
        <v>35544</v>
      </c>
      <c r="C1658" s="39">
        <v>3397.4</v>
      </c>
      <c r="D1658" s="219">
        <f t="shared" si="178"/>
        <v>4.1216475397272862E-4</v>
      </c>
      <c r="F1658" s="40">
        <v>35544</v>
      </c>
      <c r="G1658" s="39">
        <v>3397.4</v>
      </c>
      <c r="H1658" s="39">
        <f t="shared" si="173"/>
        <v>4</v>
      </c>
      <c r="I1658" s="39">
        <f t="shared" si="174"/>
        <v>0</v>
      </c>
      <c r="K1658" s="40"/>
      <c r="Q1658" s="40">
        <v>35544</v>
      </c>
      <c r="R1658" s="39">
        <v>3397.4</v>
      </c>
      <c r="S1658" s="39">
        <f t="shared" si="175"/>
        <v>4</v>
      </c>
      <c r="T1658" s="39">
        <f t="shared" si="176"/>
        <v>0</v>
      </c>
      <c r="U1658" s="39">
        <f t="shared" si="177"/>
        <v>0</v>
      </c>
      <c r="V1658" s="40"/>
    </row>
    <row r="1659" spans="2:22" x14ac:dyDescent="0.35">
      <c r="B1659" s="40">
        <v>35545</v>
      </c>
      <c r="C1659" s="39">
        <v>3374.1</v>
      </c>
      <c r="D1659" s="219">
        <f t="shared" si="178"/>
        <v>-6.8818111071250526E-3</v>
      </c>
      <c r="F1659" s="40">
        <v>35545</v>
      </c>
      <c r="G1659" s="39">
        <v>3374.1</v>
      </c>
      <c r="H1659" s="39">
        <f t="shared" si="173"/>
        <v>5</v>
      </c>
      <c r="I1659" s="39">
        <f t="shared" si="174"/>
        <v>3374.1</v>
      </c>
      <c r="K1659" s="40"/>
      <c r="Q1659" s="40">
        <v>35545</v>
      </c>
      <c r="R1659" s="39">
        <v>3374.1</v>
      </c>
      <c r="S1659" s="39">
        <f t="shared" si="175"/>
        <v>4</v>
      </c>
      <c r="T1659" s="39">
        <f t="shared" si="176"/>
        <v>0</v>
      </c>
      <c r="U1659" s="39">
        <f t="shared" si="177"/>
        <v>0</v>
      </c>
      <c r="V1659" s="40"/>
    </row>
    <row r="1660" spans="2:22" x14ac:dyDescent="0.35">
      <c r="B1660" s="40">
        <v>35548</v>
      </c>
      <c r="C1660" s="39">
        <v>3363.1</v>
      </c>
      <c r="D1660" s="219">
        <f t="shared" si="178"/>
        <v>-3.2654544245655087E-3</v>
      </c>
      <c r="F1660" s="40">
        <v>35548</v>
      </c>
      <c r="G1660" s="39">
        <v>3363.1</v>
      </c>
      <c r="H1660" s="39">
        <f t="shared" si="173"/>
        <v>1</v>
      </c>
      <c r="I1660" s="39">
        <f t="shared" si="174"/>
        <v>0</v>
      </c>
      <c r="K1660" s="40"/>
      <c r="Q1660" s="40">
        <v>35548</v>
      </c>
      <c r="R1660" s="39">
        <v>3363.1</v>
      </c>
      <c r="S1660" s="39">
        <f t="shared" si="175"/>
        <v>4</v>
      </c>
      <c r="T1660" s="39">
        <f t="shared" si="176"/>
        <v>0</v>
      </c>
      <c r="U1660" s="39">
        <f t="shared" si="177"/>
        <v>0</v>
      </c>
      <c r="V1660" s="40"/>
    </row>
    <row r="1661" spans="2:22" x14ac:dyDescent="0.35">
      <c r="B1661" s="40">
        <v>35549</v>
      </c>
      <c r="C1661" s="39">
        <v>3383.2</v>
      </c>
      <c r="D1661" s="219">
        <f t="shared" si="178"/>
        <v>5.9588395047585757E-3</v>
      </c>
      <c r="F1661" s="40">
        <v>35549</v>
      </c>
      <c r="G1661" s="39">
        <v>3383.2</v>
      </c>
      <c r="H1661" s="39">
        <f t="shared" si="173"/>
        <v>2</v>
      </c>
      <c r="I1661" s="39">
        <f t="shared" si="174"/>
        <v>0</v>
      </c>
      <c r="K1661" s="40"/>
      <c r="Q1661" s="40">
        <v>35549</v>
      </c>
      <c r="R1661" s="39">
        <v>3383.2</v>
      </c>
      <c r="S1661" s="39">
        <f t="shared" si="175"/>
        <v>4</v>
      </c>
      <c r="T1661" s="39">
        <f t="shared" si="176"/>
        <v>0</v>
      </c>
      <c r="U1661" s="39">
        <f t="shared" si="177"/>
        <v>0</v>
      </c>
      <c r="V1661" s="40"/>
    </row>
    <row r="1662" spans="2:22" x14ac:dyDescent="0.35">
      <c r="B1662" s="40">
        <v>35550</v>
      </c>
      <c r="C1662" s="39">
        <v>3438.1</v>
      </c>
      <c r="D1662" s="219">
        <f t="shared" si="178"/>
        <v>1.6096986039807866E-2</v>
      </c>
      <c r="F1662" s="40">
        <v>35550</v>
      </c>
      <c r="G1662" s="39">
        <v>3438.1</v>
      </c>
      <c r="H1662" s="39">
        <f t="shared" si="173"/>
        <v>3</v>
      </c>
      <c r="I1662" s="39">
        <f t="shared" si="174"/>
        <v>0</v>
      </c>
      <c r="K1662" s="40"/>
      <c r="Q1662" s="40">
        <v>35550</v>
      </c>
      <c r="R1662" s="39">
        <v>3438.1</v>
      </c>
      <c r="S1662" s="39">
        <f t="shared" si="175"/>
        <v>4</v>
      </c>
      <c r="T1662" s="39">
        <f t="shared" si="176"/>
        <v>3438.1</v>
      </c>
      <c r="U1662" s="39">
        <f t="shared" si="177"/>
        <v>3438.1</v>
      </c>
      <c r="V1662" s="40"/>
    </row>
    <row r="1663" spans="2:22" x14ac:dyDescent="0.35">
      <c r="B1663" s="40">
        <v>35552</v>
      </c>
      <c r="C1663" s="39">
        <v>3460.4</v>
      </c>
      <c r="D1663" s="219">
        <f t="shared" si="178"/>
        <v>6.4651961081326091E-3</v>
      </c>
      <c r="F1663" s="40">
        <v>35552</v>
      </c>
      <c r="G1663" s="39">
        <v>3460.4</v>
      </c>
      <c r="H1663" s="39">
        <f t="shared" si="173"/>
        <v>5</v>
      </c>
      <c r="I1663" s="39">
        <f t="shared" si="174"/>
        <v>3460.4</v>
      </c>
      <c r="K1663" s="40"/>
      <c r="Q1663" s="40">
        <v>35552</v>
      </c>
      <c r="R1663" s="39">
        <v>3460.4</v>
      </c>
      <c r="S1663" s="39">
        <f t="shared" si="175"/>
        <v>5</v>
      </c>
      <c r="T1663" s="39">
        <f t="shared" si="176"/>
        <v>0</v>
      </c>
      <c r="U1663" s="39">
        <f t="shared" si="177"/>
        <v>0</v>
      </c>
      <c r="V1663" s="40"/>
    </row>
    <row r="1664" spans="2:22" x14ac:dyDescent="0.35">
      <c r="B1664" s="40">
        <v>35555</v>
      </c>
      <c r="C1664" s="39">
        <v>3528.8</v>
      </c>
      <c r="D1664" s="219">
        <f t="shared" si="178"/>
        <v>1.9573680484510768E-2</v>
      </c>
      <c r="F1664" s="40">
        <v>35555</v>
      </c>
      <c r="G1664" s="39">
        <v>3528.8</v>
      </c>
      <c r="H1664" s="39">
        <f t="shared" si="173"/>
        <v>1</v>
      </c>
      <c r="I1664" s="39">
        <f t="shared" si="174"/>
        <v>0</v>
      </c>
      <c r="K1664" s="40"/>
      <c r="Q1664" s="40">
        <v>35555</v>
      </c>
      <c r="R1664" s="39">
        <v>3528.8</v>
      </c>
      <c r="S1664" s="39">
        <f t="shared" si="175"/>
        <v>5</v>
      </c>
      <c r="T1664" s="39">
        <f t="shared" si="176"/>
        <v>0</v>
      </c>
      <c r="U1664" s="39">
        <f t="shared" si="177"/>
        <v>0</v>
      </c>
      <c r="V1664" s="40"/>
    </row>
    <row r="1665" spans="2:22" x14ac:dyDescent="0.35">
      <c r="B1665" s="40">
        <v>35556</v>
      </c>
      <c r="C1665" s="39">
        <v>3568.3</v>
      </c>
      <c r="D1665" s="219">
        <f t="shared" si="178"/>
        <v>1.1131422092073373E-2</v>
      </c>
      <c r="F1665" s="40">
        <v>35556</v>
      </c>
      <c r="G1665" s="39">
        <v>3568.3</v>
      </c>
      <c r="H1665" s="39">
        <f t="shared" si="173"/>
        <v>2</v>
      </c>
      <c r="I1665" s="39">
        <f t="shared" si="174"/>
        <v>0</v>
      </c>
      <c r="K1665" s="40"/>
      <c r="Q1665" s="40">
        <v>35556</v>
      </c>
      <c r="R1665" s="39">
        <v>3568.3</v>
      </c>
      <c r="S1665" s="39">
        <f t="shared" si="175"/>
        <v>5</v>
      </c>
      <c r="T1665" s="39">
        <f t="shared" si="176"/>
        <v>0</v>
      </c>
      <c r="U1665" s="39">
        <f t="shared" si="177"/>
        <v>0</v>
      </c>
      <c r="V1665" s="40"/>
    </row>
    <row r="1666" spans="2:22" x14ac:dyDescent="0.35">
      <c r="B1666" s="40">
        <v>35557</v>
      </c>
      <c r="C1666" s="39">
        <v>3552</v>
      </c>
      <c r="D1666" s="219">
        <f t="shared" si="178"/>
        <v>-4.5784667707427984E-3</v>
      </c>
      <c r="F1666" s="40">
        <v>35557</v>
      </c>
      <c r="G1666" s="39">
        <v>3552</v>
      </c>
      <c r="H1666" s="39">
        <f t="shared" si="173"/>
        <v>3</v>
      </c>
      <c r="I1666" s="39">
        <f t="shared" si="174"/>
        <v>0</v>
      </c>
      <c r="K1666" s="40"/>
      <c r="Q1666" s="40">
        <v>35557</v>
      </c>
      <c r="R1666" s="39">
        <v>3552</v>
      </c>
      <c r="S1666" s="39">
        <f t="shared" si="175"/>
        <v>5</v>
      </c>
      <c r="T1666" s="39">
        <f t="shared" si="176"/>
        <v>0</v>
      </c>
      <c r="U1666" s="39">
        <f t="shared" si="177"/>
        <v>0</v>
      </c>
      <c r="V1666" s="40"/>
    </row>
    <row r="1667" spans="2:22" x14ac:dyDescent="0.35">
      <c r="B1667" s="40">
        <v>35559</v>
      </c>
      <c r="C1667" s="39">
        <v>3562.4</v>
      </c>
      <c r="D1667" s="219">
        <f t="shared" si="178"/>
        <v>2.9236498954319646E-3</v>
      </c>
      <c r="F1667" s="40">
        <v>35559</v>
      </c>
      <c r="G1667" s="39">
        <v>3562.4</v>
      </c>
      <c r="H1667" s="39">
        <f t="shared" si="173"/>
        <v>5</v>
      </c>
      <c r="I1667" s="39">
        <f t="shared" si="174"/>
        <v>3562.4</v>
      </c>
      <c r="K1667" s="40"/>
      <c r="Q1667" s="40">
        <v>35559</v>
      </c>
      <c r="R1667" s="39">
        <v>3562.4</v>
      </c>
      <c r="S1667" s="39">
        <f t="shared" si="175"/>
        <v>5</v>
      </c>
      <c r="T1667" s="39">
        <f t="shared" si="176"/>
        <v>0</v>
      </c>
      <c r="U1667" s="39">
        <f t="shared" si="177"/>
        <v>0</v>
      </c>
      <c r="V1667" s="40"/>
    </row>
    <row r="1668" spans="2:22" x14ac:dyDescent="0.35">
      <c r="B1668" s="40">
        <v>35562</v>
      </c>
      <c r="C1668" s="39">
        <v>3575.4</v>
      </c>
      <c r="D1668" s="219">
        <f t="shared" si="178"/>
        <v>3.6425829734955148E-3</v>
      </c>
      <c r="F1668" s="40">
        <v>35562</v>
      </c>
      <c r="G1668" s="39">
        <v>3575.4</v>
      </c>
      <c r="H1668" s="39">
        <f t="shared" si="173"/>
        <v>1</v>
      </c>
      <c r="I1668" s="39">
        <f t="shared" si="174"/>
        <v>0</v>
      </c>
      <c r="K1668" s="40"/>
      <c r="Q1668" s="40">
        <v>35562</v>
      </c>
      <c r="R1668" s="39">
        <v>3575.4</v>
      </c>
      <c r="S1668" s="39">
        <f t="shared" si="175"/>
        <v>5</v>
      </c>
      <c r="T1668" s="39">
        <f t="shared" si="176"/>
        <v>0</v>
      </c>
      <c r="U1668" s="39">
        <f t="shared" si="177"/>
        <v>0</v>
      </c>
      <c r="V1668" s="40"/>
    </row>
    <row r="1669" spans="2:22" x14ac:dyDescent="0.35">
      <c r="B1669" s="40">
        <v>35563</v>
      </c>
      <c r="C1669" s="39">
        <v>3595.2</v>
      </c>
      <c r="D1669" s="219">
        <f t="shared" si="178"/>
        <v>5.5225644500764316E-3</v>
      </c>
      <c r="F1669" s="40">
        <v>35563</v>
      </c>
      <c r="G1669" s="39">
        <v>3595.2</v>
      </c>
      <c r="H1669" s="39">
        <f t="shared" si="173"/>
        <v>2</v>
      </c>
      <c r="I1669" s="39">
        <f t="shared" si="174"/>
        <v>0</v>
      </c>
      <c r="K1669" s="40"/>
      <c r="Q1669" s="40">
        <v>35563</v>
      </c>
      <c r="R1669" s="39">
        <v>3595.2</v>
      </c>
      <c r="S1669" s="39">
        <f t="shared" si="175"/>
        <v>5</v>
      </c>
      <c r="T1669" s="39">
        <f t="shared" si="176"/>
        <v>0</v>
      </c>
      <c r="U1669" s="39">
        <f t="shared" si="177"/>
        <v>0</v>
      </c>
      <c r="V1669" s="40"/>
    </row>
    <row r="1670" spans="2:22" x14ac:dyDescent="0.35">
      <c r="B1670" s="40">
        <v>35564</v>
      </c>
      <c r="C1670" s="39">
        <v>3573.7</v>
      </c>
      <c r="D1670" s="219">
        <f t="shared" si="178"/>
        <v>-5.9981487983279845E-3</v>
      </c>
      <c r="F1670" s="40">
        <v>35564</v>
      </c>
      <c r="G1670" s="39">
        <v>3573.7</v>
      </c>
      <c r="H1670" s="39">
        <f t="shared" si="173"/>
        <v>3</v>
      </c>
      <c r="I1670" s="39">
        <f t="shared" si="174"/>
        <v>0</v>
      </c>
      <c r="K1670" s="40"/>
      <c r="Q1670" s="40">
        <v>35564</v>
      </c>
      <c r="R1670" s="39">
        <v>3573.7</v>
      </c>
      <c r="S1670" s="39">
        <f t="shared" si="175"/>
        <v>5</v>
      </c>
      <c r="T1670" s="39">
        <f t="shared" si="176"/>
        <v>0</v>
      </c>
      <c r="U1670" s="39">
        <f t="shared" si="177"/>
        <v>0</v>
      </c>
      <c r="V1670" s="40"/>
    </row>
    <row r="1671" spans="2:22" x14ac:dyDescent="0.35">
      <c r="B1671" s="40">
        <v>35565</v>
      </c>
      <c r="C1671" s="39">
        <v>3562.1</v>
      </c>
      <c r="D1671" s="219">
        <f t="shared" si="178"/>
        <v>-3.2512150615349815E-3</v>
      </c>
      <c r="F1671" s="40">
        <v>35565</v>
      </c>
      <c r="G1671" s="39">
        <v>3562.1</v>
      </c>
      <c r="H1671" s="39">
        <f t="shared" si="173"/>
        <v>4</v>
      </c>
      <c r="I1671" s="39">
        <f t="shared" si="174"/>
        <v>0</v>
      </c>
      <c r="K1671" s="40"/>
      <c r="Q1671" s="40">
        <v>35565</v>
      </c>
      <c r="R1671" s="39">
        <v>3562.1</v>
      </c>
      <c r="S1671" s="39">
        <f t="shared" si="175"/>
        <v>5</v>
      </c>
      <c r="T1671" s="39">
        <f t="shared" si="176"/>
        <v>0</v>
      </c>
      <c r="U1671" s="39">
        <f t="shared" si="177"/>
        <v>0</v>
      </c>
      <c r="V1671" s="40"/>
    </row>
    <row r="1672" spans="2:22" x14ac:dyDescent="0.35">
      <c r="B1672" s="40">
        <v>35566</v>
      </c>
      <c r="C1672" s="39">
        <v>3604.6</v>
      </c>
      <c r="D1672" s="219">
        <f t="shared" si="178"/>
        <v>1.1860548987503147E-2</v>
      </c>
      <c r="F1672" s="40">
        <v>35566</v>
      </c>
      <c r="G1672" s="39">
        <v>3604.6</v>
      </c>
      <c r="H1672" s="39">
        <f t="shared" si="173"/>
        <v>5</v>
      </c>
      <c r="I1672" s="39">
        <f t="shared" si="174"/>
        <v>3604.6</v>
      </c>
      <c r="K1672" s="40"/>
      <c r="Q1672" s="40">
        <v>35566</v>
      </c>
      <c r="R1672" s="39">
        <v>3604.6</v>
      </c>
      <c r="S1672" s="39">
        <f t="shared" si="175"/>
        <v>5</v>
      </c>
      <c r="T1672" s="39">
        <f t="shared" si="176"/>
        <v>0</v>
      </c>
      <c r="U1672" s="39">
        <f t="shared" si="177"/>
        <v>0</v>
      </c>
      <c r="V1672" s="40"/>
    </row>
    <row r="1673" spans="2:22" x14ac:dyDescent="0.35">
      <c r="B1673" s="40">
        <v>35570</v>
      </c>
      <c r="C1673" s="39">
        <v>3543.4</v>
      </c>
      <c r="D1673" s="219">
        <f t="shared" si="178"/>
        <v>-1.7124089392367783E-2</v>
      </c>
      <c r="F1673" s="40">
        <v>35570</v>
      </c>
      <c r="G1673" s="39">
        <v>3543.4</v>
      </c>
      <c r="H1673" s="39">
        <f t="shared" si="173"/>
        <v>2</v>
      </c>
      <c r="I1673" s="39">
        <f t="shared" si="174"/>
        <v>0</v>
      </c>
      <c r="K1673" s="40"/>
      <c r="Q1673" s="40">
        <v>35570</v>
      </c>
      <c r="R1673" s="39">
        <v>3543.4</v>
      </c>
      <c r="S1673" s="39">
        <f t="shared" si="175"/>
        <v>5</v>
      </c>
      <c r="T1673" s="39">
        <f t="shared" si="176"/>
        <v>0</v>
      </c>
      <c r="U1673" s="39">
        <f t="shared" si="177"/>
        <v>0</v>
      </c>
      <c r="V1673" s="40"/>
    </row>
    <row r="1674" spans="2:22" x14ac:dyDescent="0.35">
      <c r="B1674" s="40">
        <v>35571</v>
      </c>
      <c r="C1674" s="39">
        <v>3596.1</v>
      </c>
      <c r="D1674" s="219">
        <f t="shared" si="178"/>
        <v>1.4763206714826883E-2</v>
      </c>
      <c r="F1674" s="40">
        <v>35571</v>
      </c>
      <c r="G1674" s="39">
        <v>3596.1</v>
      </c>
      <c r="H1674" s="39">
        <f t="shared" si="173"/>
        <v>3</v>
      </c>
      <c r="I1674" s="39">
        <f t="shared" si="174"/>
        <v>0</v>
      </c>
      <c r="K1674" s="40"/>
      <c r="Q1674" s="40">
        <v>35571</v>
      </c>
      <c r="R1674" s="39">
        <v>3596.1</v>
      </c>
      <c r="S1674" s="39">
        <f t="shared" si="175"/>
        <v>5</v>
      </c>
      <c r="T1674" s="39">
        <f t="shared" si="176"/>
        <v>0</v>
      </c>
      <c r="U1674" s="39">
        <f t="shared" si="177"/>
        <v>0</v>
      </c>
      <c r="V1674" s="40"/>
    </row>
    <row r="1675" spans="2:22" x14ac:dyDescent="0.35">
      <c r="B1675" s="40">
        <v>35572</v>
      </c>
      <c r="C1675" s="39">
        <v>3579.4</v>
      </c>
      <c r="D1675" s="219">
        <f t="shared" si="178"/>
        <v>-4.6547362978558646E-3</v>
      </c>
      <c r="F1675" s="40">
        <v>35572</v>
      </c>
      <c r="G1675" s="39">
        <v>3579.4</v>
      </c>
      <c r="H1675" s="39">
        <f t="shared" si="173"/>
        <v>4</v>
      </c>
      <c r="I1675" s="39">
        <f t="shared" si="174"/>
        <v>0</v>
      </c>
      <c r="K1675" s="40"/>
      <c r="Q1675" s="40">
        <v>35572</v>
      </c>
      <c r="R1675" s="39">
        <v>3579.4</v>
      </c>
      <c r="S1675" s="39">
        <f t="shared" si="175"/>
        <v>5</v>
      </c>
      <c r="T1675" s="39">
        <f t="shared" si="176"/>
        <v>0</v>
      </c>
      <c r="U1675" s="39">
        <f t="shared" si="177"/>
        <v>0</v>
      </c>
      <c r="V1675" s="40"/>
    </row>
    <row r="1676" spans="2:22" x14ac:dyDescent="0.35">
      <c r="B1676" s="40">
        <v>35573</v>
      </c>
      <c r="C1676" s="39">
        <v>3602.2</v>
      </c>
      <c r="D1676" s="219">
        <f t="shared" si="178"/>
        <v>6.3495813196489566E-3</v>
      </c>
      <c r="F1676" s="40">
        <v>35573</v>
      </c>
      <c r="G1676" s="39">
        <v>3602.2</v>
      </c>
      <c r="H1676" s="39">
        <f t="shared" si="173"/>
        <v>5</v>
      </c>
      <c r="I1676" s="39">
        <f t="shared" si="174"/>
        <v>3602.2</v>
      </c>
      <c r="K1676" s="40"/>
      <c r="Q1676" s="40">
        <v>35573</v>
      </c>
      <c r="R1676" s="39">
        <v>3602.2</v>
      </c>
      <c r="S1676" s="39">
        <f t="shared" si="175"/>
        <v>5</v>
      </c>
      <c r="T1676" s="39">
        <f t="shared" si="176"/>
        <v>0</v>
      </c>
      <c r="U1676" s="39">
        <f t="shared" si="177"/>
        <v>0</v>
      </c>
      <c r="V1676" s="40"/>
    </row>
    <row r="1677" spans="2:22" x14ac:dyDescent="0.35">
      <c r="B1677" s="40">
        <v>35576</v>
      </c>
      <c r="C1677" s="39">
        <v>3657.9</v>
      </c>
      <c r="D1677" s="219">
        <f t="shared" si="178"/>
        <v>1.534444233137163E-2</v>
      </c>
      <c r="F1677" s="40">
        <v>35576</v>
      </c>
      <c r="G1677" s="39">
        <v>3657.9</v>
      </c>
      <c r="H1677" s="39">
        <f t="shared" si="173"/>
        <v>1</v>
      </c>
      <c r="I1677" s="39">
        <f t="shared" si="174"/>
        <v>0</v>
      </c>
      <c r="K1677" s="40"/>
      <c r="Q1677" s="40">
        <v>35576</v>
      </c>
      <c r="R1677" s="39">
        <v>3657.9</v>
      </c>
      <c r="S1677" s="39">
        <f t="shared" si="175"/>
        <v>5</v>
      </c>
      <c r="T1677" s="39">
        <f t="shared" si="176"/>
        <v>0</v>
      </c>
      <c r="U1677" s="39">
        <f t="shared" si="177"/>
        <v>0</v>
      </c>
      <c r="V1677" s="40"/>
    </row>
    <row r="1678" spans="2:22" x14ac:dyDescent="0.35">
      <c r="B1678" s="40">
        <v>35577</v>
      </c>
      <c r="C1678" s="39">
        <v>3674.4</v>
      </c>
      <c r="D1678" s="219">
        <f t="shared" si="178"/>
        <v>4.5006417772548253E-3</v>
      </c>
      <c r="F1678" s="40">
        <v>35577</v>
      </c>
      <c r="G1678" s="39">
        <v>3674.4</v>
      </c>
      <c r="H1678" s="39">
        <f t="shared" si="173"/>
        <v>2</v>
      </c>
      <c r="I1678" s="39">
        <f t="shared" si="174"/>
        <v>0</v>
      </c>
      <c r="K1678" s="40"/>
      <c r="Q1678" s="40">
        <v>35577</v>
      </c>
      <c r="R1678" s="39">
        <v>3674.4</v>
      </c>
      <c r="S1678" s="39">
        <f t="shared" si="175"/>
        <v>5</v>
      </c>
      <c r="T1678" s="39">
        <f t="shared" si="176"/>
        <v>0</v>
      </c>
      <c r="U1678" s="39">
        <f t="shared" si="177"/>
        <v>0</v>
      </c>
      <c r="V1678" s="40"/>
    </row>
    <row r="1679" spans="2:22" x14ac:dyDescent="0.35">
      <c r="B1679" s="40">
        <v>35578</v>
      </c>
      <c r="C1679" s="39">
        <v>3636.4</v>
      </c>
      <c r="D1679" s="219">
        <f t="shared" si="178"/>
        <v>-1.0395672763880578E-2</v>
      </c>
      <c r="F1679" s="40">
        <v>35578</v>
      </c>
      <c r="G1679" s="39">
        <v>3636.4</v>
      </c>
      <c r="H1679" s="39">
        <f t="shared" si="173"/>
        <v>3</v>
      </c>
      <c r="I1679" s="39">
        <f t="shared" si="174"/>
        <v>0</v>
      </c>
      <c r="K1679" s="40"/>
      <c r="Q1679" s="40">
        <v>35578</v>
      </c>
      <c r="R1679" s="39">
        <v>3636.4</v>
      </c>
      <c r="S1679" s="39">
        <f t="shared" si="175"/>
        <v>5</v>
      </c>
      <c r="T1679" s="39">
        <f t="shared" si="176"/>
        <v>0</v>
      </c>
      <c r="U1679" s="39">
        <f t="shared" si="177"/>
        <v>0</v>
      </c>
      <c r="V1679" s="40"/>
    </row>
    <row r="1680" spans="2:22" x14ac:dyDescent="0.35">
      <c r="B1680" s="40">
        <v>35580</v>
      </c>
      <c r="C1680" s="39">
        <v>3562.7</v>
      </c>
      <c r="D1680" s="219">
        <f t="shared" si="178"/>
        <v>-2.047549689573059E-2</v>
      </c>
      <c r="F1680" s="40">
        <v>35580</v>
      </c>
      <c r="G1680" s="39">
        <v>3562.7</v>
      </c>
      <c r="H1680" s="39">
        <f t="shared" si="173"/>
        <v>5</v>
      </c>
      <c r="I1680" s="39">
        <f t="shared" si="174"/>
        <v>3562.7</v>
      </c>
      <c r="K1680" s="40"/>
      <c r="Q1680" s="40">
        <v>35580</v>
      </c>
      <c r="R1680" s="39">
        <v>3562.7</v>
      </c>
      <c r="S1680" s="39">
        <f t="shared" si="175"/>
        <v>5</v>
      </c>
      <c r="T1680" s="39">
        <f t="shared" si="176"/>
        <v>3562.7</v>
      </c>
      <c r="U1680" s="39">
        <f t="shared" si="177"/>
        <v>3562.7</v>
      </c>
      <c r="V1680" s="40"/>
    </row>
    <row r="1681" spans="2:22" x14ac:dyDescent="0.35">
      <c r="B1681" s="40">
        <v>35583</v>
      </c>
      <c r="C1681" s="39">
        <v>3596.4</v>
      </c>
      <c r="D1681" s="219">
        <f t="shared" si="178"/>
        <v>9.4146607586453098E-3</v>
      </c>
      <c r="F1681" s="40">
        <v>35583</v>
      </c>
      <c r="G1681" s="39">
        <v>3596.4</v>
      </c>
      <c r="H1681" s="39">
        <f t="shared" si="173"/>
        <v>1</v>
      </c>
      <c r="I1681" s="39">
        <f t="shared" si="174"/>
        <v>0</v>
      </c>
      <c r="K1681" s="40"/>
      <c r="Q1681" s="40">
        <v>35583</v>
      </c>
      <c r="R1681" s="39">
        <v>3596.4</v>
      </c>
      <c r="S1681" s="39">
        <f t="shared" si="175"/>
        <v>6</v>
      </c>
      <c r="T1681" s="39">
        <f t="shared" si="176"/>
        <v>0</v>
      </c>
      <c r="U1681" s="39">
        <f t="shared" si="177"/>
        <v>0</v>
      </c>
      <c r="V1681" s="40"/>
    </row>
    <row r="1682" spans="2:22" x14ac:dyDescent="0.35">
      <c r="B1682" s="40">
        <v>35584</v>
      </c>
      <c r="C1682" s="39">
        <v>3655.6</v>
      </c>
      <c r="D1682" s="219">
        <f t="shared" si="178"/>
        <v>1.6326893287428666E-2</v>
      </c>
      <c r="F1682" s="40">
        <v>35584</v>
      </c>
      <c r="G1682" s="39">
        <v>3655.6</v>
      </c>
      <c r="H1682" s="39">
        <f t="shared" si="173"/>
        <v>2</v>
      </c>
      <c r="I1682" s="39">
        <f t="shared" si="174"/>
        <v>0</v>
      </c>
      <c r="K1682" s="40"/>
      <c r="Q1682" s="40">
        <v>35584</v>
      </c>
      <c r="R1682" s="39">
        <v>3655.6</v>
      </c>
      <c r="S1682" s="39">
        <f t="shared" si="175"/>
        <v>6</v>
      </c>
      <c r="T1682" s="39">
        <f t="shared" si="176"/>
        <v>0</v>
      </c>
      <c r="U1682" s="39">
        <f t="shared" si="177"/>
        <v>0</v>
      </c>
      <c r="V1682" s="40"/>
    </row>
    <row r="1683" spans="2:22" x14ac:dyDescent="0.35">
      <c r="B1683" s="40">
        <v>35585</v>
      </c>
      <c r="C1683" s="39">
        <v>3651.6</v>
      </c>
      <c r="D1683" s="219">
        <f t="shared" si="178"/>
        <v>-1.094810707120826E-3</v>
      </c>
      <c r="F1683" s="40">
        <v>35585</v>
      </c>
      <c r="G1683" s="39">
        <v>3651.6</v>
      </c>
      <c r="H1683" s="39">
        <f t="shared" si="173"/>
        <v>3</v>
      </c>
      <c r="I1683" s="39">
        <f t="shared" si="174"/>
        <v>0</v>
      </c>
      <c r="K1683" s="40"/>
      <c r="Q1683" s="40">
        <v>35585</v>
      </c>
      <c r="R1683" s="39">
        <v>3651.6</v>
      </c>
      <c r="S1683" s="39">
        <f t="shared" si="175"/>
        <v>6</v>
      </c>
      <c r="T1683" s="39">
        <f t="shared" si="176"/>
        <v>0</v>
      </c>
      <c r="U1683" s="39">
        <f t="shared" si="177"/>
        <v>0</v>
      </c>
      <c r="V1683" s="40"/>
    </row>
    <row r="1684" spans="2:22" x14ac:dyDescent="0.35">
      <c r="B1684" s="40">
        <v>35586</v>
      </c>
      <c r="C1684" s="39">
        <v>3684.6</v>
      </c>
      <c r="D1684" s="219">
        <f t="shared" si="178"/>
        <v>8.9965438724828751E-3</v>
      </c>
      <c r="F1684" s="40">
        <v>35586</v>
      </c>
      <c r="G1684" s="39">
        <v>3684.6</v>
      </c>
      <c r="H1684" s="39">
        <f t="shared" si="173"/>
        <v>4</v>
      </c>
      <c r="I1684" s="39">
        <f t="shared" si="174"/>
        <v>0</v>
      </c>
      <c r="K1684" s="40"/>
      <c r="Q1684" s="40">
        <v>35586</v>
      </c>
      <c r="R1684" s="39">
        <v>3684.6</v>
      </c>
      <c r="S1684" s="39">
        <f t="shared" si="175"/>
        <v>6</v>
      </c>
      <c r="T1684" s="39">
        <f t="shared" si="176"/>
        <v>0</v>
      </c>
      <c r="U1684" s="39">
        <f t="shared" si="177"/>
        <v>0</v>
      </c>
      <c r="V1684" s="40"/>
    </row>
    <row r="1685" spans="2:22" x14ac:dyDescent="0.35">
      <c r="B1685" s="40">
        <v>35587</v>
      </c>
      <c r="C1685" s="39">
        <v>3700.5</v>
      </c>
      <c r="D1685" s="219">
        <f t="shared" si="178"/>
        <v>4.3059740741125197E-3</v>
      </c>
      <c r="F1685" s="40">
        <v>35587</v>
      </c>
      <c r="G1685" s="39">
        <v>3700.5</v>
      </c>
      <c r="H1685" s="39">
        <f t="shared" si="173"/>
        <v>5</v>
      </c>
      <c r="I1685" s="39">
        <f t="shared" si="174"/>
        <v>3700.5</v>
      </c>
      <c r="K1685" s="40"/>
      <c r="Q1685" s="40">
        <v>35587</v>
      </c>
      <c r="R1685" s="39">
        <v>3700.5</v>
      </c>
      <c r="S1685" s="39">
        <f t="shared" si="175"/>
        <v>6</v>
      </c>
      <c r="T1685" s="39">
        <f t="shared" si="176"/>
        <v>0</v>
      </c>
      <c r="U1685" s="39">
        <f t="shared" si="177"/>
        <v>0</v>
      </c>
      <c r="V1685" s="40"/>
    </row>
    <row r="1686" spans="2:22" x14ac:dyDescent="0.35">
      <c r="B1686" s="40">
        <v>35590</v>
      </c>
      <c r="C1686" s="39">
        <v>3668.6</v>
      </c>
      <c r="D1686" s="219">
        <f t="shared" si="178"/>
        <v>-8.657827757270694E-3</v>
      </c>
      <c r="F1686" s="40">
        <v>35590</v>
      </c>
      <c r="G1686" s="39">
        <v>3668.6</v>
      </c>
      <c r="H1686" s="39">
        <f t="shared" si="173"/>
        <v>1</v>
      </c>
      <c r="I1686" s="39">
        <f t="shared" si="174"/>
        <v>0</v>
      </c>
      <c r="K1686" s="40"/>
      <c r="Q1686" s="40">
        <v>35590</v>
      </c>
      <c r="R1686" s="39">
        <v>3668.6</v>
      </c>
      <c r="S1686" s="39">
        <f t="shared" si="175"/>
        <v>6</v>
      </c>
      <c r="T1686" s="39">
        <f t="shared" si="176"/>
        <v>0</v>
      </c>
      <c r="U1686" s="39">
        <f t="shared" si="177"/>
        <v>0</v>
      </c>
      <c r="V1686" s="40"/>
    </row>
    <row r="1687" spans="2:22" x14ac:dyDescent="0.35">
      <c r="B1687" s="40">
        <v>35591</v>
      </c>
      <c r="C1687" s="39">
        <v>3671.2</v>
      </c>
      <c r="D1687" s="219">
        <f t="shared" si="178"/>
        <v>7.0846620037341745E-4</v>
      </c>
      <c r="F1687" s="40">
        <v>35591</v>
      </c>
      <c r="G1687" s="39">
        <v>3671.2</v>
      </c>
      <c r="H1687" s="39">
        <f t="shared" si="173"/>
        <v>2</v>
      </c>
      <c r="I1687" s="39">
        <f t="shared" si="174"/>
        <v>0</v>
      </c>
      <c r="K1687" s="40"/>
      <c r="Q1687" s="40">
        <v>35591</v>
      </c>
      <c r="R1687" s="39">
        <v>3671.2</v>
      </c>
      <c r="S1687" s="39">
        <f t="shared" si="175"/>
        <v>6</v>
      </c>
      <c r="T1687" s="39">
        <f t="shared" si="176"/>
        <v>0</v>
      </c>
      <c r="U1687" s="39">
        <f t="shared" si="177"/>
        <v>0</v>
      </c>
      <c r="V1687" s="40"/>
    </row>
    <row r="1688" spans="2:22" x14ac:dyDescent="0.35">
      <c r="B1688" s="40">
        <v>35592</v>
      </c>
      <c r="C1688" s="39">
        <v>3671.9</v>
      </c>
      <c r="D1688" s="219">
        <f t="shared" si="178"/>
        <v>1.906551734608805E-4</v>
      </c>
      <c r="F1688" s="40">
        <v>35592</v>
      </c>
      <c r="G1688" s="39">
        <v>3671.9</v>
      </c>
      <c r="H1688" s="39">
        <f t="shared" si="173"/>
        <v>3</v>
      </c>
      <c r="I1688" s="39">
        <f t="shared" si="174"/>
        <v>0</v>
      </c>
      <c r="K1688" s="40"/>
      <c r="Q1688" s="40">
        <v>35592</v>
      </c>
      <c r="R1688" s="39">
        <v>3671.9</v>
      </c>
      <c r="S1688" s="39">
        <f t="shared" si="175"/>
        <v>6</v>
      </c>
      <c r="T1688" s="39">
        <f t="shared" si="176"/>
        <v>0</v>
      </c>
      <c r="U1688" s="39">
        <f t="shared" si="177"/>
        <v>0</v>
      </c>
      <c r="V1688" s="40"/>
    </row>
    <row r="1689" spans="2:22" x14ac:dyDescent="0.35">
      <c r="B1689" s="40">
        <v>35593</v>
      </c>
      <c r="C1689" s="39">
        <v>3737.2</v>
      </c>
      <c r="D1689" s="219">
        <f t="shared" si="178"/>
        <v>1.7627428664715915E-2</v>
      </c>
      <c r="F1689" s="40">
        <v>35593</v>
      </c>
      <c r="G1689" s="39">
        <v>3737.2</v>
      </c>
      <c r="H1689" s="39">
        <f t="shared" si="173"/>
        <v>4</v>
      </c>
      <c r="I1689" s="39">
        <f t="shared" si="174"/>
        <v>0</v>
      </c>
      <c r="K1689" s="40"/>
      <c r="Q1689" s="40">
        <v>35593</v>
      </c>
      <c r="R1689" s="39">
        <v>3737.2</v>
      </c>
      <c r="S1689" s="39">
        <f t="shared" si="175"/>
        <v>6</v>
      </c>
      <c r="T1689" s="39">
        <f t="shared" si="176"/>
        <v>0</v>
      </c>
      <c r="U1689" s="39">
        <f t="shared" si="177"/>
        <v>0</v>
      </c>
      <c r="V1689" s="40"/>
    </row>
    <row r="1690" spans="2:22" x14ac:dyDescent="0.35">
      <c r="B1690" s="40">
        <v>35594</v>
      </c>
      <c r="C1690" s="39">
        <v>3752.4</v>
      </c>
      <c r="D1690" s="219">
        <f t="shared" si="178"/>
        <v>4.0589673329953372E-3</v>
      </c>
      <c r="F1690" s="40">
        <v>35594</v>
      </c>
      <c r="G1690" s="39">
        <v>3752.4</v>
      </c>
      <c r="H1690" s="39">
        <f t="shared" si="173"/>
        <v>5</v>
      </c>
      <c r="I1690" s="39">
        <f t="shared" si="174"/>
        <v>3752.4</v>
      </c>
      <c r="K1690" s="40"/>
      <c r="Q1690" s="40">
        <v>35594</v>
      </c>
      <c r="R1690" s="39">
        <v>3752.4</v>
      </c>
      <c r="S1690" s="39">
        <f t="shared" si="175"/>
        <v>6</v>
      </c>
      <c r="T1690" s="39">
        <f t="shared" si="176"/>
        <v>0</v>
      </c>
      <c r="U1690" s="39">
        <f t="shared" si="177"/>
        <v>0</v>
      </c>
      <c r="V1690" s="40"/>
    </row>
    <row r="1691" spans="2:22" x14ac:dyDescent="0.35">
      <c r="B1691" s="40">
        <v>35597</v>
      </c>
      <c r="C1691" s="39">
        <v>3750</v>
      </c>
      <c r="D1691" s="219">
        <f t="shared" si="178"/>
        <v>-6.3979528733946241E-4</v>
      </c>
      <c r="F1691" s="40">
        <v>35597</v>
      </c>
      <c r="G1691" s="39">
        <v>3750</v>
      </c>
      <c r="H1691" s="39">
        <f t="shared" si="173"/>
        <v>1</v>
      </c>
      <c r="I1691" s="39">
        <f t="shared" si="174"/>
        <v>0</v>
      </c>
      <c r="K1691" s="40"/>
      <c r="Q1691" s="40">
        <v>35597</v>
      </c>
      <c r="R1691" s="39">
        <v>3750</v>
      </c>
      <c r="S1691" s="39">
        <f t="shared" si="175"/>
        <v>6</v>
      </c>
      <c r="T1691" s="39">
        <f t="shared" si="176"/>
        <v>0</v>
      </c>
      <c r="U1691" s="39">
        <f t="shared" si="177"/>
        <v>0</v>
      </c>
      <c r="V1691" s="40"/>
    </row>
    <row r="1692" spans="2:22" x14ac:dyDescent="0.35">
      <c r="B1692" s="40">
        <v>35598</v>
      </c>
      <c r="C1692" s="39">
        <v>3721.2</v>
      </c>
      <c r="D1692" s="219">
        <f t="shared" si="178"/>
        <v>-7.70964307005295E-3</v>
      </c>
      <c r="F1692" s="40">
        <v>35598</v>
      </c>
      <c r="G1692" s="39">
        <v>3721.2</v>
      </c>
      <c r="H1692" s="39">
        <f t="shared" si="173"/>
        <v>2</v>
      </c>
      <c r="I1692" s="39">
        <f t="shared" si="174"/>
        <v>0</v>
      </c>
      <c r="K1692" s="40"/>
      <c r="Q1692" s="40">
        <v>35598</v>
      </c>
      <c r="R1692" s="39">
        <v>3721.2</v>
      </c>
      <c r="S1692" s="39">
        <f t="shared" si="175"/>
        <v>6</v>
      </c>
      <c r="T1692" s="39">
        <f t="shared" si="176"/>
        <v>0</v>
      </c>
      <c r="U1692" s="39">
        <f t="shared" si="177"/>
        <v>0</v>
      </c>
      <c r="V1692" s="40"/>
    </row>
    <row r="1693" spans="2:22" x14ac:dyDescent="0.35">
      <c r="B1693" s="40">
        <v>35599</v>
      </c>
      <c r="C1693" s="39">
        <v>3730.6</v>
      </c>
      <c r="D1693" s="219">
        <f t="shared" si="178"/>
        <v>2.5228817160585829E-3</v>
      </c>
      <c r="F1693" s="40">
        <v>35599</v>
      </c>
      <c r="G1693" s="39">
        <v>3730.6</v>
      </c>
      <c r="H1693" s="39">
        <f t="shared" si="173"/>
        <v>3</v>
      </c>
      <c r="I1693" s="39">
        <f t="shared" si="174"/>
        <v>0</v>
      </c>
      <c r="K1693" s="40"/>
      <c r="Q1693" s="40">
        <v>35599</v>
      </c>
      <c r="R1693" s="39">
        <v>3730.6</v>
      </c>
      <c r="S1693" s="39">
        <f t="shared" si="175"/>
        <v>6</v>
      </c>
      <c r="T1693" s="39">
        <f t="shared" si="176"/>
        <v>0</v>
      </c>
      <c r="U1693" s="39">
        <f t="shared" si="177"/>
        <v>0</v>
      </c>
      <c r="V1693" s="40"/>
    </row>
    <row r="1694" spans="2:22" x14ac:dyDescent="0.35">
      <c r="B1694" s="40">
        <v>35600</v>
      </c>
      <c r="C1694" s="39">
        <v>3777.6</v>
      </c>
      <c r="D1694" s="219">
        <f t="shared" si="178"/>
        <v>1.2519808720786237E-2</v>
      </c>
      <c r="F1694" s="40">
        <v>35600</v>
      </c>
      <c r="G1694" s="39">
        <v>3777.6</v>
      </c>
      <c r="H1694" s="39">
        <f t="shared" si="173"/>
        <v>4</v>
      </c>
      <c r="I1694" s="39">
        <f t="shared" si="174"/>
        <v>0</v>
      </c>
      <c r="K1694" s="40"/>
      <c r="Q1694" s="40">
        <v>35600</v>
      </c>
      <c r="R1694" s="39">
        <v>3777.6</v>
      </c>
      <c r="S1694" s="39">
        <f t="shared" si="175"/>
        <v>6</v>
      </c>
      <c r="T1694" s="39">
        <f t="shared" si="176"/>
        <v>0</v>
      </c>
      <c r="U1694" s="39">
        <f t="shared" si="177"/>
        <v>0</v>
      </c>
      <c r="V1694" s="40"/>
    </row>
    <row r="1695" spans="2:22" x14ac:dyDescent="0.35">
      <c r="B1695" s="40">
        <v>35601</v>
      </c>
      <c r="C1695" s="39">
        <v>3788.5</v>
      </c>
      <c r="D1695" s="219">
        <f t="shared" si="178"/>
        <v>2.8812750401797311E-3</v>
      </c>
      <c r="F1695" s="40">
        <v>35601</v>
      </c>
      <c r="G1695" s="39">
        <v>3788.5</v>
      </c>
      <c r="H1695" s="39">
        <f t="shared" si="173"/>
        <v>5</v>
      </c>
      <c r="I1695" s="39">
        <f t="shared" si="174"/>
        <v>3788.5</v>
      </c>
      <c r="K1695" s="40"/>
      <c r="Q1695" s="40">
        <v>35601</v>
      </c>
      <c r="R1695" s="39">
        <v>3788.5</v>
      </c>
      <c r="S1695" s="39">
        <f t="shared" si="175"/>
        <v>6</v>
      </c>
      <c r="T1695" s="39">
        <f t="shared" si="176"/>
        <v>0</v>
      </c>
      <c r="U1695" s="39">
        <f t="shared" si="177"/>
        <v>0</v>
      </c>
      <c r="V1695" s="40"/>
    </row>
    <row r="1696" spans="2:22" x14ac:dyDescent="0.35">
      <c r="B1696" s="40">
        <v>35604</v>
      </c>
      <c r="C1696" s="39">
        <v>3748.8</v>
      </c>
      <c r="D1696" s="219">
        <f t="shared" si="178"/>
        <v>-1.0534373617896843E-2</v>
      </c>
      <c r="F1696" s="40">
        <v>35604</v>
      </c>
      <c r="G1696" s="39">
        <v>3748.8</v>
      </c>
      <c r="H1696" s="39">
        <f t="shared" si="173"/>
        <v>1</v>
      </c>
      <c r="I1696" s="39">
        <f t="shared" si="174"/>
        <v>0</v>
      </c>
      <c r="K1696" s="40"/>
      <c r="Q1696" s="40">
        <v>35604</v>
      </c>
      <c r="R1696" s="39">
        <v>3748.8</v>
      </c>
      <c r="S1696" s="39">
        <f t="shared" si="175"/>
        <v>6</v>
      </c>
      <c r="T1696" s="39">
        <f t="shared" si="176"/>
        <v>0</v>
      </c>
      <c r="U1696" s="39">
        <f t="shared" si="177"/>
        <v>0</v>
      </c>
      <c r="V1696" s="40"/>
    </row>
    <row r="1697" spans="2:22" x14ac:dyDescent="0.35">
      <c r="B1697" s="40">
        <v>35605</v>
      </c>
      <c r="C1697" s="39">
        <v>3761.1</v>
      </c>
      <c r="D1697" s="219">
        <f t="shared" si="178"/>
        <v>3.2756790365578081E-3</v>
      </c>
      <c r="F1697" s="40">
        <v>35605</v>
      </c>
      <c r="G1697" s="39">
        <v>3761.1</v>
      </c>
      <c r="H1697" s="39">
        <f t="shared" si="173"/>
        <v>2</v>
      </c>
      <c r="I1697" s="39">
        <f t="shared" si="174"/>
        <v>0</v>
      </c>
      <c r="K1697" s="40"/>
      <c r="Q1697" s="40">
        <v>35605</v>
      </c>
      <c r="R1697" s="39">
        <v>3761.1</v>
      </c>
      <c r="S1697" s="39">
        <f t="shared" si="175"/>
        <v>6</v>
      </c>
      <c r="T1697" s="39">
        <f t="shared" si="176"/>
        <v>0</v>
      </c>
      <c r="U1697" s="39">
        <f t="shared" si="177"/>
        <v>0</v>
      </c>
      <c r="V1697" s="40"/>
    </row>
    <row r="1698" spans="2:22" x14ac:dyDescent="0.35">
      <c r="B1698" s="40">
        <v>35606</v>
      </c>
      <c r="C1698" s="39">
        <v>3819.5</v>
      </c>
      <c r="D1698" s="219">
        <f t="shared" si="178"/>
        <v>1.5408056191325256E-2</v>
      </c>
      <c r="F1698" s="40">
        <v>35606</v>
      </c>
      <c r="G1698" s="39">
        <v>3819.5</v>
      </c>
      <c r="H1698" s="39">
        <f t="shared" si="173"/>
        <v>3</v>
      </c>
      <c r="I1698" s="39">
        <f t="shared" si="174"/>
        <v>0</v>
      </c>
      <c r="K1698" s="40"/>
      <c r="Q1698" s="40">
        <v>35606</v>
      </c>
      <c r="R1698" s="39">
        <v>3819.5</v>
      </c>
      <c r="S1698" s="39">
        <f t="shared" si="175"/>
        <v>6</v>
      </c>
      <c r="T1698" s="39">
        <f t="shared" si="176"/>
        <v>0</v>
      </c>
      <c r="U1698" s="39">
        <f t="shared" si="177"/>
        <v>0</v>
      </c>
      <c r="V1698" s="40"/>
    </row>
    <row r="1699" spans="2:22" x14ac:dyDescent="0.35">
      <c r="B1699" s="40">
        <v>35607</v>
      </c>
      <c r="C1699" s="39">
        <v>3820.2</v>
      </c>
      <c r="D1699" s="219">
        <f t="shared" si="178"/>
        <v>1.8325326962017574E-4</v>
      </c>
      <c r="F1699" s="40">
        <v>35607</v>
      </c>
      <c r="G1699" s="39">
        <v>3820.2</v>
      </c>
      <c r="H1699" s="39">
        <f t="shared" si="173"/>
        <v>4</v>
      </c>
      <c r="I1699" s="39">
        <f t="shared" si="174"/>
        <v>0</v>
      </c>
      <c r="K1699" s="40"/>
      <c r="Q1699" s="40">
        <v>35607</v>
      </c>
      <c r="R1699" s="39">
        <v>3820.2</v>
      </c>
      <c r="S1699" s="39">
        <f t="shared" si="175"/>
        <v>6</v>
      </c>
      <c r="T1699" s="39">
        <f t="shared" si="176"/>
        <v>0</v>
      </c>
      <c r="U1699" s="39">
        <f t="shared" si="177"/>
        <v>0</v>
      </c>
      <c r="V1699" s="40"/>
    </row>
    <row r="1700" spans="2:22" x14ac:dyDescent="0.35">
      <c r="B1700" s="40">
        <v>35608</v>
      </c>
      <c r="C1700" s="39">
        <v>3809.9</v>
      </c>
      <c r="D1700" s="219">
        <f t="shared" si="178"/>
        <v>-2.6998351938992424E-3</v>
      </c>
      <c r="F1700" s="40">
        <v>35608</v>
      </c>
      <c r="G1700" s="39">
        <v>3809.9</v>
      </c>
      <c r="H1700" s="39">
        <f t="shared" si="173"/>
        <v>5</v>
      </c>
      <c r="I1700" s="39">
        <f t="shared" si="174"/>
        <v>3809.9</v>
      </c>
      <c r="K1700" s="40"/>
      <c r="Q1700" s="40">
        <v>35608</v>
      </c>
      <c r="R1700" s="39">
        <v>3809.9</v>
      </c>
      <c r="S1700" s="39">
        <f t="shared" si="175"/>
        <v>6</v>
      </c>
      <c r="T1700" s="39">
        <f t="shared" si="176"/>
        <v>0</v>
      </c>
      <c r="U1700" s="39">
        <f t="shared" si="177"/>
        <v>0</v>
      </c>
      <c r="V1700" s="40"/>
    </row>
    <row r="1701" spans="2:22" x14ac:dyDescent="0.35">
      <c r="B1701" s="40">
        <v>35611</v>
      </c>
      <c r="C1701" s="39">
        <v>3766.9</v>
      </c>
      <c r="D1701" s="219">
        <f t="shared" si="178"/>
        <v>-1.1350560040788462E-2</v>
      </c>
      <c r="F1701" s="40">
        <v>35611</v>
      </c>
      <c r="G1701" s="39">
        <v>3766.9</v>
      </c>
      <c r="H1701" s="39">
        <f t="shared" si="173"/>
        <v>1</v>
      </c>
      <c r="I1701" s="39">
        <f t="shared" si="174"/>
        <v>0</v>
      </c>
      <c r="K1701" s="40"/>
      <c r="Q1701" s="40">
        <v>35611</v>
      </c>
      <c r="R1701" s="39">
        <v>3766.9</v>
      </c>
      <c r="S1701" s="39">
        <f t="shared" si="175"/>
        <v>6</v>
      </c>
      <c r="T1701" s="39">
        <f t="shared" si="176"/>
        <v>3766.9</v>
      </c>
      <c r="U1701" s="39">
        <f t="shared" si="177"/>
        <v>3766.9</v>
      </c>
      <c r="V1701" s="40"/>
    </row>
    <row r="1702" spans="2:22" x14ac:dyDescent="0.35">
      <c r="B1702" s="40">
        <v>35612</v>
      </c>
      <c r="C1702" s="39">
        <v>3834.8</v>
      </c>
      <c r="D1702" s="219">
        <f t="shared" si="178"/>
        <v>1.7864900186494517E-2</v>
      </c>
      <c r="F1702" s="40">
        <v>35612</v>
      </c>
      <c r="G1702" s="39">
        <v>3834.8</v>
      </c>
      <c r="H1702" s="39">
        <f t="shared" si="173"/>
        <v>2</v>
      </c>
      <c r="I1702" s="39">
        <f t="shared" si="174"/>
        <v>0</v>
      </c>
      <c r="K1702" s="40"/>
      <c r="Q1702" s="40">
        <v>35612</v>
      </c>
      <c r="R1702" s="39">
        <v>3834.8</v>
      </c>
      <c r="S1702" s="39">
        <f t="shared" si="175"/>
        <v>7</v>
      </c>
      <c r="T1702" s="39">
        <f t="shared" si="176"/>
        <v>0</v>
      </c>
      <c r="U1702" s="39">
        <f t="shared" si="177"/>
        <v>0</v>
      </c>
      <c r="V1702" s="40"/>
    </row>
    <row r="1703" spans="2:22" x14ac:dyDescent="0.35">
      <c r="B1703" s="40">
        <v>35613</v>
      </c>
      <c r="C1703" s="39">
        <v>3867.5</v>
      </c>
      <c r="D1703" s="219">
        <f t="shared" si="178"/>
        <v>8.4910212443797279E-3</v>
      </c>
      <c r="F1703" s="40">
        <v>35613</v>
      </c>
      <c r="G1703" s="39">
        <v>3867.5</v>
      </c>
      <c r="H1703" s="39">
        <f t="shared" si="173"/>
        <v>3</v>
      </c>
      <c r="I1703" s="39">
        <f t="shared" si="174"/>
        <v>0</v>
      </c>
      <c r="K1703" s="40"/>
      <c r="Q1703" s="40">
        <v>35613</v>
      </c>
      <c r="R1703" s="39">
        <v>3867.5</v>
      </c>
      <c r="S1703" s="39">
        <f t="shared" si="175"/>
        <v>7</v>
      </c>
      <c r="T1703" s="39">
        <f t="shared" si="176"/>
        <v>0</v>
      </c>
      <c r="U1703" s="39">
        <f t="shared" si="177"/>
        <v>0</v>
      </c>
      <c r="V1703" s="40"/>
    </row>
    <row r="1704" spans="2:22" x14ac:dyDescent="0.35">
      <c r="B1704" s="40">
        <v>35614</v>
      </c>
      <c r="C1704" s="39">
        <v>3939.7</v>
      </c>
      <c r="D1704" s="219">
        <f t="shared" si="178"/>
        <v>1.849627481381922E-2</v>
      </c>
      <c r="F1704" s="40">
        <v>35614</v>
      </c>
      <c r="G1704" s="39">
        <v>3939.7</v>
      </c>
      <c r="H1704" s="39">
        <f t="shared" si="173"/>
        <v>4</v>
      </c>
      <c r="I1704" s="39">
        <f t="shared" si="174"/>
        <v>0</v>
      </c>
      <c r="K1704" s="40"/>
      <c r="Q1704" s="40">
        <v>35614</v>
      </c>
      <c r="R1704" s="39">
        <v>3939.7</v>
      </c>
      <c r="S1704" s="39">
        <f t="shared" si="175"/>
        <v>7</v>
      </c>
      <c r="T1704" s="39">
        <f t="shared" si="176"/>
        <v>0</v>
      </c>
      <c r="U1704" s="39">
        <f t="shared" si="177"/>
        <v>0</v>
      </c>
      <c r="V1704" s="40"/>
    </row>
    <row r="1705" spans="2:22" x14ac:dyDescent="0.35">
      <c r="B1705" s="40">
        <v>35615</v>
      </c>
      <c r="C1705" s="39">
        <v>3946.7</v>
      </c>
      <c r="D1705" s="219">
        <f t="shared" si="178"/>
        <v>1.7752084191256213E-3</v>
      </c>
      <c r="F1705" s="40">
        <v>35615</v>
      </c>
      <c r="G1705" s="39">
        <v>3946.7</v>
      </c>
      <c r="H1705" s="39">
        <f t="shared" si="173"/>
        <v>5</v>
      </c>
      <c r="I1705" s="39">
        <f t="shared" si="174"/>
        <v>3946.7</v>
      </c>
      <c r="K1705" s="40"/>
      <c r="Q1705" s="40">
        <v>35615</v>
      </c>
      <c r="R1705" s="39">
        <v>3946.7</v>
      </c>
      <c r="S1705" s="39">
        <f t="shared" si="175"/>
        <v>7</v>
      </c>
      <c r="T1705" s="39">
        <f t="shared" si="176"/>
        <v>0</v>
      </c>
      <c r="U1705" s="39">
        <f t="shared" si="177"/>
        <v>0</v>
      </c>
      <c r="V1705" s="40"/>
    </row>
    <row r="1706" spans="2:22" x14ac:dyDescent="0.35">
      <c r="B1706" s="40">
        <v>35618</v>
      </c>
      <c r="C1706" s="39">
        <v>4003.4</v>
      </c>
      <c r="D1706" s="219">
        <f t="shared" si="178"/>
        <v>1.4264213376439631E-2</v>
      </c>
      <c r="F1706" s="40">
        <v>35618</v>
      </c>
      <c r="G1706" s="39">
        <v>4003.4</v>
      </c>
      <c r="H1706" s="39">
        <f t="shared" si="173"/>
        <v>1</v>
      </c>
      <c r="I1706" s="39">
        <f t="shared" si="174"/>
        <v>0</v>
      </c>
      <c r="K1706" s="40"/>
      <c r="Q1706" s="40">
        <v>35618</v>
      </c>
      <c r="R1706" s="39">
        <v>4003.4</v>
      </c>
      <c r="S1706" s="39">
        <f t="shared" si="175"/>
        <v>7</v>
      </c>
      <c r="T1706" s="39">
        <f t="shared" si="176"/>
        <v>0</v>
      </c>
      <c r="U1706" s="39">
        <f t="shared" si="177"/>
        <v>0</v>
      </c>
      <c r="V1706" s="40"/>
    </row>
    <row r="1707" spans="2:22" x14ac:dyDescent="0.35">
      <c r="B1707" s="40">
        <v>35619</v>
      </c>
      <c r="C1707" s="39">
        <v>4030.1</v>
      </c>
      <c r="D1707" s="219">
        <f t="shared" si="178"/>
        <v>6.6471894720450848E-3</v>
      </c>
      <c r="F1707" s="40">
        <v>35619</v>
      </c>
      <c r="G1707" s="39">
        <v>4030.1</v>
      </c>
      <c r="H1707" s="39">
        <f t="shared" si="173"/>
        <v>2</v>
      </c>
      <c r="I1707" s="39">
        <f t="shared" si="174"/>
        <v>0</v>
      </c>
      <c r="K1707" s="40"/>
      <c r="Q1707" s="40">
        <v>35619</v>
      </c>
      <c r="R1707" s="39">
        <v>4030.1</v>
      </c>
      <c r="S1707" s="39">
        <f t="shared" si="175"/>
        <v>7</v>
      </c>
      <c r="T1707" s="39">
        <f t="shared" si="176"/>
        <v>0</v>
      </c>
      <c r="U1707" s="39">
        <f t="shared" si="177"/>
        <v>0</v>
      </c>
      <c r="V1707" s="40"/>
    </row>
    <row r="1708" spans="2:22" x14ac:dyDescent="0.35">
      <c r="B1708" s="40">
        <v>35620</v>
      </c>
      <c r="C1708" s="39">
        <v>4027</v>
      </c>
      <c r="D1708" s="219">
        <f t="shared" si="178"/>
        <v>-7.6950767719646991E-4</v>
      </c>
      <c r="F1708" s="40">
        <v>35620</v>
      </c>
      <c r="G1708" s="39">
        <v>4027</v>
      </c>
      <c r="H1708" s="39">
        <f t="shared" si="173"/>
        <v>3</v>
      </c>
      <c r="I1708" s="39">
        <f t="shared" si="174"/>
        <v>0</v>
      </c>
      <c r="K1708" s="40"/>
      <c r="Q1708" s="40">
        <v>35620</v>
      </c>
      <c r="R1708" s="39">
        <v>4027</v>
      </c>
      <c r="S1708" s="39">
        <f t="shared" si="175"/>
        <v>7</v>
      </c>
      <c r="T1708" s="39">
        <f t="shared" si="176"/>
        <v>0</v>
      </c>
      <c r="U1708" s="39">
        <f t="shared" si="177"/>
        <v>0</v>
      </c>
      <c r="V1708" s="40"/>
    </row>
    <row r="1709" spans="2:22" x14ac:dyDescent="0.35">
      <c r="B1709" s="40">
        <v>35621</v>
      </c>
      <c r="C1709" s="39">
        <v>4000.7</v>
      </c>
      <c r="D1709" s="219">
        <f t="shared" si="178"/>
        <v>-6.552336060140356E-3</v>
      </c>
      <c r="F1709" s="40">
        <v>35621</v>
      </c>
      <c r="G1709" s="39">
        <v>4000.7</v>
      </c>
      <c r="H1709" s="39">
        <f t="shared" si="173"/>
        <v>4</v>
      </c>
      <c r="I1709" s="39">
        <f t="shared" si="174"/>
        <v>0</v>
      </c>
      <c r="K1709" s="40"/>
      <c r="Q1709" s="40">
        <v>35621</v>
      </c>
      <c r="R1709" s="39">
        <v>4000.7</v>
      </c>
      <c r="S1709" s="39">
        <f t="shared" si="175"/>
        <v>7</v>
      </c>
      <c r="T1709" s="39">
        <f t="shared" si="176"/>
        <v>0</v>
      </c>
      <c r="U1709" s="39">
        <f t="shared" si="177"/>
        <v>0</v>
      </c>
      <c r="V1709" s="40"/>
    </row>
    <row r="1710" spans="2:22" x14ac:dyDescent="0.35">
      <c r="B1710" s="40">
        <v>35622</v>
      </c>
      <c r="C1710" s="39">
        <v>4074.3</v>
      </c>
      <c r="D1710" s="219">
        <f t="shared" si="178"/>
        <v>1.8229606986818536E-2</v>
      </c>
      <c r="F1710" s="40">
        <v>35622</v>
      </c>
      <c r="G1710" s="39">
        <v>4074.3</v>
      </c>
      <c r="H1710" s="39">
        <f t="shared" si="173"/>
        <v>5</v>
      </c>
      <c r="I1710" s="39">
        <f t="shared" si="174"/>
        <v>4074.3</v>
      </c>
      <c r="K1710" s="40"/>
      <c r="Q1710" s="40">
        <v>35622</v>
      </c>
      <c r="R1710" s="39">
        <v>4074.3</v>
      </c>
      <c r="S1710" s="39">
        <f t="shared" si="175"/>
        <v>7</v>
      </c>
      <c r="T1710" s="39">
        <f t="shared" si="176"/>
        <v>0</v>
      </c>
      <c r="U1710" s="39">
        <f t="shared" si="177"/>
        <v>0</v>
      </c>
      <c r="V1710" s="40"/>
    </row>
    <row r="1711" spans="2:22" x14ac:dyDescent="0.35">
      <c r="B1711" s="40">
        <v>35625</v>
      </c>
      <c r="C1711" s="39">
        <v>4142.2</v>
      </c>
      <c r="D1711" s="219">
        <f t="shared" si="178"/>
        <v>1.6528094863918159E-2</v>
      </c>
      <c r="F1711" s="40">
        <v>35625</v>
      </c>
      <c r="G1711" s="39">
        <v>4142.2</v>
      </c>
      <c r="H1711" s="39">
        <f t="shared" si="173"/>
        <v>1</v>
      </c>
      <c r="I1711" s="39">
        <f t="shared" si="174"/>
        <v>0</v>
      </c>
      <c r="K1711" s="40"/>
      <c r="Q1711" s="40">
        <v>35625</v>
      </c>
      <c r="R1711" s="39">
        <v>4142.2</v>
      </c>
      <c r="S1711" s="39">
        <f t="shared" si="175"/>
        <v>7</v>
      </c>
      <c r="T1711" s="39">
        <f t="shared" si="176"/>
        <v>0</v>
      </c>
      <c r="U1711" s="39">
        <f t="shared" si="177"/>
        <v>0</v>
      </c>
      <c r="V1711" s="40"/>
    </row>
    <row r="1712" spans="2:22" x14ac:dyDescent="0.35">
      <c r="B1712" s="40">
        <v>35626</v>
      </c>
      <c r="C1712" s="39">
        <v>4139.7</v>
      </c>
      <c r="D1712" s="219">
        <f t="shared" si="178"/>
        <v>-6.0372621643212544E-4</v>
      </c>
      <c r="F1712" s="40">
        <v>35626</v>
      </c>
      <c r="G1712" s="39">
        <v>4139.7</v>
      </c>
      <c r="H1712" s="39">
        <f t="shared" si="173"/>
        <v>2</v>
      </c>
      <c r="I1712" s="39">
        <f t="shared" si="174"/>
        <v>0</v>
      </c>
      <c r="K1712" s="40"/>
      <c r="Q1712" s="40">
        <v>35626</v>
      </c>
      <c r="R1712" s="39">
        <v>4139.7</v>
      </c>
      <c r="S1712" s="39">
        <f t="shared" si="175"/>
        <v>7</v>
      </c>
      <c r="T1712" s="39">
        <f t="shared" si="176"/>
        <v>0</v>
      </c>
      <c r="U1712" s="39">
        <f t="shared" si="177"/>
        <v>0</v>
      </c>
      <c r="V1712" s="40"/>
    </row>
    <row r="1713" spans="2:22" x14ac:dyDescent="0.35">
      <c r="B1713" s="40">
        <v>35627</v>
      </c>
      <c r="C1713" s="39">
        <v>4223.7</v>
      </c>
      <c r="D1713" s="219">
        <f t="shared" si="178"/>
        <v>2.0088199710972907E-2</v>
      </c>
      <c r="F1713" s="40">
        <v>35627</v>
      </c>
      <c r="G1713" s="39">
        <v>4223.7</v>
      </c>
      <c r="H1713" s="39">
        <f t="shared" si="173"/>
        <v>3</v>
      </c>
      <c r="I1713" s="39">
        <f t="shared" si="174"/>
        <v>0</v>
      </c>
      <c r="K1713" s="40"/>
      <c r="Q1713" s="40">
        <v>35627</v>
      </c>
      <c r="R1713" s="39">
        <v>4223.7</v>
      </c>
      <c r="S1713" s="39">
        <f t="shared" si="175"/>
        <v>7</v>
      </c>
      <c r="T1713" s="39">
        <f t="shared" si="176"/>
        <v>0</v>
      </c>
      <c r="U1713" s="39">
        <f t="shared" si="177"/>
        <v>0</v>
      </c>
      <c r="V1713" s="40"/>
    </row>
    <row r="1714" spans="2:22" x14ac:dyDescent="0.35">
      <c r="B1714" s="40">
        <v>35628</v>
      </c>
      <c r="C1714" s="39">
        <v>4203.8999999999996</v>
      </c>
      <c r="D1714" s="219">
        <f t="shared" si="178"/>
        <v>-4.6988552923096496E-3</v>
      </c>
      <c r="F1714" s="40">
        <v>35628</v>
      </c>
      <c r="G1714" s="39">
        <v>4203.8999999999996</v>
      </c>
      <c r="H1714" s="39">
        <f t="shared" si="173"/>
        <v>4</v>
      </c>
      <c r="I1714" s="39">
        <f t="shared" si="174"/>
        <v>0</v>
      </c>
      <c r="K1714" s="40"/>
      <c r="Q1714" s="40">
        <v>35628</v>
      </c>
      <c r="R1714" s="39">
        <v>4203.8999999999996</v>
      </c>
      <c r="S1714" s="39">
        <f t="shared" si="175"/>
        <v>7</v>
      </c>
      <c r="T1714" s="39">
        <f t="shared" si="176"/>
        <v>0</v>
      </c>
      <c r="U1714" s="39">
        <f t="shared" si="177"/>
        <v>0</v>
      </c>
      <c r="V1714" s="40"/>
    </row>
    <row r="1715" spans="2:22" x14ac:dyDescent="0.35">
      <c r="B1715" s="40">
        <v>35629</v>
      </c>
      <c r="C1715" s="39">
        <v>4131.8999999999996</v>
      </c>
      <c r="D1715" s="219">
        <f t="shared" si="178"/>
        <v>-1.7275316252885996E-2</v>
      </c>
      <c r="F1715" s="40">
        <v>35629</v>
      </c>
      <c r="G1715" s="39">
        <v>4131.8999999999996</v>
      </c>
      <c r="H1715" s="39">
        <f t="shared" si="173"/>
        <v>5</v>
      </c>
      <c r="I1715" s="39">
        <f t="shared" si="174"/>
        <v>4131.8999999999996</v>
      </c>
      <c r="K1715" s="40"/>
      <c r="Q1715" s="40">
        <v>35629</v>
      </c>
      <c r="R1715" s="39">
        <v>4131.8999999999996</v>
      </c>
      <c r="S1715" s="39">
        <f t="shared" si="175"/>
        <v>7</v>
      </c>
      <c r="T1715" s="39">
        <f t="shared" si="176"/>
        <v>0</v>
      </c>
      <c r="U1715" s="39">
        <f t="shared" si="177"/>
        <v>0</v>
      </c>
      <c r="V1715" s="40"/>
    </row>
    <row r="1716" spans="2:22" x14ac:dyDescent="0.35">
      <c r="B1716" s="40">
        <v>35632</v>
      </c>
      <c r="C1716" s="39">
        <v>4140</v>
      </c>
      <c r="D1716" s="219">
        <f t="shared" si="178"/>
        <v>1.9584382279644692E-3</v>
      </c>
      <c r="F1716" s="40">
        <v>35632</v>
      </c>
      <c r="G1716" s="39">
        <v>4140</v>
      </c>
      <c r="H1716" s="39">
        <f t="shared" si="173"/>
        <v>1</v>
      </c>
      <c r="I1716" s="39">
        <f t="shared" si="174"/>
        <v>0</v>
      </c>
      <c r="K1716" s="40"/>
      <c r="Q1716" s="40">
        <v>35632</v>
      </c>
      <c r="R1716" s="39">
        <v>4140</v>
      </c>
      <c r="S1716" s="39">
        <f t="shared" si="175"/>
        <v>7</v>
      </c>
      <c r="T1716" s="39">
        <f t="shared" si="176"/>
        <v>0</v>
      </c>
      <c r="U1716" s="39">
        <f t="shared" si="177"/>
        <v>0</v>
      </c>
      <c r="V1716" s="40"/>
    </row>
    <row r="1717" spans="2:22" x14ac:dyDescent="0.35">
      <c r="B1717" s="40">
        <v>35633</v>
      </c>
      <c r="C1717" s="39">
        <v>4297.6000000000004</v>
      </c>
      <c r="D1717" s="219">
        <f t="shared" si="178"/>
        <v>3.736093950955844E-2</v>
      </c>
      <c r="F1717" s="40">
        <v>35633</v>
      </c>
      <c r="G1717" s="39">
        <v>4297.6000000000004</v>
      </c>
      <c r="H1717" s="39">
        <f t="shared" si="173"/>
        <v>2</v>
      </c>
      <c r="I1717" s="39">
        <f t="shared" si="174"/>
        <v>0</v>
      </c>
      <c r="K1717" s="40"/>
      <c r="Q1717" s="40">
        <v>35633</v>
      </c>
      <c r="R1717" s="39">
        <v>4297.6000000000004</v>
      </c>
      <c r="S1717" s="39">
        <f t="shared" si="175"/>
        <v>7</v>
      </c>
      <c r="T1717" s="39">
        <f t="shared" si="176"/>
        <v>0</v>
      </c>
      <c r="U1717" s="39">
        <f t="shared" si="177"/>
        <v>0</v>
      </c>
      <c r="V1717" s="40"/>
    </row>
    <row r="1718" spans="2:22" x14ac:dyDescent="0.35">
      <c r="B1718" s="40">
        <v>35634</v>
      </c>
      <c r="C1718" s="39">
        <v>4384.8</v>
      </c>
      <c r="D1718" s="219">
        <f t="shared" si="178"/>
        <v>2.008728740298818E-2</v>
      </c>
      <c r="F1718" s="40">
        <v>35634</v>
      </c>
      <c r="G1718" s="39">
        <v>4384.8</v>
      </c>
      <c r="H1718" s="39">
        <f t="shared" si="173"/>
        <v>3</v>
      </c>
      <c r="I1718" s="39">
        <f t="shared" si="174"/>
        <v>0</v>
      </c>
      <c r="K1718" s="40"/>
      <c r="Q1718" s="40">
        <v>35634</v>
      </c>
      <c r="R1718" s="39">
        <v>4384.8</v>
      </c>
      <c r="S1718" s="39">
        <f t="shared" si="175"/>
        <v>7</v>
      </c>
      <c r="T1718" s="39">
        <f t="shared" si="176"/>
        <v>0</v>
      </c>
      <c r="U1718" s="39">
        <f t="shared" si="177"/>
        <v>0</v>
      </c>
      <c r="V1718" s="40"/>
    </row>
    <row r="1719" spans="2:22" x14ac:dyDescent="0.35">
      <c r="B1719" s="40">
        <v>35635</v>
      </c>
      <c r="C1719" s="39">
        <v>4320.5</v>
      </c>
      <c r="D1719" s="219">
        <f t="shared" si="178"/>
        <v>-1.477287845045277E-2</v>
      </c>
      <c r="F1719" s="40">
        <v>35635</v>
      </c>
      <c r="G1719" s="39">
        <v>4320.5</v>
      </c>
      <c r="H1719" s="39">
        <f t="shared" ref="H1719:H1782" si="179">WEEKDAY(F1719,2)</f>
        <v>4</v>
      </c>
      <c r="I1719" s="39">
        <f t="shared" ref="I1719:I1782" si="180">IF(H1719&gt;H1720,G1719,0)</f>
        <v>0</v>
      </c>
      <c r="K1719" s="40"/>
      <c r="Q1719" s="40">
        <v>35635</v>
      </c>
      <c r="R1719" s="39">
        <v>4320.5</v>
      </c>
      <c r="S1719" s="39">
        <f t="shared" ref="S1719:S1782" si="181">MONTH(Q1719)</f>
        <v>7</v>
      </c>
      <c r="T1719" s="39">
        <f t="shared" ref="T1719:T1782" si="182">IF(S1720&lt;&gt;S1719,R1719,0)</f>
        <v>0</v>
      </c>
      <c r="U1719" s="39">
        <f t="shared" ref="U1719:U1782" si="183">IF(S1720=S1719,0,R1719)</f>
        <v>0</v>
      </c>
      <c r="V1719" s="40"/>
    </row>
    <row r="1720" spans="2:22" x14ac:dyDescent="0.35">
      <c r="B1720" s="40">
        <v>35636</v>
      </c>
      <c r="C1720" s="39">
        <v>4368.5</v>
      </c>
      <c r="D1720" s="219">
        <f t="shared" ref="D1720:D1783" si="184">LN(C1720/C1719)</f>
        <v>1.1048564456695343E-2</v>
      </c>
      <c r="F1720" s="40">
        <v>35636</v>
      </c>
      <c r="G1720" s="39">
        <v>4368.5</v>
      </c>
      <c r="H1720" s="39">
        <f t="shared" si="179"/>
        <v>5</v>
      </c>
      <c r="I1720" s="39">
        <f t="shared" si="180"/>
        <v>4368.5</v>
      </c>
      <c r="K1720" s="40"/>
      <c r="Q1720" s="40">
        <v>35636</v>
      </c>
      <c r="R1720" s="39">
        <v>4368.5</v>
      </c>
      <c r="S1720" s="39">
        <f t="shared" si="181"/>
        <v>7</v>
      </c>
      <c r="T1720" s="39">
        <f t="shared" si="182"/>
        <v>0</v>
      </c>
      <c r="U1720" s="39">
        <f t="shared" si="183"/>
        <v>0</v>
      </c>
      <c r="V1720" s="40"/>
    </row>
    <row r="1721" spans="2:22" x14ac:dyDescent="0.35">
      <c r="B1721" s="40">
        <v>35639</v>
      </c>
      <c r="C1721" s="39">
        <v>4400.3</v>
      </c>
      <c r="D1721" s="219">
        <f t="shared" si="184"/>
        <v>7.2530196621106444E-3</v>
      </c>
      <c r="F1721" s="40">
        <v>35639</v>
      </c>
      <c r="G1721" s="39">
        <v>4400.3</v>
      </c>
      <c r="H1721" s="39">
        <f t="shared" si="179"/>
        <v>1</v>
      </c>
      <c r="I1721" s="39">
        <f t="shared" si="180"/>
        <v>0</v>
      </c>
      <c r="K1721" s="40"/>
      <c r="Q1721" s="40">
        <v>35639</v>
      </c>
      <c r="R1721" s="39">
        <v>4400.3</v>
      </c>
      <c r="S1721" s="39">
        <f t="shared" si="181"/>
        <v>7</v>
      </c>
      <c r="T1721" s="39">
        <f t="shared" si="182"/>
        <v>0</v>
      </c>
      <c r="U1721" s="39">
        <f t="shared" si="183"/>
        <v>0</v>
      </c>
      <c r="V1721" s="40"/>
    </row>
    <row r="1722" spans="2:22" x14ac:dyDescent="0.35">
      <c r="B1722" s="40">
        <v>35640</v>
      </c>
      <c r="C1722" s="39">
        <v>4377.7</v>
      </c>
      <c r="D1722" s="219">
        <f t="shared" si="184"/>
        <v>-5.1492481057421246E-3</v>
      </c>
      <c r="F1722" s="40">
        <v>35640</v>
      </c>
      <c r="G1722" s="39">
        <v>4377.7</v>
      </c>
      <c r="H1722" s="39">
        <f t="shared" si="179"/>
        <v>2</v>
      </c>
      <c r="I1722" s="39">
        <f t="shared" si="180"/>
        <v>0</v>
      </c>
      <c r="K1722" s="40"/>
      <c r="Q1722" s="40">
        <v>35640</v>
      </c>
      <c r="R1722" s="39">
        <v>4377.7</v>
      </c>
      <c r="S1722" s="39">
        <f t="shared" si="181"/>
        <v>7</v>
      </c>
      <c r="T1722" s="39">
        <f t="shared" si="182"/>
        <v>0</v>
      </c>
      <c r="U1722" s="39">
        <f t="shared" si="183"/>
        <v>0</v>
      </c>
      <c r="V1722" s="40"/>
    </row>
    <row r="1723" spans="2:22" x14ac:dyDescent="0.35">
      <c r="B1723" s="40">
        <v>35641</v>
      </c>
      <c r="C1723" s="39">
        <v>4458.7</v>
      </c>
      <c r="D1723" s="219">
        <f t="shared" si="184"/>
        <v>1.8333771410464651E-2</v>
      </c>
      <c r="F1723" s="40">
        <v>35641</v>
      </c>
      <c r="G1723" s="39">
        <v>4458.7</v>
      </c>
      <c r="H1723" s="39">
        <f t="shared" si="179"/>
        <v>3</v>
      </c>
      <c r="I1723" s="39">
        <f t="shared" si="180"/>
        <v>0</v>
      </c>
      <c r="K1723" s="40"/>
      <c r="Q1723" s="40">
        <v>35641</v>
      </c>
      <c r="R1723" s="39">
        <v>4458.7</v>
      </c>
      <c r="S1723" s="39">
        <f t="shared" si="181"/>
        <v>7</v>
      </c>
      <c r="T1723" s="39">
        <f t="shared" si="182"/>
        <v>0</v>
      </c>
      <c r="U1723" s="39">
        <f t="shared" si="183"/>
        <v>0</v>
      </c>
      <c r="V1723" s="40"/>
    </row>
    <row r="1724" spans="2:22" x14ac:dyDescent="0.35">
      <c r="B1724" s="40">
        <v>35642</v>
      </c>
      <c r="C1724" s="39">
        <v>4405.5</v>
      </c>
      <c r="D1724" s="219">
        <f t="shared" si="184"/>
        <v>-1.2003483398197956E-2</v>
      </c>
      <c r="F1724" s="40">
        <v>35642</v>
      </c>
      <c r="G1724" s="39">
        <v>4405.5</v>
      </c>
      <c r="H1724" s="39">
        <f t="shared" si="179"/>
        <v>4</v>
      </c>
      <c r="I1724" s="39">
        <f t="shared" si="180"/>
        <v>0</v>
      </c>
      <c r="K1724" s="40"/>
      <c r="Q1724" s="40">
        <v>35642</v>
      </c>
      <c r="R1724" s="39">
        <v>4405.5</v>
      </c>
      <c r="S1724" s="39">
        <f t="shared" si="181"/>
        <v>7</v>
      </c>
      <c r="T1724" s="39">
        <f t="shared" si="182"/>
        <v>4405.5</v>
      </c>
      <c r="U1724" s="39">
        <f t="shared" si="183"/>
        <v>4405.5</v>
      </c>
      <c r="V1724" s="40"/>
    </row>
    <row r="1725" spans="2:22" x14ac:dyDescent="0.35">
      <c r="B1725" s="40">
        <v>35643</v>
      </c>
      <c r="C1725" s="39">
        <v>4337</v>
      </c>
      <c r="D1725" s="219">
        <f t="shared" si="184"/>
        <v>-1.5670895471418238E-2</v>
      </c>
      <c r="F1725" s="40">
        <v>35643</v>
      </c>
      <c r="G1725" s="39">
        <v>4337</v>
      </c>
      <c r="H1725" s="39">
        <f t="shared" si="179"/>
        <v>5</v>
      </c>
      <c r="I1725" s="39">
        <f t="shared" si="180"/>
        <v>4337</v>
      </c>
      <c r="K1725" s="40"/>
      <c r="Q1725" s="40">
        <v>35643</v>
      </c>
      <c r="R1725" s="39">
        <v>4337</v>
      </c>
      <c r="S1725" s="39">
        <f t="shared" si="181"/>
        <v>8</v>
      </c>
      <c r="T1725" s="39">
        <f t="shared" si="182"/>
        <v>0</v>
      </c>
      <c r="U1725" s="39">
        <f t="shared" si="183"/>
        <v>0</v>
      </c>
      <c r="V1725" s="40"/>
    </row>
    <row r="1726" spans="2:22" x14ac:dyDescent="0.35">
      <c r="B1726" s="40">
        <v>35646</v>
      </c>
      <c r="C1726" s="39">
        <v>4302.5</v>
      </c>
      <c r="D1726" s="219">
        <f t="shared" si="184"/>
        <v>-7.9866157496717976E-3</v>
      </c>
      <c r="F1726" s="40">
        <v>35646</v>
      </c>
      <c r="G1726" s="39">
        <v>4302.5</v>
      </c>
      <c r="H1726" s="39">
        <f t="shared" si="179"/>
        <v>1</v>
      </c>
      <c r="I1726" s="39">
        <f t="shared" si="180"/>
        <v>0</v>
      </c>
      <c r="K1726" s="40"/>
      <c r="Q1726" s="40">
        <v>35646</v>
      </c>
      <c r="R1726" s="39">
        <v>4302.5</v>
      </c>
      <c r="S1726" s="39">
        <f t="shared" si="181"/>
        <v>8</v>
      </c>
      <c r="T1726" s="39">
        <f t="shared" si="182"/>
        <v>0</v>
      </c>
      <c r="U1726" s="39">
        <f t="shared" si="183"/>
        <v>0</v>
      </c>
      <c r="V1726" s="40"/>
    </row>
    <row r="1727" spans="2:22" x14ac:dyDescent="0.35">
      <c r="B1727" s="40">
        <v>35647</v>
      </c>
      <c r="C1727" s="39">
        <v>4325.8999999999996</v>
      </c>
      <c r="D1727" s="219">
        <f t="shared" si="184"/>
        <v>5.4239621175960918E-3</v>
      </c>
      <c r="F1727" s="40">
        <v>35647</v>
      </c>
      <c r="G1727" s="39">
        <v>4325.8999999999996</v>
      </c>
      <c r="H1727" s="39">
        <f t="shared" si="179"/>
        <v>2</v>
      </c>
      <c r="I1727" s="39">
        <f t="shared" si="180"/>
        <v>0</v>
      </c>
      <c r="K1727" s="40"/>
      <c r="Q1727" s="40">
        <v>35647</v>
      </c>
      <c r="R1727" s="39">
        <v>4325.8999999999996</v>
      </c>
      <c r="S1727" s="39">
        <f t="shared" si="181"/>
        <v>8</v>
      </c>
      <c r="T1727" s="39">
        <f t="shared" si="182"/>
        <v>0</v>
      </c>
      <c r="U1727" s="39">
        <f t="shared" si="183"/>
        <v>0</v>
      </c>
      <c r="V1727" s="40"/>
    </row>
    <row r="1728" spans="2:22" x14ac:dyDescent="0.35">
      <c r="B1728" s="40">
        <v>35648</v>
      </c>
      <c r="C1728" s="39">
        <v>4364.3</v>
      </c>
      <c r="D1728" s="219">
        <f t="shared" si="184"/>
        <v>8.837598658202413E-3</v>
      </c>
      <c r="F1728" s="40">
        <v>35648</v>
      </c>
      <c r="G1728" s="39">
        <v>4364.3</v>
      </c>
      <c r="H1728" s="39">
        <f t="shared" si="179"/>
        <v>3</v>
      </c>
      <c r="I1728" s="39">
        <f t="shared" si="180"/>
        <v>0</v>
      </c>
      <c r="K1728" s="40"/>
      <c r="Q1728" s="40">
        <v>35648</v>
      </c>
      <c r="R1728" s="39">
        <v>4364.3</v>
      </c>
      <c r="S1728" s="39">
        <f t="shared" si="181"/>
        <v>8</v>
      </c>
      <c r="T1728" s="39">
        <f t="shared" si="182"/>
        <v>0</v>
      </c>
      <c r="U1728" s="39">
        <f t="shared" si="183"/>
        <v>0</v>
      </c>
      <c r="V1728" s="40"/>
    </row>
    <row r="1729" spans="2:22" x14ac:dyDescent="0.35">
      <c r="B1729" s="40">
        <v>35649</v>
      </c>
      <c r="C1729" s="39">
        <v>4428.1000000000004</v>
      </c>
      <c r="D1729" s="219">
        <f t="shared" si="184"/>
        <v>1.4512788271198731E-2</v>
      </c>
      <c r="F1729" s="40">
        <v>35649</v>
      </c>
      <c r="G1729" s="39">
        <v>4428.1000000000004</v>
      </c>
      <c r="H1729" s="39">
        <f t="shared" si="179"/>
        <v>4</v>
      </c>
      <c r="I1729" s="39">
        <f t="shared" si="180"/>
        <v>0</v>
      </c>
      <c r="K1729" s="40"/>
      <c r="Q1729" s="40">
        <v>35649</v>
      </c>
      <c r="R1729" s="39">
        <v>4428.1000000000004</v>
      </c>
      <c r="S1729" s="39">
        <f t="shared" si="181"/>
        <v>8</v>
      </c>
      <c r="T1729" s="39">
        <f t="shared" si="182"/>
        <v>0</v>
      </c>
      <c r="U1729" s="39">
        <f t="shared" si="183"/>
        <v>0</v>
      </c>
      <c r="V1729" s="40"/>
    </row>
    <row r="1730" spans="2:22" x14ac:dyDescent="0.35">
      <c r="B1730" s="40">
        <v>35650</v>
      </c>
      <c r="C1730" s="39">
        <v>4342.3</v>
      </c>
      <c r="D1730" s="219">
        <f t="shared" si="184"/>
        <v>-1.9566436497174527E-2</v>
      </c>
      <c r="F1730" s="40">
        <v>35650</v>
      </c>
      <c r="G1730" s="39">
        <v>4342.3</v>
      </c>
      <c r="H1730" s="39">
        <f t="shared" si="179"/>
        <v>5</v>
      </c>
      <c r="I1730" s="39">
        <f t="shared" si="180"/>
        <v>4342.3</v>
      </c>
      <c r="K1730" s="40"/>
      <c r="Q1730" s="40">
        <v>35650</v>
      </c>
      <c r="R1730" s="39">
        <v>4342.3</v>
      </c>
      <c r="S1730" s="39">
        <f t="shared" si="181"/>
        <v>8</v>
      </c>
      <c r="T1730" s="39">
        <f t="shared" si="182"/>
        <v>0</v>
      </c>
      <c r="U1730" s="39">
        <f t="shared" si="183"/>
        <v>0</v>
      </c>
      <c r="V1730" s="40"/>
    </row>
    <row r="1731" spans="2:22" x14ac:dyDescent="0.35">
      <c r="B1731" s="40">
        <v>35653</v>
      </c>
      <c r="C1731" s="39">
        <v>4333.2</v>
      </c>
      <c r="D1731" s="219">
        <f t="shared" si="184"/>
        <v>-2.0978625641048403E-3</v>
      </c>
      <c r="F1731" s="40">
        <v>35653</v>
      </c>
      <c r="G1731" s="39">
        <v>4333.2</v>
      </c>
      <c r="H1731" s="39">
        <f t="shared" si="179"/>
        <v>1</v>
      </c>
      <c r="I1731" s="39">
        <f t="shared" si="180"/>
        <v>0</v>
      </c>
      <c r="K1731" s="40"/>
      <c r="Q1731" s="40">
        <v>35653</v>
      </c>
      <c r="R1731" s="39">
        <v>4333.2</v>
      </c>
      <c r="S1731" s="39">
        <f t="shared" si="181"/>
        <v>8</v>
      </c>
      <c r="T1731" s="39">
        <f t="shared" si="182"/>
        <v>0</v>
      </c>
      <c r="U1731" s="39">
        <f t="shared" si="183"/>
        <v>0</v>
      </c>
      <c r="V1731" s="40"/>
    </row>
    <row r="1732" spans="2:22" x14ac:dyDescent="0.35">
      <c r="B1732" s="40">
        <v>35654</v>
      </c>
      <c r="C1732" s="39">
        <v>4377.5</v>
      </c>
      <c r="D1732" s="219">
        <f t="shared" si="184"/>
        <v>1.0171486088594542E-2</v>
      </c>
      <c r="F1732" s="40">
        <v>35654</v>
      </c>
      <c r="G1732" s="39">
        <v>4377.5</v>
      </c>
      <c r="H1732" s="39">
        <f t="shared" si="179"/>
        <v>2</v>
      </c>
      <c r="I1732" s="39">
        <f t="shared" si="180"/>
        <v>0</v>
      </c>
      <c r="K1732" s="40"/>
      <c r="Q1732" s="40">
        <v>35654</v>
      </c>
      <c r="R1732" s="39">
        <v>4377.5</v>
      </c>
      <c r="S1732" s="39">
        <f t="shared" si="181"/>
        <v>8</v>
      </c>
      <c r="T1732" s="39">
        <f t="shared" si="182"/>
        <v>0</v>
      </c>
      <c r="U1732" s="39">
        <f t="shared" si="183"/>
        <v>0</v>
      </c>
      <c r="V1732" s="40"/>
    </row>
    <row r="1733" spans="2:22" x14ac:dyDescent="0.35">
      <c r="B1733" s="40">
        <v>35655</v>
      </c>
      <c r="C1733" s="39">
        <v>4237.1000000000004</v>
      </c>
      <c r="D1733" s="219">
        <f t="shared" si="184"/>
        <v>-3.259871220705203E-2</v>
      </c>
      <c r="F1733" s="40">
        <v>35655</v>
      </c>
      <c r="G1733" s="39">
        <v>4237.1000000000004</v>
      </c>
      <c r="H1733" s="39">
        <f t="shared" si="179"/>
        <v>3</v>
      </c>
      <c r="I1733" s="39">
        <f t="shared" si="180"/>
        <v>0</v>
      </c>
      <c r="K1733" s="40"/>
      <c r="Q1733" s="40">
        <v>35655</v>
      </c>
      <c r="R1733" s="39">
        <v>4237.1000000000004</v>
      </c>
      <c r="S1733" s="39">
        <f t="shared" si="181"/>
        <v>8</v>
      </c>
      <c r="T1733" s="39">
        <f t="shared" si="182"/>
        <v>0</v>
      </c>
      <c r="U1733" s="39">
        <f t="shared" si="183"/>
        <v>0</v>
      </c>
      <c r="V1733" s="40"/>
    </row>
    <row r="1734" spans="2:22" x14ac:dyDescent="0.35">
      <c r="B1734" s="40">
        <v>35656</v>
      </c>
      <c r="C1734" s="39">
        <v>4195.5</v>
      </c>
      <c r="D1734" s="219">
        <f t="shared" si="184"/>
        <v>-9.8665506428308666E-3</v>
      </c>
      <c r="F1734" s="40">
        <v>35656</v>
      </c>
      <c r="G1734" s="39">
        <v>4195.5</v>
      </c>
      <c r="H1734" s="39">
        <f t="shared" si="179"/>
        <v>4</v>
      </c>
      <c r="I1734" s="39">
        <f t="shared" si="180"/>
        <v>0</v>
      </c>
      <c r="K1734" s="40"/>
      <c r="Q1734" s="40">
        <v>35656</v>
      </c>
      <c r="R1734" s="39">
        <v>4195.5</v>
      </c>
      <c r="S1734" s="39">
        <f t="shared" si="181"/>
        <v>8</v>
      </c>
      <c r="T1734" s="39">
        <f t="shared" si="182"/>
        <v>0</v>
      </c>
      <c r="U1734" s="39">
        <f t="shared" si="183"/>
        <v>0</v>
      </c>
      <c r="V1734" s="40"/>
    </row>
    <row r="1735" spans="2:22" x14ac:dyDescent="0.35">
      <c r="B1735" s="40">
        <v>35657</v>
      </c>
      <c r="C1735" s="39">
        <v>4077.6</v>
      </c>
      <c r="D1735" s="219">
        <f t="shared" si="184"/>
        <v>-2.850394228429215E-2</v>
      </c>
      <c r="F1735" s="40">
        <v>35657</v>
      </c>
      <c r="G1735" s="39">
        <v>4077.6</v>
      </c>
      <c r="H1735" s="39">
        <f t="shared" si="179"/>
        <v>5</v>
      </c>
      <c r="I1735" s="39">
        <f t="shared" si="180"/>
        <v>4077.6</v>
      </c>
      <c r="K1735" s="40"/>
      <c r="Q1735" s="40">
        <v>35657</v>
      </c>
      <c r="R1735" s="39">
        <v>4077.6</v>
      </c>
      <c r="S1735" s="39">
        <f t="shared" si="181"/>
        <v>8</v>
      </c>
      <c r="T1735" s="39">
        <f t="shared" si="182"/>
        <v>0</v>
      </c>
      <c r="U1735" s="39">
        <f t="shared" si="183"/>
        <v>0</v>
      </c>
      <c r="V1735" s="40"/>
    </row>
    <row r="1736" spans="2:22" x14ac:dyDescent="0.35">
      <c r="B1736" s="40">
        <v>35660</v>
      </c>
      <c r="C1736" s="39">
        <v>4080.6</v>
      </c>
      <c r="D1736" s="219">
        <f t="shared" si="184"/>
        <v>7.3545638381600545E-4</v>
      </c>
      <c r="F1736" s="40">
        <v>35660</v>
      </c>
      <c r="G1736" s="39">
        <v>4080.6</v>
      </c>
      <c r="H1736" s="39">
        <f t="shared" si="179"/>
        <v>1</v>
      </c>
      <c r="I1736" s="39">
        <f t="shared" si="180"/>
        <v>0</v>
      </c>
      <c r="K1736" s="40"/>
      <c r="Q1736" s="40">
        <v>35660</v>
      </c>
      <c r="R1736" s="39">
        <v>4080.6</v>
      </c>
      <c r="S1736" s="39">
        <f t="shared" si="181"/>
        <v>8</v>
      </c>
      <c r="T1736" s="39">
        <f t="shared" si="182"/>
        <v>0</v>
      </c>
      <c r="U1736" s="39">
        <f t="shared" si="183"/>
        <v>0</v>
      </c>
      <c r="V1736" s="40"/>
    </row>
    <row r="1737" spans="2:22" x14ac:dyDescent="0.35">
      <c r="B1737" s="40">
        <v>35661</v>
      </c>
      <c r="C1737" s="39">
        <v>4190.5</v>
      </c>
      <c r="D1737" s="219">
        <f t="shared" si="184"/>
        <v>2.6576022129312902E-2</v>
      </c>
      <c r="F1737" s="40">
        <v>35661</v>
      </c>
      <c r="G1737" s="39">
        <v>4190.5</v>
      </c>
      <c r="H1737" s="39">
        <f t="shared" si="179"/>
        <v>2</v>
      </c>
      <c r="I1737" s="39">
        <f t="shared" si="180"/>
        <v>0</v>
      </c>
      <c r="K1737" s="40"/>
      <c r="Q1737" s="40">
        <v>35661</v>
      </c>
      <c r="R1737" s="39">
        <v>4190.5</v>
      </c>
      <c r="S1737" s="39">
        <f t="shared" si="181"/>
        <v>8</v>
      </c>
      <c r="T1737" s="39">
        <f t="shared" si="182"/>
        <v>0</v>
      </c>
      <c r="U1737" s="39">
        <f t="shared" si="183"/>
        <v>0</v>
      </c>
      <c r="V1737" s="40"/>
    </row>
    <row r="1738" spans="2:22" x14ac:dyDescent="0.35">
      <c r="B1738" s="40">
        <v>35662</v>
      </c>
      <c r="C1738" s="39">
        <v>4251.8999999999996</v>
      </c>
      <c r="D1738" s="219">
        <f t="shared" si="184"/>
        <v>1.454588330200853E-2</v>
      </c>
      <c r="F1738" s="40">
        <v>35662</v>
      </c>
      <c r="G1738" s="39">
        <v>4251.8999999999996</v>
      </c>
      <c r="H1738" s="39">
        <f t="shared" si="179"/>
        <v>3</v>
      </c>
      <c r="I1738" s="39">
        <f t="shared" si="180"/>
        <v>0</v>
      </c>
      <c r="K1738" s="40"/>
      <c r="Q1738" s="40">
        <v>35662</v>
      </c>
      <c r="R1738" s="39">
        <v>4251.8999999999996</v>
      </c>
      <c r="S1738" s="39">
        <f t="shared" si="181"/>
        <v>8</v>
      </c>
      <c r="T1738" s="39">
        <f t="shared" si="182"/>
        <v>0</v>
      </c>
      <c r="U1738" s="39">
        <f t="shared" si="183"/>
        <v>0</v>
      </c>
      <c r="V1738" s="40"/>
    </row>
    <row r="1739" spans="2:22" x14ac:dyDescent="0.35">
      <c r="B1739" s="40">
        <v>35663</v>
      </c>
      <c r="C1739" s="39">
        <v>4204.8</v>
      </c>
      <c r="D1739" s="219">
        <f t="shared" si="184"/>
        <v>-1.1139211990732584E-2</v>
      </c>
      <c r="F1739" s="40">
        <v>35663</v>
      </c>
      <c r="G1739" s="39">
        <v>4204.8</v>
      </c>
      <c r="H1739" s="39">
        <f t="shared" si="179"/>
        <v>4</v>
      </c>
      <c r="I1739" s="39">
        <f t="shared" si="180"/>
        <v>0</v>
      </c>
      <c r="K1739" s="40"/>
      <c r="Q1739" s="40">
        <v>35663</v>
      </c>
      <c r="R1739" s="39">
        <v>4204.8</v>
      </c>
      <c r="S1739" s="39">
        <f t="shared" si="181"/>
        <v>8</v>
      </c>
      <c r="T1739" s="39">
        <f t="shared" si="182"/>
        <v>0</v>
      </c>
      <c r="U1739" s="39">
        <f t="shared" si="183"/>
        <v>0</v>
      </c>
      <c r="V1739" s="40"/>
    </row>
    <row r="1740" spans="2:22" x14ac:dyDescent="0.35">
      <c r="B1740" s="40">
        <v>35664</v>
      </c>
      <c r="C1740" s="39">
        <v>4090.1</v>
      </c>
      <c r="D1740" s="219">
        <f t="shared" si="184"/>
        <v>-2.76573102345321E-2</v>
      </c>
      <c r="F1740" s="40">
        <v>35664</v>
      </c>
      <c r="G1740" s="39">
        <v>4090.1</v>
      </c>
      <c r="H1740" s="39">
        <f t="shared" si="179"/>
        <v>5</v>
      </c>
      <c r="I1740" s="39">
        <f t="shared" si="180"/>
        <v>4090.1</v>
      </c>
      <c r="K1740" s="40"/>
      <c r="Q1740" s="40">
        <v>35664</v>
      </c>
      <c r="R1740" s="39">
        <v>4090.1</v>
      </c>
      <c r="S1740" s="39">
        <f t="shared" si="181"/>
        <v>8</v>
      </c>
      <c r="T1740" s="39">
        <f t="shared" si="182"/>
        <v>0</v>
      </c>
      <c r="U1740" s="39">
        <f t="shared" si="183"/>
        <v>0</v>
      </c>
      <c r="V1740" s="40"/>
    </row>
    <row r="1741" spans="2:22" x14ac:dyDescent="0.35">
      <c r="B1741" s="40">
        <v>35667</v>
      </c>
      <c r="C1741" s="39">
        <v>4076.8</v>
      </c>
      <c r="D1741" s="219">
        <f t="shared" si="184"/>
        <v>-3.2570526779150564E-3</v>
      </c>
      <c r="F1741" s="40">
        <v>35667</v>
      </c>
      <c r="G1741" s="39">
        <v>4076.8</v>
      </c>
      <c r="H1741" s="39">
        <f t="shared" si="179"/>
        <v>1</v>
      </c>
      <c r="I1741" s="39">
        <f t="shared" si="180"/>
        <v>0</v>
      </c>
      <c r="K1741" s="40"/>
      <c r="Q1741" s="40">
        <v>35667</v>
      </c>
      <c r="R1741" s="39">
        <v>4076.8</v>
      </c>
      <c r="S1741" s="39">
        <f t="shared" si="181"/>
        <v>8</v>
      </c>
      <c r="T1741" s="39">
        <f t="shared" si="182"/>
        <v>0</v>
      </c>
      <c r="U1741" s="39">
        <f t="shared" si="183"/>
        <v>0</v>
      </c>
      <c r="V1741" s="40"/>
    </row>
    <row r="1742" spans="2:22" x14ac:dyDescent="0.35">
      <c r="B1742" s="40">
        <v>35668</v>
      </c>
      <c r="C1742" s="39">
        <v>3993.7</v>
      </c>
      <c r="D1742" s="219">
        <f t="shared" si="184"/>
        <v>-2.0594247452130354E-2</v>
      </c>
      <c r="F1742" s="40">
        <v>35668</v>
      </c>
      <c r="G1742" s="39">
        <v>3993.7</v>
      </c>
      <c r="H1742" s="39">
        <f t="shared" si="179"/>
        <v>2</v>
      </c>
      <c r="I1742" s="39">
        <f t="shared" si="180"/>
        <v>0</v>
      </c>
      <c r="K1742" s="40"/>
      <c r="Q1742" s="40">
        <v>35668</v>
      </c>
      <c r="R1742" s="39">
        <v>3993.7</v>
      </c>
      <c r="S1742" s="39">
        <f t="shared" si="181"/>
        <v>8</v>
      </c>
      <c r="T1742" s="39">
        <f t="shared" si="182"/>
        <v>0</v>
      </c>
      <c r="U1742" s="39">
        <f t="shared" si="183"/>
        <v>0</v>
      </c>
      <c r="V1742" s="40"/>
    </row>
    <row r="1743" spans="2:22" x14ac:dyDescent="0.35">
      <c r="B1743" s="40">
        <v>35669</v>
      </c>
      <c r="C1743" s="39">
        <v>3992</v>
      </c>
      <c r="D1743" s="219">
        <f t="shared" si="184"/>
        <v>-4.2576105430459433E-4</v>
      </c>
      <c r="F1743" s="40">
        <v>35669</v>
      </c>
      <c r="G1743" s="39">
        <v>3992</v>
      </c>
      <c r="H1743" s="39">
        <f t="shared" si="179"/>
        <v>3</v>
      </c>
      <c r="I1743" s="39">
        <f t="shared" si="180"/>
        <v>0</v>
      </c>
      <c r="K1743" s="40"/>
      <c r="Q1743" s="40">
        <v>35669</v>
      </c>
      <c r="R1743" s="39">
        <v>3992</v>
      </c>
      <c r="S1743" s="39">
        <f t="shared" si="181"/>
        <v>8</v>
      </c>
      <c r="T1743" s="39">
        <f t="shared" si="182"/>
        <v>0</v>
      </c>
      <c r="U1743" s="39">
        <f t="shared" si="183"/>
        <v>0</v>
      </c>
      <c r="V1743" s="40"/>
    </row>
    <row r="1744" spans="2:22" x14ac:dyDescent="0.35">
      <c r="B1744" s="40">
        <v>35670</v>
      </c>
      <c r="C1744" s="39">
        <v>3897.4</v>
      </c>
      <c r="D1744" s="219">
        <f t="shared" si="184"/>
        <v>-2.3982694301320474E-2</v>
      </c>
      <c r="F1744" s="40">
        <v>35670</v>
      </c>
      <c r="G1744" s="39">
        <v>3897.4</v>
      </c>
      <c r="H1744" s="39">
        <f t="shared" si="179"/>
        <v>4</v>
      </c>
      <c r="I1744" s="39">
        <f t="shared" si="180"/>
        <v>0</v>
      </c>
      <c r="K1744" s="40"/>
      <c r="Q1744" s="40">
        <v>35670</v>
      </c>
      <c r="R1744" s="39">
        <v>3897.4</v>
      </c>
      <c r="S1744" s="39">
        <f t="shared" si="181"/>
        <v>8</v>
      </c>
      <c r="T1744" s="39">
        <f t="shared" si="182"/>
        <v>0</v>
      </c>
      <c r="U1744" s="39">
        <f t="shared" si="183"/>
        <v>0</v>
      </c>
      <c r="V1744" s="40"/>
    </row>
    <row r="1745" spans="2:22" x14ac:dyDescent="0.35">
      <c r="B1745" s="40">
        <v>35671</v>
      </c>
      <c r="C1745" s="39">
        <v>3919.8</v>
      </c>
      <c r="D1745" s="219">
        <f t="shared" si="184"/>
        <v>5.7309679447256519E-3</v>
      </c>
      <c r="F1745" s="40">
        <v>35671</v>
      </c>
      <c r="G1745" s="39">
        <v>3919.8</v>
      </c>
      <c r="H1745" s="39">
        <f t="shared" si="179"/>
        <v>5</v>
      </c>
      <c r="I1745" s="39">
        <f t="shared" si="180"/>
        <v>3919.8</v>
      </c>
      <c r="K1745" s="40"/>
      <c r="Q1745" s="40">
        <v>35671</v>
      </c>
      <c r="R1745" s="39">
        <v>3919.8</v>
      </c>
      <c r="S1745" s="39">
        <f t="shared" si="181"/>
        <v>8</v>
      </c>
      <c r="T1745" s="39">
        <f t="shared" si="182"/>
        <v>3919.8</v>
      </c>
      <c r="U1745" s="39">
        <f t="shared" si="183"/>
        <v>3919.8</v>
      </c>
      <c r="V1745" s="40"/>
    </row>
    <row r="1746" spans="2:22" x14ac:dyDescent="0.35">
      <c r="B1746" s="40">
        <v>35674</v>
      </c>
      <c r="C1746" s="39">
        <v>4001.8</v>
      </c>
      <c r="D1746" s="219">
        <f t="shared" si="184"/>
        <v>2.0703627807632709E-2</v>
      </c>
      <c r="F1746" s="40">
        <v>35674</v>
      </c>
      <c r="G1746" s="39">
        <v>4001.8</v>
      </c>
      <c r="H1746" s="39">
        <f t="shared" si="179"/>
        <v>1</v>
      </c>
      <c r="I1746" s="39">
        <f t="shared" si="180"/>
        <v>0</v>
      </c>
      <c r="K1746" s="40"/>
      <c r="Q1746" s="40">
        <v>35674</v>
      </c>
      <c r="R1746" s="39">
        <v>4001.8</v>
      </c>
      <c r="S1746" s="39">
        <f t="shared" si="181"/>
        <v>9</v>
      </c>
      <c r="T1746" s="39">
        <f t="shared" si="182"/>
        <v>0</v>
      </c>
      <c r="U1746" s="39">
        <f t="shared" si="183"/>
        <v>0</v>
      </c>
      <c r="V1746" s="40"/>
    </row>
    <row r="1747" spans="2:22" x14ac:dyDescent="0.35">
      <c r="B1747" s="40">
        <v>35675</v>
      </c>
      <c r="C1747" s="39">
        <v>4127.3</v>
      </c>
      <c r="D1747" s="219">
        <f t="shared" si="184"/>
        <v>3.0879180256359551E-2</v>
      </c>
      <c r="F1747" s="40">
        <v>35675</v>
      </c>
      <c r="G1747" s="39">
        <v>4127.3</v>
      </c>
      <c r="H1747" s="39">
        <f t="shared" si="179"/>
        <v>2</v>
      </c>
      <c r="I1747" s="39">
        <f t="shared" si="180"/>
        <v>0</v>
      </c>
      <c r="K1747" s="40"/>
      <c r="Q1747" s="40">
        <v>35675</v>
      </c>
      <c r="R1747" s="39">
        <v>4127.3</v>
      </c>
      <c r="S1747" s="39">
        <f t="shared" si="181"/>
        <v>9</v>
      </c>
      <c r="T1747" s="39">
        <f t="shared" si="182"/>
        <v>0</v>
      </c>
      <c r="U1747" s="39">
        <f t="shared" si="183"/>
        <v>0</v>
      </c>
      <c r="V1747" s="40"/>
    </row>
    <row r="1748" spans="2:22" x14ac:dyDescent="0.35">
      <c r="B1748" s="40">
        <v>35676</v>
      </c>
      <c r="C1748" s="39">
        <v>4062.1</v>
      </c>
      <c r="D1748" s="219">
        <f t="shared" si="184"/>
        <v>-1.5923358886876116E-2</v>
      </c>
      <c r="F1748" s="40">
        <v>35676</v>
      </c>
      <c r="G1748" s="39">
        <v>4062.1</v>
      </c>
      <c r="H1748" s="39">
        <f t="shared" si="179"/>
        <v>3</v>
      </c>
      <c r="I1748" s="39">
        <f t="shared" si="180"/>
        <v>0</v>
      </c>
      <c r="K1748" s="40"/>
      <c r="Q1748" s="40">
        <v>35676</v>
      </c>
      <c r="R1748" s="39">
        <v>4062.1</v>
      </c>
      <c r="S1748" s="39">
        <f t="shared" si="181"/>
        <v>9</v>
      </c>
      <c r="T1748" s="39">
        <f t="shared" si="182"/>
        <v>0</v>
      </c>
      <c r="U1748" s="39">
        <f t="shared" si="183"/>
        <v>0</v>
      </c>
      <c r="V1748" s="40"/>
    </row>
    <row r="1749" spans="2:22" x14ac:dyDescent="0.35">
      <c r="B1749" s="40">
        <v>35677</v>
      </c>
      <c r="C1749" s="39">
        <v>4093.4</v>
      </c>
      <c r="D1749" s="219">
        <f t="shared" si="184"/>
        <v>7.6758392934730638E-3</v>
      </c>
      <c r="F1749" s="40">
        <v>35677</v>
      </c>
      <c r="G1749" s="39">
        <v>4093.4</v>
      </c>
      <c r="H1749" s="39">
        <f t="shared" si="179"/>
        <v>4</v>
      </c>
      <c r="I1749" s="39">
        <f t="shared" si="180"/>
        <v>0</v>
      </c>
      <c r="K1749" s="40"/>
      <c r="Q1749" s="40">
        <v>35677</v>
      </c>
      <c r="R1749" s="39">
        <v>4093.4</v>
      </c>
      <c r="S1749" s="39">
        <f t="shared" si="181"/>
        <v>9</v>
      </c>
      <c r="T1749" s="39">
        <f t="shared" si="182"/>
        <v>0</v>
      </c>
      <c r="U1749" s="39">
        <f t="shared" si="183"/>
        <v>0</v>
      </c>
      <c r="V1749" s="40"/>
    </row>
    <row r="1750" spans="2:22" x14ac:dyDescent="0.35">
      <c r="B1750" s="40">
        <v>35678</v>
      </c>
      <c r="C1750" s="39">
        <v>4073.7</v>
      </c>
      <c r="D1750" s="219">
        <f t="shared" si="184"/>
        <v>-4.82424317249029E-3</v>
      </c>
      <c r="F1750" s="40">
        <v>35678</v>
      </c>
      <c r="G1750" s="39">
        <v>4073.7</v>
      </c>
      <c r="H1750" s="39">
        <f t="shared" si="179"/>
        <v>5</v>
      </c>
      <c r="I1750" s="39">
        <f t="shared" si="180"/>
        <v>4073.7</v>
      </c>
      <c r="K1750" s="40"/>
      <c r="Q1750" s="40">
        <v>35678</v>
      </c>
      <c r="R1750" s="39">
        <v>4073.7</v>
      </c>
      <c r="S1750" s="39">
        <f t="shared" si="181"/>
        <v>9</v>
      </c>
      <c r="T1750" s="39">
        <f t="shared" si="182"/>
        <v>0</v>
      </c>
      <c r="U1750" s="39">
        <f t="shared" si="183"/>
        <v>0</v>
      </c>
      <c r="V1750" s="40"/>
    </row>
    <row r="1751" spans="2:22" x14ac:dyDescent="0.35">
      <c r="B1751" s="40">
        <v>35681</v>
      </c>
      <c r="C1751" s="39">
        <v>4131.3</v>
      </c>
      <c r="D1751" s="219">
        <f t="shared" si="184"/>
        <v>1.4040450028331293E-2</v>
      </c>
      <c r="F1751" s="40">
        <v>35681</v>
      </c>
      <c r="G1751" s="39">
        <v>4131.3</v>
      </c>
      <c r="H1751" s="39">
        <f t="shared" si="179"/>
        <v>1</v>
      </c>
      <c r="I1751" s="39">
        <f t="shared" si="180"/>
        <v>0</v>
      </c>
      <c r="K1751" s="40"/>
      <c r="Q1751" s="40">
        <v>35681</v>
      </c>
      <c r="R1751" s="39">
        <v>4131.3</v>
      </c>
      <c r="S1751" s="39">
        <f t="shared" si="181"/>
        <v>9</v>
      </c>
      <c r="T1751" s="39">
        <f t="shared" si="182"/>
        <v>0</v>
      </c>
      <c r="U1751" s="39">
        <f t="shared" si="183"/>
        <v>0</v>
      </c>
      <c r="V1751" s="40"/>
    </row>
    <row r="1752" spans="2:22" x14ac:dyDescent="0.35">
      <c r="B1752" s="40">
        <v>35682</v>
      </c>
      <c r="C1752" s="39">
        <v>4104.6000000000004</v>
      </c>
      <c r="D1752" s="219">
        <f t="shared" si="184"/>
        <v>-6.483831406182583E-3</v>
      </c>
      <c r="F1752" s="40">
        <v>35682</v>
      </c>
      <c r="G1752" s="39">
        <v>4104.6000000000004</v>
      </c>
      <c r="H1752" s="39">
        <f t="shared" si="179"/>
        <v>2</v>
      </c>
      <c r="I1752" s="39">
        <f t="shared" si="180"/>
        <v>0</v>
      </c>
      <c r="K1752" s="40"/>
      <c r="Q1752" s="40">
        <v>35682</v>
      </c>
      <c r="R1752" s="39">
        <v>4104.6000000000004</v>
      </c>
      <c r="S1752" s="39">
        <f t="shared" si="181"/>
        <v>9</v>
      </c>
      <c r="T1752" s="39">
        <f t="shared" si="182"/>
        <v>0</v>
      </c>
      <c r="U1752" s="39">
        <f t="shared" si="183"/>
        <v>0</v>
      </c>
      <c r="V1752" s="40"/>
    </row>
    <row r="1753" spans="2:22" x14ac:dyDescent="0.35">
      <c r="B1753" s="40">
        <v>35683</v>
      </c>
      <c r="C1753" s="39">
        <v>4028</v>
      </c>
      <c r="D1753" s="219">
        <f t="shared" si="184"/>
        <v>-1.8838321156554469E-2</v>
      </c>
      <c r="F1753" s="40">
        <v>35683</v>
      </c>
      <c r="G1753" s="39">
        <v>4028</v>
      </c>
      <c r="H1753" s="39">
        <f t="shared" si="179"/>
        <v>3</v>
      </c>
      <c r="I1753" s="39">
        <f t="shared" si="180"/>
        <v>0</v>
      </c>
      <c r="K1753" s="40"/>
      <c r="Q1753" s="40">
        <v>35683</v>
      </c>
      <c r="R1753" s="39">
        <v>4028</v>
      </c>
      <c r="S1753" s="39">
        <f t="shared" si="181"/>
        <v>9</v>
      </c>
      <c r="T1753" s="39">
        <f t="shared" si="182"/>
        <v>0</v>
      </c>
      <c r="U1753" s="39">
        <f t="shared" si="183"/>
        <v>0</v>
      </c>
      <c r="V1753" s="40"/>
    </row>
    <row r="1754" spans="2:22" x14ac:dyDescent="0.35">
      <c r="B1754" s="40">
        <v>35684</v>
      </c>
      <c r="C1754" s="39">
        <v>3890.2</v>
      </c>
      <c r="D1754" s="219">
        <f t="shared" si="184"/>
        <v>-3.4809404665861174E-2</v>
      </c>
      <c r="F1754" s="40">
        <v>35684</v>
      </c>
      <c r="G1754" s="39">
        <v>3890.2</v>
      </c>
      <c r="H1754" s="39">
        <f t="shared" si="179"/>
        <v>4</v>
      </c>
      <c r="I1754" s="39">
        <f t="shared" si="180"/>
        <v>0</v>
      </c>
      <c r="K1754" s="40"/>
      <c r="Q1754" s="40">
        <v>35684</v>
      </c>
      <c r="R1754" s="39">
        <v>3890.2</v>
      </c>
      <c r="S1754" s="39">
        <f t="shared" si="181"/>
        <v>9</v>
      </c>
      <c r="T1754" s="39">
        <f t="shared" si="182"/>
        <v>0</v>
      </c>
      <c r="U1754" s="39">
        <f t="shared" si="183"/>
        <v>0</v>
      </c>
      <c r="V1754" s="40"/>
    </row>
    <row r="1755" spans="2:22" x14ac:dyDescent="0.35">
      <c r="B1755" s="40">
        <v>35685</v>
      </c>
      <c r="C1755" s="39">
        <v>3796.6</v>
      </c>
      <c r="D1755" s="219">
        <f t="shared" si="184"/>
        <v>-2.4354640816150252E-2</v>
      </c>
      <c r="F1755" s="40">
        <v>35685</v>
      </c>
      <c r="G1755" s="39">
        <v>3796.6</v>
      </c>
      <c r="H1755" s="39">
        <f t="shared" si="179"/>
        <v>5</v>
      </c>
      <c r="I1755" s="39">
        <f t="shared" si="180"/>
        <v>3796.6</v>
      </c>
      <c r="K1755" s="40"/>
      <c r="Q1755" s="40">
        <v>35685</v>
      </c>
      <c r="R1755" s="39">
        <v>3796.6</v>
      </c>
      <c r="S1755" s="39">
        <f t="shared" si="181"/>
        <v>9</v>
      </c>
      <c r="T1755" s="39">
        <f t="shared" si="182"/>
        <v>0</v>
      </c>
      <c r="U1755" s="39">
        <f t="shared" si="183"/>
        <v>0</v>
      </c>
      <c r="V1755" s="40"/>
    </row>
    <row r="1756" spans="2:22" x14ac:dyDescent="0.35">
      <c r="B1756" s="40">
        <v>35688</v>
      </c>
      <c r="C1756" s="39">
        <v>3869.5</v>
      </c>
      <c r="D1756" s="219">
        <f t="shared" si="184"/>
        <v>1.9019370354072314E-2</v>
      </c>
      <c r="F1756" s="40">
        <v>35688</v>
      </c>
      <c r="G1756" s="39">
        <v>3869.5</v>
      </c>
      <c r="H1756" s="39">
        <f t="shared" si="179"/>
        <v>1</v>
      </c>
      <c r="I1756" s="39">
        <f t="shared" si="180"/>
        <v>0</v>
      </c>
      <c r="K1756" s="40"/>
      <c r="Q1756" s="40">
        <v>35688</v>
      </c>
      <c r="R1756" s="39">
        <v>3869.5</v>
      </c>
      <c r="S1756" s="39">
        <f t="shared" si="181"/>
        <v>9</v>
      </c>
      <c r="T1756" s="39">
        <f t="shared" si="182"/>
        <v>0</v>
      </c>
      <c r="U1756" s="39">
        <f t="shared" si="183"/>
        <v>0</v>
      </c>
      <c r="V1756" s="40"/>
    </row>
    <row r="1757" spans="2:22" x14ac:dyDescent="0.35">
      <c r="B1757" s="40">
        <v>35689</v>
      </c>
      <c r="C1757" s="39">
        <v>3995.7</v>
      </c>
      <c r="D1757" s="219">
        <f t="shared" si="184"/>
        <v>3.2093483164580661E-2</v>
      </c>
      <c r="F1757" s="40">
        <v>35689</v>
      </c>
      <c r="G1757" s="39">
        <v>3995.7</v>
      </c>
      <c r="H1757" s="39">
        <f t="shared" si="179"/>
        <v>2</v>
      </c>
      <c r="I1757" s="39">
        <f t="shared" si="180"/>
        <v>0</v>
      </c>
      <c r="K1757" s="40"/>
      <c r="Q1757" s="40">
        <v>35689</v>
      </c>
      <c r="R1757" s="39">
        <v>3995.7</v>
      </c>
      <c r="S1757" s="39">
        <f t="shared" si="181"/>
        <v>9</v>
      </c>
      <c r="T1757" s="39">
        <f t="shared" si="182"/>
        <v>0</v>
      </c>
      <c r="U1757" s="39">
        <f t="shared" si="183"/>
        <v>0</v>
      </c>
      <c r="V1757" s="40"/>
    </row>
    <row r="1758" spans="2:22" x14ac:dyDescent="0.35">
      <c r="B1758" s="40">
        <v>35690</v>
      </c>
      <c r="C1758" s="39">
        <v>3970.4</v>
      </c>
      <c r="D1758" s="219">
        <f t="shared" si="184"/>
        <v>-6.3519376018634196E-3</v>
      </c>
      <c r="F1758" s="40">
        <v>35690</v>
      </c>
      <c r="G1758" s="39">
        <v>3970.4</v>
      </c>
      <c r="H1758" s="39">
        <f t="shared" si="179"/>
        <v>3</v>
      </c>
      <c r="I1758" s="39">
        <f t="shared" si="180"/>
        <v>0</v>
      </c>
      <c r="K1758" s="40"/>
      <c r="Q1758" s="40">
        <v>35690</v>
      </c>
      <c r="R1758" s="39">
        <v>3970.4</v>
      </c>
      <c r="S1758" s="39">
        <f t="shared" si="181"/>
        <v>9</v>
      </c>
      <c r="T1758" s="39">
        <f t="shared" si="182"/>
        <v>0</v>
      </c>
      <c r="U1758" s="39">
        <f t="shared" si="183"/>
        <v>0</v>
      </c>
      <c r="V1758" s="40"/>
    </row>
    <row r="1759" spans="2:22" x14ac:dyDescent="0.35">
      <c r="B1759" s="40">
        <v>35691</v>
      </c>
      <c r="C1759" s="39">
        <v>4004</v>
      </c>
      <c r="D1759" s="219">
        <f t="shared" si="184"/>
        <v>8.427016161880142E-3</v>
      </c>
      <c r="F1759" s="40">
        <v>35691</v>
      </c>
      <c r="G1759" s="39">
        <v>4004</v>
      </c>
      <c r="H1759" s="39">
        <f t="shared" si="179"/>
        <v>4</v>
      </c>
      <c r="I1759" s="39">
        <f t="shared" si="180"/>
        <v>0</v>
      </c>
      <c r="K1759" s="40"/>
      <c r="Q1759" s="40">
        <v>35691</v>
      </c>
      <c r="R1759" s="39">
        <v>4004</v>
      </c>
      <c r="S1759" s="39">
        <f t="shared" si="181"/>
        <v>9</v>
      </c>
      <c r="T1759" s="39">
        <f t="shared" si="182"/>
        <v>0</v>
      </c>
      <c r="U1759" s="39">
        <f t="shared" si="183"/>
        <v>0</v>
      </c>
      <c r="V1759" s="40"/>
    </row>
    <row r="1760" spans="2:22" x14ac:dyDescent="0.35">
      <c r="B1760" s="40">
        <v>35692</v>
      </c>
      <c r="C1760" s="39">
        <v>3983.1</v>
      </c>
      <c r="D1760" s="219">
        <f t="shared" si="184"/>
        <v>-5.2334508651451324E-3</v>
      </c>
      <c r="F1760" s="40">
        <v>35692</v>
      </c>
      <c r="G1760" s="39">
        <v>3983.1</v>
      </c>
      <c r="H1760" s="39">
        <f t="shared" si="179"/>
        <v>5</v>
      </c>
      <c r="I1760" s="39">
        <f t="shared" si="180"/>
        <v>3983.1</v>
      </c>
      <c r="K1760" s="40"/>
      <c r="Q1760" s="40">
        <v>35692</v>
      </c>
      <c r="R1760" s="39">
        <v>3983.1</v>
      </c>
      <c r="S1760" s="39">
        <f t="shared" si="181"/>
        <v>9</v>
      </c>
      <c r="T1760" s="39">
        <f t="shared" si="182"/>
        <v>0</v>
      </c>
      <c r="U1760" s="39">
        <f t="shared" si="183"/>
        <v>0</v>
      </c>
      <c r="V1760" s="40"/>
    </row>
    <row r="1761" spans="2:22" x14ac:dyDescent="0.35">
      <c r="B1761" s="40">
        <v>35695</v>
      </c>
      <c r="C1761" s="39">
        <v>4096.8999999999996</v>
      </c>
      <c r="D1761" s="219">
        <f t="shared" si="184"/>
        <v>2.8170179575532077E-2</v>
      </c>
      <c r="F1761" s="40">
        <v>35695</v>
      </c>
      <c r="G1761" s="39">
        <v>4096.8999999999996</v>
      </c>
      <c r="H1761" s="39">
        <f t="shared" si="179"/>
        <v>1</v>
      </c>
      <c r="I1761" s="39">
        <f t="shared" si="180"/>
        <v>0</v>
      </c>
      <c r="K1761" s="40"/>
      <c r="Q1761" s="40">
        <v>35695</v>
      </c>
      <c r="R1761" s="39">
        <v>4096.8999999999996</v>
      </c>
      <c r="S1761" s="39">
        <f t="shared" si="181"/>
        <v>9</v>
      </c>
      <c r="T1761" s="39">
        <f t="shared" si="182"/>
        <v>0</v>
      </c>
      <c r="U1761" s="39">
        <f t="shared" si="183"/>
        <v>0</v>
      </c>
      <c r="V1761" s="40"/>
    </row>
    <row r="1762" spans="2:22" x14ac:dyDescent="0.35">
      <c r="B1762" s="40">
        <v>35696</v>
      </c>
      <c r="C1762" s="39">
        <v>4091.8</v>
      </c>
      <c r="D1762" s="219">
        <f t="shared" si="184"/>
        <v>-1.2456191237718388E-3</v>
      </c>
      <c r="F1762" s="40">
        <v>35696</v>
      </c>
      <c r="G1762" s="39">
        <v>4091.8</v>
      </c>
      <c r="H1762" s="39">
        <f t="shared" si="179"/>
        <v>2</v>
      </c>
      <c r="I1762" s="39">
        <f t="shared" si="180"/>
        <v>0</v>
      </c>
      <c r="K1762" s="40"/>
      <c r="Q1762" s="40">
        <v>35696</v>
      </c>
      <c r="R1762" s="39">
        <v>4091.8</v>
      </c>
      <c r="S1762" s="39">
        <f t="shared" si="181"/>
        <v>9</v>
      </c>
      <c r="T1762" s="39">
        <f t="shared" si="182"/>
        <v>0</v>
      </c>
      <c r="U1762" s="39">
        <f t="shared" si="183"/>
        <v>0</v>
      </c>
      <c r="V1762" s="40"/>
    </row>
    <row r="1763" spans="2:22" x14ac:dyDescent="0.35">
      <c r="B1763" s="40">
        <v>35697</v>
      </c>
      <c r="C1763" s="39">
        <v>4151</v>
      </c>
      <c r="D1763" s="219">
        <f t="shared" si="184"/>
        <v>1.4364298031312533E-2</v>
      </c>
      <c r="F1763" s="40">
        <v>35697</v>
      </c>
      <c r="G1763" s="39">
        <v>4151</v>
      </c>
      <c r="H1763" s="39">
        <f t="shared" si="179"/>
        <v>3</v>
      </c>
      <c r="I1763" s="39">
        <f t="shared" si="180"/>
        <v>0</v>
      </c>
      <c r="K1763" s="40"/>
      <c r="Q1763" s="40">
        <v>35697</v>
      </c>
      <c r="R1763" s="39">
        <v>4151</v>
      </c>
      <c r="S1763" s="39">
        <f t="shared" si="181"/>
        <v>9</v>
      </c>
      <c r="T1763" s="39">
        <f t="shared" si="182"/>
        <v>0</v>
      </c>
      <c r="U1763" s="39">
        <f t="shared" si="183"/>
        <v>0</v>
      </c>
      <c r="V1763" s="40"/>
    </row>
    <row r="1764" spans="2:22" x14ac:dyDescent="0.35">
      <c r="B1764" s="40">
        <v>35698</v>
      </c>
      <c r="C1764" s="39">
        <v>4104.8999999999996</v>
      </c>
      <c r="D1764" s="219">
        <f t="shared" si="184"/>
        <v>-1.1167886999164722E-2</v>
      </c>
      <c r="F1764" s="40">
        <v>35698</v>
      </c>
      <c r="G1764" s="39">
        <v>4104.8999999999996</v>
      </c>
      <c r="H1764" s="39">
        <f t="shared" si="179"/>
        <v>4</v>
      </c>
      <c r="I1764" s="39">
        <f t="shared" si="180"/>
        <v>0</v>
      </c>
      <c r="K1764" s="40"/>
      <c r="Q1764" s="40">
        <v>35698</v>
      </c>
      <c r="R1764" s="39">
        <v>4104.8999999999996</v>
      </c>
      <c r="S1764" s="39">
        <f t="shared" si="181"/>
        <v>9</v>
      </c>
      <c r="T1764" s="39">
        <f t="shared" si="182"/>
        <v>0</v>
      </c>
      <c r="U1764" s="39">
        <f t="shared" si="183"/>
        <v>0</v>
      </c>
      <c r="V1764" s="40"/>
    </row>
    <row r="1765" spans="2:22" x14ac:dyDescent="0.35">
      <c r="B1765" s="40">
        <v>35699</v>
      </c>
      <c r="C1765" s="39">
        <v>4135.1000000000004</v>
      </c>
      <c r="D1765" s="219">
        <f t="shared" si="184"/>
        <v>7.330129908350547E-3</v>
      </c>
      <c r="F1765" s="40">
        <v>35699</v>
      </c>
      <c r="G1765" s="39">
        <v>4135.1000000000004</v>
      </c>
      <c r="H1765" s="39">
        <f t="shared" si="179"/>
        <v>5</v>
      </c>
      <c r="I1765" s="39">
        <f t="shared" si="180"/>
        <v>4135.1000000000004</v>
      </c>
      <c r="K1765" s="40"/>
      <c r="Q1765" s="40">
        <v>35699</v>
      </c>
      <c r="R1765" s="39">
        <v>4135.1000000000004</v>
      </c>
      <c r="S1765" s="39">
        <f t="shared" si="181"/>
        <v>9</v>
      </c>
      <c r="T1765" s="39">
        <f t="shared" si="182"/>
        <v>0</v>
      </c>
      <c r="U1765" s="39">
        <f t="shared" si="183"/>
        <v>0</v>
      </c>
      <c r="V1765" s="40"/>
    </row>
    <row r="1766" spans="2:22" x14ac:dyDescent="0.35">
      <c r="B1766" s="40">
        <v>35702</v>
      </c>
      <c r="C1766" s="39">
        <v>4116.5</v>
      </c>
      <c r="D1766" s="219">
        <f t="shared" si="184"/>
        <v>-4.5082242237438315E-3</v>
      </c>
      <c r="F1766" s="40">
        <v>35702</v>
      </c>
      <c r="G1766" s="39">
        <v>4116.5</v>
      </c>
      <c r="H1766" s="39">
        <f t="shared" si="179"/>
        <v>1</v>
      </c>
      <c r="I1766" s="39">
        <f t="shared" si="180"/>
        <v>0</v>
      </c>
      <c r="K1766" s="40"/>
      <c r="Q1766" s="40">
        <v>35702</v>
      </c>
      <c r="R1766" s="39">
        <v>4116.5</v>
      </c>
      <c r="S1766" s="39">
        <f t="shared" si="181"/>
        <v>9</v>
      </c>
      <c r="T1766" s="39">
        <f t="shared" si="182"/>
        <v>0</v>
      </c>
      <c r="U1766" s="39">
        <f t="shared" si="183"/>
        <v>0</v>
      </c>
      <c r="V1766" s="40"/>
    </row>
    <row r="1767" spans="2:22" x14ac:dyDescent="0.35">
      <c r="B1767" s="40">
        <v>35703</v>
      </c>
      <c r="C1767" s="39">
        <v>4154.8999999999996</v>
      </c>
      <c r="D1767" s="219">
        <f t="shared" si="184"/>
        <v>9.2850728727551495E-3</v>
      </c>
      <c r="F1767" s="40">
        <v>35703</v>
      </c>
      <c r="G1767" s="39">
        <v>4154.8999999999996</v>
      </c>
      <c r="H1767" s="39">
        <f t="shared" si="179"/>
        <v>2</v>
      </c>
      <c r="I1767" s="39">
        <f t="shared" si="180"/>
        <v>0</v>
      </c>
      <c r="K1767" s="40"/>
      <c r="Q1767" s="40">
        <v>35703</v>
      </c>
      <c r="R1767" s="39">
        <v>4154.8999999999996</v>
      </c>
      <c r="S1767" s="39">
        <f t="shared" si="181"/>
        <v>9</v>
      </c>
      <c r="T1767" s="39">
        <f t="shared" si="182"/>
        <v>4154.8999999999996</v>
      </c>
      <c r="U1767" s="39">
        <f t="shared" si="183"/>
        <v>4154.8999999999996</v>
      </c>
      <c r="V1767" s="40"/>
    </row>
    <row r="1768" spans="2:22" x14ac:dyDescent="0.35">
      <c r="B1768" s="40">
        <v>35704</v>
      </c>
      <c r="C1768" s="39">
        <v>4263</v>
      </c>
      <c r="D1768" s="219">
        <f t="shared" si="184"/>
        <v>2.5684777153974422E-2</v>
      </c>
      <c r="F1768" s="40">
        <v>35704</v>
      </c>
      <c r="G1768" s="39">
        <v>4263</v>
      </c>
      <c r="H1768" s="39">
        <f t="shared" si="179"/>
        <v>3</v>
      </c>
      <c r="I1768" s="39">
        <f t="shared" si="180"/>
        <v>0</v>
      </c>
      <c r="K1768" s="40"/>
      <c r="Q1768" s="40">
        <v>35704</v>
      </c>
      <c r="R1768" s="39">
        <v>4263</v>
      </c>
      <c r="S1768" s="39">
        <f t="shared" si="181"/>
        <v>10</v>
      </c>
      <c r="T1768" s="39">
        <f t="shared" si="182"/>
        <v>0</v>
      </c>
      <c r="U1768" s="39">
        <f t="shared" si="183"/>
        <v>0</v>
      </c>
      <c r="V1768" s="40"/>
    </row>
    <row r="1769" spans="2:22" x14ac:dyDescent="0.35">
      <c r="B1769" s="40">
        <v>35705</v>
      </c>
      <c r="C1769" s="39">
        <v>4266.2</v>
      </c>
      <c r="D1769" s="219">
        <f t="shared" si="184"/>
        <v>7.5036349250706821E-4</v>
      </c>
      <c r="F1769" s="40">
        <v>35705</v>
      </c>
      <c r="G1769" s="39">
        <v>4266.2</v>
      </c>
      <c r="H1769" s="39">
        <f t="shared" si="179"/>
        <v>4</v>
      </c>
      <c r="I1769" s="39">
        <f t="shared" si="180"/>
        <v>4266.2</v>
      </c>
      <c r="K1769" s="40"/>
      <c r="Q1769" s="40">
        <v>35705</v>
      </c>
      <c r="R1769" s="39">
        <v>4266.2</v>
      </c>
      <c r="S1769" s="39">
        <f t="shared" si="181"/>
        <v>10</v>
      </c>
      <c r="T1769" s="39">
        <f t="shared" si="182"/>
        <v>0</v>
      </c>
      <c r="U1769" s="39">
        <f t="shared" si="183"/>
        <v>0</v>
      </c>
      <c r="V1769" s="40"/>
    </row>
    <row r="1770" spans="2:22" x14ac:dyDescent="0.35">
      <c r="B1770" s="40">
        <v>35709</v>
      </c>
      <c r="C1770" s="39">
        <v>4326.3999999999996</v>
      </c>
      <c r="D1770" s="219">
        <f t="shared" si="184"/>
        <v>1.4012286150872787E-2</v>
      </c>
      <c r="F1770" s="40">
        <v>35709</v>
      </c>
      <c r="G1770" s="39">
        <v>4326.3999999999996</v>
      </c>
      <c r="H1770" s="39">
        <f t="shared" si="179"/>
        <v>1</v>
      </c>
      <c r="I1770" s="39">
        <f t="shared" si="180"/>
        <v>0</v>
      </c>
      <c r="K1770" s="40"/>
      <c r="Q1770" s="40">
        <v>35709</v>
      </c>
      <c r="R1770" s="39">
        <v>4326.3999999999996</v>
      </c>
      <c r="S1770" s="39">
        <f t="shared" si="181"/>
        <v>10</v>
      </c>
      <c r="T1770" s="39">
        <f t="shared" si="182"/>
        <v>0</v>
      </c>
      <c r="U1770" s="39">
        <f t="shared" si="183"/>
        <v>0</v>
      </c>
      <c r="V1770" s="40"/>
    </row>
    <row r="1771" spans="2:22" x14ac:dyDescent="0.35">
      <c r="B1771" s="40">
        <v>35710</v>
      </c>
      <c r="C1771" s="39">
        <v>4311.1000000000004</v>
      </c>
      <c r="D1771" s="219">
        <f t="shared" si="184"/>
        <v>-3.5426954563536326E-3</v>
      </c>
      <c r="F1771" s="40">
        <v>35710</v>
      </c>
      <c r="G1771" s="39">
        <v>4311.1000000000004</v>
      </c>
      <c r="H1771" s="39">
        <f t="shared" si="179"/>
        <v>2</v>
      </c>
      <c r="I1771" s="39">
        <f t="shared" si="180"/>
        <v>0</v>
      </c>
      <c r="K1771" s="40"/>
      <c r="Q1771" s="40">
        <v>35710</v>
      </c>
      <c r="R1771" s="39">
        <v>4311.1000000000004</v>
      </c>
      <c r="S1771" s="39">
        <f t="shared" si="181"/>
        <v>10</v>
      </c>
      <c r="T1771" s="39">
        <f t="shared" si="182"/>
        <v>0</v>
      </c>
      <c r="U1771" s="39">
        <f t="shared" si="183"/>
        <v>0</v>
      </c>
      <c r="V1771" s="40"/>
    </row>
    <row r="1772" spans="2:22" x14ac:dyDescent="0.35">
      <c r="B1772" s="40">
        <v>35711</v>
      </c>
      <c r="C1772" s="39">
        <v>4267.3999999999996</v>
      </c>
      <c r="D1772" s="219">
        <f t="shared" si="184"/>
        <v>-1.018834948145343E-2</v>
      </c>
      <c r="F1772" s="40">
        <v>35711</v>
      </c>
      <c r="G1772" s="39">
        <v>4267.3999999999996</v>
      </c>
      <c r="H1772" s="39">
        <f t="shared" si="179"/>
        <v>3</v>
      </c>
      <c r="I1772" s="39">
        <f t="shared" si="180"/>
        <v>0</v>
      </c>
      <c r="K1772" s="40"/>
      <c r="Q1772" s="40">
        <v>35711</v>
      </c>
      <c r="R1772" s="39">
        <v>4267.3999999999996</v>
      </c>
      <c r="S1772" s="39">
        <f t="shared" si="181"/>
        <v>10</v>
      </c>
      <c r="T1772" s="39">
        <f t="shared" si="182"/>
        <v>0</v>
      </c>
      <c r="U1772" s="39">
        <f t="shared" si="183"/>
        <v>0</v>
      </c>
      <c r="V1772" s="40"/>
    </row>
    <row r="1773" spans="2:22" x14ac:dyDescent="0.35">
      <c r="B1773" s="40">
        <v>35712</v>
      </c>
      <c r="C1773" s="39">
        <v>4179.8999999999996</v>
      </c>
      <c r="D1773" s="219">
        <f t="shared" si="184"/>
        <v>-2.0717419683127496E-2</v>
      </c>
      <c r="F1773" s="40">
        <v>35712</v>
      </c>
      <c r="G1773" s="39">
        <v>4179.8999999999996</v>
      </c>
      <c r="H1773" s="39">
        <f t="shared" si="179"/>
        <v>4</v>
      </c>
      <c r="I1773" s="39">
        <f t="shared" si="180"/>
        <v>0</v>
      </c>
      <c r="K1773" s="40"/>
      <c r="Q1773" s="40">
        <v>35712</v>
      </c>
      <c r="R1773" s="39">
        <v>4179.8999999999996</v>
      </c>
      <c r="S1773" s="39">
        <f t="shared" si="181"/>
        <v>10</v>
      </c>
      <c r="T1773" s="39">
        <f t="shared" si="182"/>
        <v>0</v>
      </c>
      <c r="U1773" s="39">
        <f t="shared" si="183"/>
        <v>0</v>
      </c>
      <c r="V1773" s="40"/>
    </row>
    <row r="1774" spans="2:22" x14ac:dyDescent="0.35">
      <c r="B1774" s="40">
        <v>35713</v>
      </c>
      <c r="C1774" s="39">
        <v>4164.6000000000004</v>
      </c>
      <c r="D1774" s="219">
        <f t="shared" si="184"/>
        <v>-3.6670902140625238E-3</v>
      </c>
      <c r="F1774" s="40">
        <v>35713</v>
      </c>
      <c r="G1774" s="39">
        <v>4164.6000000000004</v>
      </c>
      <c r="H1774" s="39">
        <f t="shared" si="179"/>
        <v>5</v>
      </c>
      <c r="I1774" s="39">
        <f t="shared" si="180"/>
        <v>4164.6000000000004</v>
      </c>
      <c r="K1774" s="40"/>
      <c r="Q1774" s="40">
        <v>35713</v>
      </c>
      <c r="R1774" s="39">
        <v>4164.6000000000004</v>
      </c>
      <c r="S1774" s="39">
        <f t="shared" si="181"/>
        <v>10</v>
      </c>
      <c r="T1774" s="39">
        <f t="shared" si="182"/>
        <v>0</v>
      </c>
      <c r="U1774" s="39">
        <f t="shared" si="183"/>
        <v>0</v>
      </c>
      <c r="V1774" s="40"/>
    </row>
    <row r="1775" spans="2:22" x14ac:dyDescent="0.35">
      <c r="B1775" s="40">
        <v>35716</v>
      </c>
      <c r="C1775" s="39">
        <v>4225.3</v>
      </c>
      <c r="D1775" s="219">
        <f t="shared" si="184"/>
        <v>1.4470031614040101E-2</v>
      </c>
      <c r="F1775" s="40">
        <v>35716</v>
      </c>
      <c r="G1775" s="39">
        <v>4225.3</v>
      </c>
      <c r="H1775" s="39">
        <f t="shared" si="179"/>
        <v>1</v>
      </c>
      <c r="I1775" s="39">
        <f t="shared" si="180"/>
        <v>0</v>
      </c>
      <c r="K1775" s="40"/>
      <c r="Q1775" s="40">
        <v>35716</v>
      </c>
      <c r="R1775" s="39">
        <v>4225.3</v>
      </c>
      <c r="S1775" s="39">
        <f t="shared" si="181"/>
        <v>10</v>
      </c>
      <c r="T1775" s="39">
        <f t="shared" si="182"/>
        <v>0</v>
      </c>
      <c r="U1775" s="39">
        <f t="shared" si="183"/>
        <v>0</v>
      </c>
      <c r="V1775" s="40"/>
    </row>
    <row r="1776" spans="2:22" x14ac:dyDescent="0.35">
      <c r="B1776" s="40">
        <v>35717</v>
      </c>
      <c r="C1776" s="39">
        <v>4215.2</v>
      </c>
      <c r="D1776" s="219">
        <f t="shared" si="184"/>
        <v>-2.3932242925572408E-3</v>
      </c>
      <c r="F1776" s="40">
        <v>35717</v>
      </c>
      <c r="G1776" s="39">
        <v>4215.2</v>
      </c>
      <c r="H1776" s="39">
        <f t="shared" si="179"/>
        <v>2</v>
      </c>
      <c r="I1776" s="39">
        <f t="shared" si="180"/>
        <v>0</v>
      </c>
      <c r="K1776" s="40"/>
      <c r="Q1776" s="40">
        <v>35717</v>
      </c>
      <c r="R1776" s="39">
        <v>4215.2</v>
      </c>
      <c r="S1776" s="39">
        <f t="shared" si="181"/>
        <v>10</v>
      </c>
      <c r="T1776" s="39">
        <f t="shared" si="182"/>
        <v>0</v>
      </c>
      <c r="U1776" s="39">
        <f t="shared" si="183"/>
        <v>0</v>
      </c>
      <c r="V1776" s="40"/>
    </row>
    <row r="1777" spans="2:22" x14ac:dyDescent="0.35">
      <c r="B1777" s="40">
        <v>35718</v>
      </c>
      <c r="C1777" s="39">
        <v>4168.6000000000004</v>
      </c>
      <c r="D1777" s="219">
        <f t="shared" si="184"/>
        <v>-1.1116791887505582E-2</v>
      </c>
      <c r="F1777" s="40">
        <v>35718</v>
      </c>
      <c r="G1777" s="39">
        <v>4168.6000000000004</v>
      </c>
      <c r="H1777" s="39">
        <f t="shared" si="179"/>
        <v>3</v>
      </c>
      <c r="I1777" s="39">
        <f t="shared" si="180"/>
        <v>0</v>
      </c>
      <c r="K1777" s="40"/>
      <c r="Q1777" s="40">
        <v>35718</v>
      </c>
      <c r="R1777" s="39">
        <v>4168.6000000000004</v>
      </c>
      <c r="S1777" s="39">
        <f t="shared" si="181"/>
        <v>10</v>
      </c>
      <c r="T1777" s="39">
        <f t="shared" si="182"/>
        <v>0</v>
      </c>
      <c r="U1777" s="39">
        <f t="shared" si="183"/>
        <v>0</v>
      </c>
      <c r="V1777" s="40"/>
    </row>
    <row r="1778" spans="2:22" x14ac:dyDescent="0.35">
      <c r="B1778" s="40">
        <v>35719</v>
      </c>
      <c r="C1778" s="39">
        <v>4149.8999999999996</v>
      </c>
      <c r="D1778" s="219">
        <f t="shared" si="184"/>
        <v>-4.496010458691301E-3</v>
      </c>
      <c r="F1778" s="40">
        <v>35719</v>
      </c>
      <c r="G1778" s="39">
        <v>4149.8999999999996</v>
      </c>
      <c r="H1778" s="39">
        <f t="shared" si="179"/>
        <v>4</v>
      </c>
      <c r="I1778" s="39">
        <f t="shared" si="180"/>
        <v>0</v>
      </c>
      <c r="K1778" s="40"/>
      <c r="Q1778" s="40">
        <v>35719</v>
      </c>
      <c r="R1778" s="39">
        <v>4149.8999999999996</v>
      </c>
      <c r="S1778" s="39">
        <f t="shared" si="181"/>
        <v>10</v>
      </c>
      <c r="T1778" s="39">
        <f t="shared" si="182"/>
        <v>0</v>
      </c>
      <c r="U1778" s="39">
        <f t="shared" si="183"/>
        <v>0</v>
      </c>
      <c r="V1778" s="40"/>
    </row>
    <row r="1779" spans="2:22" x14ac:dyDescent="0.35">
      <c r="B1779" s="40">
        <v>35720</v>
      </c>
      <c r="C1779" s="39">
        <v>4049.2</v>
      </c>
      <c r="D1779" s="219">
        <f t="shared" si="184"/>
        <v>-2.4564906824282515E-2</v>
      </c>
      <c r="F1779" s="40">
        <v>35720</v>
      </c>
      <c r="G1779" s="39">
        <v>4049.2</v>
      </c>
      <c r="H1779" s="39">
        <f t="shared" si="179"/>
        <v>5</v>
      </c>
      <c r="I1779" s="39">
        <f t="shared" si="180"/>
        <v>4049.2</v>
      </c>
      <c r="K1779" s="40"/>
      <c r="Q1779" s="40">
        <v>35720</v>
      </c>
      <c r="R1779" s="39">
        <v>4049.2</v>
      </c>
      <c r="S1779" s="39">
        <f t="shared" si="181"/>
        <v>10</v>
      </c>
      <c r="T1779" s="39">
        <f t="shared" si="182"/>
        <v>0</v>
      </c>
      <c r="U1779" s="39">
        <f t="shared" si="183"/>
        <v>0</v>
      </c>
      <c r="V1779" s="40"/>
    </row>
    <row r="1780" spans="2:22" x14ac:dyDescent="0.35">
      <c r="B1780" s="40">
        <v>35723</v>
      </c>
      <c r="C1780" s="39">
        <v>4069.3</v>
      </c>
      <c r="D1780" s="219">
        <f t="shared" si="184"/>
        <v>4.951663748048292E-3</v>
      </c>
      <c r="F1780" s="40">
        <v>35723</v>
      </c>
      <c r="G1780" s="39">
        <v>4069.3</v>
      </c>
      <c r="H1780" s="39">
        <f t="shared" si="179"/>
        <v>1</v>
      </c>
      <c r="I1780" s="39">
        <f t="shared" si="180"/>
        <v>0</v>
      </c>
      <c r="K1780" s="40"/>
      <c r="Q1780" s="40">
        <v>35723</v>
      </c>
      <c r="R1780" s="39">
        <v>4069.3</v>
      </c>
      <c r="S1780" s="39">
        <f t="shared" si="181"/>
        <v>10</v>
      </c>
      <c r="T1780" s="39">
        <f t="shared" si="182"/>
        <v>0</v>
      </c>
      <c r="U1780" s="39">
        <f t="shared" si="183"/>
        <v>0</v>
      </c>
      <c r="V1780" s="40"/>
    </row>
    <row r="1781" spans="2:22" x14ac:dyDescent="0.35">
      <c r="B1781" s="40">
        <v>35724</v>
      </c>
      <c r="C1781" s="39">
        <v>4172.5</v>
      </c>
      <c r="D1781" s="219">
        <f t="shared" si="184"/>
        <v>2.5044382063345354E-2</v>
      </c>
      <c r="F1781" s="40">
        <v>35724</v>
      </c>
      <c r="G1781" s="39">
        <v>4172.5</v>
      </c>
      <c r="H1781" s="39">
        <f t="shared" si="179"/>
        <v>2</v>
      </c>
      <c r="I1781" s="39">
        <f t="shared" si="180"/>
        <v>0</v>
      </c>
      <c r="K1781" s="40"/>
      <c r="Q1781" s="40">
        <v>35724</v>
      </c>
      <c r="R1781" s="39">
        <v>4172.5</v>
      </c>
      <c r="S1781" s="39">
        <f t="shared" si="181"/>
        <v>10</v>
      </c>
      <c r="T1781" s="39">
        <f t="shared" si="182"/>
        <v>0</v>
      </c>
      <c r="U1781" s="39">
        <f t="shared" si="183"/>
        <v>0</v>
      </c>
      <c r="V1781" s="40"/>
    </row>
    <row r="1782" spans="2:22" x14ac:dyDescent="0.35">
      <c r="B1782" s="40">
        <v>35725</v>
      </c>
      <c r="C1782" s="39">
        <v>4124.8999999999996</v>
      </c>
      <c r="D1782" s="219">
        <f t="shared" si="184"/>
        <v>-1.1473599485303609E-2</v>
      </c>
      <c r="F1782" s="40">
        <v>35725</v>
      </c>
      <c r="G1782" s="39">
        <v>4124.8999999999996</v>
      </c>
      <c r="H1782" s="39">
        <f t="shared" si="179"/>
        <v>3</v>
      </c>
      <c r="I1782" s="39">
        <f t="shared" si="180"/>
        <v>0</v>
      </c>
      <c r="K1782" s="40"/>
      <c r="Q1782" s="40">
        <v>35725</v>
      </c>
      <c r="R1782" s="39">
        <v>4124.8999999999996</v>
      </c>
      <c r="S1782" s="39">
        <f t="shared" si="181"/>
        <v>10</v>
      </c>
      <c r="T1782" s="39">
        <f t="shared" si="182"/>
        <v>0</v>
      </c>
      <c r="U1782" s="39">
        <f t="shared" si="183"/>
        <v>0</v>
      </c>
      <c r="V1782" s="40"/>
    </row>
    <row r="1783" spans="2:22" x14ac:dyDescent="0.35">
      <c r="B1783" s="40">
        <v>35726</v>
      </c>
      <c r="C1783" s="39">
        <v>3976.4</v>
      </c>
      <c r="D1783" s="219">
        <f t="shared" si="184"/>
        <v>-3.6664889712696394E-2</v>
      </c>
      <c r="F1783" s="40">
        <v>35726</v>
      </c>
      <c r="G1783" s="39">
        <v>3976.4</v>
      </c>
      <c r="H1783" s="39">
        <f t="shared" ref="H1783:H1846" si="185">WEEKDAY(F1783,2)</f>
        <v>4</v>
      </c>
      <c r="I1783" s="39">
        <f t="shared" ref="I1783:I1846" si="186">IF(H1783&gt;H1784,G1783,0)</f>
        <v>0</v>
      </c>
      <c r="K1783" s="40"/>
      <c r="Q1783" s="40">
        <v>35726</v>
      </c>
      <c r="R1783" s="39">
        <v>3976.4</v>
      </c>
      <c r="S1783" s="39">
        <f t="shared" ref="S1783:S1846" si="187">MONTH(Q1783)</f>
        <v>10</v>
      </c>
      <c r="T1783" s="39">
        <f t="shared" ref="T1783:T1846" si="188">IF(S1784&lt;&gt;S1783,R1783,0)</f>
        <v>0</v>
      </c>
      <c r="U1783" s="39">
        <f t="shared" ref="U1783:U1846" si="189">IF(S1784=S1783,0,R1783)</f>
        <v>0</v>
      </c>
      <c r="V1783" s="40"/>
    </row>
    <row r="1784" spans="2:22" x14ac:dyDescent="0.35">
      <c r="B1784" s="40">
        <v>35727</v>
      </c>
      <c r="C1784" s="39">
        <v>3981.4</v>
      </c>
      <c r="D1784" s="219">
        <f t="shared" ref="D1784:D1847" si="190">LN(C1784/C1783)</f>
        <v>1.256628881843049E-3</v>
      </c>
      <c r="F1784" s="40">
        <v>35727</v>
      </c>
      <c r="G1784" s="39">
        <v>3981.4</v>
      </c>
      <c r="H1784" s="39">
        <f t="shared" si="185"/>
        <v>5</v>
      </c>
      <c r="I1784" s="39">
        <f t="shared" si="186"/>
        <v>3981.4</v>
      </c>
      <c r="K1784" s="40"/>
      <c r="Q1784" s="40">
        <v>35727</v>
      </c>
      <c r="R1784" s="39">
        <v>3981.4</v>
      </c>
      <c r="S1784" s="39">
        <f t="shared" si="187"/>
        <v>10</v>
      </c>
      <c r="T1784" s="39">
        <f t="shared" si="188"/>
        <v>0</v>
      </c>
      <c r="U1784" s="39">
        <f t="shared" si="189"/>
        <v>0</v>
      </c>
      <c r="V1784" s="40"/>
    </row>
    <row r="1785" spans="2:22" x14ac:dyDescent="0.35">
      <c r="B1785" s="40">
        <v>35730</v>
      </c>
      <c r="C1785" s="39">
        <v>3871.4</v>
      </c>
      <c r="D1785" s="219">
        <f t="shared" si="190"/>
        <v>-2.8017317508387648E-2</v>
      </c>
      <c r="F1785" s="40">
        <v>35730</v>
      </c>
      <c r="G1785" s="39">
        <v>3871.4</v>
      </c>
      <c r="H1785" s="39">
        <f t="shared" si="185"/>
        <v>1</v>
      </c>
      <c r="I1785" s="39">
        <f t="shared" si="186"/>
        <v>0</v>
      </c>
      <c r="K1785" s="40"/>
      <c r="Q1785" s="40">
        <v>35730</v>
      </c>
      <c r="R1785" s="39">
        <v>3871.4</v>
      </c>
      <c r="S1785" s="39">
        <f t="shared" si="187"/>
        <v>10</v>
      </c>
      <c r="T1785" s="39">
        <f t="shared" si="188"/>
        <v>0</v>
      </c>
      <c r="U1785" s="39">
        <f t="shared" si="189"/>
        <v>0</v>
      </c>
      <c r="V1785" s="40"/>
    </row>
    <row r="1786" spans="2:22" x14ac:dyDescent="0.35">
      <c r="B1786" s="40">
        <v>35731</v>
      </c>
      <c r="C1786" s="39">
        <v>3645.7</v>
      </c>
      <c r="D1786" s="219">
        <f t="shared" si="190"/>
        <v>-6.0067807811007616E-2</v>
      </c>
      <c r="F1786" s="40">
        <v>35731</v>
      </c>
      <c r="G1786" s="39">
        <v>3645.7</v>
      </c>
      <c r="H1786" s="39">
        <f t="shared" si="185"/>
        <v>2</v>
      </c>
      <c r="I1786" s="39">
        <f t="shared" si="186"/>
        <v>0</v>
      </c>
      <c r="K1786" s="40"/>
      <c r="Q1786" s="40">
        <v>35731</v>
      </c>
      <c r="R1786" s="39">
        <v>3645.7</v>
      </c>
      <c r="S1786" s="39">
        <f t="shared" si="187"/>
        <v>10</v>
      </c>
      <c r="T1786" s="39">
        <f t="shared" si="188"/>
        <v>0</v>
      </c>
      <c r="U1786" s="39">
        <f t="shared" si="189"/>
        <v>0</v>
      </c>
      <c r="V1786" s="40"/>
    </row>
    <row r="1787" spans="2:22" x14ac:dyDescent="0.35">
      <c r="B1787" s="40">
        <v>35732</v>
      </c>
      <c r="C1787" s="39">
        <v>3806.7</v>
      </c>
      <c r="D1787" s="219">
        <f t="shared" si="190"/>
        <v>4.3214281170540887E-2</v>
      </c>
      <c r="F1787" s="40">
        <v>35732</v>
      </c>
      <c r="G1787" s="39">
        <v>3806.7</v>
      </c>
      <c r="H1787" s="39">
        <f t="shared" si="185"/>
        <v>3</v>
      </c>
      <c r="I1787" s="39">
        <f t="shared" si="186"/>
        <v>0</v>
      </c>
      <c r="K1787" s="40"/>
      <c r="Q1787" s="40">
        <v>35732</v>
      </c>
      <c r="R1787" s="39">
        <v>3806.7</v>
      </c>
      <c r="S1787" s="39">
        <f t="shared" si="187"/>
        <v>10</v>
      </c>
      <c r="T1787" s="39">
        <f t="shared" si="188"/>
        <v>0</v>
      </c>
      <c r="U1787" s="39">
        <f t="shared" si="189"/>
        <v>0</v>
      </c>
      <c r="V1787" s="40"/>
    </row>
    <row r="1788" spans="2:22" x14ac:dyDescent="0.35">
      <c r="B1788" s="40">
        <v>35733</v>
      </c>
      <c r="C1788" s="39">
        <v>3748.9</v>
      </c>
      <c r="D1788" s="219">
        <f t="shared" si="190"/>
        <v>-1.5300208470492601E-2</v>
      </c>
      <c r="F1788" s="40">
        <v>35733</v>
      </c>
      <c r="G1788" s="39">
        <v>3748.9</v>
      </c>
      <c r="H1788" s="39">
        <f t="shared" si="185"/>
        <v>4</v>
      </c>
      <c r="I1788" s="39">
        <f t="shared" si="186"/>
        <v>0</v>
      </c>
      <c r="K1788" s="40"/>
      <c r="Q1788" s="40">
        <v>35733</v>
      </c>
      <c r="R1788" s="39">
        <v>3748.9</v>
      </c>
      <c r="S1788" s="39">
        <f t="shared" si="187"/>
        <v>10</v>
      </c>
      <c r="T1788" s="39">
        <f t="shared" si="188"/>
        <v>0</v>
      </c>
      <c r="U1788" s="39">
        <f t="shared" si="189"/>
        <v>0</v>
      </c>
      <c r="V1788" s="40"/>
    </row>
    <row r="1789" spans="2:22" x14ac:dyDescent="0.35">
      <c r="B1789" s="40">
        <v>35734</v>
      </c>
      <c r="C1789" s="39">
        <v>3753.7</v>
      </c>
      <c r="D1789" s="219">
        <f t="shared" si="190"/>
        <v>1.2795565950219259E-3</v>
      </c>
      <c r="F1789" s="40">
        <v>35734</v>
      </c>
      <c r="G1789" s="39">
        <v>3753.7</v>
      </c>
      <c r="H1789" s="39">
        <f t="shared" si="185"/>
        <v>5</v>
      </c>
      <c r="I1789" s="39">
        <f t="shared" si="186"/>
        <v>3753.7</v>
      </c>
      <c r="K1789" s="40"/>
      <c r="Q1789" s="40">
        <v>35734</v>
      </c>
      <c r="R1789" s="39">
        <v>3753.7</v>
      </c>
      <c r="S1789" s="39">
        <f t="shared" si="187"/>
        <v>10</v>
      </c>
      <c r="T1789" s="39">
        <f t="shared" si="188"/>
        <v>3753.7</v>
      </c>
      <c r="U1789" s="39">
        <f t="shared" si="189"/>
        <v>3753.7</v>
      </c>
      <c r="V1789" s="40"/>
    </row>
    <row r="1790" spans="2:22" x14ac:dyDescent="0.35">
      <c r="B1790" s="40">
        <v>35737</v>
      </c>
      <c r="C1790" s="39">
        <v>3847.7</v>
      </c>
      <c r="D1790" s="219">
        <f t="shared" si="190"/>
        <v>2.4733546972886999E-2</v>
      </c>
      <c r="F1790" s="40">
        <v>35737</v>
      </c>
      <c r="G1790" s="39">
        <v>3847.7</v>
      </c>
      <c r="H1790" s="39">
        <f t="shared" si="185"/>
        <v>1</v>
      </c>
      <c r="I1790" s="39">
        <f t="shared" si="186"/>
        <v>0</v>
      </c>
      <c r="K1790" s="40"/>
      <c r="Q1790" s="40">
        <v>35737</v>
      </c>
      <c r="R1790" s="39">
        <v>3847.7</v>
      </c>
      <c r="S1790" s="39">
        <f t="shared" si="187"/>
        <v>11</v>
      </c>
      <c r="T1790" s="39">
        <f t="shared" si="188"/>
        <v>0</v>
      </c>
      <c r="U1790" s="39">
        <f t="shared" si="189"/>
        <v>0</v>
      </c>
      <c r="V1790" s="40"/>
    </row>
    <row r="1791" spans="2:22" x14ac:dyDescent="0.35">
      <c r="B1791" s="40">
        <v>35738</v>
      </c>
      <c r="C1791" s="39">
        <v>3784.8</v>
      </c>
      <c r="D1791" s="219">
        <f t="shared" si="190"/>
        <v>-1.6482521851456409E-2</v>
      </c>
      <c r="F1791" s="40">
        <v>35738</v>
      </c>
      <c r="G1791" s="39">
        <v>3784.8</v>
      </c>
      <c r="H1791" s="39">
        <f t="shared" si="185"/>
        <v>2</v>
      </c>
      <c r="I1791" s="39">
        <f t="shared" si="186"/>
        <v>0</v>
      </c>
      <c r="K1791" s="40"/>
      <c r="Q1791" s="40">
        <v>35738</v>
      </c>
      <c r="R1791" s="39">
        <v>3784.8</v>
      </c>
      <c r="S1791" s="39">
        <f t="shared" si="187"/>
        <v>11</v>
      </c>
      <c r="T1791" s="39">
        <f t="shared" si="188"/>
        <v>0</v>
      </c>
      <c r="U1791" s="39">
        <f t="shared" si="189"/>
        <v>0</v>
      </c>
      <c r="V1791" s="40"/>
    </row>
    <row r="1792" spans="2:22" x14ac:dyDescent="0.35">
      <c r="B1792" s="40">
        <v>35739</v>
      </c>
      <c r="C1792" s="39">
        <v>3841.4</v>
      </c>
      <c r="D1792" s="219">
        <f t="shared" si="190"/>
        <v>1.4843838153813238E-2</v>
      </c>
      <c r="F1792" s="40">
        <v>35739</v>
      </c>
      <c r="G1792" s="39">
        <v>3841.4</v>
      </c>
      <c r="H1792" s="39">
        <f t="shared" si="185"/>
        <v>3</v>
      </c>
      <c r="I1792" s="39">
        <f t="shared" si="186"/>
        <v>0</v>
      </c>
      <c r="K1792" s="40"/>
      <c r="Q1792" s="40">
        <v>35739</v>
      </c>
      <c r="R1792" s="39">
        <v>3841.4</v>
      </c>
      <c r="S1792" s="39">
        <f t="shared" si="187"/>
        <v>11</v>
      </c>
      <c r="T1792" s="39">
        <f t="shared" si="188"/>
        <v>0</v>
      </c>
      <c r="U1792" s="39">
        <f t="shared" si="189"/>
        <v>0</v>
      </c>
      <c r="V1792" s="40"/>
    </row>
    <row r="1793" spans="2:22" x14ac:dyDescent="0.35">
      <c r="B1793" s="40">
        <v>35740</v>
      </c>
      <c r="C1793" s="39">
        <v>3813.9</v>
      </c>
      <c r="D1793" s="219">
        <f t="shared" si="190"/>
        <v>-7.184595846565155E-3</v>
      </c>
      <c r="F1793" s="40">
        <v>35740</v>
      </c>
      <c r="G1793" s="39">
        <v>3813.9</v>
      </c>
      <c r="H1793" s="39">
        <f t="shared" si="185"/>
        <v>4</v>
      </c>
      <c r="I1793" s="39">
        <f t="shared" si="186"/>
        <v>0</v>
      </c>
      <c r="K1793" s="40"/>
      <c r="Q1793" s="40">
        <v>35740</v>
      </c>
      <c r="R1793" s="39">
        <v>3813.9</v>
      </c>
      <c r="S1793" s="39">
        <f t="shared" si="187"/>
        <v>11</v>
      </c>
      <c r="T1793" s="39">
        <f t="shared" si="188"/>
        <v>0</v>
      </c>
      <c r="U1793" s="39">
        <f t="shared" si="189"/>
        <v>0</v>
      </c>
      <c r="V1793" s="40"/>
    </row>
    <row r="1794" spans="2:22" x14ac:dyDescent="0.35">
      <c r="B1794" s="40">
        <v>35741</v>
      </c>
      <c r="C1794" s="39">
        <v>3715.4</v>
      </c>
      <c r="D1794" s="219">
        <f t="shared" si="190"/>
        <v>-2.6165943666882734E-2</v>
      </c>
      <c r="F1794" s="40">
        <v>35741</v>
      </c>
      <c r="G1794" s="39">
        <v>3715.4</v>
      </c>
      <c r="H1794" s="39">
        <f t="shared" si="185"/>
        <v>5</v>
      </c>
      <c r="I1794" s="39">
        <f t="shared" si="186"/>
        <v>3715.4</v>
      </c>
      <c r="K1794" s="40"/>
      <c r="Q1794" s="40">
        <v>35741</v>
      </c>
      <c r="R1794" s="39">
        <v>3715.4</v>
      </c>
      <c r="S1794" s="39">
        <f t="shared" si="187"/>
        <v>11</v>
      </c>
      <c r="T1794" s="39">
        <f t="shared" si="188"/>
        <v>0</v>
      </c>
      <c r="U1794" s="39">
        <f t="shared" si="189"/>
        <v>0</v>
      </c>
      <c r="V1794" s="40"/>
    </row>
    <row r="1795" spans="2:22" x14ac:dyDescent="0.35">
      <c r="B1795" s="40">
        <v>35744</v>
      </c>
      <c r="C1795" s="39">
        <v>3728.4</v>
      </c>
      <c r="D1795" s="219">
        <f t="shared" si="190"/>
        <v>3.4928432296981692E-3</v>
      </c>
      <c r="F1795" s="40">
        <v>35744</v>
      </c>
      <c r="G1795" s="39">
        <v>3728.4</v>
      </c>
      <c r="H1795" s="39">
        <f t="shared" si="185"/>
        <v>1</v>
      </c>
      <c r="I1795" s="39">
        <f t="shared" si="186"/>
        <v>0</v>
      </c>
      <c r="K1795" s="40"/>
      <c r="Q1795" s="40">
        <v>35744</v>
      </c>
      <c r="R1795" s="39">
        <v>3728.4</v>
      </c>
      <c r="S1795" s="39">
        <f t="shared" si="187"/>
        <v>11</v>
      </c>
      <c r="T1795" s="39">
        <f t="shared" si="188"/>
        <v>0</v>
      </c>
      <c r="U1795" s="39">
        <f t="shared" si="189"/>
        <v>0</v>
      </c>
      <c r="V1795" s="40"/>
    </row>
    <row r="1796" spans="2:22" x14ac:dyDescent="0.35">
      <c r="B1796" s="40">
        <v>35745</v>
      </c>
      <c r="C1796" s="39">
        <v>3734.8</v>
      </c>
      <c r="D1796" s="219">
        <f t="shared" si="190"/>
        <v>1.7150824227687832E-3</v>
      </c>
      <c r="F1796" s="40">
        <v>35745</v>
      </c>
      <c r="G1796" s="39">
        <v>3734.8</v>
      </c>
      <c r="H1796" s="39">
        <f t="shared" si="185"/>
        <v>2</v>
      </c>
      <c r="I1796" s="39">
        <f t="shared" si="186"/>
        <v>0</v>
      </c>
      <c r="K1796" s="40"/>
      <c r="Q1796" s="40">
        <v>35745</v>
      </c>
      <c r="R1796" s="39">
        <v>3734.8</v>
      </c>
      <c r="S1796" s="39">
        <f t="shared" si="187"/>
        <v>11</v>
      </c>
      <c r="T1796" s="39">
        <f t="shared" si="188"/>
        <v>0</v>
      </c>
      <c r="U1796" s="39">
        <f t="shared" si="189"/>
        <v>0</v>
      </c>
      <c r="V1796" s="40"/>
    </row>
    <row r="1797" spans="2:22" x14ac:dyDescent="0.35">
      <c r="B1797" s="40">
        <v>35746</v>
      </c>
      <c r="C1797" s="39">
        <v>3697.5</v>
      </c>
      <c r="D1797" s="219">
        <f t="shared" si="190"/>
        <v>-1.0037354024815962E-2</v>
      </c>
      <c r="F1797" s="40">
        <v>35746</v>
      </c>
      <c r="G1797" s="39">
        <v>3697.5</v>
      </c>
      <c r="H1797" s="39">
        <f t="shared" si="185"/>
        <v>3</v>
      </c>
      <c r="I1797" s="39">
        <f t="shared" si="186"/>
        <v>0</v>
      </c>
      <c r="K1797" s="40"/>
      <c r="Q1797" s="40">
        <v>35746</v>
      </c>
      <c r="R1797" s="39">
        <v>3697.5</v>
      </c>
      <c r="S1797" s="39">
        <f t="shared" si="187"/>
        <v>11</v>
      </c>
      <c r="T1797" s="39">
        <f t="shared" si="188"/>
        <v>0</v>
      </c>
      <c r="U1797" s="39">
        <f t="shared" si="189"/>
        <v>0</v>
      </c>
      <c r="V1797" s="40"/>
    </row>
    <row r="1798" spans="2:22" x14ac:dyDescent="0.35">
      <c r="B1798" s="40">
        <v>35747</v>
      </c>
      <c r="C1798" s="39">
        <v>3701.9</v>
      </c>
      <c r="D1798" s="219">
        <f t="shared" si="190"/>
        <v>1.1892857579299464E-3</v>
      </c>
      <c r="F1798" s="40">
        <v>35747</v>
      </c>
      <c r="G1798" s="39">
        <v>3701.9</v>
      </c>
      <c r="H1798" s="39">
        <f t="shared" si="185"/>
        <v>4</v>
      </c>
      <c r="I1798" s="39">
        <f t="shared" si="186"/>
        <v>0</v>
      </c>
      <c r="K1798" s="40"/>
      <c r="Q1798" s="40">
        <v>35747</v>
      </c>
      <c r="R1798" s="39">
        <v>3701.9</v>
      </c>
      <c r="S1798" s="39">
        <f t="shared" si="187"/>
        <v>11</v>
      </c>
      <c r="T1798" s="39">
        <f t="shared" si="188"/>
        <v>0</v>
      </c>
      <c r="U1798" s="39">
        <f t="shared" si="189"/>
        <v>0</v>
      </c>
      <c r="V1798" s="40"/>
    </row>
    <row r="1799" spans="2:22" x14ac:dyDescent="0.35">
      <c r="B1799" s="40">
        <v>35748</v>
      </c>
      <c r="C1799" s="39">
        <v>3676.7</v>
      </c>
      <c r="D1799" s="219">
        <f t="shared" si="190"/>
        <v>-6.8305906214071706E-3</v>
      </c>
      <c r="F1799" s="40">
        <v>35748</v>
      </c>
      <c r="G1799" s="39">
        <v>3676.7</v>
      </c>
      <c r="H1799" s="39">
        <f t="shared" si="185"/>
        <v>5</v>
      </c>
      <c r="I1799" s="39">
        <f t="shared" si="186"/>
        <v>3676.7</v>
      </c>
      <c r="K1799" s="40"/>
      <c r="Q1799" s="40">
        <v>35748</v>
      </c>
      <c r="R1799" s="39">
        <v>3676.7</v>
      </c>
      <c r="S1799" s="39">
        <f t="shared" si="187"/>
        <v>11</v>
      </c>
      <c r="T1799" s="39">
        <f t="shared" si="188"/>
        <v>0</v>
      </c>
      <c r="U1799" s="39">
        <f t="shared" si="189"/>
        <v>0</v>
      </c>
      <c r="V1799" s="40"/>
    </row>
    <row r="1800" spans="2:22" x14ac:dyDescent="0.35">
      <c r="B1800" s="40">
        <v>35751</v>
      </c>
      <c r="C1800" s="39">
        <v>3816.7</v>
      </c>
      <c r="D1800" s="219">
        <f t="shared" si="190"/>
        <v>3.7370564179114621E-2</v>
      </c>
      <c r="F1800" s="40">
        <v>35751</v>
      </c>
      <c r="G1800" s="39">
        <v>3816.7</v>
      </c>
      <c r="H1800" s="39">
        <f t="shared" si="185"/>
        <v>1</v>
      </c>
      <c r="I1800" s="39">
        <f t="shared" si="186"/>
        <v>0</v>
      </c>
      <c r="K1800" s="40"/>
      <c r="Q1800" s="40">
        <v>35751</v>
      </c>
      <c r="R1800" s="39">
        <v>3816.7</v>
      </c>
      <c r="S1800" s="39">
        <f t="shared" si="187"/>
        <v>11</v>
      </c>
      <c r="T1800" s="39">
        <f t="shared" si="188"/>
        <v>0</v>
      </c>
      <c r="U1800" s="39">
        <f t="shared" si="189"/>
        <v>0</v>
      </c>
      <c r="V1800" s="40"/>
    </row>
    <row r="1801" spans="2:22" x14ac:dyDescent="0.35">
      <c r="B1801" s="40">
        <v>35752</v>
      </c>
      <c r="C1801" s="39">
        <v>3844.1</v>
      </c>
      <c r="D1801" s="219">
        <f t="shared" si="190"/>
        <v>7.1533304193760671E-3</v>
      </c>
      <c r="F1801" s="40">
        <v>35752</v>
      </c>
      <c r="G1801" s="39">
        <v>3844.1</v>
      </c>
      <c r="H1801" s="39">
        <f t="shared" si="185"/>
        <v>2</v>
      </c>
      <c r="I1801" s="39">
        <f t="shared" si="186"/>
        <v>0</v>
      </c>
      <c r="K1801" s="40"/>
      <c r="Q1801" s="40">
        <v>35752</v>
      </c>
      <c r="R1801" s="39">
        <v>3844.1</v>
      </c>
      <c r="S1801" s="39">
        <f t="shared" si="187"/>
        <v>11</v>
      </c>
      <c r="T1801" s="39">
        <f t="shared" si="188"/>
        <v>0</v>
      </c>
      <c r="U1801" s="39">
        <f t="shared" si="189"/>
        <v>0</v>
      </c>
      <c r="V1801" s="40"/>
    </row>
    <row r="1802" spans="2:22" x14ac:dyDescent="0.35">
      <c r="B1802" s="40">
        <v>35753</v>
      </c>
      <c r="C1802" s="39">
        <v>3876.9</v>
      </c>
      <c r="D1802" s="219">
        <f t="shared" si="190"/>
        <v>8.4963598792872057E-3</v>
      </c>
      <c r="F1802" s="40">
        <v>35753</v>
      </c>
      <c r="G1802" s="39">
        <v>3876.9</v>
      </c>
      <c r="H1802" s="39">
        <f t="shared" si="185"/>
        <v>3</v>
      </c>
      <c r="I1802" s="39">
        <f t="shared" si="186"/>
        <v>0</v>
      </c>
      <c r="K1802" s="40"/>
      <c r="Q1802" s="40">
        <v>35753</v>
      </c>
      <c r="R1802" s="39">
        <v>3876.9</v>
      </c>
      <c r="S1802" s="39">
        <f t="shared" si="187"/>
        <v>11</v>
      </c>
      <c r="T1802" s="39">
        <f t="shared" si="188"/>
        <v>0</v>
      </c>
      <c r="U1802" s="39">
        <f t="shared" si="189"/>
        <v>0</v>
      </c>
      <c r="V1802" s="40"/>
    </row>
    <row r="1803" spans="2:22" x14ac:dyDescent="0.35">
      <c r="B1803" s="40">
        <v>35754</v>
      </c>
      <c r="C1803" s="39">
        <v>3931.8</v>
      </c>
      <c r="D1803" s="219">
        <f t="shared" si="190"/>
        <v>1.4061471074250827E-2</v>
      </c>
      <c r="F1803" s="40">
        <v>35754</v>
      </c>
      <c r="G1803" s="39">
        <v>3931.8</v>
      </c>
      <c r="H1803" s="39">
        <f t="shared" si="185"/>
        <v>4</v>
      </c>
      <c r="I1803" s="39">
        <f t="shared" si="186"/>
        <v>0</v>
      </c>
      <c r="K1803" s="40"/>
      <c r="Q1803" s="40">
        <v>35754</v>
      </c>
      <c r="R1803" s="39">
        <v>3931.8</v>
      </c>
      <c r="S1803" s="39">
        <f t="shared" si="187"/>
        <v>11</v>
      </c>
      <c r="T1803" s="39">
        <f t="shared" si="188"/>
        <v>0</v>
      </c>
      <c r="U1803" s="39">
        <f t="shared" si="189"/>
        <v>0</v>
      </c>
      <c r="V1803" s="40"/>
    </row>
    <row r="1804" spans="2:22" x14ac:dyDescent="0.35">
      <c r="B1804" s="40">
        <v>35755</v>
      </c>
      <c r="C1804" s="39">
        <v>3941.9</v>
      </c>
      <c r="D1804" s="219">
        <f t="shared" si="190"/>
        <v>2.5655042838033373E-3</v>
      </c>
      <c r="F1804" s="40">
        <v>35755</v>
      </c>
      <c r="G1804" s="39">
        <v>3941.9</v>
      </c>
      <c r="H1804" s="39">
        <f t="shared" si="185"/>
        <v>5</v>
      </c>
      <c r="I1804" s="39">
        <f t="shared" si="186"/>
        <v>3941.9</v>
      </c>
      <c r="K1804" s="40"/>
      <c r="Q1804" s="40">
        <v>35755</v>
      </c>
      <c r="R1804" s="39">
        <v>3941.9</v>
      </c>
      <c r="S1804" s="39">
        <f t="shared" si="187"/>
        <v>11</v>
      </c>
      <c r="T1804" s="39">
        <f t="shared" si="188"/>
        <v>0</v>
      </c>
      <c r="U1804" s="39">
        <f t="shared" si="189"/>
        <v>0</v>
      </c>
      <c r="V1804" s="40"/>
    </row>
    <row r="1805" spans="2:22" x14ac:dyDescent="0.35">
      <c r="B1805" s="40">
        <v>35758</v>
      </c>
      <c r="C1805" s="39">
        <v>3832.1</v>
      </c>
      <c r="D1805" s="219">
        <f t="shared" si="190"/>
        <v>-2.8249884773651032E-2</v>
      </c>
      <c r="F1805" s="40">
        <v>35758</v>
      </c>
      <c r="G1805" s="39">
        <v>3832.1</v>
      </c>
      <c r="H1805" s="39">
        <f t="shared" si="185"/>
        <v>1</v>
      </c>
      <c r="I1805" s="39">
        <f t="shared" si="186"/>
        <v>0</v>
      </c>
      <c r="K1805" s="40"/>
      <c r="Q1805" s="40">
        <v>35758</v>
      </c>
      <c r="R1805" s="39">
        <v>3832.1</v>
      </c>
      <c r="S1805" s="39">
        <f t="shared" si="187"/>
        <v>11</v>
      </c>
      <c r="T1805" s="39">
        <f t="shared" si="188"/>
        <v>0</v>
      </c>
      <c r="U1805" s="39">
        <f t="shared" si="189"/>
        <v>0</v>
      </c>
      <c r="V1805" s="40"/>
    </row>
    <row r="1806" spans="2:22" x14ac:dyDescent="0.35">
      <c r="B1806" s="40">
        <v>35759</v>
      </c>
      <c r="C1806" s="39">
        <v>3850.1</v>
      </c>
      <c r="D1806" s="219">
        <f t="shared" si="190"/>
        <v>4.6861661868262596E-3</v>
      </c>
      <c r="F1806" s="40">
        <v>35759</v>
      </c>
      <c r="G1806" s="39">
        <v>3850.1</v>
      </c>
      <c r="H1806" s="39">
        <f t="shared" si="185"/>
        <v>2</v>
      </c>
      <c r="I1806" s="39">
        <f t="shared" si="186"/>
        <v>0</v>
      </c>
      <c r="K1806" s="40"/>
      <c r="Q1806" s="40">
        <v>35759</v>
      </c>
      <c r="R1806" s="39">
        <v>3850.1</v>
      </c>
      <c r="S1806" s="39">
        <f t="shared" si="187"/>
        <v>11</v>
      </c>
      <c r="T1806" s="39">
        <f t="shared" si="188"/>
        <v>0</v>
      </c>
      <c r="U1806" s="39">
        <f t="shared" si="189"/>
        <v>0</v>
      </c>
      <c r="V1806" s="40"/>
    </row>
    <row r="1807" spans="2:22" x14ac:dyDescent="0.35">
      <c r="B1807" s="40">
        <v>35760</v>
      </c>
      <c r="C1807" s="39">
        <v>3926.9</v>
      </c>
      <c r="D1807" s="219">
        <f t="shared" si="190"/>
        <v>1.9751188551946009E-2</v>
      </c>
      <c r="F1807" s="40">
        <v>35760</v>
      </c>
      <c r="G1807" s="39">
        <v>3926.9</v>
      </c>
      <c r="H1807" s="39">
        <f t="shared" si="185"/>
        <v>3</v>
      </c>
      <c r="I1807" s="39">
        <f t="shared" si="186"/>
        <v>0</v>
      </c>
      <c r="K1807" s="40"/>
      <c r="Q1807" s="40">
        <v>35760</v>
      </c>
      <c r="R1807" s="39">
        <v>3926.9</v>
      </c>
      <c r="S1807" s="39">
        <f t="shared" si="187"/>
        <v>11</v>
      </c>
      <c r="T1807" s="39">
        <f t="shared" si="188"/>
        <v>0</v>
      </c>
      <c r="U1807" s="39">
        <f t="shared" si="189"/>
        <v>0</v>
      </c>
      <c r="V1807" s="40"/>
    </row>
    <row r="1808" spans="2:22" x14ac:dyDescent="0.35">
      <c r="B1808" s="40">
        <v>35761</v>
      </c>
      <c r="C1808" s="39">
        <v>3962</v>
      </c>
      <c r="D1808" s="219">
        <f t="shared" si="190"/>
        <v>8.8986377360653814E-3</v>
      </c>
      <c r="F1808" s="40">
        <v>35761</v>
      </c>
      <c r="G1808" s="39">
        <v>3962</v>
      </c>
      <c r="H1808" s="39">
        <f t="shared" si="185"/>
        <v>4</v>
      </c>
      <c r="I1808" s="39">
        <f t="shared" si="186"/>
        <v>0</v>
      </c>
      <c r="K1808" s="40"/>
      <c r="Q1808" s="40">
        <v>35761</v>
      </c>
      <c r="R1808" s="39">
        <v>3962</v>
      </c>
      <c r="S1808" s="39">
        <f t="shared" si="187"/>
        <v>11</v>
      </c>
      <c r="T1808" s="39">
        <f t="shared" si="188"/>
        <v>0</v>
      </c>
      <c r="U1808" s="39">
        <f t="shared" si="189"/>
        <v>0</v>
      </c>
      <c r="V1808" s="40"/>
    </row>
    <row r="1809" spans="2:22" x14ac:dyDescent="0.35">
      <c r="B1809" s="40">
        <v>35762</v>
      </c>
      <c r="C1809" s="39">
        <v>3972.1</v>
      </c>
      <c r="D1809" s="219">
        <f t="shared" si="190"/>
        <v>2.5459738232862668E-3</v>
      </c>
      <c r="F1809" s="40">
        <v>35762</v>
      </c>
      <c r="G1809" s="39">
        <v>3972.1</v>
      </c>
      <c r="H1809" s="39">
        <f t="shared" si="185"/>
        <v>5</v>
      </c>
      <c r="I1809" s="39">
        <f t="shared" si="186"/>
        <v>3972.1</v>
      </c>
      <c r="K1809" s="40"/>
      <c r="Q1809" s="40">
        <v>35762</v>
      </c>
      <c r="R1809" s="39">
        <v>3972.1</v>
      </c>
      <c r="S1809" s="39">
        <f t="shared" si="187"/>
        <v>11</v>
      </c>
      <c r="T1809" s="39">
        <f t="shared" si="188"/>
        <v>3972.1</v>
      </c>
      <c r="U1809" s="39">
        <f t="shared" si="189"/>
        <v>3972.1</v>
      </c>
      <c r="V1809" s="40"/>
    </row>
    <row r="1810" spans="2:22" x14ac:dyDescent="0.35">
      <c r="B1810" s="40">
        <v>35765</v>
      </c>
      <c r="C1810" s="39">
        <v>4125.8999999999996</v>
      </c>
      <c r="D1810" s="219">
        <f t="shared" si="190"/>
        <v>3.7989255706989015E-2</v>
      </c>
      <c r="F1810" s="40">
        <v>35765</v>
      </c>
      <c r="G1810" s="39">
        <v>4125.8999999999996</v>
      </c>
      <c r="H1810" s="39">
        <f t="shared" si="185"/>
        <v>1</v>
      </c>
      <c r="I1810" s="39">
        <f t="shared" si="186"/>
        <v>0</v>
      </c>
      <c r="K1810" s="40"/>
      <c r="Q1810" s="40">
        <v>35765</v>
      </c>
      <c r="R1810" s="39">
        <v>4125.8999999999996</v>
      </c>
      <c r="S1810" s="39">
        <f t="shared" si="187"/>
        <v>12</v>
      </c>
      <c r="T1810" s="39">
        <f t="shared" si="188"/>
        <v>0</v>
      </c>
      <c r="U1810" s="39">
        <f t="shared" si="189"/>
        <v>0</v>
      </c>
      <c r="V1810" s="40"/>
    </row>
    <row r="1811" spans="2:22" x14ac:dyDescent="0.35">
      <c r="B1811" s="40">
        <v>35766</v>
      </c>
      <c r="C1811" s="39">
        <v>4096.3999999999996</v>
      </c>
      <c r="D1811" s="219">
        <f t="shared" si="190"/>
        <v>-7.1756385874892142E-3</v>
      </c>
      <c r="F1811" s="40">
        <v>35766</v>
      </c>
      <c r="G1811" s="39">
        <v>4096.3999999999996</v>
      </c>
      <c r="H1811" s="39">
        <f t="shared" si="185"/>
        <v>2</v>
      </c>
      <c r="I1811" s="39">
        <f t="shared" si="186"/>
        <v>0</v>
      </c>
      <c r="K1811" s="40"/>
      <c r="Q1811" s="40">
        <v>35766</v>
      </c>
      <c r="R1811" s="39">
        <v>4096.3999999999996</v>
      </c>
      <c r="S1811" s="39">
        <f t="shared" si="187"/>
        <v>12</v>
      </c>
      <c r="T1811" s="39">
        <f t="shared" si="188"/>
        <v>0</v>
      </c>
      <c r="U1811" s="39">
        <f t="shared" si="189"/>
        <v>0</v>
      </c>
      <c r="V1811" s="40"/>
    </row>
    <row r="1812" spans="2:22" x14ac:dyDescent="0.35">
      <c r="B1812" s="40">
        <v>35767</v>
      </c>
      <c r="C1812" s="39">
        <v>4074.6</v>
      </c>
      <c r="D1812" s="219">
        <f t="shared" si="190"/>
        <v>-5.3359568534817811E-3</v>
      </c>
      <c r="F1812" s="40">
        <v>35767</v>
      </c>
      <c r="G1812" s="39">
        <v>4074.6</v>
      </c>
      <c r="H1812" s="39">
        <f t="shared" si="185"/>
        <v>3</v>
      </c>
      <c r="I1812" s="39">
        <f t="shared" si="186"/>
        <v>0</v>
      </c>
      <c r="K1812" s="40"/>
      <c r="Q1812" s="40">
        <v>35767</v>
      </c>
      <c r="R1812" s="39">
        <v>4074.6</v>
      </c>
      <c r="S1812" s="39">
        <f t="shared" si="187"/>
        <v>12</v>
      </c>
      <c r="T1812" s="39">
        <f t="shared" si="188"/>
        <v>0</v>
      </c>
      <c r="U1812" s="39">
        <f t="shared" si="189"/>
        <v>0</v>
      </c>
      <c r="V1812" s="40"/>
    </row>
    <row r="1813" spans="2:22" x14ac:dyDescent="0.35">
      <c r="B1813" s="40">
        <v>35768</v>
      </c>
      <c r="C1813" s="39">
        <v>4159.7</v>
      </c>
      <c r="D1813" s="219">
        <f t="shared" si="190"/>
        <v>2.0670373922453449E-2</v>
      </c>
      <c r="F1813" s="40">
        <v>35768</v>
      </c>
      <c r="G1813" s="39">
        <v>4159.7</v>
      </c>
      <c r="H1813" s="39">
        <f t="shared" si="185"/>
        <v>4</v>
      </c>
      <c r="I1813" s="39">
        <f t="shared" si="186"/>
        <v>0</v>
      </c>
      <c r="K1813" s="40"/>
      <c r="Q1813" s="40">
        <v>35768</v>
      </c>
      <c r="R1813" s="39">
        <v>4159.7</v>
      </c>
      <c r="S1813" s="39">
        <f t="shared" si="187"/>
        <v>12</v>
      </c>
      <c r="T1813" s="39">
        <f t="shared" si="188"/>
        <v>0</v>
      </c>
      <c r="U1813" s="39">
        <f t="shared" si="189"/>
        <v>0</v>
      </c>
      <c r="V1813" s="40"/>
    </row>
    <row r="1814" spans="2:22" x14ac:dyDescent="0.35">
      <c r="B1814" s="40">
        <v>35769</v>
      </c>
      <c r="C1814" s="39">
        <v>4191.8</v>
      </c>
      <c r="D1814" s="219">
        <f t="shared" si="190"/>
        <v>7.6872796688053401E-3</v>
      </c>
      <c r="F1814" s="40">
        <v>35769</v>
      </c>
      <c r="G1814" s="39">
        <v>4191.8</v>
      </c>
      <c r="H1814" s="39">
        <f t="shared" si="185"/>
        <v>5</v>
      </c>
      <c r="I1814" s="39">
        <f t="shared" si="186"/>
        <v>4191.8</v>
      </c>
      <c r="K1814" s="40"/>
      <c r="Q1814" s="40">
        <v>35769</v>
      </c>
      <c r="R1814" s="39">
        <v>4191.8</v>
      </c>
      <c r="S1814" s="39">
        <f t="shared" si="187"/>
        <v>12</v>
      </c>
      <c r="T1814" s="39">
        <f t="shared" si="188"/>
        <v>0</v>
      </c>
      <c r="U1814" s="39">
        <f t="shared" si="189"/>
        <v>0</v>
      </c>
      <c r="V1814" s="40"/>
    </row>
    <row r="1815" spans="2:22" x14ac:dyDescent="0.35">
      <c r="B1815" s="40">
        <v>35772</v>
      </c>
      <c r="C1815" s="39">
        <v>4208.1000000000004</v>
      </c>
      <c r="D1815" s="219">
        <f t="shared" si="190"/>
        <v>3.8810034546760083E-3</v>
      </c>
      <c r="F1815" s="40">
        <v>35772</v>
      </c>
      <c r="G1815" s="39">
        <v>4208.1000000000004</v>
      </c>
      <c r="H1815" s="39">
        <f t="shared" si="185"/>
        <v>1</v>
      </c>
      <c r="I1815" s="39">
        <f t="shared" si="186"/>
        <v>0</v>
      </c>
      <c r="K1815" s="40"/>
      <c r="Q1815" s="40">
        <v>35772</v>
      </c>
      <c r="R1815" s="39">
        <v>4208.1000000000004</v>
      </c>
      <c r="S1815" s="39">
        <f t="shared" si="187"/>
        <v>12</v>
      </c>
      <c r="T1815" s="39">
        <f t="shared" si="188"/>
        <v>0</v>
      </c>
      <c r="U1815" s="39">
        <f t="shared" si="189"/>
        <v>0</v>
      </c>
      <c r="V1815" s="40"/>
    </row>
    <row r="1816" spans="2:22" x14ac:dyDescent="0.35">
      <c r="B1816" s="40">
        <v>35773</v>
      </c>
      <c r="C1816" s="39">
        <v>4187.1000000000004</v>
      </c>
      <c r="D1816" s="219">
        <f t="shared" si="190"/>
        <v>-5.00286921102707E-3</v>
      </c>
      <c r="F1816" s="40">
        <v>35773</v>
      </c>
      <c r="G1816" s="39">
        <v>4187.1000000000004</v>
      </c>
      <c r="H1816" s="39">
        <f t="shared" si="185"/>
        <v>2</v>
      </c>
      <c r="I1816" s="39">
        <f t="shared" si="186"/>
        <v>0</v>
      </c>
      <c r="K1816" s="40"/>
      <c r="Q1816" s="40">
        <v>35773</v>
      </c>
      <c r="R1816" s="39">
        <v>4187.1000000000004</v>
      </c>
      <c r="S1816" s="39">
        <f t="shared" si="187"/>
        <v>12</v>
      </c>
      <c r="T1816" s="39">
        <f t="shared" si="188"/>
        <v>0</v>
      </c>
      <c r="U1816" s="39">
        <f t="shared" si="189"/>
        <v>0</v>
      </c>
      <c r="V1816" s="40"/>
    </row>
    <row r="1817" spans="2:22" x14ac:dyDescent="0.35">
      <c r="B1817" s="40">
        <v>35774</v>
      </c>
      <c r="C1817" s="39">
        <v>4117.2700000000004</v>
      </c>
      <c r="D1817" s="219">
        <f t="shared" si="190"/>
        <v>-1.6818047828918995E-2</v>
      </c>
      <c r="F1817" s="40">
        <v>35774</v>
      </c>
      <c r="G1817" s="39">
        <v>4117.2700000000004</v>
      </c>
      <c r="H1817" s="39">
        <f t="shared" si="185"/>
        <v>3</v>
      </c>
      <c r="I1817" s="39">
        <f t="shared" si="186"/>
        <v>0</v>
      </c>
      <c r="K1817" s="40"/>
      <c r="Q1817" s="40">
        <v>35774</v>
      </c>
      <c r="R1817" s="39">
        <v>4117.2700000000004</v>
      </c>
      <c r="S1817" s="39">
        <f t="shared" si="187"/>
        <v>12</v>
      </c>
      <c r="T1817" s="39">
        <f t="shared" si="188"/>
        <v>0</v>
      </c>
      <c r="U1817" s="39">
        <f t="shared" si="189"/>
        <v>0</v>
      </c>
      <c r="V1817" s="40"/>
    </row>
    <row r="1818" spans="2:22" x14ac:dyDescent="0.35">
      <c r="B1818" s="40">
        <v>35775</v>
      </c>
      <c r="C1818" s="39">
        <v>4016.7</v>
      </c>
      <c r="D1818" s="219">
        <f t="shared" si="190"/>
        <v>-2.4729652382345826E-2</v>
      </c>
      <c r="F1818" s="40">
        <v>35775</v>
      </c>
      <c r="G1818" s="39">
        <v>4016.7</v>
      </c>
      <c r="H1818" s="39">
        <f t="shared" si="185"/>
        <v>4</v>
      </c>
      <c r="I1818" s="39">
        <f t="shared" si="186"/>
        <v>0</v>
      </c>
      <c r="K1818" s="40"/>
      <c r="Q1818" s="40">
        <v>35775</v>
      </c>
      <c r="R1818" s="39">
        <v>4016.7</v>
      </c>
      <c r="S1818" s="39">
        <f t="shared" si="187"/>
        <v>12</v>
      </c>
      <c r="T1818" s="39">
        <f t="shared" si="188"/>
        <v>0</v>
      </c>
      <c r="U1818" s="39">
        <f t="shared" si="189"/>
        <v>0</v>
      </c>
      <c r="V1818" s="40"/>
    </row>
    <row r="1819" spans="2:22" x14ac:dyDescent="0.35">
      <c r="B1819" s="40">
        <v>35776</v>
      </c>
      <c r="C1819" s="39">
        <v>4061.9</v>
      </c>
      <c r="D1819" s="219">
        <f t="shared" si="190"/>
        <v>1.1190174451274215E-2</v>
      </c>
      <c r="F1819" s="40">
        <v>35776</v>
      </c>
      <c r="G1819" s="39">
        <v>4061.9</v>
      </c>
      <c r="H1819" s="39">
        <f t="shared" si="185"/>
        <v>5</v>
      </c>
      <c r="I1819" s="39">
        <f t="shared" si="186"/>
        <v>4061.9</v>
      </c>
      <c r="K1819" s="40"/>
      <c r="Q1819" s="40">
        <v>35776</v>
      </c>
      <c r="R1819" s="39">
        <v>4061.9</v>
      </c>
      <c r="S1819" s="39">
        <f t="shared" si="187"/>
        <v>12</v>
      </c>
      <c r="T1819" s="39">
        <f t="shared" si="188"/>
        <v>0</v>
      </c>
      <c r="U1819" s="39">
        <f t="shared" si="189"/>
        <v>0</v>
      </c>
      <c r="V1819" s="40"/>
    </row>
    <row r="1820" spans="2:22" x14ac:dyDescent="0.35">
      <c r="B1820" s="40">
        <v>35779</v>
      </c>
      <c r="C1820" s="39">
        <v>4029.1</v>
      </c>
      <c r="D1820" s="219">
        <f t="shared" si="190"/>
        <v>-8.1078184847788136E-3</v>
      </c>
      <c r="F1820" s="40">
        <v>35779</v>
      </c>
      <c r="G1820" s="39">
        <v>4029.1</v>
      </c>
      <c r="H1820" s="39">
        <f t="shared" si="185"/>
        <v>1</v>
      </c>
      <c r="I1820" s="39">
        <f t="shared" si="186"/>
        <v>0</v>
      </c>
      <c r="K1820" s="40"/>
      <c r="Q1820" s="40">
        <v>35779</v>
      </c>
      <c r="R1820" s="39">
        <v>4029.1</v>
      </c>
      <c r="S1820" s="39">
        <f t="shared" si="187"/>
        <v>12</v>
      </c>
      <c r="T1820" s="39">
        <f t="shared" si="188"/>
        <v>0</v>
      </c>
      <c r="U1820" s="39">
        <f t="shared" si="189"/>
        <v>0</v>
      </c>
      <c r="V1820" s="40"/>
    </row>
    <row r="1821" spans="2:22" x14ac:dyDescent="0.35">
      <c r="B1821" s="40">
        <v>35780</v>
      </c>
      <c r="C1821" s="39">
        <v>4150.3</v>
      </c>
      <c r="D1821" s="219">
        <f t="shared" si="190"/>
        <v>2.9637594830696518E-2</v>
      </c>
      <c r="F1821" s="40">
        <v>35780</v>
      </c>
      <c r="G1821" s="39">
        <v>4150.3</v>
      </c>
      <c r="H1821" s="39">
        <f t="shared" si="185"/>
        <v>2</v>
      </c>
      <c r="I1821" s="39">
        <f t="shared" si="186"/>
        <v>0</v>
      </c>
      <c r="K1821" s="40"/>
      <c r="Q1821" s="40">
        <v>35780</v>
      </c>
      <c r="R1821" s="39">
        <v>4150.3</v>
      </c>
      <c r="S1821" s="39">
        <f t="shared" si="187"/>
        <v>12</v>
      </c>
      <c r="T1821" s="39">
        <f t="shared" si="188"/>
        <v>0</v>
      </c>
      <c r="U1821" s="39">
        <f t="shared" si="189"/>
        <v>0</v>
      </c>
      <c r="V1821" s="40"/>
    </row>
    <row r="1822" spans="2:22" x14ac:dyDescent="0.35">
      <c r="B1822" s="40">
        <v>35781</v>
      </c>
      <c r="C1822" s="39">
        <v>4154.6000000000004</v>
      </c>
      <c r="D1822" s="219">
        <f t="shared" si="190"/>
        <v>1.0355333319489429E-3</v>
      </c>
      <c r="F1822" s="40">
        <v>35781</v>
      </c>
      <c r="G1822" s="39">
        <v>4154.6000000000004</v>
      </c>
      <c r="H1822" s="39">
        <f t="shared" si="185"/>
        <v>3</v>
      </c>
      <c r="I1822" s="39">
        <f t="shared" si="186"/>
        <v>0</v>
      </c>
      <c r="K1822" s="40"/>
      <c r="Q1822" s="40">
        <v>35781</v>
      </c>
      <c r="R1822" s="39">
        <v>4154.6000000000004</v>
      </c>
      <c r="S1822" s="39">
        <f t="shared" si="187"/>
        <v>12</v>
      </c>
      <c r="T1822" s="39">
        <f t="shared" si="188"/>
        <v>0</v>
      </c>
      <c r="U1822" s="39">
        <f t="shared" si="189"/>
        <v>0</v>
      </c>
      <c r="V1822" s="40"/>
    </row>
    <row r="1823" spans="2:22" x14ac:dyDescent="0.35">
      <c r="B1823" s="40">
        <v>35782</v>
      </c>
      <c r="C1823" s="39">
        <v>4162.8999999999996</v>
      </c>
      <c r="D1823" s="219">
        <f t="shared" si="190"/>
        <v>1.9957926672768012E-3</v>
      </c>
      <c r="F1823" s="40">
        <v>35782</v>
      </c>
      <c r="G1823" s="39">
        <v>4162.8999999999996</v>
      </c>
      <c r="H1823" s="39">
        <f t="shared" si="185"/>
        <v>4</v>
      </c>
      <c r="I1823" s="39">
        <f t="shared" si="186"/>
        <v>0</v>
      </c>
      <c r="K1823" s="40"/>
      <c r="Q1823" s="40">
        <v>35782</v>
      </c>
      <c r="R1823" s="39">
        <v>4162.8999999999996</v>
      </c>
      <c r="S1823" s="39">
        <f t="shared" si="187"/>
        <v>12</v>
      </c>
      <c r="T1823" s="39">
        <f t="shared" si="188"/>
        <v>0</v>
      </c>
      <c r="U1823" s="39">
        <f t="shared" si="189"/>
        <v>0</v>
      </c>
      <c r="V1823" s="40"/>
    </row>
    <row r="1824" spans="2:22" x14ac:dyDescent="0.35">
      <c r="B1824" s="40">
        <v>35783</v>
      </c>
      <c r="C1824" s="39">
        <v>4055.4</v>
      </c>
      <c r="D1824" s="219">
        <f t="shared" si="190"/>
        <v>-2.6162620433497777E-2</v>
      </c>
      <c r="F1824" s="40">
        <v>35783</v>
      </c>
      <c r="G1824" s="39">
        <v>4055.4</v>
      </c>
      <c r="H1824" s="39">
        <f t="shared" si="185"/>
        <v>5</v>
      </c>
      <c r="I1824" s="39">
        <f t="shared" si="186"/>
        <v>4055.4</v>
      </c>
      <c r="K1824" s="40"/>
      <c r="Q1824" s="40">
        <v>35783</v>
      </c>
      <c r="R1824" s="39">
        <v>4055.4</v>
      </c>
      <c r="S1824" s="39">
        <f t="shared" si="187"/>
        <v>12</v>
      </c>
      <c r="T1824" s="39">
        <f t="shared" si="188"/>
        <v>0</v>
      </c>
      <c r="U1824" s="39">
        <f t="shared" si="189"/>
        <v>0</v>
      </c>
      <c r="V1824" s="40"/>
    </row>
    <row r="1825" spans="2:22" x14ac:dyDescent="0.35">
      <c r="B1825" s="40">
        <v>35786</v>
      </c>
      <c r="C1825" s="39">
        <v>4125.5</v>
      </c>
      <c r="D1825" s="219">
        <f t="shared" si="190"/>
        <v>1.7137898210034429E-2</v>
      </c>
      <c r="F1825" s="40">
        <v>35786</v>
      </c>
      <c r="G1825" s="39">
        <v>4125.5</v>
      </c>
      <c r="H1825" s="39">
        <f t="shared" si="185"/>
        <v>1</v>
      </c>
      <c r="I1825" s="39">
        <f t="shared" si="186"/>
        <v>0</v>
      </c>
      <c r="K1825" s="40"/>
      <c r="Q1825" s="40">
        <v>35786</v>
      </c>
      <c r="R1825" s="39">
        <v>4125.5</v>
      </c>
      <c r="S1825" s="39">
        <f t="shared" si="187"/>
        <v>12</v>
      </c>
      <c r="T1825" s="39">
        <f t="shared" si="188"/>
        <v>0</v>
      </c>
      <c r="U1825" s="39">
        <f t="shared" si="189"/>
        <v>0</v>
      </c>
      <c r="V1825" s="40"/>
    </row>
    <row r="1826" spans="2:22" x14ac:dyDescent="0.35">
      <c r="B1826" s="40">
        <v>35787</v>
      </c>
      <c r="C1826" s="39">
        <v>4132.8</v>
      </c>
      <c r="D1826" s="219">
        <f t="shared" si="190"/>
        <v>1.767918797178272E-3</v>
      </c>
      <c r="F1826" s="40">
        <v>35787</v>
      </c>
      <c r="G1826" s="39">
        <v>4132.8</v>
      </c>
      <c r="H1826" s="39">
        <f t="shared" si="185"/>
        <v>2</v>
      </c>
      <c r="I1826" s="39">
        <f t="shared" si="186"/>
        <v>4132.8</v>
      </c>
      <c r="K1826" s="40"/>
      <c r="Q1826" s="40">
        <v>35787</v>
      </c>
      <c r="R1826" s="39">
        <v>4132.8</v>
      </c>
      <c r="S1826" s="39">
        <f t="shared" si="187"/>
        <v>12</v>
      </c>
      <c r="T1826" s="39">
        <f t="shared" si="188"/>
        <v>0</v>
      </c>
      <c r="U1826" s="39">
        <f t="shared" si="189"/>
        <v>0</v>
      </c>
      <c r="V1826" s="40"/>
    </row>
    <row r="1827" spans="2:22" x14ac:dyDescent="0.35">
      <c r="B1827" s="40">
        <v>35793</v>
      </c>
      <c r="C1827" s="39">
        <v>4266</v>
      </c>
      <c r="D1827" s="219">
        <f t="shared" si="190"/>
        <v>3.1721476689719738E-2</v>
      </c>
      <c r="F1827" s="40">
        <v>35793</v>
      </c>
      <c r="G1827" s="39">
        <v>4266</v>
      </c>
      <c r="H1827" s="39">
        <f t="shared" si="185"/>
        <v>1</v>
      </c>
      <c r="I1827" s="39">
        <f t="shared" si="186"/>
        <v>0</v>
      </c>
      <c r="K1827" s="40"/>
      <c r="Q1827" s="40">
        <v>35793</v>
      </c>
      <c r="R1827" s="39">
        <v>4266</v>
      </c>
      <c r="S1827" s="39">
        <f t="shared" si="187"/>
        <v>12</v>
      </c>
      <c r="T1827" s="39">
        <f t="shared" si="188"/>
        <v>0</v>
      </c>
      <c r="U1827" s="39">
        <f t="shared" si="189"/>
        <v>0</v>
      </c>
      <c r="V1827" s="40"/>
    </row>
    <row r="1828" spans="2:22" x14ac:dyDescent="0.35">
      <c r="B1828" s="40">
        <v>35794</v>
      </c>
      <c r="C1828" s="39">
        <v>4224.3</v>
      </c>
      <c r="D1828" s="219">
        <f t="shared" si="190"/>
        <v>-9.8230534399201593E-3</v>
      </c>
      <c r="F1828" s="40">
        <v>35794</v>
      </c>
      <c r="G1828" s="39">
        <v>4224.3</v>
      </c>
      <c r="H1828" s="39">
        <f t="shared" si="185"/>
        <v>2</v>
      </c>
      <c r="I1828" s="39">
        <f t="shared" si="186"/>
        <v>0</v>
      </c>
      <c r="K1828" s="40"/>
      <c r="Q1828" s="40">
        <v>35794</v>
      </c>
      <c r="R1828" s="39">
        <v>4224.3</v>
      </c>
      <c r="S1828" s="39">
        <f t="shared" si="187"/>
        <v>12</v>
      </c>
      <c r="T1828" s="39">
        <f t="shared" si="188"/>
        <v>4224.3</v>
      </c>
      <c r="U1828" s="39">
        <f t="shared" si="189"/>
        <v>4224.3</v>
      </c>
      <c r="V1828" s="40"/>
    </row>
    <row r="1829" spans="2:22" x14ac:dyDescent="0.35">
      <c r="B1829" s="40">
        <v>35797</v>
      </c>
      <c r="C1829" s="39">
        <v>4364.3</v>
      </c>
      <c r="D1829" s="219">
        <f t="shared" si="190"/>
        <v>3.2604243270117329E-2</v>
      </c>
      <c r="F1829" s="40">
        <v>35797</v>
      </c>
      <c r="G1829" s="39">
        <v>4364.3</v>
      </c>
      <c r="H1829" s="39">
        <f t="shared" si="185"/>
        <v>5</v>
      </c>
      <c r="I1829" s="39">
        <f t="shared" si="186"/>
        <v>4364.3</v>
      </c>
      <c r="K1829" s="40"/>
      <c r="Q1829" s="40">
        <v>35797</v>
      </c>
      <c r="R1829" s="39">
        <v>4364.3</v>
      </c>
      <c r="S1829" s="39">
        <f t="shared" si="187"/>
        <v>1</v>
      </c>
      <c r="T1829" s="39">
        <f t="shared" si="188"/>
        <v>0</v>
      </c>
      <c r="U1829" s="39">
        <f t="shared" si="189"/>
        <v>0</v>
      </c>
      <c r="V1829" s="40"/>
    </row>
    <row r="1830" spans="2:22" x14ac:dyDescent="0.35">
      <c r="B1830" s="40">
        <v>35800</v>
      </c>
      <c r="C1830" s="39">
        <v>4417</v>
      </c>
      <c r="D1830" s="219">
        <f t="shared" si="190"/>
        <v>1.2002922735033426E-2</v>
      </c>
      <c r="F1830" s="40">
        <v>35800</v>
      </c>
      <c r="G1830" s="39">
        <v>4417</v>
      </c>
      <c r="H1830" s="39">
        <f t="shared" si="185"/>
        <v>1</v>
      </c>
      <c r="I1830" s="39">
        <f t="shared" si="186"/>
        <v>0</v>
      </c>
      <c r="K1830" s="40"/>
      <c r="Q1830" s="40">
        <v>35800</v>
      </c>
      <c r="R1830" s="39">
        <v>4417</v>
      </c>
      <c r="S1830" s="39">
        <f t="shared" si="187"/>
        <v>1</v>
      </c>
      <c r="T1830" s="39">
        <f t="shared" si="188"/>
        <v>0</v>
      </c>
      <c r="U1830" s="39">
        <f t="shared" si="189"/>
        <v>0</v>
      </c>
      <c r="V1830" s="40"/>
    </row>
    <row r="1831" spans="2:22" x14ac:dyDescent="0.35">
      <c r="B1831" s="40">
        <v>35801</v>
      </c>
      <c r="C1831" s="39">
        <v>4360.1000000000004</v>
      </c>
      <c r="D1831" s="219">
        <f t="shared" si="190"/>
        <v>-1.2965739736650866E-2</v>
      </c>
      <c r="F1831" s="40">
        <v>35801</v>
      </c>
      <c r="G1831" s="39">
        <v>4360.1000000000004</v>
      </c>
      <c r="H1831" s="39">
        <f t="shared" si="185"/>
        <v>2</v>
      </c>
      <c r="I1831" s="39">
        <f t="shared" si="186"/>
        <v>0</v>
      </c>
      <c r="K1831" s="40"/>
      <c r="Q1831" s="40">
        <v>35801</v>
      </c>
      <c r="R1831" s="39">
        <v>4360.1000000000004</v>
      </c>
      <c r="S1831" s="39">
        <f t="shared" si="187"/>
        <v>1</v>
      </c>
      <c r="T1831" s="39">
        <f t="shared" si="188"/>
        <v>0</v>
      </c>
      <c r="U1831" s="39">
        <f t="shared" si="189"/>
        <v>0</v>
      </c>
      <c r="V1831" s="40"/>
    </row>
    <row r="1832" spans="2:22" x14ac:dyDescent="0.35">
      <c r="B1832" s="40">
        <v>35802</v>
      </c>
      <c r="C1832" s="39">
        <v>4340</v>
      </c>
      <c r="D1832" s="219">
        <f t="shared" si="190"/>
        <v>-4.6206447654250499E-3</v>
      </c>
      <c r="F1832" s="40">
        <v>35802</v>
      </c>
      <c r="G1832" s="39">
        <v>4340</v>
      </c>
      <c r="H1832" s="39">
        <f t="shared" si="185"/>
        <v>3</v>
      </c>
      <c r="I1832" s="39">
        <f t="shared" si="186"/>
        <v>0</v>
      </c>
      <c r="K1832" s="40"/>
      <c r="Q1832" s="40">
        <v>35802</v>
      </c>
      <c r="R1832" s="39">
        <v>4340</v>
      </c>
      <c r="S1832" s="39">
        <f t="shared" si="187"/>
        <v>1</v>
      </c>
      <c r="T1832" s="39">
        <f t="shared" si="188"/>
        <v>0</v>
      </c>
      <c r="U1832" s="39">
        <f t="shared" si="189"/>
        <v>0</v>
      </c>
      <c r="V1832" s="40"/>
    </row>
    <row r="1833" spans="2:22" x14ac:dyDescent="0.35">
      <c r="B1833" s="40">
        <v>35803</v>
      </c>
      <c r="C1833" s="39">
        <v>4293.6000000000004</v>
      </c>
      <c r="D1833" s="219">
        <f t="shared" si="190"/>
        <v>-1.0748806231831415E-2</v>
      </c>
      <c r="F1833" s="40">
        <v>35803</v>
      </c>
      <c r="G1833" s="39">
        <v>4293.6000000000004</v>
      </c>
      <c r="H1833" s="39">
        <f t="shared" si="185"/>
        <v>4</v>
      </c>
      <c r="I1833" s="39">
        <f t="shared" si="186"/>
        <v>0</v>
      </c>
      <c r="K1833" s="40"/>
      <c r="Q1833" s="40">
        <v>35803</v>
      </c>
      <c r="R1833" s="39">
        <v>4293.6000000000004</v>
      </c>
      <c r="S1833" s="39">
        <f t="shared" si="187"/>
        <v>1</v>
      </c>
      <c r="T1833" s="39">
        <f t="shared" si="188"/>
        <v>0</v>
      </c>
      <c r="U1833" s="39">
        <f t="shared" si="189"/>
        <v>0</v>
      </c>
      <c r="V1833" s="40"/>
    </row>
    <row r="1834" spans="2:22" x14ac:dyDescent="0.35">
      <c r="B1834" s="40">
        <v>35804</v>
      </c>
      <c r="C1834" s="39">
        <v>4237.8</v>
      </c>
      <c r="D1834" s="219">
        <f t="shared" si="190"/>
        <v>-1.3081275219687615E-2</v>
      </c>
      <c r="F1834" s="40">
        <v>35804</v>
      </c>
      <c r="G1834" s="39">
        <v>4237.8</v>
      </c>
      <c r="H1834" s="39">
        <f t="shared" si="185"/>
        <v>5</v>
      </c>
      <c r="I1834" s="39">
        <f t="shared" si="186"/>
        <v>4237.8</v>
      </c>
      <c r="K1834" s="40"/>
      <c r="Q1834" s="40">
        <v>35804</v>
      </c>
      <c r="R1834" s="39">
        <v>4237.8</v>
      </c>
      <c r="S1834" s="39">
        <f t="shared" si="187"/>
        <v>1</v>
      </c>
      <c r="T1834" s="39">
        <f t="shared" si="188"/>
        <v>0</v>
      </c>
      <c r="U1834" s="39">
        <f t="shared" si="189"/>
        <v>0</v>
      </c>
      <c r="V1834" s="40"/>
    </row>
    <row r="1835" spans="2:22" x14ac:dyDescent="0.35">
      <c r="B1835" s="40">
        <v>35807</v>
      </c>
      <c r="C1835" s="39">
        <v>4134.6000000000004</v>
      </c>
      <c r="D1835" s="219">
        <f t="shared" si="190"/>
        <v>-2.4653678051714242E-2</v>
      </c>
      <c r="F1835" s="40">
        <v>35807</v>
      </c>
      <c r="G1835" s="39">
        <v>4134.6000000000004</v>
      </c>
      <c r="H1835" s="39">
        <f t="shared" si="185"/>
        <v>1</v>
      </c>
      <c r="I1835" s="39">
        <f t="shared" si="186"/>
        <v>0</v>
      </c>
      <c r="K1835" s="40"/>
      <c r="Q1835" s="40">
        <v>35807</v>
      </c>
      <c r="R1835" s="39">
        <v>4134.6000000000004</v>
      </c>
      <c r="S1835" s="39">
        <f t="shared" si="187"/>
        <v>1</v>
      </c>
      <c r="T1835" s="39">
        <f t="shared" si="188"/>
        <v>0</v>
      </c>
      <c r="U1835" s="39">
        <f t="shared" si="189"/>
        <v>0</v>
      </c>
      <c r="V1835" s="40"/>
    </row>
    <row r="1836" spans="2:22" x14ac:dyDescent="0.35">
      <c r="B1836" s="40">
        <v>35808</v>
      </c>
      <c r="C1836" s="39">
        <v>4150.1000000000004</v>
      </c>
      <c r="D1836" s="219">
        <f t="shared" si="190"/>
        <v>3.7418417287556939E-3</v>
      </c>
      <c r="F1836" s="40">
        <v>35808</v>
      </c>
      <c r="G1836" s="39">
        <v>4150.1000000000004</v>
      </c>
      <c r="H1836" s="39">
        <f t="shared" si="185"/>
        <v>2</v>
      </c>
      <c r="I1836" s="39">
        <f t="shared" si="186"/>
        <v>0</v>
      </c>
      <c r="K1836" s="40"/>
      <c r="Q1836" s="40">
        <v>35808</v>
      </c>
      <c r="R1836" s="39">
        <v>4150.1000000000004</v>
      </c>
      <c r="S1836" s="39">
        <f t="shared" si="187"/>
        <v>1</v>
      </c>
      <c r="T1836" s="39">
        <f t="shared" si="188"/>
        <v>0</v>
      </c>
      <c r="U1836" s="39">
        <f t="shared" si="189"/>
        <v>0</v>
      </c>
      <c r="V1836" s="40"/>
    </row>
    <row r="1837" spans="2:22" x14ac:dyDescent="0.35">
      <c r="B1837" s="40">
        <v>35809</v>
      </c>
      <c r="C1837" s="39">
        <v>4145.3999999999996</v>
      </c>
      <c r="D1837" s="219">
        <f t="shared" si="190"/>
        <v>-1.1331445971688426E-3</v>
      </c>
      <c r="F1837" s="40">
        <v>35809</v>
      </c>
      <c r="G1837" s="39">
        <v>4145.3999999999996</v>
      </c>
      <c r="H1837" s="39">
        <f t="shared" si="185"/>
        <v>3</v>
      </c>
      <c r="I1837" s="39">
        <f t="shared" si="186"/>
        <v>0</v>
      </c>
      <c r="K1837" s="40"/>
      <c r="Q1837" s="40">
        <v>35809</v>
      </c>
      <c r="R1837" s="39">
        <v>4145.3999999999996</v>
      </c>
      <c r="S1837" s="39">
        <f t="shared" si="187"/>
        <v>1</v>
      </c>
      <c r="T1837" s="39">
        <f t="shared" si="188"/>
        <v>0</v>
      </c>
      <c r="U1837" s="39">
        <f t="shared" si="189"/>
        <v>0</v>
      </c>
      <c r="V1837" s="40"/>
    </row>
    <row r="1838" spans="2:22" x14ac:dyDescent="0.35">
      <c r="B1838" s="40">
        <v>35810</v>
      </c>
      <c r="C1838" s="39">
        <v>4140.2</v>
      </c>
      <c r="D1838" s="219">
        <f t="shared" si="190"/>
        <v>-1.2551898915509473E-3</v>
      </c>
      <c r="F1838" s="40">
        <v>35810</v>
      </c>
      <c r="G1838" s="39">
        <v>4140.2</v>
      </c>
      <c r="H1838" s="39">
        <f t="shared" si="185"/>
        <v>4</v>
      </c>
      <c r="I1838" s="39">
        <f t="shared" si="186"/>
        <v>0</v>
      </c>
      <c r="K1838" s="40"/>
      <c r="Q1838" s="40">
        <v>35810</v>
      </c>
      <c r="R1838" s="39">
        <v>4140.2</v>
      </c>
      <c r="S1838" s="39">
        <f t="shared" si="187"/>
        <v>1</v>
      </c>
      <c r="T1838" s="39">
        <f t="shared" si="188"/>
        <v>0</v>
      </c>
      <c r="U1838" s="39">
        <f t="shared" si="189"/>
        <v>0</v>
      </c>
      <c r="V1838" s="40"/>
    </row>
    <row r="1839" spans="2:22" x14ac:dyDescent="0.35">
      <c r="B1839" s="40">
        <v>35811</v>
      </c>
      <c r="C1839" s="39">
        <v>4216.2</v>
      </c>
      <c r="D1839" s="219">
        <f t="shared" si="190"/>
        <v>1.8190152594953803E-2</v>
      </c>
      <c r="F1839" s="40">
        <v>35811</v>
      </c>
      <c r="G1839" s="39">
        <v>4216.2</v>
      </c>
      <c r="H1839" s="39">
        <f t="shared" si="185"/>
        <v>5</v>
      </c>
      <c r="I1839" s="39">
        <f t="shared" si="186"/>
        <v>4216.2</v>
      </c>
      <c r="K1839" s="40"/>
      <c r="Q1839" s="40">
        <v>35811</v>
      </c>
      <c r="R1839" s="39">
        <v>4216.2</v>
      </c>
      <c r="S1839" s="39">
        <f t="shared" si="187"/>
        <v>1</v>
      </c>
      <c r="T1839" s="39">
        <f t="shared" si="188"/>
        <v>0</v>
      </c>
      <c r="U1839" s="39">
        <f t="shared" si="189"/>
        <v>0</v>
      </c>
      <c r="V1839" s="40"/>
    </row>
    <row r="1840" spans="2:22" x14ac:dyDescent="0.35">
      <c r="B1840" s="40">
        <v>35814</v>
      </c>
      <c r="C1840" s="39">
        <v>4290.1000000000004</v>
      </c>
      <c r="D1840" s="219">
        <f t="shared" si="190"/>
        <v>1.7375794247491385E-2</v>
      </c>
      <c r="F1840" s="40">
        <v>35814</v>
      </c>
      <c r="G1840" s="39">
        <v>4290.1000000000004</v>
      </c>
      <c r="H1840" s="39">
        <f t="shared" si="185"/>
        <v>1</v>
      </c>
      <c r="I1840" s="39">
        <f t="shared" si="186"/>
        <v>0</v>
      </c>
      <c r="K1840" s="40"/>
      <c r="Q1840" s="40">
        <v>35814</v>
      </c>
      <c r="R1840" s="39">
        <v>4290.1000000000004</v>
      </c>
      <c r="S1840" s="39">
        <f t="shared" si="187"/>
        <v>1</v>
      </c>
      <c r="T1840" s="39">
        <f t="shared" si="188"/>
        <v>0</v>
      </c>
      <c r="U1840" s="39">
        <f t="shared" si="189"/>
        <v>0</v>
      </c>
      <c r="V1840" s="40"/>
    </row>
    <row r="1841" spans="2:22" x14ac:dyDescent="0.35">
      <c r="B1841" s="40">
        <v>35815</v>
      </c>
      <c r="C1841" s="39">
        <v>4310.8</v>
      </c>
      <c r="D1841" s="219">
        <f t="shared" si="190"/>
        <v>4.8134590489783856E-3</v>
      </c>
      <c r="F1841" s="40">
        <v>35815</v>
      </c>
      <c r="G1841" s="39">
        <v>4310.8</v>
      </c>
      <c r="H1841" s="39">
        <f t="shared" si="185"/>
        <v>2</v>
      </c>
      <c r="I1841" s="39">
        <f t="shared" si="186"/>
        <v>0</v>
      </c>
      <c r="K1841" s="40"/>
      <c r="Q1841" s="40">
        <v>35815</v>
      </c>
      <c r="R1841" s="39">
        <v>4310.8</v>
      </c>
      <c r="S1841" s="39">
        <f t="shared" si="187"/>
        <v>1</v>
      </c>
      <c r="T1841" s="39">
        <f t="shared" si="188"/>
        <v>0</v>
      </c>
      <c r="U1841" s="39">
        <f t="shared" si="189"/>
        <v>0</v>
      </c>
      <c r="V1841" s="40"/>
    </row>
    <row r="1842" spans="2:22" x14ac:dyDescent="0.35">
      <c r="B1842" s="40">
        <v>35816</v>
      </c>
      <c r="C1842" s="39">
        <v>4250.5</v>
      </c>
      <c r="D1842" s="219">
        <f t="shared" si="190"/>
        <v>-1.4086878665263187E-2</v>
      </c>
      <c r="F1842" s="40">
        <v>35816</v>
      </c>
      <c r="G1842" s="39">
        <v>4250.5</v>
      </c>
      <c r="H1842" s="39">
        <f t="shared" si="185"/>
        <v>3</v>
      </c>
      <c r="I1842" s="39">
        <f t="shared" si="186"/>
        <v>0</v>
      </c>
      <c r="K1842" s="40"/>
      <c r="Q1842" s="40">
        <v>35816</v>
      </c>
      <c r="R1842" s="39">
        <v>4250.5</v>
      </c>
      <c r="S1842" s="39">
        <f t="shared" si="187"/>
        <v>1</v>
      </c>
      <c r="T1842" s="39">
        <f t="shared" si="188"/>
        <v>0</v>
      </c>
      <c r="U1842" s="39">
        <f t="shared" si="189"/>
        <v>0</v>
      </c>
      <c r="V1842" s="40"/>
    </row>
    <row r="1843" spans="2:22" x14ac:dyDescent="0.35">
      <c r="B1843" s="40">
        <v>35817</v>
      </c>
      <c r="C1843" s="39">
        <v>4238.8</v>
      </c>
      <c r="D1843" s="219">
        <f t="shared" si="190"/>
        <v>-2.7564127567326008E-3</v>
      </c>
      <c r="F1843" s="40">
        <v>35817</v>
      </c>
      <c r="G1843" s="39">
        <v>4238.8</v>
      </c>
      <c r="H1843" s="39">
        <f t="shared" si="185"/>
        <v>4</v>
      </c>
      <c r="I1843" s="39">
        <f t="shared" si="186"/>
        <v>0</v>
      </c>
      <c r="K1843" s="40"/>
      <c r="Q1843" s="40">
        <v>35817</v>
      </c>
      <c r="R1843" s="39">
        <v>4238.8</v>
      </c>
      <c r="S1843" s="39">
        <f t="shared" si="187"/>
        <v>1</v>
      </c>
      <c r="T1843" s="39">
        <f t="shared" si="188"/>
        <v>0</v>
      </c>
      <c r="U1843" s="39">
        <f t="shared" si="189"/>
        <v>0</v>
      </c>
      <c r="V1843" s="40"/>
    </row>
    <row r="1844" spans="2:22" x14ac:dyDescent="0.35">
      <c r="B1844" s="40">
        <v>35818</v>
      </c>
      <c r="C1844" s="39">
        <v>4222.2</v>
      </c>
      <c r="D1844" s="219">
        <f t="shared" si="190"/>
        <v>-3.9238911001228194E-3</v>
      </c>
      <c r="F1844" s="40">
        <v>35818</v>
      </c>
      <c r="G1844" s="39">
        <v>4222.2</v>
      </c>
      <c r="H1844" s="39">
        <f t="shared" si="185"/>
        <v>5</v>
      </c>
      <c r="I1844" s="39">
        <f t="shared" si="186"/>
        <v>4222.2</v>
      </c>
      <c r="K1844" s="40"/>
      <c r="Q1844" s="40">
        <v>35818</v>
      </c>
      <c r="R1844" s="39">
        <v>4222.2</v>
      </c>
      <c r="S1844" s="39">
        <f t="shared" si="187"/>
        <v>1</v>
      </c>
      <c r="T1844" s="39">
        <f t="shared" si="188"/>
        <v>0</v>
      </c>
      <c r="U1844" s="39">
        <f t="shared" si="189"/>
        <v>0</v>
      </c>
      <c r="V1844" s="40"/>
    </row>
    <row r="1845" spans="2:22" x14ac:dyDescent="0.35">
      <c r="B1845" s="40">
        <v>35821</v>
      </c>
      <c r="C1845" s="39">
        <v>4266.3</v>
      </c>
      <c r="D1845" s="219">
        <f t="shared" si="190"/>
        <v>1.039062184620225E-2</v>
      </c>
      <c r="F1845" s="40">
        <v>35821</v>
      </c>
      <c r="G1845" s="39">
        <v>4266.3</v>
      </c>
      <c r="H1845" s="39">
        <f t="shared" si="185"/>
        <v>1</v>
      </c>
      <c r="I1845" s="39">
        <f t="shared" si="186"/>
        <v>0</v>
      </c>
      <c r="K1845" s="40"/>
      <c r="Q1845" s="40">
        <v>35821</v>
      </c>
      <c r="R1845" s="39">
        <v>4266.3</v>
      </c>
      <c r="S1845" s="39">
        <f t="shared" si="187"/>
        <v>1</v>
      </c>
      <c r="T1845" s="39">
        <f t="shared" si="188"/>
        <v>0</v>
      </c>
      <c r="U1845" s="39">
        <f t="shared" si="189"/>
        <v>0</v>
      </c>
      <c r="V1845" s="40"/>
    </row>
    <row r="1846" spans="2:22" x14ac:dyDescent="0.35">
      <c r="B1846" s="40">
        <v>35822</v>
      </c>
      <c r="C1846" s="39">
        <v>4316.1000000000004</v>
      </c>
      <c r="D1846" s="219">
        <f t="shared" si="190"/>
        <v>1.1605275664336678E-2</v>
      </c>
      <c r="F1846" s="40">
        <v>35822</v>
      </c>
      <c r="G1846" s="39">
        <v>4316.1000000000004</v>
      </c>
      <c r="H1846" s="39">
        <f t="shared" si="185"/>
        <v>2</v>
      </c>
      <c r="I1846" s="39">
        <f t="shared" si="186"/>
        <v>0</v>
      </c>
      <c r="K1846" s="40"/>
      <c r="Q1846" s="40">
        <v>35822</v>
      </c>
      <c r="R1846" s="39">
        <v>4316.1000000000004</v>
      </c>
      <c r="S1846" s="39">
        <f t="shared" si="187"/>
        <v>1</v>
      </c>
      <c r="T1846" s="39">
        <f t="shared" si="188"/>
        <v>0</v>
      </c>
      <c r="U1846" s="39">
        <f t="shared" si="189"/>
        <v>0</v>
      </c>
      <c r="V1846" s="40"/>
    </row>
    <row r="1847" spans="2:22" x14ac:dyDescent="0.35">
      <c r="B1847" s="40">
        <v>35823</v>
      </c>
      <c r="C1847" s="39">
        <v>4385.3</v>
      </c>
      <c r="D1847" s="219">
        <f t="shared" si="190"/>
        <v>1.590582180629467E-2</v>
      </c>
      <c r="F1847" s="40">
        <v>35823</v>
      </c>
      <c r="G1847" s="39">
        <v>4385.3</v>
      </c>
      <c r="H1847" s="39">
        <f t="shared" ref="H1847:H1910" si="191">WEEKDAY(F1847,2)</f>
        <v>3</v>
      </c>
      <c r="I1847" s="39">
        <f t="shared" ref="I1847:I1910" si="192">IF(H1847&gt;H1848,G1847,0)</f>
        <v>0</v>
      </c>
      <c r="K1847" s="40"/>
      <c r="Q1847" s="40">
        <v>35823</v>
      </c>
      <c r="R1847" s="39">
        <v>4385.3</v>
      </c>
      <c r="S1847" s="39">
        <f t="shared" ref="S1847:S1910" si="193">MONTH(Q1847)</f>
        <v>1</v>
      </c>
      <c r="T1847" s="39">
        <f t="shared" ref="T1847:T1910" si="194">IF(S1848&lt;&gt;S1847,R1847,0)</f>
        <v>0</v>
      </c>
      <c r="U1847" s="39">
        <f t="shared" ref="U1847:U1910" si="195">IF(S1848=S1847,0,R1847)</f>
        <v>0</v>
      </c>
      <c r="V1847" s="40"/>
    </row>
    <row r="1848" spans="2:22" x14ac:dyDescent="0.35">
      <c r="B1848" s="40">
        <v>35824</v>
      </c>
      <c r="C1848" s="39">
        <v>4444.5</v>
      </c>
      <c r="D1848" s="219">
        <f t="shared" ref="D1848:D1911" si="196">LN(C1848/C1847)</f>
        <v>1.3409338164337705E-2</v>
      </c>
      <c r="F1848" s="40">
        <v>35824</v>
      </c>
      <c r="G1848" s="39">
        <v>4444.5</v>
      </c>
      <c r="H1848" s="39">
        <f t="shared" si="191"/>
        <v>4</v>
      </c>
      <c r="I1848" s="39">
        <f t="shared" si="192"/>
        <v>0</v>
      </c>
      <c r="K1848" s="40"/>
      <c r="Q1848" s="40">
        <v>35824</v>
      </c>
      <c r="R1848" s="39">
        <v>4444.5</v>
      </c>
      <c r="S1848" s="39">
        <f t="shared" si="193"/>
        <v>1</v>
      </c>
      <c r="T1848" s="39">
        <f t="shared" si="194"/>
        <v>0</v>
      </c>
      <c r="U1848" s="39">
        <f t="shared" si="195"/>
        <v>0</v>
      </c>
      <c r="V1848" s="40"/>
    </row>
    <row r="1849" spans="2:22" x14ac:dyDescent="0.35">
      <c r="B1849" s="40">
        <v>35825</v>
      </c>
      <c r="C1849" s="39">
        <v>4442.5</v>
      </c>
      <c r="D1849" s="219">
        <f t="shared" si="196"/>
        <v>-4.5009565292323042E-4</v>
      </c>
      <c r="F1849" s="40">
        <v>35825</v>
      </c>
      <c r="G1849" s="39">
        <v>4442.5</v>
      </c>
      <c r="H1849" s="39">
        <f t="shared" si="191"/>
        <v>5</v>
      </c>
      <c r="I1849" s="39">
        <f t="shared" si="192"/>
        <v>4442.5</v>
      </c>
      <c r="K1849" s="40"/>
      <c r="Q1849" s="40">
        <v>35825</v>
      </c>
      <c r="R1849" s="39">
        <v>4442.5</v>
      </c>
      <c r="S1849" s="39">
        <f t="shared" si="193"/>
        <v>1</v>
      </c>
      <c r="T1849" s="39">
        <f t="shared" si="194"/>
        <v>4442.5</v>
      </c>
      <c r="U1849" s="39">
        <f t="shared" si="195"/>
        <v>4442.5</v>
      </c>
      <c r="V1849" s="40"/>
    </row>
    <row r="1850" spans="2:22" x14ac:dyDescent="0.35">
      <c r="B1850" s="40">
        <v>35828</v>
      </c>
      <c r="C1850" s="39">
        <v>4529.8999999999996</v>
      </c>
      <c r="D1850" s="219">
        <f t="shared" si="196"/>
        <v>1.9482583149428041E-2</v>
      </c>
      <c r="F1850" s="40">
        <v>35828</v>
      </c>
      <c r="G1850" s="39">
        <v>4529.8999999999996</v>
      </c>
      <c r="H1850" s="39">
        <f t="shared" si="191"/>
        <v>1</v>
      </c>
      <c r="I1850" s="39">
        <f t="shared" si="192"/>
        <v>0</v>
      </c>
      <c r="K1850" s="40"/>
      <c r="Q1850" s="40">
        <v>35828</v>
      </c>
      <c r="R1850" s="39">
        <v>4529.8999999999996</v>
      </c>
      <c r="S1850" s="39">
        <f t="shared" si="193"/>
        <v>2</v>
      </c>
      <c r="T1850" s="39">
        <f t="shared" si="194"/>
        <v>0</v>
      </c>
      <c r="U1850" s="39">
        <f t="shared" si="195"/>
        <v>0</v>
      </c>
      <c r="V1850" s="40"/>
    </row>
    <row r="1851" spans="2:22" x14ac:dyDescent="0.35">
      <c r="B1851" s="40">
        <v>35829</v>
      </c>
      <c r="C1851" s="39">
        <v>4529.2</v>
      </c>
      <c r="D1851" s="219">
        <f t="shared" si="196"/>
        <v>-1.5454073834996704E-4</v>
      </c>
      <c r="F1851" s="40">
        <v>35829</v>
      </c>
      <c r="G1851" s="39">
        <v>4529.2</v>
      </c>
      <c r="H1851" s="39">
        <f t="shared" si="191"/>
        <v>2</v>
      </c>
      <c r="I1851" s="39">
        <f t="shared" si="192"/>
        <v>0</v>
      </c>
      <c r="K1851" s="40"/>
      <c r="Q1851" s="40">
        <v>35829</v>
      </c>
      <c r="R1851" s="39">
        <v>4529.2</v>
      </c>
      <c r="S1851" s="39">
        <f t="shared" si="193"/>
        <v>2</v>
      </c>
      <c r="T1851" s="39">
        <f t="shared" si="194"/>
        <v>0</v>
      </c>
      <c r="U1851" s="39">
        <f t="shared" si="195"/>
        <v>0</v>
      </c>
      <c r="V1851" s="40"/>
    </row>
    <row r="1852" spans="2:22" x14ac:dyDescent="0.35">
      <c r="B1852" s="40">
        <v>35830</v>
      </c>
      <c r="C1852" s="39">
        <v>4509.3</v>
      </c>
      <c r="D1852" s="219">
        <f t="shared" si="196"/>
        <v>-4.4033926325942165E-3</v>
      </c>
      <c r="F1852" s="40">
        <v>35830</v>
      </c>
      <c r="G1852" s="39">
        <v>4509.3</v>
      </c>
      <c r="H1852" s="39">
        <f t="shared" si="191"/>
        <v>3</v>
      </c>
      <c r="I1852" s="39">
        <f t="shared" si="192"/>
        <v>0</v>
      </c>
      <c r="K1852" s="40"/>
      <c r="Q1852" s="40">
        <v>35830</v>
      </c>
      <c r="R1852" s="39">
        <v>4509.3</v>
      </c>
      <c r="S1852" s="39">
        <f t="shared" si="193"/>
        <v>2</v>
      </c>
      <c r="T1852" s="39">
        <f t="shared" si="194"/>
        <v>0</v>
      </c>
      <c r="U1852" s="39">
        <f t="shared" si="195"/>
        <v>0</v>
      </c>
      <c r="V1852" s="40"/>
    </row>
    <row r="1853" spans="2:22" x14ac:dyDescent="0.35">
      <c r="B1853" s="40">
        <v>35831</v>
      </c>
      <c r="C1853" s="39">
        <v>4494.7</v>
      </c>
      <c r="D1853" s="219">
        <f t="shared" si="196"/>
        <v>-3.2430059519742249E-3</v>
      </c>
      <c r="F1853" s="40">
        <v>35831</v>
      </c>
      <c r="G1853" s="39">
        <v>4494.7</v>
      </c>
      <c r="H1853" s="39">
        <f t="shared" si="191"/>
        <v>4</v>
      </c>
      <c r="I1853" s="39">
        <f t="shared" si="192"/>
        <v>0</v>
      </c>
      <c r="K1853" s="40"/>
      <c r="Q1853" s="40">
        <v>35831</v>
      </c>
      <c r="R1853" s="39">
        <v>4494.7</v>
      </c>
      <c r="S1853" s="39">
        <f t="shared" si="193"/>
        <v>2</v>
      </c>
      <c r="T1853" s="39">
        <f t="shared" si="194"/>
        <v>0</v>
      </c>
      <c r="U1853" s="39">
        <f t="shared" si="195"/>
        <v>0</v>
      </c>
      <c r="V1853" s="40"/>
    </row>
    <row r="1854" spans="2:22" x14ac:dyDescent="0.35">
      <c r="B1854" s="40">
        <v>35832</v>
      </c>
      <c r="C1854" s="39">
        <v>4536.8999999999996</v>
      </c>
      <c r="D1854" s="219">
        <f t="shared" si="196"/>
        <v>9.3450345694884064E-3</v>
      </c>
      <c r="F1854" s="40">
        <v>35832</v>
      </c>
      <c r="G1854" s="39">
        <v>4536.8999999999996</v>
      </c>
      <c r="H1854" s="39">
        <f t="shared" si="191"/>
        <v>5</v>
      </c>
      <c r="I1854" s="39">
        <f t="shared" si="192"/>
        <v>4536.8999999999996</v>
      </c>
      <c r="K1854" s="40"/>
      <c r="Q1854" s="40">
        <v>35832</v>
      </c>
      <c r="R1854" s="39">
        <v>4536.8999999999996</v>
      </c>
      <c r="S1854" s="39">
        <f t="shared" si="193"/>
        <v>2</v>
      </c>
      <c r="T1854" s="39">
        <f t="shared" si="194"/>
        <v>0</v>
      </c>
      <c r="U1854" s="39">
        <f t="shared" si="195"/>
        <v>0</v>
      </c>
      <c r="V1854" s="40"/>
    </row>
    <row r="1855" spans="2:22" x14ac:dyDescent="0.35">
      <c r="B1855" s="40">
        <v>35835</v>
      </c>
      <c r="C1855" s="39">
        <v>4519.6000000000004</v>
      </c>
      <c r="D1855" s="219">
        <f t="shared" si="196"/>
        <v>-3.8204650897132012E-3</v>
      </c>
      <c r="F1855" s="40">
        <v>35835</v>
      </c>
      <c r="G1855" s="39">
        <v>4519.6000000000004</v>
      </c>
      <c r="H1855" s="39">
        <f t="shared" si="191"/>
        <v>1</v>
      </c>
      <c r="I1855" s="39">
        <f t="shared" si="192"/>
        <v>0</v>
      </c>
      <c r="K1855" s="40"/>
      <c r="Q1855" s="40">
        <v>35835</v>
      </c>
      <c r="R1855" s="39">
        <v>4519.6000000000004</v>
      </c>
      <c r="S1855" s="39">
        <f t="shared" si="193"/>
        <v>2</v>
      </c>
      <c r="T1855" s="39">
        <f t="shared" si="194"/>
        <v>0</v>
      </c>
      <c r="U1855" s="39">
        <f t="shared" si="195"/>
        <v>0</v>
      </c>
      <c r="V1855" s="40"/>
    </row>
    <row r="1856" spans="2:22" x14ac:dyDescent="0.35">
      <c r="B1856" s="40">
        <v>35836</v>
      </c>
      <c r="C1856" s="39">
        <v>4558.6000000000004</v>
      </c>
      <c r="D1856" s="219">
        <f t="shared" si="196"/>
        <v>8.5920644899461825E-3</v>
      </c>
      <c r="F1856" s="40">
        <v>35836</v>
      </c>
      <c r="G1856" s="39">
        <v>4558.6000000000004</v>
      </c>
      <c r="H1856" s="39">
        <f t="shared" si="191"/>
        <v>2</v>
      </c>
      <c r="I1856" s="39">
        <f t="shared" si="192"/>
        <v>0</v>
      </c>
      <c r="K1856" s="40"/>
      <c r="Q1856" s="40">
        <v>35836</v>
      </c>
      <c r="R1856" s="39">
        <v>4558.6000000000004</v>
      </c>
      <c r="S1856" s="39">
        <f t="shared" si="193"/>
        <v>2</v>
      </c>
      <c r="T1856" s="39">
        <f t="shared" si="194"/>
        <v>0</v>
      </c>
      <c r="U1856" s="39">
        <f t="shared" si="195"/>
        <v>0</v>
      </c>
      <c r="V1856" s="40"/>
    </row>
    <row r="1857" spans="2:22" x14ac:dyDescent="0.35">
      <c r="B1857" s="40">
        <v>35837</v>
      </c>
      <c r="C1857" s="39">
        <v>4552.5</v>
      </c>
      <c r="D1857" s="219">
        <f t="shared" si="196"/>
        <v>-1.3390262232743225E-3</v>
      </c>
      <c r="F1857" s="40">
        <v>35837</v>
      </c>
      <c r="G1857" s="39">
        <v>4552.5</v>
      </c>
      <c r="H1857" s="39">
        <f t="shared" si="191"/>
        <v>3</v>
      </c>
      <c r="I1857" s="39">
        <f t="shared" si="192"/>
        <v>0</v>
      </c>
      <c r="K1857" s="40"/>
      <c r="Q1857" s="40">
        <v>35837</v>
      </c>
      <c r="R1857" s="39">
        <v>4552.5</v>
      </c>
      <c r="S1857" s="39">
        <f t="shared" si="193"/>
        <v>2</v>
      </c>
      <c r="T1857" s="39">
        <f t="shared" si="194"/>
        <v>0</v>
      </c>
      <c r="U1857" s="39">
        <f t="shared" si="195"/>
        <v>0</v>
      </c>
      <c r="V1857" s="40"/>
    </row>
    <row r="1858" spans="2:22" x14ac:dyDescent="0.35">
      <c r="B1858" s="40">
        <v>35838</v>
      </c>
      <c r="C1858" s="39">
        <v>4509.3999999999996</v>
      </c>
      <c r="D1858" s="219">
        <f t="shared" si="196"/>
        <v>-9.5124256493513918E-3</v>
      </c>
      <c r="F1858" s="40">
        <v>35838</v>
      </c>
      <c r="G1858" s="39">
        <v>4509.3999999999996</v>
      </c>
      <c r="H1858" s="39">
        <f t="shared" si="191"/>
        <v>4</v>
      </c>
      <c r="I1858" s="39">
        <f t="shared" si="192"/>
        <v>0</v>
      </c>
      <c r="K1858" s="40"/>
      <c r="Q1858" s="40">
        <v>35838</v>
      </c>
      <c r="R1858" s="39">
        <v>4509.3999999999996</v>
      </c>
      <c r="S1858" s="39">
        <f t="shared" si="193"/>
        <v>2</v>
      </c>
      <c r="T1858" s="39">
        <f t="shared" si="194"/>
        <v>0</v>
      </c>
      <c r="U1858" s="39">
        <f t="shared" si="195"/>
        <v>0</v>
      </c>
      <c r="V1858" s="40"/>
    </row>
    <row r="1859" spans="2:22" x14ac:dyDescent="0.35">
      <c r="B1859" s="40">
        <v>35839</v>
      </c>
      <c r="C1859" s="39">
        <v>4522.3999999999996</v>
      </c>
      <c r="D1859" s="219">
        <f t="shared" si="196"/>
        <v>2.87871940866923E-3</v>
      </c>
      <c r="F1859" s="40">
        <v>35839</v>
      </c>
      <c r="G1859" s="39">
        <v>4522.3999999999996</v>
      </c>
      <c r="H1859" s="39">
        <f t="shared" si="191"/>
        <v>5</v>
      </c>
      <c r="I1859" s="39">
        <f t="shared" si="192"/>
        <v>4522.3999999999996</v>
      </c>
      <c r="K1859" s="40"/>
      <c r="Q1859" s="40">
        <v>35839</v>
      </c>
      <c r="R1859" s="39">
        <v>4522.3999999999996</v>
      </c>
      <c r="S1859" s="39">
        <f t="shared" si="193"/>
        <v>2</v>
      </c>
      <c r="T1859" s="39">
        <f t="shared" si="194"/>
        <v>0</v>
      </c>
      <c r="U1859" s="39">
        <f t="shared" si="195"/>
        <v>0</v>
      </c>
      <c r="V1859" s="40"/>
    </row>
    <row r="1860" spans="2:22" x14ac:dyDescent="0.35">
      <c r="B1860" s="40">
        <v>35842</v>
      </c>
      <c r="C1860" s="39">
        <v>4535.6000000000004</v>
      </c>
      <c r="D1860" s="219">
        <f t="shared" si="196"/>
        <v>2.9145527366037558E-3</v>
      </c>
      <c r="F1860" s="40">
        <v>35842</v>
      </c>
      <c r="G1860" s="39">
        <v>4535.6000000000004</v>
      </c>
      <c r="H1860" s="39">
        <f t="shared" si="191"/>
        <v>1</v>
      </c>
      <c r="I1860" s="39">
        <f t="shared" si="192"/>
        <v>0</v>
      </c>
      <c r="K1860" s="40"/>
      <c r="Q1860" s="40">
        <v>35842</v>
      </c>
      <c r="R1860" s="39">
        <v>4535.6000000000004</v>
      </c>
      <c r="S1860" s="39">
        <f t="shared" si="193"/>
        <v>2</v>
      </c>
      <c r="T1860" s="39">
        <f t="shared" si="194"/>
        <v>0</v>
      </c>
      <c r="U1860" s="39">
        <f t="shared" si="195"/>
        <v>0</v>
      </c>
      <c r="V1860" s="40"/>
    </row>
    <row r="1861" spans="2:22" x14ac:dyDescent="0.35">
      <c r="B1861" s="40">
        <v>35843</v>
      </c>
      <c r="C1861" s="39">
        <v>4627.3999999999996</v>
      </c>
      <c r="D1861" s="219">
        <f t="shared" si="196"/>
        <v>2.0037776175896936E-2</v>
      </c>
      <c r="F1861" s="40">
        <v>35843</v>
      </c>
      <c r="G1861" s="39">
        <v>4627.3999999999996</v>
      </c>
      <c r="H1861" s="39">
        <f t="shared" si="191"/>
        <v>2</v>
      </c>
      <c r="I1861" s="39">
        <f t="shared" si="192"/>
        <v>0</v>
      </c>
      <c r="K1861" s="40"/>
      <c r="Q1861" s="40">
        <v>35843</v>
      </c>
      <c r="R1861" s="39">
        <v>4627.3999999999996</v>
      </c>
      <c r="S1861" s="39">
        <f t="shared" si="193"/>
        <v>2</v>
      </c>
      <c r="T1861" s="39">
        <f t="shared" si="194"/>
        <v>0</v>
      </c>
      <c r="U1861" s="39">
        <f t="shared" si="195"/>
        <v>0</v>
      </c>
      <c r="V1861" s="40"/>
    </row>
    <row r="1862" spans="2:22" x14ac:dyDescent="0.35">
      <c r="B1862" s="40">
        <v>35844</v>
      </c>
      <c r="C1862" s="39">
        <v>4611.7</v>
      </c>
      <c r="D1862" s="219">
        <f t="shared" si="196"/>
        <v>-3.3986027019735129E-3</v>
      </c>
      <c r="F1862" s="40">
        <v>35844</v>
      </c>
      <c r="G1862" s="39">
        <v>4611.7</v>
      </c>
      <c r="H1862" s="39">
        <f t="shared" si="191"/>
        <v>3</v>
      </c>
      <c r="I1862" s="39">
        <f t="shared" si="192"/>
        <v>0</v>
      </c>
      <c r="K1862" s="40"/>
      <c r="Q1862" s="40">
        <v>35844</v>
      </c>
      <c r="R1862" s="39">
        <v>4611.7</v>
      </c>
      <c r="S1862" s="39">
        <f t="shared" si="193"/>
        <v>2</v>
      </c>
      <c r="T1862" s="39">
        <f t="shared" si="194"/>
        <v>0</v>
      </c>
      <c r="U1862" s="39">
        <f t="shared" si="195"/>
        <v>0</v>
      </c>
      <c r="V1862" s="40"/>
    </row>
    <row r="1863" spans="2:22" x14ac:dyDescent="0.35">
      <c r="B1863" s="40">
        <v>35845</v>
      </c>
      <c r="C1863" s="39">
        <v>4581.1000000000004</v>
      </c>
      <c r="D1863" s="219">
        <f t="shared" si="196"/>
        <v>-6.6574086282078912E-3</v>
      </c>
      <c r="F1863" s="40">
        <v>35845</v>
      </c>
      <c r="G1863" s="39">
        <v>4581.1000000000004</v>
      </c>
      <c r="H1863" s="39">
        <f t="shared" si="191"/>
        <v>4</v>
      </c>
      <c r="I1863" s="39">
        <f t="shared" si="192"/>
        <v>0</v>
      </c>
      <c r="K1863" s="40"/>
      <c r="Q1863" s="40">
        <v>35845</v>
      </c>
      <c r="R1863" s="39">
        <v>4581.1000000000004</v>
      </c>
      <c r="S1863" s="39">
        <f t="shared" si="193"/>
        <v>2</v>
      </c>
      <c r="T1863" s="39">
        <f t="shared" si="194"/>
        <v>0</v>
      </c>
      <c r="U1863" s="39">
        <f t="shared" si="195"/>
        <v>0</v>
      </c>
      <c r="V1863" s="40"/>
    </row>
    <row r="1864" spans="2:22" x14ac:dyDescent="0.35">
      <c r="B1864" s="40">
        <v>35846</v>
      </c>
      <c r="C1864" s="39">
        <v>4583</v>
      </c>
      <c r="D1864" s="219">
        <f t="shared" si="196"/>
        <v>4.1466156572376968E-4</v>
      </c>
      <c r="F1864" s="40">
        <v>35846</v>
      </c>
      <c r="G1864" s="39">
        <v>4583</v>
      </c>
      <c r="H1864" s="39">
        <f t="shared" si="191"/>
        <v>5</v>
      </c>
      <c r="I1864" s="39">
        <f t="shared" si="192"/>
        <v>4583</v>
      </c>
      <c r="K1864" s="40"/>
      <c r="Q1864" s="40">
        <v>35846</v>
      </c>
      <c r="R1864" s="39">
        <v>4583</v>
      </c>
      <c r="S1864" s="39">
        <f t="shared" si="193"/>
        <v>2</v>
      </c>
      <c r="T1864" s="39">
        <f t="shared" si="194"/>
        <v>0</v>
      </c>
      <c r="U1864" s="39">
        <f t="shared" si="195"/>
        <v>0</v>
      </c>
      <c r="V1864" s="40"/>
    </row>
    <row r="1865" spans="2:22" x14ac:dyDescent="0.35">
      <c r="B1865" s="40">
        <v>35849</v>
      </c>
      <c r="C1865" s="39">
        <v>4610.7</v>
      </c>
      <c r="D1865" s="219">
        <f t="shared" si="196"/>
        <v>6.0258837722519179E-3</v>
      </c>
      <c r="F1865" s="40">
        <v>35849</v>
      </c>
      <c r="G1865" s="39">
        <v>4610.7</v>
      </c>
      <c r="H1865" s="39">
        <f t="shared" si="191"/>
        <v>1</v>
      </c>
      <c r="I1865" s="39">
        <f t="shared" si="192"/>
        <v>0</v>
      </c>
      <c r="K1865" s="40"/>
      <c r="Q1865" s="40">
        <v>35849</v>
      </c>
      <c r="R1865" s="39">
        <v>4610.7</v>
      </c>
      <c r="S1865" s="39">
        <f t="shared" si="193"/>
        <v>2</v>
      </c>
      <c r="T1865" s="39">
        <f t="shared" si="194"/>
        <v>0</v>
      </c>
      <c r="U1865" s="39">
        <f t="shared" si="195"/>
        <v>0</v>
      </c>
      <c r="V1865" s="40"/>
    </row>
    <row r="1866" spans="2:22" x14ac:dyDescent="0.35">
      <c r="B1866" s="40">
        <v>35850</v>
      </c>
      <c r="C1866" s="39">
        <v>4604.6000000000004</v>
      </c>
      <c r="D1866" s="219">
        <f t="shared" si="196"/>
        <v>-1.3238854711059538E-3</v>
      </c>
      <c r="F1866" s="40">
        <v>35850</v>
      </c>
      <c r="G1866" s="39">
        <v>4604.6000000000004</v>
      </c>
      <c r="H1866" s="39">
        <f t="shared" si="191"/>
        <v>2</v>
      </c>
      <c r="I1866" s="39">
        <f t="shared" si="192"/>
        <v>0</v>
      </c>
      <c r="K1866" s="40"/>
      <c r="Q1866" s="40">
        <v>35850</v>
      </c>
      <c r="R1866" s="39">
        <v>4604.6000000000004</v>
      </c>
      <c r="S1866" s="39">
        <f t="shared" si="193"/>
        <v>2</v>
      </c>
      <c r="T1866" s="39">
        <f t="shared" si="194"/>
        <v>0</v>
      </c>
      <c r="U1866" s="39">
        <f t="shared" si="195"/>
        <v>0</v>
      </c>
      <c r="V1866" s="40"/>
    </row>
    <row r="1867" spans="2:22" x14ac:dyDescent="0.35">
      <c r="B1867" s="40">
        <v>35851</v>
      </c>
      <c r="C1867" s="39">
        <v>4704.6000000000004</v>
      </c>
      <c r="D1867" s="219">
        <f t="shared" si="196"/>
        <v>2.1484949654661294E-2</v>
      </c>
      <c r="F1867" s="40">
        <v>35851</v>
      </c>
      <c r="G1867" s="39">
        <v>4704.6000000000004</v>
      </c>
      <c r="H1867" s="39">
        <f t="shared" si="191"/>
        <v>3</v>
      </c>
      <c r="I1867" s="39">
        <f t="shared" si="192"/>
        <v>0</v>
      </c>
      <c r="K1867" s="40"/>
      <c r="Q1867" s="40">
        <v>35851</v>
      </c>
      <c r="R1867" s="39">
        <v>4704.6000000000004</v>
      </c>
      <c r="S1867" s="39">
        <f t="shared" si="193"/>
        <v>2</v>
      </c>
      <c r="T1867" s="39">
        <f t="shared" si="194"/>
        <v>0</v>
      </c>
      <c r="U1867" s="39">
        <f t="shared" si="195"/>
        <v>0</v>
      </c>
      <c r="V1867" s="40"/>
    </row>
    <row r="1868" spans="2:22" x14ac:dyDescent="0.35">
      <c r="B1868" s="40">
        <v>35852</v>
      </c>
      <c r="C1868" s="39">
        <v>4695.8</v>
      </c>
      <c r="D1868" s="219">
        <f t="shared" si="196"/>
        <v>-1.8722613017742565E-3</v>
      </c>
      <c r="F1868" s="40">
        <v>35852</v>
      </c>
      <c r="G1868" s="39">
        <v>4695.8</v>
      </c>
      <c r="H1868" s="39">
        <f t="shared" si="191"/>
        <v>4</v>
      </c>
      <c r="I1868" s="39">
        <f t="shared" si="192"/>
        <v>0</v>
      </c>
      <c r="K1868" s="40"/>
      <c r="Q1868" s="40">
        <v>35852</v>
      </c>
      <c r="R1868" s="39">
        <v>4695.8</v>
      </c>
      <c r="S1868" s="39">
        <f t="shared" si="193"/>
        <v>2</v>
      </c>
      <c r="T1868" s="39">
        <f t="shared" si="194"/>
        <v>0</v>
      </c>
      <c r="U1868" s="39">
        <f t="shared" si="195"/>
        <v>0</v>
      </c>
      <c r="V1868" s="40"/>
    </row>
    <row r="1869" spans="2:22" x14ac:dyDescent="0.35">
      <c r="B1869" s="40">
        <v>35853</v>
      </c>
      <c r="C1869" s="39">
        <v>4693.8999999999996</v>
      </c>
      <c r="D1869" s="219">
        <f t="shared" si="196"/>
        <v>-4.0469877119239759E-4</v>
      </c>
      <c r="F1869" s="40">
        <v>35853</v>
      </c>
      <c r="G1869" s="39">
        <v>4693.8999999999996</v>
      </c>
      <c r="H1869" s="39">
        <f t="shared" si="191"/>
        <v>5</v>
      </c>
      <c r="I1869" s="39">
        <f t="shared" si="192"/>
        <v>4693.8999999999996</v>
      </c>
      <c r="K1869" s="40"/>
      <c r="Q1869" s="40">
        <v>35853</v>
      </c>
      <c r="R1869" s="39">
        <v>4693.8999999999996</v>
      </c>
      <c r="S1869" s="39">
        <f t="shared" si="193"/>
        <v>2</v>
      </c>
      <c r="T1869" s="39">
        <f t="shared" si="194"/>
        <v>4693.8999999999996</v>
      </c>
      <c r="U1869" s="39">
        <f t="shared" si="195"/>
        <v>4693.8999999999996</v>
      </c>
      <c r="V1869" s="40"/>
    </row>
    <row r="1870" spans="2:22" x14ac:dyDescent="0.35">
      <c r="B1870" s="40">
        <v>35856</v>
      </c>
      <c r="C1870" s="39">
        <v>4781.6000000000004</v>
      </c>
      <c r="D1870" s="219">
        <f t="shared" si="196"/>
        <v>1.8511425118079655E-2</v>
      </c>
      <c r="F1870" s="40">
        <v>35856</v>
      </c>
      <c r="G1870" s="39">
        <v>4781.6000000000004</v>
      </c>
      <c r="H1870" s="39">
        <f t="shared" si="191"/>
        <v>1</v>
      </c>
      <c r="I1870" s="39">
        <f t="shared" si="192"/>
        <v>0</v>
      </c>
      <c r="K1870" s="40"/>
      <c r="Q1870" s="40">
        <v>35856</v>
      </c>
      <c r="R1870" s="39">
        <v>4781.6000000000004</v>
      </c>
      <c r="S1870" s="39">
        <f t="shared" si="193"/>
        <v>3</v>
      </c>
      <c r="T1870" s="39">
        <f t="shared" si="194"/>
        <v>0</v>
      </c>
      <c r="U1870" s="39">
        <f t="shared" si="195"/>
        <v>0</v>
      </c>
      <c r="V1870" s="40"/>
    </row>
    <row r="1871" spans="2:22" x14ac:dyDescent="0.35">
      <c r="B1871" s="40">
        <v>35857</v>
      </c>
      <c r="C1871" s="39">
        <v>4759.6000000000004</v>
      </c>
      <c r="D1871" s="219">
        <f t="shared" si="196"/>
        <v>-4.6115874290460655E-3</v>
      </c>
      <c r="F1871" s="40">
        <v>35857</v>
      </c>
      <c r="G1871" s="39">
        <v>4759.6000000000004</v>
      </c>
      <c r="H1871" s="39">
        <f t="shared" si="191"/>
        <v>2</v>
      </c>
      <c r="I1871" s="39">
        <f t="shared" si="192"/>
        <v>0</v>
      </c>
      <c r="K1871" s="40"/>
      <c r="Q1871" s="40">
        <v>35857</v>
      </c>
      <c r="R1871" s="39">
        <v>4759.6000000000004</v>
      </c>
      <c r="S1871" s="39">
        <f t="shared" si="193"/>
        <v>3</v>
      </c>
      <c r="T1871" s="39">
        <f t="shared" si="194"/>
        <v>0</v>
      </c>
      <c r="U1871" s="39">
        <f t="shared" si="195"/>
        <v>0</v>
      </c>
      <c r="V1871" s="40"/>
    </row>
    <row r="1872" spans="2:22" x14ac:dyDescent="0.35">
      <c r="B1872" s="40">
        <v>35858</v>
      </c>
      <c r="C1872" s="39">
        <v>4690.5</v>
      </c>
      <c r="D1872" s="219">
        <f t="shared" si="196"/>
        <v>-1.4624444514992826E-2</v>
      </c>
      <c r="F1872" s="40">
        <v>35858</v>
      </c>
      <c r="G1872" s="39">
        <v>4690.5</v>
      </c>
      <c r="H1872" s="39">
        <f t="shared" si="191"/>
        <v>3</v>
      </c>
      <c r="I1872" s="39">
        <f t="shared" si="192"/>
        <v>0</v>
      </c>
      <c r="K1872" s="40"/>
      <c r="Q1872" s="40">
        <v>35858</v>
      </c>
      <c r="R1872" s="39">
        <v>4690.5</v>
      </c>
      <c r="S1872" s="39">
        <f t="shared" si="193"/>
        <v>3</v>
      </c>
      <c r="T1872" s="39">
        <f t="shared" si="194"/>
        <v>0</v>
      </c>
      <c r="U1872" s="39">
        <f t="shared" si="195"/>
        <v>0</v>
      </c>
      <c r="V1872" s="40"/>
    </row>
    <row r="1873" spans="2:22" x14ac:dyDescent="0.35">
      <c r="B1873" s="40">
        <v>35859</v>
      </c>
      <c r="C1873" s="39">
        <v>4676.3999999999996</v>
      </c>
      <c r="D1873" s="219">
        <f t="shared" si="196"/>
        <v>-3.0106034333419272E-3</v>
      </c>
      <c r="F1873" s="40">
        <v>35859</v>
      </c>
      <c r="G1873" s="39">
        <v>4676.3999999999996</v>
      </c>
      <c r="H1873" s="39">
        <f t="shared" si="191"/>
        <v>4</v>
      </c>
      <c r="I1873" s="39">
        <f t="shared" si="192"/>
        <v>0</v>
      </c>
      <c r="K1873" s="40"/>
      <c r="Q1873" s="40">
        <v>35859</v>
      </c>
      <c r="R1873" s="39">
        <v>4676.3999999999996</v>
      </c>
      <c r="S1873" s="39">
        <f t="shared" si="193"/>
        <v>3</v>
      </c>
      <c r="T1873" s="39">
        <f t="shared" si="194"/>
        <v>0</v>
      </c>
      <c r="U1873" s="39">
        <f t="shared" si="195"/>
        <v>0</v>
      </c>
      <c r="V1873" s="40"/>
    </row>
    <row r="1874" spans="2:22" x14ac:dyDescent="0.35">
      <c r="B1874" s="40">
        <v>35860</v>
      </c>
      <c r="C1874" s="39">
        <v>4762.7</v>
      </c>
      <c r="D1874" s="219">
        <f t="shared" si="196"/>
        <v>1.8286151171193872E-2</v>
      </c>
      <c r="F1874" s="40">
        <v>35860</v>
      </c>
      <c r="G1874" s="39">
        <v>4762.7</v>
      </c>
      <c r="H1874" s="39">
        <f t="shared" si="191"/>
        <v>5</v>
      </c>
      <c r="I1874" s="39">
        <f t="shared" si="192"/>
        <v>4762.7</v>
      </c>
      <c r="K1874" s="40"/>
      <c r="Q1874" s="40">
        <v>35860</v>
      </c>
      <c r="R1874" s="39">
        <v>4762.7</v>
      </c>
      <c r="S1874" s="39">
        <f t="shared" si="193"/>
        <v>3</v>
      </c>
      <c r="T1874" s="39">
        <f t="shared" si="194"/>
        <v>0</v>
      </c>
      <c r="U1874" s="39">
        <f t="shared" si="195"/>
        <v>0</v>
      </c>
      <c r="V1874" s="40"/>
    </row>
    <row r="1875" spans="2:22" x14ac:dyDescent="0.35">
      <c r="B1875" s="40">
        <v>35863</v>
      </c>
      <c r="C1875" s="39">
        <v>4828.8999999999996</v>
      </c>
      <c r="D1875" s="219">
        <f t="shared" si="196"/>
        <v>1.3803964134102122E-2</v>
      </c>
      <c r="F1875" s="40">
        <v>35863</v>
      </c>
      <c r="G1875" s="39">
        <v>4828.8999999999996</v>
      </c>
      <c r="H1875" s="39">
        <f t="shared" si="191"/>
        <v>1</v>
      </c>
      <c r="I1875" s="39">
        <f t="shared" si="192"/>
        <v>0</v>
      </c>
      <c r="K1875" s="40"/>
      <c r="Q1875" s="40">
        <v>35863</v>
      </c>
      <c r="R1875" s="39">
        <v>4828.8999999999996</v>
      </c>
      <c r="S1875" s="39">
        <f t="shared" si="193"/>
        <v>3</v>
      </c>
      <c r="T1875" s="39">
        <f t="shared" si="194"/>
        <v>0</v>
      </c>
      <c r="U1875" s="39">
        <f t="shared" si="195"/>
        <v>0</v>
      </c>
      <c r="V1875" s="40"/>
    </row>
    <row r="1876" spans="2:22" x14ac:dyDescent="0.35">
      <c r="B1876" s="40">
        <v>35864</v>
      </c>
      <c r="C1876" s="39">
        <v>4852.2</v>
      </c>
      <c r="D1876" s="219">
        <f t="shared" si="196"/>
        <v>4.8135118918714997E-3</v>
      </c>
      <c r="F1876" s="40">
        <v>35864</v>
      </c>
      <c r="G1876" s="39">
        <v>4852.2</v>
      </c>
      <c r="H1876" s="39">
        <f t="shared" si="191"/>
        <v>2</v>
      </c>
      <c r="I1876" s="39">
        <f t="shared" si="192"/>
        <v>0</v>
      </c>
      <c r="K1876" s="40"/>
      <c r="Q1876" s="40">
        <v>35864</v>
      </c>
      <c r="R1876" s="39">
        <v>4852.2</v>
      </c>
      <c r="S1876" s="39">
        <f t="shared" si="193"/>
        <v>3</v>
      </c>
      <c r="T1876" s="39">
        <f t="shared" si="194"/>
        <v>0</v>
      </c>
      <c r="U1876" s="39">
        <f t="shared" si="195"/>
        <v>0</v>
      </c>
      <c r="V1876" s="40"/>
    </row>
    <row r="1877" spans="2:22" x14ac:dyDescent="0.35">
      <c r="B1877" s="40">
        <v>35865</v>
      </c>
      <c r="C1877" s="39">
        <v>4862.3999999999996</v>
      </c>
      <c r="D1877" s="219">
        <f t="shared" si="196"/>
        <v>2.0999328326970906E-3</v>
      </c>
      <c r="F1877" s="40">
        <v>35865</v>
      </c>
      <c r="G1877" s="39">
        <v>4862.3999999999996</v>
      </c>
      <c r="H1877" s="39">
        <f t="shared" si="191"/>
        <v>3</v>
      </c>
      <c r="I1877" s="39">
        <f t="shared" si="192"/>
        <v>0</v>
      </c>
      <c r="K1877" s="40"/>
      <c r="Q1877" s="40">
        <v>35865</v>
      </c>
      <c r="R1877" s="39">
        <v>4862.3999999999996</v>
      </c>
      <c r="S1877" s="39">
        <f t="shared" si="193"/>
        <v>3</v>
      </c>
      <c r="T1877" s="39">
        <f t="shared" si="194"/>
        <v>0</v>
      </c>
      <c r="U1877" s="39">
        <f t="shared" si="195"/>
        <v>0</v>
      </c>
      <c r="V1877" s="40"/>
    </row>
    <row r="1878" spans="2:22" x14ac:dyDescent="0.35">
      <c r="B1878" s="40">
        <v>35866</v>
      </c>
      <c r="C1878" s="39">
        <v>4838.7</v>
      </c>
      <c r="D1878" s="219">
        <f t="shared" si="196"/>
        <v>-4.8860535712820299E-3</v>
      </c>
      <c r="F1878" s="40">
        <v>35866</v>
      </c>
      <c r="G1878" s="39">
        <v>4838.7</v>
      </c>
      <c r="H1878" s="39">
        <f t="shared" si="191"/>
        <v>4</v>
      </c>
      <c r="I1878" s="39">
        <f t="shared" si="192"/>
        <v>0</v>
      </c>
      <c r="K1878" s="40"/>
      <c r="Q1878" s="40">
        <v>35866</v>
      </c>
      <c r="R1878" s="39">
        <v>4838.7</v>
      </c>
      <c r="S1878" s="39">
        <f t="shared" si="193"/>
        <v>3</v>
      </c>
      <c r="T1878" s="39">
        <f t="shared" si="194"/>
        <v>0</v>
      </c>
      <c r="U1878" s="39">
        <f t="shared" si="195"/>
        <v>0</v>
      </c>
      <c r="V1878" s="40"/>
    </row>
    <row r="1879" spans="2:22" x14ac:dyDescent="0.35">
      <c r="B1879" s="40">
        <v>35867</v>
      </c>
      <c r="C1879" s="39">
        <v>4872.2</v>
      </c>
      <c r="D1879" s="219">
        <f t="shared" si="196"/>
        <v>6.8994908590409377E-3</v>
      </c>
      <c r="F1879" s="40">
        <v>35867</v>
      </c>
      <c r="G1879" s="39">
        <v>4872.2</v>
      </c>
      <c r="H1879" s="39">
        <f t="shared" si="191"/>
        <v>5</v>
      </c>
      <c r="I1879" s="39">
        <f t="shared" si="192"/>
        <v>4872.2</v>
      </c>
      <c r="K1879" s="40"/>
      <c r="Q1879" s="40">
        <v>35867</v>
      </c>
      <c r="R1879" s="39">
        <v>4872.2</v>
      </c>
      <c r="S1879" s="39">
        <f t="shared" si="193"/>
        <v>3</v>
      </c>
      <c r="T1879" s="39">
        <f t="shared" si="194"/>
        <v>0</v>
      </c>
      <c r="U1879" s="39">
        <f t="shared" si="195"/>
        <v>0</v>
      </c>
      <c r="V1879" s="40"/>
    </row>
    <row r="1880" spans="2:22" x14ac:dyDescent="0.35">
      <c r="B1880" s="40">
        <v>35870</v>
      </c>
      <c r="C1880" s="39">
        <v>4905.6000000000004</v>
      </c>
      <c r="D1880" s="219">
        <f t="shared" si="196"/>
        <v>6.8318292272075897E-3</v>
      </c>
      <c r="F1880" s="40">
        <v>35870</v>
      </c>
      <c r="G1880" s="39">
        <v>4905.6000000000004</v>
      </c>
      <c r="H1880" s="39">
        <f t="shared" si="191"/>
        <v>1</v>
      </c>
      <c r="I1880" s="39">
        <f t="shared" si="192"/>
        <v>0</v>
      </c>
      <c r="K1880" s="40"/>
      <c r="Q1880" s="40">
        <v>35870</v>
      </c>
      <c r="R1880" s="39">
        <v>4905.6000000000004</v>
      </c>
      <c r="S1880" s="39">
        <f t="shared" si="193"/>
        <v>3</v>
      </c>
      <c r="T1880" s="39">
        <f t="shared" si="194"/>
        <v>0</v>
      </c>
      <c r="U1880" s="39">
        <f t="shared" si="195"/>
        <v>0</v>
      </c>
      <c r="V1880" s="40"/>
    </row>
    <row r="1881" spans="2:22" x14ac:dyDescent="0.35">
      <c r="B1881" s="40">
        <v>35871</v>
      </c>
      <c r="C1881" s="39">
        <v>4945.8999999999996</v>
      </c>
      <c r="D1881" s="219">
        <f t="shared" si="196"/>
        <v>8.1815408412033719E-3</v>
      </c>
      <c r="F1881" s="40">
        <v>35871</v>
      </c>
      <c r="G1881" s="39">
        <v>4945.8999999999996</v>
      </c>
      <c r="H1881" s="39">
        <f t="shared" si="191"/>
        <v>2</v>
      </c>
      <c r="I1881" s="39">
        <f t="shared" si="192"/>
        <v>0</v>
      </c>
      <c r="K1881" s="40"/>
      <c r="Q1881" s="40">
        <v>35871</v>
      </c>
      <c r="R1881" s="39">
        <v>4945.8999999999996</v>
      </c>
      <c r="S1881" s="39">
        <f t="shared" si="193"/>
        <v>3</v>
      </c>
      <c r="T1881" s="39">
        <f t="shared" si="194"/>
        <v>0</v>
      </c>
      <c r="U1881" s="39">
        <f t="shared" si="195"/>
        <v>0</v>
      </c>
      <c r="V1881" s="40"/>
    </row>
    <row r="1882" spans="2:22" x14ac:dyDescent="0.35">
      <c r="B1882" s="40">
        <v>35872</v>
      </c>
      <c r="C1882" s="39">
        <v>4908.6000000000004</v>
      </c>
      <c r="D1882" s="219">
        <f t="shared" si="196"/>
        <v>-7.5701817709907266E-3</v>
      </c>
      <c r="F1882" s="40">
        <v>35872</v>
      </c>
      <c r="G1882" s="39">
        <v>4908.6000000000004</v>
      </c>
      <c r="H1882" s="39">
        <f t="shared" si="191"/>
        <v>3</v>
      </c>
      <c r="I1882" s="39">
        <f t="shared" si="192"/>
        <v>0</v>
      </c>
      <c r="K1882" s="40"/>
      <c r="Q1882" s="40">
        <v>35872</v>
      </c>
      <c r="R1882" s="39">
        <v>4908.6000000000004</v>
      </c>
      <c r="S1882" s="39">
        <f t="shared" si="193"/>
        <v>3</v>
      </c>
      <c r="T1882" s="39">
        <f t="shared" si="194"/>
        <v>0</v>
      </c>
      <c r="U1882" s="39">
        <f t="shared" si="195"/>
        <v>0</v>
      </c>
      <c r="V1882" s="40"/>
    </row>
    <row r="1883" spans="2:22" x14ac:dyDescent="0.35">
      <c r="B1883" s="40">
        <v>35873</v>
      </c>
      <c r="C1883" s="39">
        <v>4949.8999999999996</v>
      </c>
      <c r="D1883" s="219">
        <f t="shared" si="196"/>
        <v>8.3786055907627954E-3</v>
      </c>
      <c r="F1883" s="40">
        <v>35873</v>
      </c>
      <c r="G1883" s="39">
        <v>4949.8999999999996</v>
      </c>
      <c r="H1883" s="39">
        <f t="shared" si="191"/>
        <v>4</v>
      </c>
      <c r="I1883" s="39">
        <f t="shared" si="192"/>
        <v>0</v>
      </c>
      <c r="K1883" s="40"/>
      <c r="Q1883" s="40">
        <v>35873</v>
      </c>
      <c r="R1883" s="39">
        <v>4949.8999999999996</v>
      </c>
      <c r="S1883" s="39">
        <f t="shared" si="193"/>
        <v>3</v>
      </c>
      <c r="T1883" s="39">
        <f t="shared" si="194"/>
        <v>0</v>
      </c>
      <c r="U1883" s="39">
        <f t="shared" si="195"/>
        <v>0</v>
      </c>
      <c r="V1883" s="40"/>
    </row>
    <row r="1884" spans="2:22" x14ac:dyDescent="0.35">
      <c r="B1884" s="40">
        <v>35874</v>
      </c>
      <c r="C1884" s="39">
        <v>5045.2</v>
      </c>
      <c r="D1884" s="219">
        <f t="shared" si="196"/>
        <v>1.9069921874567675E-2</v>
      </c>
      <c r="F1884" s="40">
        <v>35874</v>
      </c>
      <c r="G1884" s="39">
        <v>5045.2</v>
      </c>
      <c r="H1884" s="39">
        <f t="shared" si="191"/>
        <v>5</v>
      </c>
      <c r="I1884" s="39">
        <f t="shared" si="192"/>
        <v>5045.2</v>
      </c>
      <c r="K1884" s="40"/>
      <c r="Q1884" s="40">
        <v>35874</v>
      </c>
      <c r="R1884" s="39">
        <v>5045.2</v>
      </c>
      <c r="S1884" s="39">
        <f t="shared" si="193"/>
        <v>3</v>
      </c>
      <c r="T1884" s="39">
        <f t="shared" si="194"/>
        <v>0</v>
      </c>
      <c r="U1884" s="39">
        <f t="shared" si="195"/>
        <v>0</v>
      </c>
      <c r="V1884" s="40"/>
    </row>
    <row r="1885" spans="2:22" x14ac:dyDescent="0.35">
      <c r="B1885" s="40">
        <v>35877</v>
      </c>
      <c r="C1885" s="39">
        <v>5014.1000000000004</v>
      </c>
      <c r="D1885" s="219">
        <f t="shared" si="196"/>
        <v>-6.1833525373191081E-3</v>
      </c>
      <c r="F1885" s="40">
        <v>35877</v>
      </c>
      <c r="G1885" s="39">
        <v>5014.1000000000004</v>
      </c>
      <c r="H1885" s="39">
        <f t="shared" si="191"/>
        <v>1</v>
      </c>
      <c r="I1885" s="39">
        <f t="shared" si="192"/>
        <v>0</v>
      </c>
      <c r="K1885" s="40"/>
      <c r="Q1885" s="40">
        <v>35877</v>
      </c>
      <c r="R1885" s="39">
        <v>5014.1000000000004</v>
      </c>
      <c r="S1885" s="39">
        <f t="shared" si="193"/>
        <v>3</v>
      </c>
      <c r="T1885" s="39">
        <f t="shared" si="194"/>
        <v>0</v>
      </c>
      <c r="U1885" s="39">
        <f t="shared" si="195"/>
        <v>0</v>
      </c>
      <c r="V1885" s="40"/>
    </row>
    <row r="1886" spans="2:22" x14ac:dyDescent="0.35">
      <c r="B1886" s="40">
        <v>35878</v>
      </c>
      <c r="C1886" s="39">
        <v>5064.3999999999996</v>
      </c>
      <c r="D1886" s="219">
        <f t="shared" si="196"/>
        <v>9.9817269703792282E-3</v>
      </c>
      <c r="F1886" s="40">
        <v>35878</v>
      </c>
      <c r="G1886" s="39">
        <v>5064.3999999999996</v>
      </c>
      <c r="H1886" s="39">
        <f t="shared" si="191"/>
        <v>2</v>
      </c>
      <c r="I1886" s="39">
        <f t="shared" si="192"/>
        <v>0</v>
      </c>
      <c r="K1886" s="40"/>
      <c r="Q1886" s="40">
        <v>35878</v>
      </c>
      <c r="R1886" s="39">
        <v>5064.3999999999996</v>
      </c>
      <c r="S1886" s="39">
        <f t="shared" si="193"/>
        <v>3</v>
      </c>
      <c r="T1886" s="39">
        <f t="shared" si="194"/>
        <v>0</v>
      </c>
      <c r="U1886" s="39">
        <f t="shared" si="195"/>
        <v>0</v>
      </c>
      <c r="V1886" s="40"/>
    </row>
    <row r="1887" spans="2:22" x14ac:dyDescent="0.35">
      <c r="B1887" s="40">
        <v>35879</v>
      </c>
      <c r="C1887" s="39">
        <v>5114.1000000000004</v>
      </c>
      <c r="D1887" s="219">
        <f t="shared" si="196"/>
        <v>9.7657601788908987E-3</v>
      </c>
      <c r="F1887" s="40">
        <v>35879</v>
      </c>
      <c r="G1887" s="39">
        <v>5114.1000000000004</v>
      </c>
      <c r="H1887" s="39">
        <f t="shared" si="191"/>
        <v>3</v>
      </c>
      <c r="I1887" s="39">
        <f t="shared" si="192"/>
        <v>0</v>
      </c>
      <c r="K1887" s="40"/>
      <c r="Q1887" s="40">
        <v>35879</v>
      </c>
      <c r="R1887" s="39">
        <v>5114.1000000000004</v>
      </c>
      <c r="S1887" s="39">
        <f t="shared" si="193"/>
        <v>3</v>
      </c>
      <c r="T1887" s="39">
        <f t="shared" si="194"/>
        <v>0</v>
      </c>
      <c r="U1887" s="39">
        <f t="shared" si="195"/>
        <v>0</v>
      </c>
      <c r="V1887" s="40"/>
    </row>
    <row r="1888" spans="2:22" x14ac:dyDescent="0.35">
      <c r="B1888" s="40">
        <v>35880</v>
      </c>
      <c r="C1888" s="39">
        <v>5029</v>
      </c>
      <c r="D1888" s="219">
        <f t="shared" si="196"/>
        <v>-1.6780273653024248E-2</v>
      </c>
      <c r="F1888" s="40">
        <v>35880</v>
      </c>
      <c r="G1888" s="39">
        <v>5029</v>
      </c>
      <c r="H1888" s="39">
        <f t="shared" si="191"/>
        <v>4</v>
      </c>
      <c r="I1888" s="39">
        <f t="shared" si="192"/>
        <v>0</v>
      </c>
      <c r="K1888" s="40"/>
      <c r="Q1888" s="40">
        <v>35880</v>
      </c>
      <c r="R1888" s="39">
        <v>5029</v>
      </c>
      <c r="S1888" s="39">
        <f t="shared" si="193"/>
        <v>3</v>
      </c>
      <c r="T1888" s="39">
        <f t="shared" si="194"/>
        <v>0</v>
      </c>
      <c r="U1888" s="39">
        <f t="shared" si="195"/>
        <v>0</v>
      </c>
      <c r="V1888" s="40"/>
    </row>
    <row r="1889" spans="2:22" x14ac:dyDescent="0.35">
      <c r="B1889" s="40">
        <v>35881</v>
      </c>
      <c r="C1889" s="39">
        <v>5066.8999999999996</v>
      </c>
      <c r="D1889" s="219">
        <f t="shared" si="196"/>
        <v>7.5080335654822304E-3</v>
      </c>
      <c r="F1889" s="40">
        <v>35881</v>
      </c>
      <c r="G1889" s="39">
        <v>5066.8999999999996</v>
      </c>
      <c r="H1889" s="39">
        <f t="shared" si="191"/>
        <v>5</v>
      </c>
      <c r="I1889" s="39">
        <f t="shared" si="192"/>
        <v>5066.8999999999996</v>
      </c>
      <c r="K1889" s="40"/>
      <c r="Q1889" s="40">
        <v>35881</v>
      </c>
      <c r="R1889" s="39">
        <v>5066.8999999999996</v>
      </c>
      <c r="S1889" s="39">
        <f t="shared" si="193"/>
        <v>3</v>
      </c>
      <c r="T1889" s="39">
        <f t="shared" si="194"/>
        <v>0</v>
      </c>
      <c r="U1889" s="39">
        <f t="shared" si="195"/>
        <v>0</v>
      </c>
      <c r="V1889" s="40"/>
    </row>
    <row r="1890" spans="2:22" x14ac:dyDescent="0.35">
      <c r="B1890" s="40">
        <v>35884</v>
      </c>
      <c r="C1890" s="39">
        <v>5069.8999999999996</v>
      </c>
      <c r="D1890" s="219">
        <f t="shared" si="196"/>
        <v>5.9190278738609149E-4</v>
      </c>
      <c r="F1890" s="40">
        <v>35884</v>
      </c>
      <c r="G1890" s="39">
        <v>5069.8999999999996</v>
      </c>
      <c r="H1890" s="39">
        <f t="shared" si="191"/>
        <v>1</v>
      </c>
      <c r="I1890" s="39">
        <f t="shared" si="192"/>
        <v>0</v>
      </c>
      <c r="K1890" s="40"/>
      <c r="Q1890" s="40">
        <v>35884</v>
      </c>
      <c r="R1890" s="39">
        <v>5069.8999999999996</v>
      </c>
      <c r="S1890" s="39">
        <f t="shared" si="193"/>
        <v>3</v>
      </c>
      <c r="T1890" s="39">
        <f t="shared" si="194"/>
        <v>0</v>
      </c>
      <c r="U1890" s="39">
        <f t="shared" si="195"/>
        <v>0</v>
      </c>
      <c r="V1890" s="40"/>
    </row>
    <row r="1891" spans="2:22" x14ac:dyDescent="0.35">
      <c r="B1891" s="40">
        <v>35885</v>
      </c>
      <c r="C1891" s="39">
        <v>5097.3</v>
      </c>
      <c r="D1891" s="219">
        <f t="shared" si="196"/>
        <v>5.389894234989554E-3</v>
      </c>
      <c r="F1891" s="40">
        <v>35885</v>
      </c>
      <c r="G1891" s="39">
        <v>5097.3</v>
      </c>
      <c r="H1891" s="39">
        <f t="shared" si="191"/>
        <v>2</v>
      </c>
      <c r="I1891" s="39">
        <f t="shared" si="192"/>
        <v>0</v>
      </c>
      <c r="K1891" s="40"/>
      <c r="Q1891" s="40">
        <v>35885</v>
      </c>
      <c r="R1891" s="39">
        <v>5097.3</v>
      </c>
      <c r="S1891" s="39">
        <f t="shared" si="193"/>
        <v>3</v>
      </c>
      <c r="T1891" s="39">
        <f t="shared" si="194"/>
        <v>5097.3</v>
      </c>
      <c r="U1891" s="39">
        <f t="shared" si="195"/>
        <v>5097.3</v>
      </c>
      <c r="V1891" s="40"/>
    </row>
    <row r="1892" spans="2:22" x14ac:dyDescent="0.35">
      <c r="B1892" s="40">
        <v>35886</v>
      </c>
      <c r="C1892" s="39">
        <v>5135.3999999999996</v>
      </c>
      <c r="D1892" s="219">
        <f t="shared" si="196"/>
        <v>7.4467493557962708E-3</v>
      </c>
      <c r="F1892" s="40">
        <v>35886</v>
      </c>
      <c r="G1892" s="39">
        <v>5135.3999999999996</v>
      </c>
      <c r="H1892" s="39">
        <f t="shared" si="191"/>
        <v>3</v>
      </c>
      <c r="I1892" s="39">
        <f t="shared" si="192"/>
        <v>0</v>
      </c>
      <c r="K1892" s="40"/>
      <c r="Q1892" s="40">
        <v>35886</v>
      </c>
      <c r="R1892" s="39">
        <v>5135.3999999999996</v>
      </c>
      <c r="S1892" s="39">
        <f t="shared" si="193"/>
        <v>4</v>
      </c>
      <c r="T1892" s="39">
        <f t="shared" si="194"/>
        <v>0</v>
      </c>
      <c r="U1892" s="39">
        <f t="shared" si="195"/>
        <v>0</v>
      </c>
      <c r="V1892" s="40"/>
    </row>
    <row r="1893" spans="2:22" x14ac:dyDescent="0.35">
      <c r="B1893" s="40">
        <v>35887</v>
      </c>
      <c r="C1893" s="39">
        <v>5179</v>
      </c>
      <c r="D1893" s="219">
        <f t="shared" si="196"/>
        <v>8.4542503082724613E-3</v>
      </c>
      <c r="F1893" s="40">
        <v>35887</v>
      </c>
      <c r="G1893" s="39">
        <v>5179</v>
      </c>
      <c r="H1893" s="39">
        <f t="shared" si="191"/>
        <v>4</v>
      </c>
      <c r="I1893" s="39">
        <f t="shared" si="192"/>
        <v>0</v>
      </c>
      <c r="K1893" s="40"/>
      <c r="Q1893" s="40">
        <v>35887</v>
      </c>
      <c r="R1893" s="39">
        <v>5179</v>
      </c>
      <c r="S1893" s="39">
        <f t="shared" si="193"/>
        <v>4</v>
      </c>
      <c r="T1893" s="39">
        <f t="shared" si="194"/>
        <v>0</v>
      </c>
      <c r="U1893" s="39">
        <f t="shared" si="195"/>
        <v>0</v>
      </c>
      <c r="V1893" s="40"/>
    </row>
    <row r="1894" spans="2:22" x14ac:dyDescent="0.35">
      <c r="B1894" s="40">
        <v>35888</v>
      </c>
      <c r="C1894" s="39">
        <v>5254.3</v>
      </c>
      <c r="D1894" s="219">
        <f t="shared" si="196"/>
        <v>1.4434801544361853E-2</v>
      </c>
      <c r="F1894" s="40">
        <v>35888</v>
      </c>
      <c r="G1894" s="39">
        <v>5254.3</v>
      </c>
      <c r="H1894" s="39">
        <f t="shared" si="191"/>
        <v>5</v>
      </c>
      <c r="I1894" s="39">
        <f t="shared" si="192"/>
        <v>5254.3</v>
      </c>
      <c r="K1894" s="40"/>
      <c r="Q1894" s="40">
        <v>35888</v>
      </c>
      <c r="R1894" s="39">
        <v>5254.3</v>
      </c>
      <c r="S1894" s="39">
        <f t="shared" si="193"/>
        <v>4</v>
      </c>
      <c r="T1894" s="39">
        <f t="shared" si="194"/>
        <v>0</v>
      </c>
      <c r="U1894" s="39">
        <f t="shared" si="195"/>
        <v>0</v>
      </c>
      <c r="V1894" s="40"/>
    </row>
    <row r="1895" spans="2:22" x14ac:dyDescent="0.35">
      <c r="B1895" s="40">
        <v>35891</v>
      </c>
      <c r="C1895" s="39">
        <v>5345.9</v>
      </c>
      <c r="D1895" s="219">
        <f t="shared" si="196"/>
        <v>1.7283122981398495E-2</v>
      </c>
      <c r="F1895" s="40">
        <v>35891</v>
      </c>
      <c r="G1895" s="39">
        <v>5345.9</v>
      </c>
      <c r="H1895" s="39">
        <f t="shared" si="191"/>
        <v>1</v>
      </c>
      <c r="I1895" s="39">
        <f t="shared" si="192"/>
        <v>0</v>
      </c>
      <c r="K1895" s="40"/>
      <c r="Q1895" s="40">
        <v>35891</v>
      </c>
      <c r="R1895" s="39">
        <v>5345.9</v>
      </c>
      <c r="S1895" s="39">
        <f t="shared" si="193"/>
        <v>4</v>
      </c>
      <c r="T1895" s="39">
        <f t="shared" si="194"/>
        <v>0</v>
      </c>
      <c r="U1895" s="39">
        <f t="shared" si="195"/>
        <v>0</v>
      </c>
      <c r="V1895" s="40"/>
    </row>
    <row r="1896" spans="2:22" x14ac:dyDescent="0.35">
      <c r="B1896" s="40">
        <v>35892</v>
      </c>
      <c r="C1896" s="39">
        <v>5309.7</v>
      </c>
      <c r="D1896" s="219">
        <f t="shared" si="196"/>
        <v>-6.7945754848338967E-3</v>
      </c>
      <c r="F1896" s="40">
        <v>35892</v>
      </c>
      <c r="G1896" s="39">
        <v>5309.7</v>
      </c>
      <c r="H1896" s="39">
        <f t="shared" si="191"/>
        <v>2</v>
      </c>
      <c r="I1896" s="39">
        <f t="shared" si="192"/>
        <v>0</v>
      </c>
      <c r="K1896" s="40"/>
      <c r="Q1896" s="40">
        <v>35892</v>
      </c>
      <c r="R1896" s="39">
        <v>5309.7</v>
      </c>
      <c r="S1896" s="39">
        <f t="shared" si="193"/>
        <v>4</v>
      </c>
      <c r="T1896" s="39">
        <f t="shared" si="194"/>
        <v>0</v>
      </c>
      <c r="U1896" s="39">
        <f t="shared" si="195"/>
        <v>0</v>
      </c>
      <c r="V1896" s="40"/>
    </row>
    <row r="1897" spans="2:22" x14ac:dyDescent="0.35">
      <c r="B1897" s="40">
        <v>35893</v>
      </c>
      <c r="C1897" s="39">
        <v>5267.4</v>
      </c>
      <c r="D1897" s="219">
        <f t="shared" si="196"/>
        <v>-7.9984543045997641E-3</v>
      </c>
      <c r="F1897" s="40">
        <v>35893</v>
      </c>
      <c r="G1897" s="39">
        <v>5267.4</v>
      </c>
      <c r="H1897" s="39">
        <f t="shared" si="191"/>
        <v>3</v>
      </c>
      <c r="I1897" s="39">
        <f t="shared" si="192"/>
        <v>0</v>
      </c>
      <c r="K1897" s="40"/>
      <c r="Q1897" s="40">
        <v>35893</v>
      </c>
      <c r="R1897" s="39">
        <v>5267.4</v>
      </c>
      <c r="S1897" s="39">
        <f t="shared" si="193"/>
        <v>4</v>
      </c>
      <c r="T1897" s="39">
        <f t="shared" si="194"/>
        <v>0</v>
      </c>
      <c r="U1897" s="39">
        <f t="shared" si="195"/>
        <v>0</v>
      </c>
      <c r="V1897" s="40"/>
    </row>
    <row r="1898" spans="2:22" x14ac:dyDescent="0.35">
      <c r="B1898" s="40">
        <v>35894</v>
      </c>
      <c r="C1898" s="39">
        <v>5312.3</v>
      </c>
      <c r="D1898" s="219">
        <f t="shared" si="196"/>
        <v>8.4880043049623873E-3</v>
      </c>
      <c r="F1898" s="40">
        <v>35894</v>
      </c>
      <c r="G1898" s="39">
        <v>5312.3</v>
      </c>
      <c r="H1898" s="39">
        <f t="shared" si="191"/>
        <v>4</v>
      </c>
      <c r="I1898" s="39">
        <f t="shared" si="192"/>
        <v>5312.3</v>
      </c>
      <c r="K1898" s="40"/>
      <c r="Q1898" s="40">
        <v>35894</v>
      </c>
      <c r="R1898" s="39">
        <v>5312.3</v>
      </c>
      <c r="S1898" s="39">
        <f t="shared" si="193"/>
        <v>4</v>
      </c>
      <c r="T1898" s="39">
        <f t="shared" si="194"/>
        <v>0</v>
      </c>
      <c r="U1898" s="39">
        <f t="shared" si="195"/>
        <v>0</v>
      </c>
      <c r="V1898" s="40"/>
    </row>
    <row r="1899" spans="2:22" x14ac:dyDescent="0.35">
      <c r="B1899" s="40">
        <v>35899</v>
      </c>
      <c r="C1899" s="39">
        <v>5368</v>
      </c>
      <c r="D1899" s="219">
        <f t="shared" si="196"/>
        <v>1.0430513186337335E-2</v>
      </c>
      <c r="F1899" s="40">
        <v>35899</v>
      </c>
      <c r="G1899" s="39">
        <v>5368</v>
      </c>
      <c r="H1899" s="39">
        <f t="shared" si="191"/>
        <v>2</v>
      </c>
      <c r="I1899" s="39">
        <f t="shared" si="192"/>
        <v>0</v>
      </c>
      <c r="K1899" s="40"/>
      <c r="Q1899" s="40">
        <v>35899</v>
      </c>
      <c r="R1899" s="39">
        <v>5368</v>
      </c>
      <c r="S1899" s="39">
        <f t="shared" si="193"/>
        <v>4</v>
      </c>
      <c r="T1899" s="39">
        <f t="shared" si="194"/>
        <v>0</v>
      </c>
      <c r="U1899" s="39">
        <f t="shared" si="195"/>
        <v>0</v>
      </c>
      <c r="V1899" s="40"/>
    </row>
    <row r="1900" spans="2:22" x14ac:dyDescent="0.35">
      <c r="B1900" s="40">
        <v>35900</v>
      </c>
      <c r="C1900" s="39">
        <v>5359.2</v>
      </c>
      <c r="D1900" s="219">
        <f t="shared" si="196"/>
        <v>-1.6406894574598886E-3</v>
      </c>
      <c r="F1900" s="40">
        <v>35900</v>
      </c>
      <c r="G1900" s="39">
        <v>5359.2</v>
      </c>
      <c r="H1900" s="39">
        <f t="shared" si="191"/>
        <v>3</v>
      </c>
      <c r="I1900" s="39">
        <f t="shared" si="192"/>
        <v>0</v>
      </c>
      <c r="K1900" s="40"/>
      <c r="Q1900" s="40">
        <v>35900</v>
      </c>
      <c r="R1900" s="39">
        <v>5359.2</v>
      </c>
      <c r="S1900" s="39">
        <f t="shared" si="193"/>
        <v>4</v>
      </c>
      <c r="T1900" s="39">
        <f t="shared" si="194"/>
        <v>0</v>
      </c>
      <c r="U1900" s="39">
        <f t="shared" si="195"/>
        <v>0</v>
      </c>
      <c r="V1900" s="40"/>
    </row>
    <row r="1901" spans="2:22" x14ac:dyDescent="0.35">
      <c r="B1901" s="40">
        <v>35901</v>
      </c>
      <c r="C1901" s="39">
        <v>5293</v>
      </c>
      <c r="D1901" s="219">
        <f t="shared" si="196"/>
        <v>-1.2429517336070266E-2</v>
      </c>
      <c r="F1901" s="40">
        <v>35901</v>
      </c>
      <c r="G1901" s="39">
        <v>5293</v>
      </c>
      <c r="H1901" s="39">
        <f t="shared" si="191"/>
        <v>4</v>
      </c>
      <c r="I1901" s="39">
        <f t="shared" si="192"/>
        <v>0</v>
      </c>
      <c r="K1901" s="40"/>
      <c r="Q1901" s="40">
        <v>35901</v>
      </c>
      <c r="R1901" s="39">
        <v>5293</v>
      </c>
      <c r="S1901" s="39">
        <f t="shared" si="193"/>
        <v>4</v>
      </c>
      <c r="T1901" s="39">
        <f t="shared" si="194"/>
        <v>0</v>
      </c>
      <c r="U1901" s="39">
        <f t="shared" si="195"/>
        <v>0</v>
      </c>
      <c r="V1901" s="40"/>
    </row>
    <row r="1902" spans="2:22" x14ac:dyDescent="0.35">
      <c r="B1902" s="40">
        <v>35902</v>
      </c>
      <c r="C1902" s="39">
        <v>5326.6</v>
      </c>
      <c r="D1902" s="219">
        <f t="shared" si="196"/>
        <v>6.3279430712914085E-3</v>
      </c>
      <c r="F1902" s="40">
        <v>35902</v>
      </c>
      <c r="G1902" s="39">
        <v>5326.6</v>
      </c>
      <c r="H1902" s="39">
        <f t="shared" si="191"/>
        <v>5</v>
      </c>
      <c r="I1902" s="39">
        <f t="shared" si="192"/>
        <v>5326.6</v>
      </c>
      <c r="K1902" s="40"/>
      <c r="Q1902" s="40">
        <v>35902</v>
      </c>
      <c r="R1902" s="39">
        <v>5326.6</v>
      </c>
      <c r="S1902" s="39">
        <f t="shared" si="193"/>
        <v>4</v>
      </c>
      <c r="T1902" s="39">
        <f t="shared" si="194"/>
        <v>0</v>
      </c>
      <c r="U1902" s="39">
        <f t="shared" si="195"/>
        <v>0</v>
      </c>
      <c r="V1902" s="40"/>
    </row>
    <row r="1903" spans="2:22" x14ac:dyDescent="0.35">
      <c r="B1903" s="40">
        <v>35905</v>
      </c>
      <c r="C1903" s="39">
        <v>5407.9</v>
      </c>
      <c r="D1903" s="219">
        <f t="shared" si="196"/>
        <v>1.5147711498297725E-2</v>
      </c>
      <c r="F1903" s="40">
        <v>35905</v>
      </c>
      <c r="G1903" s="39">
        <v>5407.9</v>
      </c>
      <c r="H1903" s="39">
        <f t="shared" si="191"/>
        <v>1</v>
      </c>
      <c r="I1903" s="39">
        <f t="shared" si="192"/>
        <v>0</v>
      </c>
      <c r="K1903" s="40"/>
      <c r="Q1903" s="40">
        <v>35905</v>
      </c>
      <c r="R1903" s="39">
        <v>5407.9</v>
      </c>
      <c r="S1903" s="39">
        <f t="shared" si="193"/>
        <v>4</v>
      </c>
      <c r="T1903" s="39">
        <f t="shared" si="194"/>
        <v>0</v>
      </c>
      <c r="U1903" s="39">
        <f t="shared" si="195"/>
        <v>0</v>
      </c>
      <c r="V1903" s="40"/>
    </row>
    <row r="1904" spans="2:22" x14ac:dyDescent="0.35">
      <c r="B1904" s="40">
        <v>35906</v>
      </c>
      <c r="C1904" s="39">
        <v>5373.8</v>
      </c>
      <c r="D1904" s="219">
        <f t="shared" si="196"/>
        <v>-6.3255541709557068E-3</v>
      </c>
      <c r="F1904" s="40">
        <v>35906</v>
      </c>
      <c r="G1904" s="39">
        <v>5373.8</v>
      </c>
      <c r="H1904" s="39">
        <f t="shared" si="191"/>
        <v>2</v>
      </c>
      <c r="I1904" s="39">
        <f t="shared" si="192"/>
        <v>0</v>
      </c>
      <c r="K1904" s="40"/>
      <c r="Q1904" s="40">
        <v>35906</v>
      </c>
      <c r="R1904" s="39">
        <v>5373.8</v>
      </c>
      <c r="S1904" s="39">
        <f t="shared" si="193"/>
        <v>4</v>
      </c>
      <c r="T1904" s="39">
        <f t="shared" si="194"/>
        <v>0</v>
      </c>
      <c r="U1904" s="39">
        <f t="shared" si="195"/>
        <v>0</v>
      </c>
      <c r="V1904" s="40"/>
    </row>
    <row r="1905" spans="2:22" x14ac:dyDescent="0.35">
      <c r="B1905" s="40">
        <v>35907</v>
      </c>
      <c r="C1905" s="39">
        <v>5312.3</v>
      </c>
      <c r="D1905" s="219">
        <f t="shared" si="196"/>
        <v>-1.1510406791440511E-2</v>
      </c>
      <c r="F1905" s="40">
        <v>35907</v>
      </c>
      <c r="G1905" s="39">
        <v>5312.3</v>
      </c>
      <c r="H1905" s="39">
        <f t="shared" si="191"/>
        <v>3</v>
      </c>
      <c r="I1905" s="39">
        <f t="shared" si="192"/>
        <v>0</v>
      </c>
      <c r="K1905" s="40"/>
      <c r="Q1905" s="40">
        <v>35907</v>
      </c>
      <c r="R1905" s="39">
        <v>5312.3</v>
      </c>
      <c r="S1905" s="39">
        <f t="shared" si="193"/>
        <v>4</v>
      </c>
      <c r="T1905" s="39">
        <f t="shared" si="194"/>
        <v>0</v>
      </c>
      <c r="U1905" s="39">
        <f t="shared" si="195"/>
        <v>0</v>
      </c>
      <c r="V1905" s="40"/>
    </row>
    <row r="1906" spans="2:22" x14ac:dyDescent="0.35">
      <c r="B1906" s="40">
        <v>35908</v>
      </c>
      <c r="C1906" s="39">
        <v>5262.6</v>
      </c>
      <c r="D1906" s="219">
        <f t="shared" si="196"/>
        <v>-9.3996852797895228E-3</v>
      </c>
      <c r="F1906" s="40">
        <v>35908</v>
      </c>
      <c r="G1906" s="39">
        <v>5262.6</v>
      </c>
      <c r="H1906" s="39">
        <f t="shared" si="191"/>
        <v>4</v>
      </c>
      <c r="I1906" s="39">
        <f t="shared" si="192"/>
        <v>0</v>
      </c>
      <c r="K1906" s="40"/>
      <c r="Q1906" s="40">
        <v>35908</v>
      </c>
      <c r="R1906" s="39">
        <v>5262.6</v>
      </c>
      <c r="S1906" s="39">
        <f t="shared" si="193"/>
        <v>4</v>
      </c>
      <c r="T1906" s="39">
        <f t="shared" si="194"/>
        <v>0</v>
      </c>
      <c r="U1906" s="39">
        <f t="shared" si="195"/>
        <v>0</v>
      </c>
      <c r="V1906" s="40"/>
    </row>
    <row r="1907" spans="2:22" x14ac:dyDescent="0.35">
      <c r="B1907" s="40">
        <v>35909</v>
      </c>
      <c r="C1907" s="39">
        <v>5144.3999999999996</v>
      </c>
      <c r="D1907" s="219">
        <f t="shared" si="196"/>
        <v>-2.2716456793459305E-2</v>
      </c>
      <c r="F1907" s="40">
        <v>35909</v>
      </c>
      <c r="G1907" s="39">
        <v>5144.3999999999996</v>
      </c>
      <c r="H1907" s="39">
        <f t="shared" si="191"/>
        <v>5</v>
      </c>
      <c r="I1907" s="39">
        <f t="shared" si="192"/>
        <v>5144.3999999999996</v>
      </c>
      <c r="K1907" s="40"/>
      <c r="Q1907" s="40">
        <v>35909</v>
      </c>
      <c r="R1907" s="39">
        <v>5144.3999999999996</v>
      </c>
      <c r="S1907" s="39">
        <f t="shared" si="193"/>
        <v>4</v>
      </c>
      <c r="T1907" s="39">
        <f t="shared" si="194"/>
        <v>0</v>
      </c>
      <c r="U1907" s="39">
        <f t="shared" si="195"/>
        <v>0</v>
      </c>
      <c r="V1907" s="40"/>
    </row>
    <row r="1908" spans="2:22" x14ac:dyDescent="0.35">
      <c r="B1908" s="40">
        <v>35912</v>
      </c>
      <c r="C1908" s="39">
        <v>5002.7</v>
      </c>
      <c r="D1908" s="219">
        <f t="shared" si="196"/>
        <v>-2.7930977723227543E-2</v>
      </c>
      <c r="F1908" s="40">
        <v>35912</v>
      </c>
      <c r="G1908" s="39">
        <v>5002.7</v>
      </c>
      <c r="H1908" s="39">
        <f t="shared" si="191"/>
        <v>1</v>
      </c>
      <c r="I1908" s="39">
        <f t="shared" si="192"/>
        <v>0</v>
      </c>
      <c r="K1908" s="40"/>
      <c r="Q1908" s="40">
        <v>35912</v>
      </c>
      <c r="R1908" s="39">
        <v>5002.7</v>
      </c>
      <c r="S1908" s="39">
        <f t="shared" si="193"/>
        <v>4</v>
      </c>
      <c r="T1908" s="39">
        <f t="shared" si="194"/>
        <v>0</v>
      </c>
      <c r="U1908" s="39">
        <f t="shared" si="195"/>
        <v>0</v>
      </c>
      <c r="V1908" s="40"/>
    </row>
    <row r="1909" spans="2:22" x14ac:dyDescent="0.35">
      <c r="B1909" s="40">
        <v>35913</v>
      </c>
      <c r="C1909" s="39">
        <v>5018.67</v>
      </c>
      <c r="D1909" s="219">
        <f t="shared" si="196"/>
        <v>3.1871916751615818E-3</v>
      </c>
      <c r="F1909" s="40">
        <v>35913</v>
      </c>
      <c r="G1909" s="39">
        <v>5018.67</v>
      </c>
      <c r="H1909" s="39">
        <f t="shared" si="191"/>
        <v>2</v>
      </c>
      <c r="I1909" s="39">
        <f t="shared" si="192"/>
        <v>0</v>
      </c>
      <c r="K1909" s="40"/>
      <c r="Q1909" s="40">
        <v>35913</v>
      </c>
      <c r="R1909" s="39">
        <v>5018.67</v>
      </c>
      <c r="S1909" s="39">
        <f t="shared" si="193"/>
        <v>4</v>
      </c>
      <c r="T1909" s="39">
        <f t="shared" si="194"/>
        <v>0</v>
      </c>
      <c r="U1909" s="39">
        <f t="shared" si="195"/>
        <v>0</v>
      </c>
      <c r="V1909" s="40"/>
    </row>
    <row r="1910" spans="2:22" x14ac:dyDescent="0.35">
      <c r="B1910" s="40">
        <v>35914</v>
      </c>
      <c r="C1910" s="39">
        <v>5108.4799999999996</v>
      </c>
      <c r="D1910" s="219">
        <f t="shared" si="196"/>
        <v>1.7736945636393924E-2</v>
      </c>
      <c r="F1910" s="40">
        <v>35914</v>
      </c>
      <c r="G1910" s="39">
        <v>5108.4799999999996</v>
      </c>
      <c r="H1910" s="39">
        <f t="shared" si="191"/>
        <v>3</v>
      </c>
      <c r="I1910" s="39">
        <f t="shared" si="192"/>
        <v>0</v>
      </c>
      <c r="K1910" s="40"/>
      <c r="Q1910" s="40">
        <v>35914</v>
      </c>
      <c r="R1910" s="39">
        <v>5108.4799999999996</v>
      </c>
      <c r="S1910" s="39">
        <f t="shared" si="193"/>
        <v>4</v>
      </c>
      <c r="T1910" s="39">
        <f t="shared" si="194"/>
        <v>0</v>
      </c>
      <c r="U1910" s="39">
        <f t="shared" si="195"/>
        <v>0</v>
      </c>
      <c r="V1910" s="40"/>
    </row>
    <row r="1911" spans="2:22" x14ac:dyDescent="0.35">
      <c r="B1911" s="40">
        <v>35915</v>
      </c>
      <c r="C1911" s="39">
        <v>5107.4399999999996</v>
      </c>
      <c r="D1911" s="219">
        <f t="shared" si="196"/>
        <v>-2.0360378773382441E-4</v>
      </c>
      <c r="F1911" s="40">
        <v>35915</v>
      </c>
      <c r="G1911" s="39">
        <v>5107.4399999999996</v>
      </c>
      <c r="H1911" s="39">
        <f t="shared" ref="H1911:H1974" si="197">WEEKDAY(F1911,2)</f>
        <v>4</v>
      </c>
      <c r="I1911" s="39">
        <f t="shared" ref="I1911:I1974" si="198">IF(H1911&gt;H1912,G1911,0)</f>
        <v>5107.4399999999996</v>
      </c>
      <c r="K1911" s="40"/>
      <c r="Q1911" s="40">
        <v>35915</v>
      </c>
      <c r="R1911" s="39">
        <v>5107.4399999999996</v>
      </c>
      <c r="S1911" s="39">
        <f t="shared" ref="S1911:S1974" si="199">MONTH(Q1911)</f>
        <v>4</v>
      </c>
      <c r="T1911" s="39">
        <f t="shared" ref="T1911:T1974" si="200">IF(S1912&lt;&gt;S1911,R1911,0)</f>
        <v>5107.4399999999996</v>
      </c>
      <c r="U1911" s="39">
        <f t="shared" ref="U1911:U1974" si="201">IF(S1912=S1911,0,R1911)</f>
        <v>5107.4399999999996</v>
      </c>
      <c r="V1911" s="40"/>
    </row>
    <row r="1912" spans="2:22" x14ac:dyDescent="0.35">
      <c r="B1912" s="40">
        <v>35919</v>
      </c>
      <c r="C1912" s="39">
        <v>5314.66</v>
      </c>
      <c r="D1912" s="219">
        <f t="shared" ref="D1912:D1975" si="202">LN(C1912/C1911)</f>
        <v>3.9770739640842108E-2</v>
      </c>
      <c r="F1912" s="40">
        <v>35919</v>
      </c>
      <c r="G1912" s="39">
        <v>5314.66</v>
      </c>
      <c r="H1912" s="39">
        <f t="shared" si="197"/>
        <v>1</v>
      </c>
      <c r="I1912" s="39">
        <f t="shared" si="198"/>
        <v>0</v>
      </c>
      <c r="K1912" s="40"/>
      <c r="Q1912" s="40">
        <v>35919</v>
      </c>
      <c r="R1912" s="39">
        <v>5314.66</v>
      </c>
      <c r="S1912" s="39">
        <f t="shared" si="199"/>
        <v>5</v>
      </c>
      <c r="T1912" s="39">
        <f t="shared" si="200"/>
        <v>0</v>
      </c>
      <c r="U1912" s="39">
        <f t="shared" si="201"/>
        <v>0</v>
      </c>
      <c r="V1912" s="40"/>
    </row>
    <row r="1913" spans="2:22" x14ac:dyDescent="0.35">
      <c r="B1913" s="40">
        <v>35920</v>
      </c>
      <c r="C1913" s="39">
        <v>5232.03</v>
      </c>
      <c r="D1913" s="219">
        <f t="shared" si="202"/>
        <v>-1.5669691767818152E-2</v>
      </c>
      <c r="F1913" s="40">
        <v>35920</v>
      </c>
      <c r="G1913" s="39">
        <v>5232.03</v>
      </c>
      <c r="H1913" s="39">
        <f t="shared" si="197"/>
        <v>2</v>
      </c>
      <c r="I1913" s="39">
        <f t="shared" si="198"/>
        <v>0</v>
      </c>
      <c r="K1913" s="40"/>
      <c r="Q1913" s="40">
        <v>35920</v>
      </c>
      <c r="R1913" s="39">
        <v>5232.03</v>
      </c>
      <c r="S1913" s="39">
        <f t="shared" si="199"/>
        <v>5</v>
      </c>
      <c r="T1913" s="39">
        <f t="shared" si="200"/>
        <v>0</v>
      </c>
      <c r="U1913" s="39">
        <f t="shared" si="201"/>
        <v>0</v>
      </c>
      <c r="V1913" s="40"/>
    </row>
    <row r="1914" spans="2:22" x14ac:dyDescent="0.35">
      <c r="B1914" s="40">
        <v>35921</v>
      </c>
      <c r="C1914" s="39">
        <v>5229.8</v>
      </c>
      <c r="D1914" s="219">
        <f t="shared" si="202"/>
        <v>-4.263116555656395E-4</v>
      </c>
      <c r="F1914" s="40">
        <v>35921</v>
      </c>
      <c r="G1914" s="39">
        <v>5229.8</v>
      </c>
      <c r="H1914" s="39">
        <f t="shared" si="197"/>
        <v>3</v>
      </c>
      <c r="I1914" s="39">
        <f t="shared" si="198"/>
        <v>0</v>
      </c>
      <c r="K1914" s="40"/>
      <c r="Q1914" s="40">
        <v>35921</v>
      </c>
      <c r="R1914" s="39">
        <v>5229.8</v>
      </c>
      <c r="S1914" s="39">
        <f t="shared" si="199"/>
        <v>5</v>
      </c>
      <c r="T1914" s="39">
        <f t="shared" si="200"/>
        <v>0</v>
      </c>
      <c r="U1914" s="39">
        <f t="shared" si="201"/>
        <v>0</v>
      </c>
      <c r="V1914" s="40"/>
    </row>
    <row r="1915" spans="2:22" x14ac:dyDescent="0.35">
      <c r="B1915" s="40">
        <v>35922</v>
      </c>
      <c r="C1915" s="39">
        <v>5186.2299999999996</v>
      </c>
      <c r="D1915" s="219">
        <f t="shared" si="202"/>
        <v>-8.3660001212701399E-3</v>
      </c>
      <c r="F1915" s="40">
        <v>35922</v>
      </c>
      <c r="G1915" s="39">
        <v>5186.2299999999996</v>
      </c>
      <c r="H1915" s="39">
        <f t="shared" si="197"/>
        <v>4</v>
      </c>
      <c r="I1915" s="39">
        <f t="shared" si="198"/>
        <v>0</v>
      </c>
      <c r="K1915" s="40"/>
      <c r="Q1915" s="40">
        <v>35922</v>
      </c>
      <c r="R1915" s="39">
        <v>5186.2299999999996</v>
      </c>
      <c r="S1915" s="39">
        <f t="shared" si="199"/>
        <v>5</v>
      </c>
      <c r="T1915" s="39">
        <f t="shared" si="200"/>
        <v>0</v>
      </c>
      <c r="U1915" s="39">
        <f t="shared" si="201"/>
        <v>0</v>
      </c>
      <c r="V1915" s="40"/>
    </row>
    <row r="1916" spans="2:22" x14ac:dyDescent="0.35">
      <c r="B1916" s="40">
        <v>35923</v>
      </c>
      <c r="C1916" s="39">
        <v>5257.58</v>
      </c>
      <c r="D1916" s="219">
        <f t="shared" si="202"/>
        <v>1.3663808529957674E-2</v>
      </c>
      <c r="F1916" s="40">
        <v>35923</v>
      </c>
      <c r="G1916" s="39">
        <v>5257.58</v>
      </c>
      <c r="H1916" s="39">
        <f t="shared" si="197"/>
        <v>5</v>
      </c>
      <c r="I1916" s="39">
        <f t="shared" si="198"/>
        <v>5257.58</v>
      </c>
      <c r="K1916" s="40"/>
      <c r="Q1916" s="40">
        <v>35923</v>
      </c>
      <c r="R1916" s="39">
        <v>5257.58</v>
      </c>
      <c r="S1916" s="39">
        <f t="shared" si="199"/>
        <v>5</v>
      </c>
      <c r="T1916" s="39">
        <f t="shared" si="200"/>
        <v>0</v>
      </c>
      <c r="U1916" s="39">
        <f t="shared" si="201"/>
        <v>0</v>
      </c>
      <c r="V1916" s="40"/>
    </row>
    <row r="1917" spans="2:22" x14ac:dyDescent="0.35">
      <c r="B1917" s="40">
        <v>35926</v>
      </c>
      <c r="C1917" s="39">
        <v>5341.69</v>
      </c>
      <c r="D1917" s="219">
        <f t="shared" si="202"/>
        <v>1.5871237467276016E-2</v>
      </c>
      <c r="F1917" s="40">
        <v>35926</v>
      </c>
      <c r="G1917" s="39">
        <v>5341.69</v>
      </c>
      <c r="H1917" s="39">
        <f t="shared" si="197"/>
        <v>1</v>
      </c>
      <c r="I1917" s="39">
        <f t="shared" si="198"/>
        <v>0</v>
      </c>
      <c r="K1917" s="40"/>
      <c r="Q1917" s="40">
        <v>35926</v>
      </c>
      <c r="R1917" s="39">
        <v>5341.69</v>
      </c>
      <c r="S1917" s="39">
        <f t="shared" si="199"/>
        <v>5</v>
      </c>
      <c r="T1917" s="39">
        <f t="shared" si="200"/>
        <v>0</v>
      </c>
      <c r="U1917" s="39">
        <f t="shared" si="201"/>
        <v>0</v>
      </c>
      <c r="V1917" s="40"/>
    </row>
    <row r="1918" spans="2:22" x14ac:dyDescent="0.35">
      <c r="B1918" s="40">
        <v>35927</v>
      </c>
      <c r="C1918" s="39">
        <v>5297.35</v>
      </c>
      <c r="D1918" s="219">
        <f t="shared" si="202"/>
        <v>-8.335386787416639E-3</v>
      </c>
      <c r="F1918" s="40">
        <v>35927</v>
      </c>
      <c r="G1918" s="39">
        <v>5297.35</v>
      </c>
      <c r="H1918" s="39">
        <f t="shared" si="197"/>
        <v>2</v>
      </c>
      <c r="I1918" s="39">
        <f t="shared" si="198"/>
        <v>0</v>
      </c>
      <c r="K1918" s="40"/>
      <c r="Q1918" s="40">
        <v>35927</v>
      </c>
      <c r="R1918" s="39">
        <v>5297.35</v>
      </c>
      <c r="S1918" s="39">
        <f t="shared" si="199"/>
        <v>5</v>
      </c>
      <c r="T1918" s="39">
        <f t="shared" si="200"/>
        <v>0</v>
      </c>
      <c r="U1918" s="39">
        <f t="shared" si="201"/>
        <v>0</v>
      </c>
      <c r="V1918" s="40"/>
    </row>
    <row r="1919" spans="2:22" x14ac:dyDescent="0.35">
      <c r="B1919" s="40">
        <v>35928</v>
      </c>
      <c r="C1919" s="39">
        <v>5376.88</v>
      </c>
      <c r="D1919" s="219">
        <f t="shared" si="202"/>
        <v>1.4901584784820837E-2</v>
      </c>
      <c r="F1919" s="40">
        <v>35928</v>
      </c>
      <c r="G1919" s="39">
        <v>5376.88</v>
      </c>
      <c r="H1919" s="39">
        <f t="shared" si="197"/>
        <v>3</v>
      </c>
      <c r="I1919" s="39">
        <f t="shared" si="198"/>
        <v>0</v>
      </c>
      <c r="K1919" s="40"/>
      <c r="Q1919" s="40">
        <v>35928</v>
      </c>
      <c r="R1919" s="39">
        <v>5376.88</v>
      </c>
      <c r="S1919" s="39">
        <f t="shared" si="199"/>
        <v>5</v>
      </c>
      <c r="T1919" s="39">
        <f t="shared" si="200"/>
        <v>0</v>
      </c>
      <c r="U1919" s="39">
        <f t="shared" si="201"/>
        <v>0</v>
      </c>
      <c r="V1919" s="40"/>
    </row>
    <row r="1920" spans="2:22" x14ac:dyDescent="0.35">
      <c r="B1920" s="40">
        <v>35929</v>
      </c>
      <c r="C1920" s="39">
        <v>5361.22</v>
      </c>
      <c r="D1920" s="219">
        <f t="shared" si="202"/>
        <v>-2.9167191778732985E-3</v>
      </c>
      <c r="F1920" s="40">
        <v>35929</v>
      </c>
      <c r="G1920" s="39">
        <v>5361.22</v>
      </c>
      <c r="H1920" s="39">
        <f t="shared" si="197"/>
        <v>4</v>
      </c>
      <c r="I1920" s="39">
        <f t="shared" si="198"/>
        <v>0</v>
      </c>
      <c r="K1920" s="40"/>
      <c r="Q1920" s="40">
        <v>35929</v>
      </c>
      <c r="R1920" s="39">
        <v>5361.22</v>
      </c>
      <c r="S1920" s="39">
        <f t="shared" si="199"/>
        <v>5</v>
      </c>
      <c r="T1920" s="39">
        <f t="shared" si="200"/>
        <v>0</v>
      </c>
      <c r="U1920" s="39">
        <f t="shared" si="201"/>
        <v>0</v>
      </c>
      <c r="V1920" s="40"/>
    </row>
    <row r="1921" spans="2:22" x14ac:dyDescent="0.35">
      <c r="B1921" s="40">
        <v>35930</v>
      </c>
      <c r="C1921" s="39">
        <v>5393.14</v>
      </c>
      <c r="D1921" s="219">
        <f t="shared" si="202"/>
        <v>5.9362144720343651E-3</v>
      </c>
      <c r="F1921" s="40">
        <v>35930</v>
      </c>
      <c r="G1921" s="39">
        <v>5393.14</v>
      </c>
      <c r="H1921" s="39">
        <f t="shared" si="197"/>
        <v>5</v>
      </c>
      <c r="I1921" s="39">
        <f t="shared" si="198"/>
        <v>5393.14</v>
      </c>
      <c r="K1921" s="40"/>
      <c r="Q1921" s="40">
        <v>35930</v>
      </c>
      <c r="R1921" s="39">
        <v>5393.14</v>
      </c>
      <c r="S1921" s="39">
        <f t="shared" si="199"/>
        <v>5</v>
      </c>
      <c r="T1921" s="39">
        <f t="shared" si="200"/>
        <v>0</v>
      </c>
      <c r="U1921" s="39">
        <f t="shared" si="201"/>
        <v>0</v>
      </c>
      <c r="V1921" s="40"/>
    </row>
    <row r="1922" spans="2:22" x14ac:dyDescent="0.35">
      <c r="B1922" s="40">
        <v>35933</v>
      </c>
      <c r="C1922" s="39">
        <v>5342.85</v>
      </c>
      <c r="D1922" s="219">
        <f t="shared" si="202"/>
        <v>-9.3685571294921336E-3</v>
      </c>
      <c r="F1922" s="40">
        <v>35933</v>
      </c>
      <c r="G1922" s="39">
        <v>5342.85</v>
      </c>
      <c r="H1922" s="39">
        <f t="shared" si="197"/>
        <v>1</v>
      </c>
      <c r="I1922" s="39">
        <f t="shared" si="198"/>
        <v>0</v>
      </c>
      <c r="K1922" s="40"/>
      <c r="Q1922" s="40">
        <v>35933</v>
      </c>
      <c r="R1922" s="39">
        <v>5342.85</v>
      </c>
      <c r="S1922" s="39">
        <f t="shared" si="199"/>
        <v>5</v>
      </c>
      <c r="T1922" s="39">
        <f t="shared" si="200"/>
        <v>0</v>
      </c>
      <c r="U1922" s="39">
        <f t="shared" si="201"/>
        <v>0</v>
      </c>
      <c r="V1922" s="40"/>
    </row>
    <row r="1923" spans="2:22" x14ac:dyDescent="0.35">
      <c r="B1923" s="40">
        <v>35934</v>
      </c>
      <c r="C1923" s="39">
        <v>5388.9</v>
      </c>
      <c r="D1923" s="219">
        <f t="shared" si="202"/>
        <v>8.5820639948788312E-3</v>
      </c>
      <c r="F1923" s="40">
        <v>35934</v>
      </c>
      <c r="G1923" s="39">
        <v>5388.9</v>
      </c>
      <c r="H1923" s="39">
        <f t="shared" si="197"/>
        <v>2</v>
      </c>
      <c r="I1923" s="39">
        <f t="shared" si="198"/>
        <v>0</v>
      </c>
      <c r="K1923" s="40"/>
      <c r="Q1923" s="40">
        <v>35934</v>
      </c>
      <c r="R1923" s="39">
        <v>5388.9</v>
      </c>
      <c r="S1923" s="39">
        <f t="shared" si="199"/>
        <v>5</v>
      </c>
      <c r="T1923" s="39">
        <f t="shared" si="200"/>
        <v>0</v>
      </c>
      <c r="U1923" s="39">
        <f t="shared" si="201"/>
        <v>0</v>
      </c>
      <c r="V1923" s="40"/>
    </row>
    <row r="1924" spans="2:22" x14ac:dyDescent="0.35">
      <c r="B1924" s="40">
        <v>35935</v>
      </c>
      <c r="C1924" s="39">
        <v>5510.98</v>
      </c>
      <c r="D1924" s="219">
        <f t="shared" si="202"/>
        <v>2.2401183328324907E-2</v>
      </c>
      <c r="F1924" s="40">
        <v>35935</v>
      </c>
      <c r="G1924" s="39">
        <v>5510.98</v>
      </c>
      <c r="H1924" s="39">
        <f t="shared" si="197"/>
        <v>3</v>
      </c>
      <c r="I1924" s="39">
        <f t="shared" si="198"/>
        <v>0</v>
      </c>
      <c r="K1924" s="40"/>
      <c r="Q1924" s="40">
        <v>35935</v>
      </c>
      <c r="R1924" s="39">
        <v>5510.98</v>
      </c>
      <c r="S1924" s="39">
        <f t="shared" si="199"/>
        <v>5</v>
      </c>
      <c r="T1924" s="39">
        <f t="shared" si="200"/>
        <v>0</v>
      </c>
      <c r="U1924" s="39">
        <f t="shared" si="201"/>
        <v>0</v>
      </c>
      <c r="V1924" s="40"/>
    </row>
    <row r="1925" spans="2:22" x14ac:dyDescent="0.35">
      <c r="B1925" s="40">
        <v>35937</v>
      </c>
      <c r="C1925" s="39">
        <v>5564.21</v>
      </c>
      <c r="D1925" s="219">
        <f t="shared" si="202"/>
        <v>9.612550191074409E-3</v>
      </c>
      <c r="F1925" s="40">
        <v>35937</v>
      </c>
      <c r="G1925" s="39">
        <v>5564.21</v>
      </c>
      <c r="H1925" s="39">
        <f t="shared" si="197"/>
        <v>5</v>
      </c>
      <c r="I1925" s="39">
        <f t="shared" si="198"/>
        <v>5564.21</v>
      </c>
      <c r="K1925" s="40"/>
      <c r="Q1925" s="40">
        <v>35937</v>
      </c>
      <c r="R1925" s="39">
        <v>5564.21</v>
      </c>
      <c r="S1925" s="39">
        <f t="shared" si="199"/>
        <v>5</v>
      </c>
      <c r="T1925" s="39">
        <f t="shared" si="200"/>
        <v>0</v>
      </c>
      <c r="U1925" s="39">
        <f t="shared" si="201"/>
        <v>0</v>
      </c>
      <c r="V1925" s="40"/>
    </row>
    <row r="1926" spans="2:22" x14ac:dyDescent="0.35">
      <c r="B1926" s="40">
        <v>35940</v>
      </c>
      <c r="C1926" s="39">
        <v>5575.16</v>
      </c>
      <c r="D1926" s="219">
        <f t="shared" si="202"/>
        <v>1.9660005057657785E-3</v>
      </c>
      <c r="F1926" s="40">
        <v>35940</v>
      </c>
      <c r="G1926" s="39">
        <v>5575.16</v>
      </c>
      <c r="H1926" s="39">
        <f t="shared" si="197"/>
        <v>1</v>
      </c>
      <c r="I1926" s="39">
        <f t="shared" si="198"/>
        <v>0</v>
      </c>
      <c r="K1926" s="40"/>
      <c r="Q1926" s="40">
        <v>35940</v>
      </c>
      <c r="R1926" s="39">
        <v>5575.16</v>
      </c>
      <c r="S1926" s="39">
        <f t="shared" si="199"/>
        <v>5</v>
      </c>
      <c r="T1926" s="39">
        <f t="shared" si="200"/>
        <v>0</v>
      </c>
      <c r="U1926" s="39">
        <f t="shared" si="201"/>
        <v>0</v>
      </c>
      <c r="V1926" s="40"/>
    </row>
    <row r="1927" spans="2:22" x14ac:dyDescent="0.35">
      <c r="B1927" s="40">
        <v>35941</v>
      </c>
      <c r="C1927" s="39">
        <v>5644.29</v>
      </c>
      <c r="D1927" s="219">
        <f t="shared" si="202"/>
        <v>1.2323398183212727E-2</v>
      </c>
      <c r="F1927" s="40">
        <v>35941</v>
      </c>
      <c r="G1927" s="39">
        <v>5644.29</v>
      </c>
      <c r="H1927" s="39">
        <f t="shared" si="197"/>
        <v>2</v>
      </c>
      <c r="I1927" s="39">
        <f t="shared" si="198"/>
        <v>0</v>
      </c>
      <c r="K1927" s="40"/>
      <c r="Q1927" s="40">
        <v>35941</v>
      </c>
      <c r="R1927" s="39">
        <v>5644.29</v>
      </c>
      <c r="S1927" s="39">
        <f t="shared" si="199"/>
        <v>5</v>
      </c>
      <c r="T1927" s="39">
        <f t="shared" si="200"/>
        <v>0</v>
      </c>
      <c r="U1927" s="39">
        <f t="shared" si="201"/>
        <v>0</v>
      </c>
      <c r="V1927" s="40"/>
    </row>
    <row r="1928" spans="2:22" x14ac:dyDescent="0.35">
      <c r="B1928" s="40">
        <v>35942</v>
      </c>
      <c r="C1928" s="39">
        <v>5490.64</v>
      </c>
      <c r="D1928" s="219">
        <f t="shared" si="202"/>
        <v>-2.7599590350121956E-2</v>
      </c>
      <c r="F1928" s="40">
        <v>35942</v>
      </c>
      <c r="G1928" s="39">
        <v>5490.64</v>
      </c>
      <c r="H1928" s="39">
        <f t="shared" si="197"/>
        <v>3</v>
      </c>
      <c r="I1928" s="39">
        <f t="shared" si="198"/>
        <v>0</v>
      </c>
      <c r="K1928" s="40"/>
      <c r="Q1928" s="40">
        <v>35942</v>
      </c>
      <c r="R1928" s="39">
        <v>5490.64</v>
      </c>
      <c r="S1928" s="39">
        <f t="shared" si="199"/>
        <v>5</v>
      </c>
      <c r="T1928" s="39">
        <f t="shared" si="200"/>
        <v>0</v>
      </c>
      <c r="U1928" s="39">
        <f t="shared" si="201"/>
        <v>0</v>
      </c>
      <c r="V1928" s="40"/>
    </row>
    <row r="1929" spans="2:22" x14ac:dyDescent="0.35">
      <c r="B1929" s="40">
        <v>35943</v>
      </c>
      <c r="C1929" s="39">
        <v>5481.26</v>
      </c>
      <c r="D1929" s="219">
        <f t="shared" si="202"/>
        <v>-1.709822780958218E-3</v>
      </c>
      <c r="F1929" s="40">
        <v>35943</v>
      </c>
      <c r="G1929" s="39">
        <v>5481.26</v>
      </c>
      <c r="H1929" s="39">
        <f t="shared" si="197"/>
        <v>4</v>
      </c>
      <c r="I1929" s="39">
        <f t="shared" si="198"/>
        <v>0</v>
      </c>
      <c r="K1929" s="40"/>
      <c r="Q1929" s="40">
        <v>35943</v>
      </c>
      <c r="R1929" s="39">
        <v>5481.26</v>
      </c>
      <c r="S1929" s="39">
        <f t="shared" si="199"/>
        <v>5</v>
      </c>
      <c r="T1929" s="39">
        <f t="shared" si="200"/>
        <v>0</v>
      </c>
      <c r="U1929" s="39">
        <f t="shared" si="201"/>
        <v>0</v>
      </c>
      <c r="V1929" s="40"/>
    </row>
    <row r="1930" spans="2:22" x14ac:dyDescent="0.35">
      <c r="B1930" s="40">
        <v>35944</v>
      </c>
      <c r="C1930" s="39">
        <v>5569.08</v>
      </c>
      <c r="D1930" s="219">
        <f t="shared" si="202"/>
        <v>1.5894868202420937E-2</v>
      </c>
      <c r="F1930" s="40">
        <v>35944</v>
      </c>
      <c r="G1930" s="39">
        <v>5569.08</v>
      </c>
      <c r="H1930" s="39">
        <f t="shared" si="197"/>
        <v>5</v>
      </c>
      <c r="I1930" s="39">
        <f t="shared" si="198"/>
        <v>5569.08</v>
      </c>
      <c r="K1930" s="40"/>
      <c r="Q1930" s="40">
        <v>35944</v>
      </c>
      <c r="R1930" s="39">
        <v>5569.08</v>
      </c>
      <c r="S1930" s="39">
        <f t="shared" si="199"/>
        <v>5</v>
      </c>
      <c r="T1930" s="39">
        <f t="shared" si="200"/>
        <v>5569.08</v>
      </c>
      <c r="U1930" s="39">
        <f t="shared" si="201"/>
        <v>5569.08</v>
      </c>
      <c r="V1930" s="40"/>
    </row>
    <row r="1931" spans="2:22" x14ac:dyDescent="0.35">
      <c r="B1931" s="40">
        <v>35948</v>
      </c>
      <c r="C1931" s="39">
        <v>5582.78</v>
      </c>
      <c r="D1931" s="219">
        <f t="shared" si="202"/>
        <v>2.4569904736994408E-3</v>
      </c>
      <c r="F1931" s="40">
        <v>35948</v>
      </c>
      <c r="G1931" s="39">
        <v>5582.78</v>
      </c>
      <c r="H1931" s="39">
        <f t="shared" si="197"/>
        <v>2</v>
      </c>
      <c r="I1931" s="39">
        <f t="shared" si="198"/>
        <v>0</v>
      </c>
      <c r="K1931" s="40"/>
      <c r="Q1931" s="40">
        <v>35948</v>
      </c>
      <c r="R1931" s="39">
        <v>5582.78</v>
      </c>
      <c r="S1931" s="39">
        <f t="shared" si="199"/>
        <v>6</v>
      </c>
      <c r="T1931" s="39">
        <f t="shared" si="200"/>
        <v>0</v>
      </c>
      <c r="U1931" s="39">
        <f t="shared" si="201"/>
        <v>0</v>
      </c>
      <c r="V1931" s="40"/>
    </row>
    <row r="1932" spans="2:22" x14ac:dyDescent="0.35">
      <c r="B1932" s="40">
        <v>35949</v>
      </c>
      <c r="C1932" s="39">
        <v>5613.76</v>
      </c>
      <c r="D1932" s="219">
        <f t="shared" si="202"/>
        <v>5.5338665445023192E-3</v>
      </c>
      <c r="F1932" s="40">
        <v>35949</v>
      </c>
      <c r="G1932" s="39">
        <v>5613.76</v>
      </c>
      <c r="H1932" s="39">
        <f t="shared" si="197"/>
        <v>3</v>
      </c>
      <c r="I1932" s="39">
        <f t="shared" si="198"/>
        <v>0</v>
      </c>
      <c r="K1932" s="40"/>
      <c r="Q1932" s="40">
        <v>35949</v>
      </c>
      <c r="R1932" s="39">
        <v>5613.76</v>
      </c>
      <c r="S1932" s="39">
        <f t="shared" si="199"/>
        <v>6</v>
      </c>
      <c r="T1932" s="39">
        <f t="shared" si="200"/>
        <v>0</v>
      </c>
      <c r="U1932" s="39">
        <f t="shared" si="201"/>
        <v>0</v>
      </c>
      <c r="V1932" s="40"/>
    </row>
    <row r="1933" spans="2:22" x14ac:dyDescent="0.35">
      <c r="B1933" s="40">
        <v>35950</v>
      </c>
      <c r="C1933" s="39">
        <v>5592.48</v>
      </c>
      <c r="D1933" s="219">
        <f t="shared" si="202"/>
        <v>-3.7978886010793249E-3</v>
      </c>
      <c r="F1933" s="40">
        <v>35950</v>
      </c>
      <c r="G1933" s="39">
        <v>5592.48</v>
      </c>
      <c r="H1933" s="39">
        <f t="shared" si="197"/>
        <v>4</v>
      </c>
      <c r="I1933" s="39">
        <f t="shared" si="198"/>
        <v>0</v>
      </c>
      <c r="K1933" s="40"/>
      <c r="Q1933" s="40">
        <v>35950</v>
      </c>
      <c r="R1933" s="39">
        <v>5592.48</v>
      </c>
      <c r="S1933" s="39">
        <f t="shared" si="199"/>
        <v>6</v>
      </c>
      <c r="T1933" s="39">
        <f t="shared" si="200"/>
        <v>0</v>
      </c>
      <c r="U1933" s="39">
        <f t="shared" si="201"/>
        <v>0</v>
      </c>
      <c r="V1933" s="40"/>
    </row>
    <row r="1934" spans="2:22" x14ac:dyDescent="0.35">
      <c r="B1934" s="40">
        <v>35951</v>
      </c>
      <c r="C1934" s="39">
        <v>5688.5</v>
      </c>
      <c r="D1934" s="219">
        <f t="shared" si="202"/>
        <v>1.702375484003054E-2</v>
      </c>
      <c r="F1934" s="40">
        <v>35951</v>
      </c>
      <c r="G1934" s="39">
        <v>5688.5</v>
      </c>
      <c r="H1934" s="39">
        <f t="shared" si="197"/>
        <v>5</v>
      </c>
      <c r="I1934" s="39">
        <f t="shared" si="198"/>
        <v>5688.5</v>
      </c>
      <c r="K1934" s="40"/>
      <c r="Q1934" s="40">
        <v>35951</v>
      </c>
      <c r="R1934" s="39">
        <v>5688.5</v>
      </c>
      <c r="S1934" s="39">
        <f t="shared" si="199"/>
        <v>6</v>
      </c>
      <c r="T1934" s="39">
        <f t="shared" si="200"/>
        <v>0</v>
      </c>
      <c r="U1934" s="39">
        <f t="shared" si="201"/>
        <v>0</v>
      </c>
      <c r="V1934" s="40"/>
    </row>
    <row r="1935" spans="2:22" x14ac:dyDescent="0.35">
      <c r="B1935" s="40">
        <v>35954</v>
      </c>
      <c r="C1935" s="39">
        <v>5779.09</v>
      </c>
      <c r="D1935" s="219">
        <f t="shared" si="202"/>
        <v>1.5799637845394551E-2</v>
      </c>
      <c r="F1935" s="40">
        <v>35954</v>
      </c>
      <c r="G1935" s="39">
        <v>5779.09</v>
      </c>
      <c r="H1935" s="39">
        <f t="shared" si="197"/>
        <v>1</v>
      </c>
      <c r="I1935" s="39">
        <f t="shared" si="198"/>
        <v>0</v>
      </c>
      <c r="K1935" s="40"/>
      <c r="Q1935" s="40">
        <v>35954</v>
      </c>
      <c r="R1935" s="39">
        <v>5779.09</v>
      </c>
      <c r="S1935" s="39">
        <f t="shared" si="199"/>
        <v>6</v>
      </c>
      <c r="T1935" s="39">
        <f t="shared" si="200"/>
        <v>0</v>
      </c>
      <c r="U1935" s="39">
        <f t="shared" si="201"/>
        <v>0</v>
      </c>
      <c r="V1935" s="40"/>
    </row>
    <row r="1936" spans="2:22" x14ac:dyDescent="0.35">
      <c r="B1936" s="40">
        <v>35955</v>
      </c>
      <c r="C1936" s="39">
        <v>5760.03</v>
      </c>
      <c r="D1936" s="219">
        <f t="shared" si="202"/>
        <v>-3.3035478154588636E-3</v>
      </c>
      <c r="F1936" s="40">
        <v>35955</v>
      </c>
      <c r="G1936" s="39">
        <v>5760.03</v>
      </c>
      <c r="H1936" s="39">
        <f t="shared" si="197"/>
        <v>2</v>
      </c>
      <c r="I1936" s="39">
        <f t="shared" si="198"/>
        <v>0</v>
      </c>
      <c r="K1936" s="40"/>
      <c r="Q1936" s="40">
        <v>35955</v>
      </c>
      <c r="R1936" s="39">
        <v>5760.03</v>
      </c>
      <c r="S1936" s="39">
        <f t="shared" si="199"/>
        <v>6</v>
      </c>
      <c r="T1936" s="39">
        <f t="shared" si="200"/>
        <v>0</v>
      </c>
      <c r="U1936" s="39">
        <f t="shared" si="201"/>
        <v>0</v>
      </c>
      <c r="V1936" s="40"/>
    </row>
    <row r="1937" spans="2:22" x14ac:dyDescent="0.35">
      <c r="B1937" s="40">
        <v>35956</v>
      </c>
      <c r="C1937" s="39">
        <v>5754.46</v>
      </c>
      <c r="D1937" s="219">
        <f t="shared" si="202"/>
        <v>-9.6747670708213448E-4</v>
      </c>
      <c r="F1937" s="40">
        <v>35956</v>
      </c>
      <c r="G1937" s="39">
        <v>5754.46</v>
      </c>
      <c r="H1937" s="39">
        <f t="shared" si="197"/>
        <v>3</v>
      </c>
      <c r="I1937" s="39">
        <f t="shared" si="198"/>
        <v>0</v>
      </c>
      <c r="K1937" s="40"/>
      <c r="Q1937" s="40">
        <v>35956</v>
      </c>
      <c r="R1937" s="39">
        <v>5754.46</v>
      </c>
      <c r="S1937" s="39">
        <f t="shared" si="199"/>
        <v>6</v>
      </c>
      <c r="T1937" s="39">
        <f t="shared" si="200"/>
        <v>0</v>
      </c>
      <c r="U1937" s="39">
        <f t="shared" si="201"/>
        <v>0</v>
      </c>
      <c r="V1937" s="40"/>
    </row>
    <row r="1938" spans="2:22" x14ac:dyDescent="0.35">
      <c r="B1938" s="40">
        <v>35958</v>
      </c>
      <c r="C1938" s="39">
        <v>5670.83</v>
      </c>
      <c r="D1938" s="219">
        <f t="shared" si="202"/>
        <v>-1.4639714814271695E-2</v>
      </c>
      <c r="F1938" s="40">
        <v>35958</v>
      </c>
      <c r="G1938" s="39">
        <v>5670.83</v>
      </c>
      <c r="H1938" s="39">
        <f t="shared" si="197"/>
        <v>5</v>
      </c>
      <c r="I1938" s="39">
        <f t="shared" si="198"/>
        <v>5670.83</v>
      </c>
      <c r="K1938" s="40"/>
      <c r="Q1938" s="40">
        <v>35958</v>
      </c>
      <c r="R1938" s="39">
        <v>5670.83</v>
      </c>
      <c r="S1938" s="39">
        <f t="shared" si="199"/>
        <v>6</v>
      </c>
      <c r="T1938" s="39">
        <f t="shared" si="200"/>
        <v>0</v>
      </c>
      <c r="U1938" s="39">
        <f t="shared" si="201"/>
        <v>0</v>
      </c>
      <c r="V1938" s="40"/>
    </row>
    <row r="1939" spans="2:22" x14ac:dyDescent="0.35">
      <c r="B1939" s="40">
        <v>35961</v>
      </c>
      <c r="C1939" s="39">
        <v>5527.32</v>
      </c>
      <c r="D1939" s="219">
        <f t="shared" si="202"/>
        <v>-2.5632422737459942E-2</v>
      </c>
      <c r="F1939" s="40">
        <v>35961</v>
      </c>
      <c r="G1939" s="39">
        <v>5527.32</v>
      </c>
      <c r="H1939" s="39">
        <f t="shared" si="197"/>
        <v>1</v>
      </c>
      <c r="I1939" s="39">
        <f t="shared" si="198"/>
        <v>0</v>
      </c>
      <c r="K1939" s="40"/>
      <c r="Q1939" s="40">
        <v>35961</v>
      </c>
      <c r="R1939" s="39">
        <v>5527.32</v>
      </c>
      <c r="S1939" s="39">
        <f t="shared" si="199"/>
        <v>6</v>
      </c>
      <c r="T1939" s="39">
        <f t="shared" si="200"/>
        <v>0</v>
      </c>
      <c r="U1939" s="39">
        <f t="shared" si="201"/>
        <v>0</v>
      </c>
      <c r="V1939" s="40"/>
    </row>
    <row r="1940" spans="2:22" x14ac:dyDescent="0.35">
      <c r="B1940" s="40">
        <v>35962</v>
      </c>
      <c r="C1940" s="39">
        <v>5591.57</v>
      </c>
      <c r="D1940" s="219">
        <f t="shared" si="202"/>
        <v>1.1557037641044359E-2</v>
      </c>
      <c r="F1940" s="40">
        <v>35962</v>
      </c>
      <c r="G1940" s="39">
        <v>5591.57</v>
      </c>
      <c r="H1940" s="39">
        <f t="shared" si="197"/>
        <v>2</v>
      </c>
      <c r="I1940" s="39">
        <f t="shared" si="198"/>
        <v>0</v>
      </c>
      <c r="K1940" s="40"/>
      <c r="Q1940" s="40">
        <v>35962</v>
      </c>
      <c r="R1940" s="39">
        <v>5591.57</v>
      </c>
      <c r="S1940" s="39">
        <f t="shared" si="199"/>
        <v>6</v>
      </c>
      <c r="T1940" s="39">
        <f t="shared" si="200"/>
        <v>0</v>
      </c>
      <c r="U1940" s="39">
        <f t="shared" si="201"/>
        <v>0</v>
      </c>
      <c r="V1940" s="40"/>
    </row>
    <row r="1941" spans="2:22" x14ac:dyDescent="0.35">
      <c r="B1941" s="40">
        <v>35963</v>
      </c>
      <c r="C1941" s="39">
        <v>5709.36</v>
      </c>
      <c r="D1941" s="219">
        <f t="shared" si="202"/>
        <v>2.0846826913183035E-2</v>
      </c>
      <c r="F1941" s="40">
        <v>35963</v>
      </c>
      <c r="G1941" s="39">
        <v>5709.36</v>
      </c>
      <c r="H1941" s="39">
        <f t="shared" si="197"/>
        <v>3</v>
      </c>
      <c r="I1941" s="39">
        <f t="shared" si="198"/>
        <v>0</v>
      </c>
      <c r="K1941" s="40"/>
      <c r="Q1941" s="40">
        <v>35963</v>
      </c>
      <c r="R1941" s="39">
        <v>5709.36</v>
      </c>
      <c r="S1941" s="39">
        <f t="shared" si="199"/>
        <v>6</v>
      </c>
      <c r="T1941" s="39">
        <f t="shared" si="200"/>
        <v>0</v>
      </c>
      <c r="U1941" s="39">
        <f t="shared" si="201"/>
        <v>0</v>
      </c>
      <c r="V1941" s="40"/>
    </row>
    <row r="1942" spans="2:22" x14ac:dyDescent="0.35">
      <c r="B1942" s="40">
        <v>35964</v>
      </c>
      <c r="C1942" s="39">
        <v>5718.06</v>
      </c>
      <c r="D1942" s="219">
        <f t="shared" si="202"/>
        <v>1.5226537015169529E-3</v>
      </c>
      <c r="F1942" s="40">
        <v>35964</v>
      </c>
      <c r="G1942" s="39">
        <v>5718.06</v>
      </c>
      <c r="H1942" s="39">
        <f t="shared" si="197"/>
        <v>4</v>
      </c>
      <c r="I1942" s="39">
        <f t="shared" si="198"/>
        <v>0</v>
      </c>
      <c r="K1942" s="40"/>
      <c r="Q1942" s="40">
        <v>35964</v>
      </c>
      <c r="R1942" s="39">
        <v>5718.06</v>
      </c>
      <c r="S1942" s="39">
        <f t="shared" si="199"/>
        <v>6</v>
      </c>
      <c r="T1942" s="39">
        <f t="shared" si="200"/>
        <v>0</v>
      </c>
      <c r="U1942" s="39">
        <f t="shared" si="201"/>
        <v>0</v>
      </c>
      <c r="V1942" s="40"/>
    </row>
    <row r="1943" spans="2:22" x14ac:dyDescent="0.35">
      <c r="B1943" s="40">
        <v>35965</v>
      </c>
      <c r="C1943" s="39">
        <v>5702.61</v>
      </c>
      <c r="D1943" s="219">
        <f t="shared" si="202"/>
        <v>-2.70562224895802E-3</v>
      </c>
      <c r="F1943" s="40">
        <v>35965</v>
      </c>
      <c r="G1943" s="39">
        <v>5702.61</v>
      </c>
      <c r="H1943" s="39">
        <f t="shared" si="197"/>
        <v>5</v>
      </c>
      <c r="I1943" s="39">
        <f t="shared" si="198"/>
        <v>5702.61</v>
      </c>
      <c r="K1943" s="40"/>
      <c r="Q1943" s="40">
        <v>35965</v>
      </c>
      <c r="R1943" s="39">
        <v>5702.61</v>
      </c>
      <c r="S1943" s="39">
        <f t="shared" si="199"/>
        <v>6</v>
      </c>
      <c r="T1943" s="39">
        <f t="shared" si="200"/>
        <v>0</v>
      </c>
      <c r="U1943" s="39">
        <f t="shared" si="201"/>
        <v>0</v>
      </c>
      <c r="V1943" s="40"/>
    </row>
    <row r="1944" spans="2:22" x14ac:dyDescent="0.35">
      <c r="B1944" s="40">
        <v>35968</v>
      </c>
      <c r="C1944" s="39">
        <v>5654.75</v>
      </c>
      <c r="D1944" s="219">
        <f t="shared" si="202"/>
        <v>-8.4280648495888028E-3</v>
      </c>
      <c r="F1944" s="40">
        <v>35968</v>
      </c>
      <c r="G1944" s="39">
        <v>5654.75</v>
      </c>
      <c r="H1944" s="39">
        <f t="shared" si="197"/>
        <v>1</v>
      </c>
      <c r="I1944" s="39">
        <f t="shared" si="198"/>
        <v>0</v>
      </c>
      <c r="K1944" s="40"/>
      <c r="Q1944" s="40">
        <v>35968</v>
      </c>
      <c r="R1944" s="39">
        <v>5654.75</v>
      </c>
      <c r="S1944" s="39">
        <f t="shared" si="199"/>
        <v>6</v>
      </c>
      <c r="T1944" s="39">
        <f t="shared" si="200"/>
        <v>0</v>
      </c>
      <c r="U1944" s="39">
        <f t="shared" si="201"/>
        <v>0</v>
      </c>
      <c r="V1944" s="40"/>
    </row>
    <row r="1945" spans="2:22" x14ac:dyDescent="0.35">
      <c r="B1945" s="40">
        <v>35969</v>
      </c>
      <c r="C1945" s="39">
        <v>5718.71</v>
      </c>
      <c r="D1945" s="219">
        <f t="shared" si="202"/>
        <v>1.124735555575981E-2</v>
      </c>
      <c r="F1945" s="40">
        <v>35969</v>
      </c>
      <c r="G1945" s="39">
        <v>5718.71</v>
      </c>
      <c r="H1945" s="39">
        <f t="shared" si="197"/>
        <v>2</v>
      </c>
      <c r="I1945" s="39">
        <f t="shared" si="198"/>
        <v>0</v>
      </c>
      <c r="K1945" s="40"/>
      <c r="Q1945" s="40">
        <v>35969</v>
      </c>
      <c r="R1945" s="39">
        <v>5718.71</v>
      </c>
      <c r="S1945" s="39">
        <f t="shared" si="199"/>
        <v>6</v>
      </c>
      <c r="T1945" s="39">
        <f t="shared" si="200"/>
        <v>0</v>
      </c>
      <c r="U1945" s="39">
        <f t="shared" si="201"/>
        <v>0</v>
      </c>
      <c r="V1945" s="40"/>
    </row>
    <row r="1946" spans="2:22" x14ac:dyDescent="0.35">
      <c r="B1946" s="40">
        <v>35970</v>
      </c>
      <c r="C1946" s="39">
        <v>5779.91</v>
      </c>
      <c r="D1946" s="219">
        <f t="shared" si="202"/>
        <v>1.0644856147088355E-2</v>
      </c>
      <c r="F1946" s="40">
        <v>35970</v>
      </c>
      <c r="G1946" s="39">
        <v>5779.91</v>
      </c>
      <c r="H1946" s="39">
        <f t="shared" si="197"/>
        <v>3</v>
      </c>
      <c r="I1946" s="39">
        <f t="shared" si="198"/>
        <v>0</v>
      </c>
      <c r="K1946" s="40"/>
      <c r="Q1946" s="40">
        <v>35970</v>
      </c>
      <c r="R1946" s="39">
        <v>5779.91</v>
      </c>
      <c r="S1946" s="39">
        <f t="shared" si="199"/>
        <v>6</v>
      </c>
      <c r="T1946" s="39">
        <f t="shared" si="200"/>
        <v>0</v>
      </c>
      <c r="U1946" s="39">
        <f t="shared" si="201"/>
        <v>0</v>
      </c>
      <c r="V1946" s="40"/>
    </row>
    <row r="1947" spans="2:22" x14ac:dyDescent="0.35">
      <c r="B1947" s="40">
        <v>35971</v>
      </c>
      <c r="C1947" s="39">
        <v>5866.63</v>
      </c>
      <c r="D1947" s="219">
        <f t="shared" si="202"/>
        <v>1.4892251727663298E-2</v>
      </c>
      <c r="F1947" s="40">
        <v>35971</v>
      </c>
      <c r="G1947" s="39">
        <v>5866.63</v>
      </c>
      <c r="H1947" s="39">
        <f t="shared" si="197"/>
        <v>4</v>
      </c>
      <c r="I1947" s="39">
        <f t="shared" si="198"/>
        <v>0</v>
      </c>
      <c r="K1947" s="40"/>
      <c r="Q1947" s="40">
        <v>35971</v>
      </c>
      <c r="R1947" s="39">
        <v>5866.63</v>
      </c>
      <c r="S1947" s="39">
        <f t="shared" si="199"/>
        <v>6</v>
      </c>
      <c r="T1947" s="39">
        <f t="shared" si="200"/>
        <v>0</v>
      </c>
      <c r="U1947" s="39">
        <f t="shared" si="201"/>
        <v>0</v>
      </c>
      <c r="V1947" s="40"/>
    </row>
    <row r="1948" spans="2:22" x14ac:dyDescent="0.35">
      <c r="B1948" s="40">
        <v>35972</v>
      </c>
      <c r="C1948" s="39">
        <v>5870.42</v>
      </c>
      <c r="D1948" s="219">
        <f t="shared" si="202"/>
        <v>6.4581817947914947E-4</v>
      </c>
      <c r="F1948" s="40">
        <v>35972</v>
      </c>
      <c r="G1948" s="39">
        <v>5870.42</v>
      </c>
      <c r="H1948" s="39">
        <f t="shared" si="197"/>
        <v>5</v>
      </c>
      <c r="I1948" s="39">
        <f t="shared" si="198"/>
        <v>5870.42</v>
      </c>
      <c r="K1948" s="40"/>
      <c r="Q1948" s="40">
        <v>35972</v>
      </c>
      <c r="R1948" s="39">
        <v>5870.42</v>
      </c>
      <c r="S1948" s="39">
        <f t="shared" si="199"/>
        <v>6</v>
      </c>
      <c r="T1948" s="39">
        <f t="shared" si="200"/>
        <v>0</v>
      </c>
      <c r="U1948" s="39">
        <f t="shared" si="201"/>
        <v>0</v>
      </c>
      <c r="V1948" s="40"/>
    </row>
    <row r="1949" spans="2:22" x14ac:dyDescent="0.35">
      <c r="B1949" s="40">
        <v>35975</v>
      </c>
      <c r="C1949" s="39">
        <v>5915.13</v>
      </c>
      <c r="D1949" s="219">
        <f t="shared" si="202"/>
        <v>7.587293674870578E-3</v>
      </c>
      <c r="F1949" s="40">
        <v>35975</v>
      </c>
      <c r="G1949" s="39">
        <v>5915.13</v>
      </c>
      <c r="H1949" s="39">
        <f t="shared" si="197"/>
        <v>1</v>
      </c>
      <c r="I1949" s="39">
        <f t="shared" si="198"/>
        <v>0</v>
      </c>
      <c r="K1949" s="40"/>
      <c r="Q1949" s="40">
        <v>35975</v>
      </c>
      <c r="R1949" s="39">
        <v>5915.13</v>
      </c>
      <c r="S1949" s="39">
        <f t="shared" si="199"/>
        <v>6</v>
      </c>
      <c r="T1949" s="39">
        <f t="shared" si="200"/>
        <v>0</v>
      </c>
      <c r="U1949" s="39">
        <f t="shared" si="201"/>
        <v>0</v>
      </c>
      <c r="V1949" s="40"/>
    </row>
    <row r="1950" spans="2:22" x14ac:dyDescent="0.35">
      <c r="B1950" s="40">
        <v>35976</v>
      </c>
      <c r="C1950" s="39">
        <v>5897.44</v>
      </c>
      <c r="D1950" s="219">
        <f t="shared" si="202"/>
        <v>-2.9951167653340912E-3</v>
      </c>
      <c r="F1950" s="40">
        <v>35976</v>
      </c>
      <c r="G1950" s="39">
        <v>5897.44</v>
      </c>
      <c r="H1950" s="39">
        <f t="shared" si="197"/>
        <v>2</v>
      </c>
      <c r="I1950" s="39">
        <f t="shared" si="198"/>
        <v>0</v>
      </c>
      <c r="K1950" s="40"/>
      <c r="Q1950" s="40">
        <v>35976</v>
      </c>
      <c r="R1950" s="39">
        <v>5897.44</v>
      </c>
      <c r="S1950" s="39">
        <f t="shared" si="199"/>
        <v>6</v>
      </c>
      <c r="T1950" s="39">
        <f t="shared" si="200"/>
        <v>5897.44</v>
      </c>
      <c r="U1950" s="39">
        <f t="shared" si="201"/>
        <v>5897.44</v>
      </c>
      <c r="V1950" s="40"/>
    </row>
    <row r="1951" spans="2:22" x14ac:dyDescent="0.35">
      <c r="B1951" s="40">
        <v>35977</v>
      </c>
      <c r="C1951" s="39">
        <v>5906.85</v>
      </c>
      <c r="D1951" s="219">
        <f t="shared" si="202"/>
        <v>1.5943359563819221E-3</v>
      </c>
      <c r="F1951" s="40">
        <v>35977</v>
      </c>
      <c r="G1951" s="39">
        <v>5906.85</v>
      </c>
      <c r="H1951" s="39">
        <f t="shared" si="197"/>
        <v>3</v>
      </c>
      <c r="I1951" s="39">
        <f t="shared" si="198"/>
        <v>0</v>
      </c>
      <c r="K1951" s="40"/>
      <c r="Q1951" s="40">
        <v>35977</v>
      </c>
      <c r="R1951" s="39">
        <v>5906.85</v>
      </c>
      <c r="S1951" s="39">
        <f t="shared" si="199"/>
        <v>7</v>
      </c>
      <c r="T1951" s="39">
        <f t="shared" si="200"/>
        <v>0</v>
      </c>
      <c r="U1951" s="39">
        <f t="shared" si="201"/>
        <v>0</v>
      </c>
      <c r="V1951" s="40"/>
    </row>
    <row r="1952" spans="2:22" x14ac:dyDescent="0.35">
      <c r="B1952" s="40">
        <v>35978</v>
      </c>
      <c r="C1952" s="39">
        <v>5904.1</v>
      </c>
      <c r="D1952" s="219">
        <f t="shared" si="202"/>
        <v>-4.6566957775529732E-4</v>
      </c>
      <c r="F1952" s="40">
        <v>35978</v>
      </c>
      <c r="G1952" s="39">
        <v>5904.1</v>
      </c>
      <c r="H1952" s="39">
        <f t="shared" si="197"/>
        <v>4</v>
      </c>
      <c r="I1952" s="39">
        <f t="shared" si="198"/>
        <v>0</v>
      </c>
      <c r="K1952" s="40"/>
      <c r="Q1952" s="40">
        <v>35978</v>
      </c>
      <c r="R1952" s="39">
        <v>5904.1</v>
      </c>
      <c r="S1952" s="39">
        <f t="shared" si="199"/>
        <v>7</v>
      </c>
      <c r="T1952" s="39">
        <f t="shared" si="200"/>
        <v>0</v>
      </c>
      <c r="U1952" s="39">
        <f t="shared" si="201"/>
        <v>0</v>
      </c>
      <c r="V1952" s="40"/>
    </row>
    <row r="1953" spans="2:22" x14ac:dyDescent="0.35">
      <c r="B1953" s="40">
        <v>35979</v>
      </c>
      <c r="C1953" s="39">
        <v>5953.16</v>
      </c>
      <c r="D1953" s="219">
        <f t="shared" si="202"/>
        <v>8.2751461907307478E-3</v>
      </c>
      <c r="F1953" s="40">
        <v>35979</v>
      </c>
      <c r="G1953" s="39">
        <v>5953.16</v>
      </c>
      <c r="H1953" s="39">
        <f t="shared" si="197"/>
        <v>5</v>
      </c>
      <c r="I1953" s="39">
        <f t="shared" si="198"/>
        <v>5953.16</v>
      </c>
      <c r="K1953" s="40"/>
      <c r="Q1953" s="40">
        <v>35979</v>
      </c>
      <c r="R1953" s="39">
        <v>5953.16</v>
      </c>
      <c r="S1953" s="39">
        <f t="shared" si="199"/>
        <v>7</v>
      </c>
      <c r="T1953" s="39">
        <f t="shared" si="200"/>
        <v>0</v>
      </c>
      <c r="U1953" s="39">
        <f t="shared" si="201"/>
        <v>0</v>
      </c>
      <c r="V1953" s="40"/>
    </row>
    <row r="1954" spans="2:22" x14ac:dyDescent="0.35">
      <c r="B1954" s="40">
        <v>35982</v>
      </c>
      <c r="C1954" s="39">
        <v>5918.37</v>
      </c>
      <c r="D1954" s="219">
        <f t="shared" si="202"/>
        <v>-5.8610978691834379E-3</v>
      </c>
      <c r="F1954" s="40">
        <v>35982</v>
      </c>
      <c r="G1954" s="39">
        <v>5918.37</v>
      </c>
      <c r="H1954" s="39">
        <f t="shared" si="197"/>
        <v>1</v>
      </c>
      <c r="I1954" s="39">
        <f t="shared" si="198"/>
        <v>0</v>
      </c>
      <c r="K1954" s="40"/>
      <c r="Q1954" s="40">
        <v>35982</v>
      </c>
      <c r="R1954" s="39">
        <v>5918.37</v>
      </c>
      <c r="S1954" s="39">
        <f t="shared" si="199"/>
        <v>7</v>
      </c>
      <c r="T1954" s="39">
        <f t="shared" si="200"/>
        <v>0</v>
      </c>
      <c r="U1954" s="39">
        <f t="shared" si="201"/>
        <v>0</v>
      </c>
      <c r="V1954" s="40"/>
    </row>
    <row r="1955" spans="2:22" x14ac:dyDescent="0.35">
      <c r="B1955" s="40">
        <v>35983</v>
      </c>
      <c r="C1955" s="39">
        <v>5960.98</v>
      </c>
      <c r="D1955" s="219">
        <f t="shared" si="202"/>
        <v>7.1738239447515098E-3</v>
      </c>
      <c r="F1955" s="40">
        <v>35983</v>
      </c>
      <c r="G1955" s="39">
        <v>5960.98</v>
      </c>
      <c r="H1955" s="39">
        <f t="shared" si="197"/>
        <v>2</v>
      </c>
      <c r="I1955" s="39">
        <f t="shared" si="198"/>
        <v>0</v>
      </c>
      <c r="K1955" s="40"/>
      <c r="Q1955" s="40">
        <v>35983</v>
      </c>
      <c r="R1955" s="39">
        <v>5960.98</v>
      </c>
      <c r="S1955" s="39">
        <f t="shared" si="199"/>
        <v>7</v>
      </c>
      <c r="T1955" s="39">
        <f t="shared" si="200"/>
        <v>0</v>
      </c>
      <c r="U1955" s="39">
        <f t="shared" si="201"/>
        <v>0</v>
      </c>
      <c r="V1955" s="40"/>
    </row>
    <row r="1956" spans="2:22" x14ac:dyDescent="0.35">
      <c r="B1956" s="40">
        <v>35984</v>
      </c>
      <c r="C1956" s="39">
        <v>6013.14</v>
      </c>
      <c r="D1956" s="219">
        <f t="shared" si="202"/>
        <v>8.7121775830611876E-3</v>
      </c>
      <c r="F1956" s="40">
        <v>35984</v>
      </c>
      <c r="G1956" s="39">
        <v>6013.14</v>
      </c>
      <c r="H1956" s="39">
        <f t="shared" si="197"/>
        <v>3</v>
      </c>
      <c r="I1956" s="39">
        <f t="shared" si="198"/>
        <v>0</v>
      </c>
      <c r="K1956" s="40"/>
      <c r="Q1956" s="40">
        <v>35984</v>
      </c>
      <c r="R1956" s="39">
        <v>6013.14</v>
      </c>
      <c r="S1956" s="39">
        <f t="shared" si="199"/>
        <v>7</v>
      </c>
      <c r="T1956" s="39">
        <f t="shared" si="200"/>
        <v>0</v>
      </c>
      <c r="U1956" s="39">
        <f t="shared" si="201"/>
        <v>0</v>
      </c>
      <c r="V1956" s="40"/>
    </row>
    <row r="1957" spans="2:22" x14ac:dyDescent="0.35">
      <c r="B1957" s="40">
        <v>35985</v>
      </c>
      <c r="C1957" s="39">
        <v>5996.77</v>
      </c>
      <c r="D1957" s="219">
        <f t="shared" si="202"/>
        <v>-2.7260837321590719E-3</v>
      </c>
      <c r="F1957" s="40">
        <v>35985</v>
      </c>
      <c r="G1957" s="39">
        <v>5996.77</v>
      </c>
      <c r="H1957" s="39">
        <f t="shared" si="197"/>
        <v>4</v>
      </c>
      <c r="I1957" s="39">
        <f t="shared" si="198"/>
        <v>0</v>
      </c>
      <c r="K1957" s="40"/>
      <c r="Q1957" s="40">
        <v>35985</v>
      </c>
      <c r="R1957" s="39">
        <v>5996.77</v>
      </c>
      <c r="S1957" s="39">
        <f t="shared" si="199"/>
        <v>7</v>
      </c>
      <c r="T1957" s="39">
        <f t="shared" si="200"/>
        <v>0</v>
      </c>
      <c r="U1957" s="39">
        <f t="shared" si="201"/>
        <v>0</v>
      </c>
      <c r="V1957" s="40"/>
    </row>
    <row r="1958" spans="2:22" x14ac:dyDescent="0.35">
      <c r="B1958" s="40">
        <v>35986</v>
      </c>
      <c r="C1958" s="39">
        <v>5982.42</v>
      </c>
      <c r="D1958" s="219">
        <f t="shared" si="202"/>
        <v>-2.3958225663074017E-3</v>
      </c>
      <c r="F1958" s="40">
        <v>35986</v>
      </c>
      <c r="G1958" s="39">
        <v>5982.42</v>
      </c>
      <c r="H1958" s="39">
        <f t="shared" si="197"/>
        <v>5</v>
      </c>
      <c r="I1958" s="39">
        <f t="shared" si="198"/>
        <v>5982.42</v>
      </c>
      <c r="K1958" s="40"/>
      <c r="Q1958" s="40">
        <v>35986</v>
      </c>
      <c r="R1958" s="39">
        <v>5982.42</v>
      </c>
      <c r="S1958" s="39">
        <f t="shared" si="199"/>
        <v>7</v>
      </c>
      <c r="T1958" s="39">
        <f t="shared" si="200"/>
        <v>0</v>
      </c>
      <c r="U1958" s="39">
        <f t="shared" si="201"/>
        <v>0</v>
      </c>
      <c r="V1958" s="40"/>
    </row>
    <row r="1959" spans="2:22" x14ac:dyDescent="0.35">
      <c r="B1959" s="40">
        <v>35989</v>
      </c>
      <c r="C1959" s="39">
        <v>6019.48</v>
      </c>
      <c r="D1959" s="219">
        <f t="shared" si="202"/>
        <v>6.1757084773290706E-3</v>
      </c>
      <c r="F1959" s="40">
        <v>35989</v>
      </c>
      <c r="G1959" s="39">
        <v>6019.48</v>
      </c>
      <c r="H1959" s="39">
        <f t="shared" si="197"/>
        <v>1</v>
      </c>
      <c r="I1959" s="39">
        <f t="shared" si="198"/>
        <v>0</v>
      </c>
      <c r="K1959" s="40"/>
      <c r="Q1959" s="40">
        <v>35989</v>
      </c>
      <c r="R1959" s="39">
        <v>6019.48</v>
      </c>
      <c r="S1959" s="39">
        <f t="shared" si="199"/>
        <v>7</v>
      </c>
      <c r="T1959" s="39">
        <f t="shared" si="200"/>
        <v>0</v>
      </c>
      <c r="U1959" s="39">
        <f t="shared" si="201"/>
        <v>0</v>
      </c>
      <c r="V1959" s="40"/>
    </row>
    <row r="1960" spans="2:22" x14ac:dyDescent="0.35">
      <c r="B1960" s="40">
        <v>35990</v>
      </c>
      <c r="C1960" s="39">
        <v>6095.28</v>
      </c>
      <c r="D1960" s="219">
        <f t="shared" si="202"/>
        <v>1.2513824320231457E-2</v>
      </c>
      <c r="F1960" s="40">
        <v>35990</v>
      </c>
      <c r="G1960" s="39">
        <v>6095.28</v>
      </c>
      <c r="H1960" s="39">
        <f t="shared" si="197"/>
        <v>2</v>
      </c>
      <c r="I1960" s="39">
        <f t="shared" si="198"/>
        <v>0</v>
      </c>
      <c r="K1960" s="40"/>
      <c r="Q1960" s="40">
        <v>35990</v>
      </c>
      <c r="R1960" s="39">
        <v>6095.28</v>
      </c>
      <c r="S1960" s="39">
        <f t="shared" si="199"/>
        <v>7</v>
      </c>
      <c r="T1960" s="39">
        <f t="shared" si="200"/>
        <v>0</v>
      </c>
      <c r="U1960" s="39">
        <f t="shared" si="201"/>
        <v>0</v>
      </c>
      <c r="V1960" s="40"/>
    </row>
    <row r="1961" spans="2:22" x14ac:dyDescent="0.35">
      <c r="B1961" s="40">
        <v>35991</v>
      </c>
      <c r="C1961" s="39">
        <v>6108.24</v>
      </c>
      <c r="D1961" s="219">
        <f t="shared" si="202"/>
        <v>2.1239781427303118E-3</v>
      </c>
      <c r="F1961" s="40">
        <v>35991</v>
      </c>
      <c r="G1961" s="39">
        <v>6108.24</v>
      </c>
      <c r="H1961" s="39">
        <f t="shared" si="197"/>
        <v>3</v>
      </c>
      <c r="I1961" s="39">
        <f t="shared" si="198"/>
        <v>0</v>
      </c>
      <c r="K1961" s="40"/>
      <c r="Q1961" s="40">
        <v>35991</v>
      </c>
      <c r="R1961" s="39">
        <v>6108.24</v>
      </c>
      <c r="S1961" s="39">
        <f t="shared" si="199"/>
        <v>7</v>
      </c>
      <c r="T1961" s="39">
        <f t="shared" si="200"/>
        <v>0</v>
      </c>
      <c r="U1961" s="39">
        <f t="shared" si="201"/>
        <v>0</v>
      </c>
      <c r="V1961" s="40"/>
    </row>
    <row r="1962" spans="2:22" x14ac:dyDescent="0.35">
      <c r="B1962" s="40">
        <v>35992</v>
      </c>
      <c r="C1962" s="39">
        <v>6094.02</v>
      </c>
      <c r="D1962" s="219">
        <f t="shared" si="202"/>
        <v>-2.3307168405204541E-3</v>
      </c>
      <c r="F1962" s="40">
        <v>35992</v>
      </c>
      <c r="G1962" s="39">
        <v>6094.02</v>
      </c>
      <c r="H1962" s="39">
        <f t="shared" si="197"/>
        <v>4</v>
      </c>
      <c r="I1962" s="39">
        <f t="shared" si="198"/>
        <v>0</v>
      </c>
      <c r="K1962" s="40"/>
      <c r="Q1962" s="40">
        <v>35992</v>
      </c>
      <c r="R1962" s="39">
        <v>6094.02</v>
      </c>
      <c r="S1962" s="39">
        <f t="shared" si="199"/>
        <v>7</v>
      </c>
      <c r="T1962" s="39">
        <f t="shared" si="200"/>
        <v>0</v>
      </c>
      <c r="U1962" s="39">
        <f t="shared" si="201"/>
        <v>0</v>
      </c>
      <c r="V1962" s="40"/>
    </row>
    <row r="1963" spans="2:22" x14ac:dyDescent="0.35">
      <c r="B1963" s="40">
        <v>35993</v>
      </c>
      <c r="C1963" s="39">
        <v>6147.87</v>
      </c>
      <c r="D1963" s="219">
        <f t="shared" si="202"/>
        <v>8.797717890184303E-3</v>
      </c>
      <c r="F1963" s="40">
        <v>35993</v>
      </c>
      <c r="G1963" s="39">
        <v>6147.87</v>
      </c>
      <c r="H1963" s="39">
        <f t="shared" si="197"/>
        <v>5</v>
      </c>
      <c r="I1963" s="39">
        <f t="shared" si="198"/>
        <v>6147.87</v>
      </c>
      <c r="K1963" s="40"/>
      <c r="Q1963" s="40">
        <v>35993</v>
      </c>
      <c r="R1963" s="39">
        <v>6147.87</v>
      </c>
      <c r="S1963" s="39">
        <f t="shared" si="199"/>
        <v>7</v>
      </c>
      <c r="T1963" s="39">
        <f t="shared" si="200"/>
        <v>0</v>
      </c>
      <c r="U1963" s="39">
        <f t="shared" si="201"/>
        <v>0</v>
      </c>
      <c r="V1963" s="40"/>
    </row>
    <row r="1964" spans="2:22" x14ac:dyDescent="0.35">
      <c r="B1964" s="40">
        <v>35996</v>
      </c>
      <c r="C1964" s="39">
        <v>6171.43</v>
      </c>
      <c r="D1964" s="219">
        <f t="shared" si="202"/>
        <v>3.8248973112506826E-3</v>
      </c>
      <c r="F1964" s="40">
        <v>35996</v>
      </c>
      <c r="G1964" s="39">
        <v>6171.43</v>
      </c>
      <c r="H1964" s="39">
        <f t="shared" si="197"/>
        <v>1</v>
      </c>
      <c r="I1964" s="39">
        <f t="shared" si="198"/>
        <v>0</v>
      </c>
      <c r="K1964" s="40"/>
      <c r="Q1964" s="40">
        <v>35996</v>
      </c>
      <c r="R1964" s="39">
        <v>6171.43</v>
      </c>
      <c r="S1964" s="39">
        <f t="shared" si="199"/>
        <v>7</v>
      </c>
      <c r="T1964" s="39">
        <f t="shared" si="200"/>
        <v>0</v>
      </c>
      <c r="U1964" s="39">
        <f t="shared" si="201"/>
        <v>0</v>
      </c>
      <c r="V1964" s="40"/>
    </row>
    <row r="1965" spans="2:22" x14ac:dyDescent="0.35">
      <c r="B1965" s="40">
        <v>35997</v>
      </c>
      <c r="C1965" s="39">
        <v>6165.52</v>
      </c>
      <c r="D1965" s="219">
        <f t="shared" si="202"/>
        <v>-9.5809749607324356E-4</v>
      </c>
      <c r="F1965" s="40">
        <v>35997</v>
      </c>
      <c r="G1965" s="39">
        <v>6165.52</v>
      </c>
      <c r="H1965" s="39">
        <f t="shared" si="197"/>
        <v>2</v>
      </c>
      <c r="I1965" s="39">
        <f t="shared" si="198"/>
        <v>0</v>
      </c>
      <c r="K1965" s="40"/>
      <c r="Q1965" s="40">
        <v>35997</v>
      </c>
      <c r="R1965" s="39">
        <v>6165.52</v>
      </c>
      <c r="S1965" s="39">
        <f t="shared" si="199"/>
        <v>7</v>
      </c>
      <c r="T1965" s="39">
        <f t="shared" si="200"/>
        <v>0</v>
      </c>
      <c r="U1965" s="39">
        <f t="shared" si="201"/>
        <v>0</v>
      </c>
      <c r="V1965" s="40"/>
    </row>
    <row r="1966" spans="2:22" x14ac:dyDescent="0.35">
      <c r="B1966" s="40">
        <v>35998</v>
      </c>
      <c r="C1966" s="39">
        <v>6110.73</v>
      </c>
      <c r="D1966" s="219">
        <f t="shared" si="202"/>
        <v>-8.9262378649373631E-3</v>
      </c>
      <c r="F1966" s="40">
        <v>35998</v>
      </c>
      <c r="G1966" s="39">
        <v>6110.73</v>
      </c>
      <c r="H1966" s="39">
        <f t="shared" si="197"/>
        <v>3</v>
      </c>
      <c r="I1966" s="39">
        <f t="shared" si="198"/>
        <v>0</v>
      </c>
      <c r="K1966" s="40"/>
      <c r="Q1966" s="40">
        <v>35998</v>
      </c>
      <c r="R1966" s="39">
        <v>6110.73</v>
      </c>
      <c r="S1966" s="39">
        <f t="shared" si="199"/>
        <v>7</v>
      </c>
      <c r="T1966" s="39">
        <f t="shared" si="200"/>
        <v>0</v>
      </c>
      <c r="U1966" s="39">
        <f t="shared" si="201"/>
        <v>0</v>
      </c>
      <c r="V1966" s="40"/>
    </row>
    <row r="1967" spans="2:22" x14ac:dyDescent="0.35">
      <c r="B1967" s="40">
        <v>35999</v>
      </c>
      <c r="C1967" s="39">
        <v>6058.45</v>
      </c>
      <c r="D1967" s="219">
        <f t="shared" si="202"/>
        <v>-8.5922505276819425E-3</v>
      </c>
      <c r="F1967" s="40">
        <v>35999</v>
      </c>
      <c r="G1967" s="39">
        <v>6058.45</v>
      </c>
      <c r="H1967" s="39">
        <f t="shared" si="197"/>
        <v>4</v>
      </c>
      <c r="I1967" s="39">
        <f t="shared" si="198"/>
        <v>0</v>
      </c>
      <c r="K1967" s="40"/>
      <c r="Q1967" s="40">
        <v>35999</v>
      </c>
      <c r="R1967" s="39">
        <v>6058.45</v>
      </c>
      <c r="S1967" s="39">
        <f t="shared" si="199"/>
        <v>7</v>
      </c>
      <c r="T1967" s="39">
        <f t="shared" si="200"/>
        <v>0</v>
      </c>
      <c r="U1967" s="39">
        <f t="shared" si="201"/>
        <v>0</v>
      </c>
      <c r="V1967" s="40"/>
    </row>
    <row r="1968" spans="2:22" x14ac:dyDescent="0.35">
      <c r="B1968" s="40">
        <v>36000</v>
      </c>
      <c r="C1968" s="39">
        <v>6035.28</v>
      </c>
      <c r="D1968" s="219">
        <f t="shared" si="202"/>
        <v>-3.8317422910828548E-3</v>
      </c>
      <c r="F1968" s="40">
        <v>36000</v>
      </c>
      <c r="G1968" s="39">
        <v>6035.28</v>
      </c>
      <c r="H1968" s="39">
        <f t="shared" si="197"/>
        <v>5</v>
      </c>
      <c r="I1968" s="39">
        <f t="shared" si="198"/>
        <v>6035.28</v>
      </c>
      <c r="K1968" s="40"/>
      <c r="Q1968" s="40">
        <v>36000</v>
      </c>
      <c r="R1968" s="39">
        <v>6035.28</v>
      </c>
      <c r="S1968" s="39">
        <f t="shared" si="199"/>
        <v>7</v>
      </c>
      <c r="T1968" s="39">
        <f t="shared" si="200"/>
        <v>0</v>
      </c>
      <c r="U1968" s="39">
        <f t="shared" si="201"/>
        <v>0</v>
      </c>
      <c r="V1968" s="40"/>
    </row>
    <row r="1969" spans="2:22" x14ac:dyDescent="0.35">
      <c r="B1969" s="40">
        <v>36003</v>
      </c>
      <c r="C1969" s="39">
        <v>5885</v>
      </c>
      <c r="D1969" s="219">
        <f t="shared" si="202"/>
        <v>-2.5215508784190512E-2</v>
      </c>
      <c r="F1969" s="40">
        <v>36003</v>
      </c>
      <c r="G1969" s="39">
        <v>5885</v>
      </c>
      <c r="H1969" s="39">
        <f t="shared" si="197"/>
        <v>1</v>
      </c>
      <c r="I1969" s="39">
        <f t="shared" si="198"/>
        <v>0</v>
      </c>
      <c r="K1969" s="40"/>
      <c r="Q1969" s="40">
        <v>36003</v>
      </c>
      <c r="R1969" s="39">
        <v>5885</v>
      </c>
      <c r="S1969" s="39">
        <f t="shared" si="199"/>
        <v>7</v>
      </c>
      <c r="T1969" s="39">
        <f t="shared" si="200"/>
        <v>0</v>
      </c>
      <c r="U1969" s="39">
        <f t="shared" si="201"/>
        <v>0</v>
      </c>
      <c r="V1969" s="40"/>
    </row>
    <row r="1970" spans="2:22" x14ac:dyDescent="0.35">
      <c r="B1970" s="40">
        <v>36004</v>
      </c>
      <c r="C1970" s="39">
        <v>5889.01</v>
      </c>
      <c r="D1970" s="219">
        <f t="shared" si="202"/>
        <v>6.8116132992016769E-4</v>
      </c>
      <c r="F1970" s="40">
        <v>36004</v>
      </c>
      <c r="G1970" s="39">
        <v>5889.01</v>
      </c>
      <c r="H1970" s="39">
        <f t="shared" si="197"/>
        <v>2</v>
      </c>
      <c r="I1970" s="39">
        <f t="shared" si="198"/>
        <v>0</v>
      </c>
      <c r="K1970" s="40"/>
      <c r="Q1970" s="40">
        <v>36004</v>
      </c>
      <c r="R1970" s="39">
        <v>5889.01</v>
      </c>
      <c r="S1970" s="39">
        <f t="shared" si="199"/>
        <v>7</v>
      </c>
      <c r="T1970" s="39">
        <f t="shared" si="200"/>
        <v>0</v>
      </c>
      <c r="U1970" s="39">
        <f t="shared" si="201"/>
        <v>0</v>
      </c>
      <c r="V1970" s="40"/>
    </row>
    <row r="1971" spans="2:22" x14ac:dyDescent="0.35">
      <c r="B1971" s="40">
        <v>36005</v>
      </c>
      <c r="C1971" s="39">
        <v>5853.63</v>
      </c>
      <c r="D1971" s="219">
        <f t="shared" si="202"/>
        <v>-6.0259204163596453E-3</v>
      </c>
      <c r="F1971" s="40">
        <v>36005</v>
      </c>
      <c r="G1971" s="39">
        <v>5853.63</v>
      </c>
      <c r="H1971" s="39">
        <f t="shared" si="197"/>
        <v>3</v>
      </c>
      <c r="I1971" s="39">
        <f t="shared" si="198"/>
        <v>0</v>
      </c>
      <c r="K1971" s="40"/>
      <c r="Q1971" s="40">
        <v>36005</v>
      </c>
      <c r="R1971" s="39">
        <v>5853.63</v>
      </c>
      <c r="S1971" s="39">
        <f t="shared" si="199"/>
        <v>7</v>
      </c>
      <c r="T1971" s="39">
        <f t="shared" si="200"/>
        <v>0</v>
      </c>
      <c r="U1971" s="39">
        <f t="shared" si="201"/>
        <v>0</v>
      </c>
      <c r="V1971" s="40"/>
    </row>
    <row r="1972" spans="2:22" x14ac:dyDescent="0.35">
      <c r="B1972" s="40">
        <v>36006</v>
      </c>
      <c r="C1972" s="39">
        <v>5880.87</v>
      </c>
      <c r="D1972" s="219">
        <f t="shared" si="202"/>
        <v>4.6427285235278526E-3</v>
      </c>
      <c r="F1972" s="40">
        <v>36006</v>
      </c>
      <c r="G1972" s="39">
        <v>5880.87</v>
      </c>
      <c r="H1972" s="39">
        <f t="shared" si="197"/>
        <v>4</v>
      </c>
      <c r="I1972" s="39">
        <f t="shared" si="198"/>
        <v>0</v>
      </c>
      <c r="K1972" s="40"/>
      <c r="Q1972" s="40">
        <v>36006</v>
      </c>
      <c r="R1972" s="39">
        <v>5880.87</v>
      </c>
      <c r="S1972" s="39">
        <f t="shared" si="199"/>
        <v>7</v>
      </c>
      <c r="T1972" s="39">
        <f t="shared" si="200"/>
        <v>0</v>
      </c>
      <c r="U1972" s="39">
        <f t="shared" si="201"/>
        <v>0</v>
      </c>
      <c r="V1972" s="40"/>
    </row>
    <row r="1973" spans="2:22" x14ac:dyDescent="0.35">
      <c r="B1973" s="40">
        <v>36007</v>
      </c>
      <c r="C1973" s="39">
        <v>5873.92</v>
      </c>
      <c r="D1973" s="219">
        <f t="shared" si="202"/>
        <v>-1.1824968051062574E-3</v>
      </c>
      <c r="F1973" s="40">
        <v>36007</v>
      </c>
      <c r="G1973" s="39">
        <v>5873.92</v>
      </c>
      <c r="H1973" s="39">
        <f t="shared" si="197"/>
        <v>5</v>
      </c>
      <c r="I1973" s="39">
        <f t="shared" si="198"/>
        <v>5873.92</v>
      </c>
      <c r="K1973" s="40"/>
      <c r="Q1973" s="40">
        <v>36007</v>
      </c>
      <c r="R1973" s="39">
        <v>5873.92</v>
      </c>
      <c r="S1973" s="39">
        <f t="shared" si="199"/>
        <v>7</v>
      </c>
      <c r="T1973" s="39">
        <f t="shared" si="200"/>
        <v>5873.92</v>
      </c>
      <c r="U1973" s="39">
        <f t="shared" si="201"/>
        <v>5873.92</v>
      </c>
      <c r="V1973" s="40"/>
    </row>
    <row r="1974" spans="2:22" x14ac:dyDescent="0.35">
      <c r="B1974" s="40">
        <v>36010</v>
      </c>
      <c r="C1974" s="39">
        <v>5758.77</v>
      </c>
      <c r="D1974" s="219">
        <f t="shared" si="202"/>
        <v>-1.9798303106357062E-2</v>
      </c>
      <c r="F1974" s="40">
        <v>36010</v>
      </c>
      <c r="G1974" s="39">
        <v>5758.77</v>
      </c>
      <c r="H1974" s="39">
        <f t="shared" si="197"/>
        <v>1</v>
      </c>
      <c r="I1974" s="39">
        <f t="shared" si="198"/>
        <v>0</v>
      </c>
      <c r="K1974" s="40"/>
      <c r="Q1974" s="40">
        <v>36010</v>
      </c>
      <c r="R1974" s="39">
        <v>5758.77</v>
      </c>
      <c r="S1974" s="39">
        <f t="shared" si="199"/>
        <v>8</v>
      </c>
      <c r="T1974" s="39">
        <f t="shared" si="200"/>
        <v>0</v>
      </c>
      <c r="U1974" s="39">
        <f t="shared" si="201"/>
        <v>0</v>
      </c>
      <c r="V1974" s="40"/>
    </row>
    <row r="1975" spans="2:22" x14ac:dyDescent="0.35">
      <c r="B1975" s="40">
        <v>36011</v>
      </c>
      <c r="C1975" s="39">
        <v>5756.2</v>
      </c>
      <c r="D1975" s="219">
        <f t="shared" si="202"/>
        <v>-4.4637546475128671E-4</v>
      </c>
      <c r="F1975" s="40">
        <v>36011</v>
      </c>
      <c r="G1975" s="39">
        <v>5756.2</v>
      </c>
      <c r="H1975" s="39">
        <f t="shared" ref="H1975:H2038" si="203">WEEKDAY(F1975,2)</f>
        <v>2</v>
      </c>
      <c r="I1975" s="39">
        <f t="shared" ref="I1975:I2038" si="204">IF(H1975&gt;H1976,G1975,0)</f>
        <v>0</v>
      </c>
      <c r="K1975" s="40"/>
      <c r="Q1975" s="40">
        <v>36011</v>
      </c>
      <c r="R1975" s="39">
        <v>5756.2</v>
      </c>
      <c r="S1975" s="39">
        <f t="shared" ref="S1975:S2038" si="205">MONTH(Q1975)</f>
        <v>8</v>
      </c>
      <c r="T1975" s="39">
        <f t="shared" ref="T1975:T2038" si="206">IF(S1976&lt;&gt;S1975,R1975,0)</f>
        <v>0</v>
      </c>
      <c r="U1975" s="39">
        <f t="shared" ref="U1975:U2038" si="207">IF(S1976=S1975,0,R1975)</f>
        <v>0</v>
      </c>
      <c r="V1975" s="40"/>
    </row>
    <row r="1976" spans="2:22" x14ac:dyDescent="0.35">
      <c r="B1976" s="40">
        <v>36012</v>
      </c>
      <c r="C1976" s="39">
        <v>5632.51</v>
      </c>
      <c r="D1976" s="219">
        <f t="shared" ref="D1976:D2039" si="208">LN(C1976/C1975)</f>
        <v>-2.1722366039863744E-2</v>
      </c>
      <c r="F1976" s="40">
        <v>36012</v>
      </c>
      <c r="G1976" s="39">
        <v>5632.51</v>
      </c>
      <c r="H1976" s="39">
        <f t="shared" si="203"/>
        <v>3</v>
      </c>
      <c r="I1976" s="39">
        <f t="shared" si="204"/>
        <v>0</v>
      </c>
      <c r="K1976" s="40"/>
      <c r="Q1976" s="40">
        <v>36012</v>
      </c>
      <c r="R1976" s="39">
        <v>5632.51</v>
      </c>
      <c r="S1976" s="39">
        <f t="shared" si="205"/>
        <v>8</v>
      </c>
      <c r="T1976" s="39">
        <f t="shared" si="206"/>
        <v>0</v>
      </c>
      <c r="U1976" s="39">
        <f t="shared" si="207"/>
        <v>0</v>
      </c>
      <c r="V1976" s="40"/>
    </row>
    <row r="1977" spans="2:22" x14ac:dyDescent="0.35">
      <c r="B1977" s="40">
        <v>36013</v>
      </c>
      <c r="C1977" s="39">
        <v>5517.64</v>
      </c>
      <c r="D1977" s="219">
        <f t="shared" si="208"/>
        <v>-2.0604936095802762E-2</v>
      </c>
      <c r="F1977" s="40">
        <v>36013</v>
      </c>
      <c r="G1977" s="39">
        <v>5517.64</v>
      </c>
      <c r="H1977" s="39">
        <f t="shared" si="203"/>
        <v>4</v>
      </c>
      <c r="I1977" s="39">
        <f t="shared" si="204"/>
        <v>0</v>
      </c>
      <c r="K1977" s="40"/>
      <c r="Q1977" s="40">
        <v>36013</v>
      </c>
      <c r="R1977" s="39">
        <v>5517.64</v>
      </c>
      <c r="S1977" s="39">
        <f t="shared" si="205"/>
        <v>8</v>
      </c>
      <c r="T1977" s="39">
        <f t="shared" si="206"/>
        <v>0</v>
      </c>
      <c r="U1977" s="39">
        <f t="shared" si="207"/>
        <v>0</v>
      </c>
      <c r="V1977" s="40"/>
    </row>
    <row r="1978" spans="2:22" x14ac:dyDescent="0.35">
      <c r="B1978" s="40">
        <v>36014</v>
      </c>
      <c r="C1978" s="39">
        <v>5581.22</v>
      </c>
      <c r="D1978" s="219">
        <f t="shared" si="208"/>
        <v>1.1457157850801009E-2</v>
      </c>
      <c r="F1978" s="40">
        <v>36014</v>
      </c>
      <c r="G1978" s="39">
        <v>5581.22</v>
      </c>
      <c r="H1978" s="39">
        <f t="shared" si="203"/>
        <v>5</v>
      </c>
      <c r="I1978" s="39">
        <f t="shared" si="204"/>
        <v>5581.22</v>
      </c>
      <c r="K1978" s="40"/>
      <c r="Q1978" s="40">
        <v>36014</v>
      </c>
      <c r="R1978" s="39">
        <v>5581.22</v>
      </c>
      <c r="S1978" s="39">
        <f t="shared" si="205"/>
        <v>8</v>
      </c>
      <c r="T1978" s="39">
        <f t="shared" si="206"/>
        <v>0</v>
      </c>
      <c r="U1978" s="39">
        <f t="shared" si="207"/>
        <v>0</v>
      </c>
      <c r="V1978" s="40"/>
    </row>
    <row r="1979" spans="2:22" x14ac:dyDescent="0.35">
      <c r="B1979" s="40">
        <v>36017</v>
      </c>
      <c r="C1979" s="39">
        <v>5476.25</v>
      </c>
      <c r="D1979" s="219">
        <f t="shared" si="208"/>
        <v>-1.8986830342277296E-2</v>
      </c>
      <c r="F1979" s="40">
        <v>36017</v>
      </c>
      <c r="G1979" s="39">
        <v>5476.25</v>
      </c>
      <c r="H1979" s="39">
        <f t="shared" si="203"/>
        <v>1</v>
      </c>
      <c r="I1979" s="39">
        <f t="shared" si="204"/>
        <v>0</v>
      </c>
      <c r="K1979" s="40"/>
      <c r="Q1979" s="40">
        <v>36017</v>
      </c>
      <c r="R1979" s="39">
        <v>5476.25</v>
      </c>
      <c r="S1979" s="39">
        <f t="shared" si="205"/>
        <v>8</v>
      </c>
      <c r="T1979" s="39">
        <f t="shared" si="206"/>
        <v>0</v>
      </c>
      <c r="U1979" s="39">
        <f t="shared" si="207"/>
        <v>0</v>
      </c>
      <c r="V1979" s="40"/>
    </row>
    <row r="1980" spans="2:22" x14ac:dyDescent="0.35">
      <c r="B1980" s="40">
        <v>36018</v>
      </c>
      <c r="C1980" s="39">
        <v>5268.4</v>
      </c>
      <c r="D1980" s="219">
        <f t="shared" si="208"/>
        <v>-3.8693849003216811E-2</v>
      </c>
      <c r="F1980" s="40">
        <v>36018</v>
      </c>
      <c r="G1980" s="39">
        <v>5268.4</v>
      </c>
      <c r="H1980" s="39">
        <f t="shared" si="203"/>
        <v>2</v>
      </c>
      <c r="I1980" s="39">
        <f t="shared" si="204"/>
        <v>0</v>
      </c>
      <c r="K1980" s="40"/>
      <c r="Q1980" s="40">
        <v>36018</v>
      </c>
      <c r="R1980" s="39">
        <v>5268.4</v>
      </c>
      <c r="S1980" s="39">
        <f t="shared" si="205"/>
        <v>8</v>
      </c>
      <c r="T1980" s="39">
        <f t="shared" si="206"/>
        <v>0</v>
      </c>
      <c r="U1980" s="39">
        <f t="shared" si="207"/>
        <v>0</v>
      </c>
      <c r="V1980" s="40"/>
    </row>
    <row r="1981" spans="2:22" x14ac:dyDescent="0.35">
      <c r="B1981" s="40">
        <v>36019</v>
      </c>
      <c r="C1981" s="39">
        <v>5402.37</v>
      </c>
      <c r="D1981" s="219">
        <f t="shared" si="208"/>
        <v>2.5111035032805616E-2</v>
      </c>
      <c r="F1981" s="40">
        <v>36019</v>
      </c>
      <c r="G1981" s="39">
        <v>5402.37</v>
      </c>
      <c r="H1981" s="39">
        <f t="shared" si="203"/>
        <v>3</v>
      </c>
      <c r="I1981" s="39">
        <f t="shared" si="204"/>
        <v>0</v>
      </c>
      <c r="K1981" s="40"/>
      <c r="Q1981" s="40">
        <v>36019</v>
      </c>
      <c r="R1981" s="39">
        <v>5402.37</v>
      </c>
      <c r="S1981" s="39">
        <f t="shared" si="205"/>
        <v>8</v>
      </c>
      <c r="T1981" s="39">
        <f t="shared" si="206"/>
        <v>0</v>
      </c>
      <c r="U1981" s="39">
        <f t="shared" si="207"/>
        <v>0</v>
      </c>
      <c r="V1981" s="40"/>
    </row>
    <row r="1982" spans="2:22" x14ac:dyDescent="0.35">
      <c r="B1982" s="40">
        <v>36020</v>
      </c>
      <c r="C1982" s="39">
        <v>5356.23</v>
      </c>
      <c r="D1982" s="219">
        <f t="shared" si="208"/>
        <v>-8.5773767742376716E-3</v>
      </c>
      <c r="F1982" s="40">
        <v>36020</v>
      </c>
      <c r="G1982" s="39">
        <v>5356.23</v>
      </c>
      <c r="H1982" s="39">
        <f t="shared" si="203"/>
        <v>4</v>
      </c>
      <c r="I1982" s="39">
        <f t="shared" si="204"/>
        <v>0</v>
      </c>
      <c r="K1982" s="40"/>
      <c r="Q1982" s="40">
        <v>36020</v>
      </c>
      <c r="R1982" s="39">
        <v>5356.23</v>
      </c>
      <c r="S1982" s="39">
        <f t="shared" si="205"/>
        <v>8</v>
      </c>
      <c r="T1982" s="39">
        <f t="shared" si="206"/>
        <v>0</v>
      </c>
      <c r="U1982" s="39">
        <f t="shared" si="207"/>
        <v>0</v>
      </c>
      <c r="V1982" s="40"/>
    </row>
    <row r="1983" spans="2:22" x14ac:dyDescent="0.35">
      <c r="B1983" s="40">
        <v>36021</v>
      </c>
      <c r="C1983" s="39">
        <v>5447.9</v>
      </c>
      <c r="D1983" s="219">
        <f t="shared" si="208"/>
        <v>1.6969843917662163E-2</v>
      </c>
      <c r="F1983" s="40">
        <v>36021</v>
      </c>
      <c r="G1983" s="39">
        <v>5447.9</v>
      </c>
      <c r="H1983" s="39">
        <f t="shared" si="203"/>
        <v>5</v>
      </c>
      <c r="I1983" s="39">
        <f t="shared" si="204"/>
        <v>5447.9</v>
      </c>
      <c r="K1983" s="40"/>
      <c r="Q1983" s="40">
        <v>36021</v>
      </c>
      <c r="R1983" s="39">
        <v>5447.9</v>
      </c>
      <c r="S1983" s="39">
        <f t="shared" si="205"/>
        <v>8</v>
      </c>
      <c r="T1983" s="39">
        <f t="shared" si="206"/>
        <v>0</v>
      </c>
      <c r="U1983" s="39">
        <f t="shared" si="207"/>
        <v>0</v>
      </c>
      <c r="V1983" s="40"/>
    </row>
    <row r="1984" spans="2:22" x14ac:dyDescent="0.35">
      <c r="B1984" s="40">
        <v>36024</v>
      </c>
      <c r="C1984" s="39">
        <v>5456.58</v>
      </c>
      <c r="D1984" s="219">
        <f t="shared" si="208"/>
        <v>1.5920065575392686E-3</v>
      </c>
      <c r="F1984" s="40">
        <v>36024</v>
      </c>
      <c r="G1984" s="39">
        <v>5456.58</v>
      </c>
      <c r="H1984" s="39">
        <f t="shared" si="203"/>
        <v>1</v>
      </c>
      <c r="I1984" s="39">
        <f t="shared" si="204"/>
        <v>0</v>
      </c>
      <c r="K1984" s="40"/>
      <c r="Q1984" s="40">
        <v>36024</v>
      </c>
      <c r="R1984" s="39">
        <v>5456.58</v>
      </c>
      <c r="S1984" s="39">
        <f t="shared" si="205"/>
        <v>8</v>
      </c>
      <c r="T1984" s="39">
        <f t="shared" si="206"/>
        <v>0</v>
      </c>
      <c r="U1984" s="39">
        <f t="shared" si="207"/>
        <v>0</v>
      </c>
      <c r="V1984" s="40"/>
    </row>
    <row r="1985" spans="2:22" x14ac:dyDescent="0.35">
      <c r="B1985" s="40">
        <v>36025</v>
      </c>
      <c r="C1985" s="39">
        <v>5568.88</v>
      </c>
      <c r="D1985" s="219">
        <f t="shared" si="208"/>
        <v>2.0371736644656666E-2</v>
      </c>
      <c r="F1985" s="40">
        <v>36025</v>
      </c>
      <c r="G1985" s="39">
        <v>5568.88</v>
      </c>
      <c r="H1985" s="39">
        <f t="shared" si="203"/>
        <v>2</v>
      </c>
      <c r="I1985" s="39">
        <f t="shared" si="204"/>
        <v>0</v>
      </c>
      <c r="K1985" s="40"/>
      <c r="Q1985" s="40">
        <v>36025</v>
      </c>
      <c r="R1985" s="39">
        <v>5568.88</v>
      </c>
      <c r="S1985" s="39">
        <f t="shared" si="205"/>
        <v>8</v>
      </c>
      <c r="T1985" s="39">
        <f t="shared" si="206"/>
        <v>0</v>
      </c>
      <c r="U1985" s="39">
        <f t="shared" si="207"/>
        <v>0</v>
      </c>
      <c r="V1985" s="40"/>
    </row>
    <row r="1986" spans="2:22" x14ac:dyDescent="0.35">
      <c r="B1986" s="40">
        <v>36026</v>
      </c>
      <c r="C1986" s="39">
        <v>5596.41</v>
      </c>
      <c r="D1986" s="219">
        <f t="shared" si="208"/>
        <v>4.9313642172003685E-3</v>
      </c>
      <c r="F1986" s="40">
        <v>36026</v>
      </c>
      <c r="G1986" s="39">
        <v>5596.41</v>
      </c>
      <c r="H1986" s="39">
        <f t="shared" si="203"/>
        <v>3</v>
      </c>
      <c r="I1986" s="39">
        <f t="shared" si="204"/>
        <v>0</v>
      </c>
      <c r="K1986" s="40"/>
      <c r="Q1986" s="40">
        <v>36026</v>
      </c>
      <c r="R1986" s="39">
        <v>5596.41</v>
      </c>
      <c r="S1986" s="39">
        <f t="shared" si="205"/>
        <v>8</v>
      </c>
      <c r="T1986" s="39">
        <f t="shared" si="206"/>
        <v>0</v>
      </c>
      <c r="U1986" s="39">
        <f t="shared" si="207"/>
        <v>0</v>
      </c>
      <c r="V1986" s="40"/>
    </row>
    <row r="1987" spans="2:22" x14ac:dyDescent="0.35">
      <c r="B1987" s="40">
        <v>36027</v>
      </c>
      <c r="C1987" s="39">
        <v>5488.22</v>
      </c>
      <c r="D1987" s="219">
        <f t="shared" si="208"/>
        <v>-1.9521343654720566E-2</v>
      </c>
      <c r="F1987" s="40">
        <v>36027</v>
      </c>
      <c r="G1987" s="39">
        <v>5488.22</v>
      </c>
      <c r="H1987" s="39">
        <f t="shared" si="203"/>
        <v>4</v>
      </c>
      <c r="I1987" s="39">
        <f t="shared" si="204"/>
        <v>0</v>
      </c>
      <c r="K1987" s="40"/>
      <c r="Q1987" s="40">
        <v>36027</v>
      </c>
      <c r="R1987" s="39">
        <v>5488.22</v>
      </c>
      <c r="S1987" s="39">
        <f t="shared" si="205"/>
        <v>8</v>
      </c>
      <c r="T1987" s="39">
        <f t="shared" si="206"/>
        <v>0</v>
      </c>
      <c r="U1987" s="39">
        <f t="shared" si="207"/>
        <v>0</v>
      </c>
      <c r="V1987" s="40"/>
    </row>
    <row r="1988" spans="2:22" x14ac:dyDescent="0.35">
      <c r="B1988" s="40">
        <v>36028</v>
      </c>
      <c r="C1988" s="39">
        <v>5163.51</v>
      </c>
      <c r="D1988" s="219">
        <f t="shared" si="208"/>
        <v>-6.0987396285351006E-2</v>
      </c>
      <c r="F1988" s="40">
        <v>36028</v>
      </c>
      <c r="G1988" s="39">
        <v>5163.51</v>
      </c>
      <c r="H1988" s="39">
        <f t="shared" si="203"/>
        <v>5</v>
      </c>
      <c r="I1988" s="39">
        <f t="shared" si="204"/>
        <v>5163.51</v>
      </c>
      <c r="K1988" s="40"/>
      <c r="Q1988" s="40">
        <v>36028</v>
      </c>
      <c r="R1988" s="39">
        <v>5163.51</v>
      </c>
      <c r="S1988" s="39">
        <f t="shared" si="205"/>
        <v>8</v>
      </c>
      <c r="T1988" s="39">
        <f t="shared" si="206"/>
        <v>0</v>
      </c>
      <c r="U1988" s="39">
        <f t="shared" si="207"/>
        <v>0</v>
      </c>
      <c r="V1988" s="40"/>
    </row>
    <row r="1989" spans="2:22" x14ac:dyDescent="0.35">
      <c r="B1989" s="40">
        <v>36031</v>
      </c>
      <c r="C1989" s="39">
        <v>5234.88</v>
      </c>
      <c r="D1989" s="219">
        <f t="shared" si="208"/>
        <v>1.3727340625360303E-2</v>
      </c>
      <c r="F1989" s="40">
        <v>36031</v>
      </c>
      <c r="G1989" s="39">
        <v>5234.88</v>
      </c>
      <c r="H1989" s="39">
        <f t="shared" si="203"/>
        <v>1</v>
      </c>
      <c r="I1989" s="39">
        <f t="shared" si="204"/>
        <v>0</v>
      </c>
      <c r="K1989" s="40"/>
      <c r="Q1989" s="40">
        <v>36031</v>
      </c>
      <c r="R1989" s="39">
        <v>5234.88</v>
      </c>
      <c r="S1989" s="39">
        <f t="shared" si="205"/>
        <v>8</v>
      </c>
      <c r="T1989" s="39">
        <f t="shared" si="206"/>
        <v>0</v>
      </c>
      <c r="U1989" s="39">
        <f t="shared" si="207"/>
        <v>0</v>
      </c>
      <c r="V1989" s="40"/>
    </row>
    <row r="1990" spans="2:22" x14ac:dyDescent="0.35">
      <c r="B1990" s="40">
        <v>36032</v>
      </c>
      <c r="C1990" s="39">
        <v>5372.76</v>
      </c>
      <c r="D1990" s="219">
        <f t="shared" si="208"/>
        <v>2.5997821542018549E-2</v>
      </c>
      <c r="F1990" s="40">
        <v>36032</v>
      </c>
      <c r="G1990" s="39">
        <v>5372.76</v>
      </c>
      <c r="H1990" s="39">
        <f t="shared" si="203"/>
        <v>2</v>
      </c>
      <c r="I1990" s="39">
        <f t="shared" si="204"/>
        <v>0</v>
      </c>
      <c r="K1990" s="40"/>
      <c r="Q1990" s="40">
        <v>36032</v>
      </c>
      <c r="R1990" s="39">
        <v>5372.76</v>
      </c>
      <c r="S1990" s="39">
        <f t="shared" si="205"/>
        <v>8</v>
      </c>
      <c r="T1990" s="39">
        <f t="shared" si="206"/>
        <v>0</v>
      </c>
      <c r="U1990" s="39">
        <f t="shared" si="207"/>
        <v>0</v>
      </c>
      <c r="V1990" s="40"/>
    </row>
    <row r="1991" spans="2:22" x14ac:dyDescent="0.35">
      <c r="B1991" s="40">
        <v>36033</v>
      </c>
      <c r="C1991" s="39">
        <v>5231.6099999999997</v>
      </c>
      <c r="D1991" s="219">
        <f t="shared" si="208"/>
        <v>-2.6622672873533832E-2</v>
      </c>
      <c r="F1991" s="40">
        <v>36033</v>
      </c>
      <c r="G1991" s="39">
        <v>5231.6099999999997</v>
      </c>
      <c r="H1991" s="39">
        <f t="shared" si="203"/>
        <v>3</v>
      </c>
      <c r="I1991" s="39">
        <f t="shared" si="204"/>
        <v>0</v>
      </c>
      <c r="K1991" s="40"/>
      <c r="Q1991" s="40">
        <v>36033</v>
      </c>
      <c r="R1991" s="39">
        <v>5231.6099999999997</v>
      </c>
      <c r="S1991" s="39">
        <f t="shared" si="205"/>
        <v>8</v>
      </c>
      <c r="T1991" s="39">
        <f t="shared" si="206"/>
        <v>0</v>
      </c>
      <c r="U1991" s="39">
        <f t="shared" si="207"/>
        <v>0</v>
      </c>
      <c r="V1991" s="40"/>
    </row>
    <row r="1992" spans="2:22" x14ac:dyDescent="0.35">
      <c r="B1992" s="40">
        <v>36034</v>
      </c>
      <c r="C1992" s="39">
        <v>5060.84</v>
      </c>
      <c r="D1992" s="219">
        <f t="shared" si="208"/>
        <v>-3.3186592665429185E-2</v>
      </c>
      <c r="F1992" s="40">
        <v>36034</v>
      </c>
      <c r="G1992" s="39">
        <v>5060.84</v>
      </c>
      <c r="H1992" s="39">
        <f t="shared" si="203"/>
        <v>4</v>
      </c>
      <c r="I1992" s="39">
        <f t="shared" si="204"/>
        <v>0</v>
      </c>
      <c r="K1992" s="40"/>
      <c r="Q1992" s="40">
        <v>36034</v>
      </c>
      <c r="R1992" s="39">
        <v>5060.84</v>
      </c>
      <c r="S1992" s="39">
        <f t="shared" si="205"/>
        <v>8</v>
      </c>
      <c r="T1992" s="39">
        <f t="shared" si="206"/>
        <v>0</v>
      </c>
      <c r="U1992" s="39">
        <f t="shared" si="207"/>
        <v>0</v>
      </c>
      <c r="V1992" s="40"/>
    </row>
    <row r="1993" spans="2:22" x14ac:dyDescent="0.35">
      <c r="B1993" s="40">
        <v>36035</v>
      </c>
      <c r="C1993" s="39">
        <v>4993.54</v>
      </c>
      <c r="D1993" s="219">
        <f t="shared" si="208"/>
        <v>-1.338740034421838E-2</v>
      </c>
      <c r="F1993" s="40">
        <v>36035</v>
      </c>
      <c r="G1993" s="39">
        <v>4993.54</v>
      </c>
      <c r="H1993" s="39">
        <f t="shared" si="203"/>
        <v>5</v>
      </c>
      <c r="I1993" s="39">
        <f t="shared" si="204"/>
        <v>4993.54</v>
      </c>
      <c r="K1993" s="40"/>
      <c r="Q1993" s="40">
        <v>36035</v>
      </c>
      <c r="R1993" s="39">
        <v>4993.54</v>
      </c>
      <c r="S1993" s="39">
        <f t="shared" si="205"/>
        <v>8</v>
      </c>
      <c r="T1993" s="39">
        <f t="shared" si="206"/>
        <v>0</v>
      </c>
      <c r="U1993" s="39">
        <f t="shared" si="207"/>
        <v>0</v>
      </c>
      <c r="V1993" s="40"/>
    </row>
    <row r="1994" spans="2:22" x14ac:dyDescent="0.35">
      <c r="B1994" s="40">
        <v>36038</v>
      </c>
      <c r="C1994" s="39">
        <v>4833.8900000000003</v>
      </c>
      <c r="D1994" s="219">
        <f t="shared" si="208"/>
        <v>-3.2493550542127769E-2</v>
      </c>
      <c r="F1994" s="40">
        <v>36038</v>
      </c>
      <c r="G1994" s="39">
        <v>4833.8900000000003</v>
      </c>
      <c r="H1994" s="39">
        <f t="shared" si="203"/>
        <v>1</v>
      </c>
      <c r="I1994" s="39">
        <f t="shared" si="204"/>
        <v>0</v>
      </c>
      <c r="K1994" s="40"/>
      <c r="Q1994" s="40">
        <v>36038</v>
      </c>
      <c r="R1994" s="39">
        <v>4833.8900000000003</v>
      </c>
      <c r="S1994" s="39">
        <f t="shared" si="205"/>
        <v>8</v>
      </c>
      <c r="T1994" s="39">
        <f t="shared" si="206"/>
        <v>4833.8900000000003</v>
      </c>
      <c r="U1994" s="39">
        <f t="shared" si="207"/>
        <v>4833.8900000000003</v>
      </c>
      <c r="V1994" s="40"/>
    </row>
    <row r="1995" spans="2:22" x14ac:dyDescent="0.35">
      <c r="B1995" s="40">
        <v>36039</v>
      </c>
      <c r="C1995" s="39">
        <v>4791.8100000000004</v>
      </c>
      <c r="D1995" s="219">
        <f t="shared" si="208"/>
        <v>-8.7433159289823405E-3</v>
      </c>
      <c r="F1995" s="40">
        <v>36039</v>
      </c>
      <c r="G1995" s="39">
        <v>4791.8100000000004</v>
      </c>
      <c r="H1995" s="39">
        <f t="shared" si="203"/>
        <v>2</v>
      </c>
      <c r="I1995" s="39">
        <f t="shared" si="204"/>
        <v>0</v>
      </c>
      <c r="K1995" s="40"/>
      <c r="Q1995" s="40">
        <v>36039</v>
      </c>
      <c r="R1995" s="39">
        <v>4791.8100000000004</v>
      </c>
      <c r="S1995" s="39">
        <f t="shared" si="205"/>
        <v>9</v>
      </c>
      <c r="T1995" s="39">
        <f t="shared" si="206"/>
        <v>0</v>
      </c>
      <c r="U1995" s="39">
        <f t="shared" si="207"/>
        <v>0</v>
      </c>
      <c r="V1995" s="40"/>
    </row>
    <row r="1996" spans="2:22" x14ac:dyDescent="0.35">
      <c r="B1996" s="40">
        <v>36040</v>
      </c>
      <c r="C1996" s="39">
        <v>4970.5</v>
      </c>
      <c r="D1996" s="219">
        <f t="shared" si="208"/>
        <v>3.6612228058666152E-2</v>
      </c>
      <c r="F1996" s="40">
        <v>36040</v>
      </c>
      <c r="G1996" s="39">
        <v>4970.5</v>
      </c>
      <c r="H1996" s="39">
        <f t="shared" si="203"/>
        <v>3</v>
      </c>
      <c r="I1996" s="39">
        <f t="shared" si="204"/>
        <v>0</v>
      </c>
      <c r="K1996" s="40"/>
      <c r="Q1996" s="40">
        <v>36040</v>
      </c>
      <c r="R1996" s="39">
        <v>4970.5</v>
      </c>
      <c r="S1996" s="39">
        <f t="shared" si="205"/>
        <v>9</v>
      </c>
      <c r="T1996" s="39">
        <f t="shared" si="206"/>
        <v>0</v>
      </c>
      <c r="U1996" s="39">
        <f t="shared" si="207"/>
        <v>0</v>
      </c>
      <c r="V1996" s="40"/>
    </row>
    <row r="1997" spans="2:22" x14ac:dyDescent="0.35">
      <c r="B1997" s="40">
        <v>36041</v>
      </c>
      <c r="C1997" s="39">
        <v>4812.18</v>
      </c>
      <c r="D1997" s="219">
        <f t="shared" si="208"/>
        <v>-3.2370234773444868E-2</v>
      </c>
      <c r="F1997" s="40">
        <v>36041</v>
      </c>
      <c r="G1997" s="39">
        <v>4812.18</v>
      </c>
      <c r="H1997" s="39">
        <f t="shared" si="203"/>
        <v>4</v>
      </c>
      <c r="I1997" s="39">
        <f t="shared" si="204"/>
        <v>0</v>
      </c>
      <c r="K1997" s="40"/>
      <c r="Q1997" s="40">
        <v>36041</v>
      </c>
      <c r="R1997" s="39">
        <v>4812.18</v>
      </c>
      <c r="S1997" s="39">
        <f t="shared" si="205"/>
        <v>9</v>
      </c>
      <c r="T1997" s="39">
        <f t="shared" si="206"/>
        <v>0</v>
      </c>
      <c r="U1997" s="39">
        <f t="shared" si="207"/>
        <v>0</v>
      </c>
      <c r="V1997" s="40"/>
    </row>
    <row r="1998" spans="2:22" x14ac:dyDescent="0.35">
      <c r="B1998" s="40">
        <v>36042</v>
      </c>
      <c r="C1998" s="39">
        <v>4820.25</v>
      </c>
      <c r="D1998" s="219">
        <f t="shared" si="208"/>
        <v>1.6755900407502591E-3</v>
      </c>
      <c r="F1998" s="40">
        <v>36042</v>
      </c>
      <c r="G1998" s="39">
        <v>4820.25</v>
      </c>
      <c r="H1998" s="39">
        <f t="shared" si="203"/>
        <v>5</v>
      </c>
      <c r="I1998" s="39">
        <f t="shared" si="204"/>
        <v>4820.25</v>
      </c>
      <c r="K1998" s="40"/>
      <c r="Q1998" s="40">
        <v>36042</v>
      </c>
      <c r="R1998" s="39">
        <v>4820.25</v>
      </c>
      <c r="S1998" s="39">
        <f t="shared" si="205"/>
        <v>9</v>
      </c>
      <c r="T1998" s="39">
        <f t="shared" si="206"/>
        <v>0</v>
      </c>
      <c r="U1998" s="39">
        <f t="shared" si="207"/>
        <v>0</v>
      </c>
      <c r="V1998" s="40"/>
    </row>
    <row r="1999" spans="2:22" x14ac:dyDescent="0.35">
      <c r="B1999" s="40">
        <v>36045</v>
      </c>
      <c r="C1999" s="39">
        <v>4923.37</v>
      </c>
      <c r="D1999" s="219">
        <f t="shared" si="208"/>
        <v>2.1167461438852342E-2</v>
      </c>
      <c r="F1999" s="40">
        <v>36045</v>
      </c>
      <c r="G1999" s="39">
        <v>4923.37</v>
      </c>
      <c r="H1999" s="39">
        <f t="shared" si="203"/>
        <v>1</v>
      </c>
      <c r="I1999" s="39">
        <f t="shared" si="204"/>
        <v>0</v>
      </c>
      <c r="K1999" s="40"/>
      <c r="Q1999" s="40">
        <v>36045</v>
      </c>
      <c r="R1999" s="39">
        <v>4923.37</v>
      </c>
      <c r="S1999" s="39">
        <f t="shared" si="205"/>
        <v>9</v>
      </c>
      <c r="T1999" s="39">
        <f t="shared" si="206"/>
        <v>0</v>
      </c>
      <c r="U1999" s="39">
        <f t="shared" si="207"/>
        <v>0</v>
      </c>
      <c r="V1999" s="40"/>
    </row>
    <row r="2000" spans="2:22" x14ac:dyDescent="0.35">
      <c r="B2000" s="40">
        <v>36046</v>
      </c>
      <c r="C2000" s="39">
        <v>5103.84</v>
      </c>
      <c r="D2000" s="219">
        <f t="shared" si="208"/>
        <v>3.5999942212528092E-2</v>
      </c>
      <c r="F2000" s="40">
        <v>36046</v>
      </c>
      <c r="G2000" s="39">
        <v>5103.84</v>
      </c>
      <c r="H2000" s="39">
        <f t="shared" si="203"/>
        <v>2</v>
      </c>
      <c r="I2000" s="39">
        <f t="shared" si="204"/>
        <v>0</v>
      </c>
      <c r="K2000" s="40"/>
      <c r="Q2000" s="40">
        <v>36046</v>
      </c>
      <c r="R2000" s="39">
        <v>5103.84</v>
      </c>
      <c r="S2000" s="39">
        <f t="shared" si="205"/>
        <v>9</v>
      </c>
      <c r="T2000" s="39">
        <f t="shared" si="206"/>
        <v>0</v>
      </c>
      <c r="U2000" s="39">
        <f t="shared" si="207"/>
        <v>0</v>
      </c>
      <c r="V2000" s="40"/>
    </row>
    <row r="2001" spans="2:22" x14ac:dyDescent="0.35">
      <c r="B2001" s="40">
        <v>36047</v>
      </c>
      <c r="C2001" s="39">
        <v>5040.87</v>
      </c>
      <c r="D2001" s="219">
        <f t="shared" si="208"/>
        <v>-1.2414511354805905E-2</v>
      </c>
      <c r="F2001" s="40">
        <v>36047</v>
      </c>
      <c r="G2001" s="39">
        <v>5040.87</v>
      </c>
      <c r="H2001" s="39">
        <f t="shared" si="203"/>
        <v>3</v>
      </c>
      <c r="I2001" s="39">
        <f t="shared" si="204"/>
        <v>0</v>
      </c>
      <c r="K2001" s="40"/>
      <c r="Q2001" s="40">
        <v>36047</v>
      </c>
      <c r="R2001" s="39">
        <v>5040.87</v>
      </c>
      <c r="S2001" s="39">
        <f t="shared" si="205"/>
        <v>9</v>
      </c>
      <c r="T2001" s="39">
        <f t="shared" si="206"/>
        <v>0</v>
      </c>
      <c r="U2001" s="39">
        <f t="shared" si="207"/>
        <v>0</v>
      </c>
      <c r="V2001" s="40"/>
    </row>
    <row r="2002" spans="2:22" x14ac:dyDescent="0.35">
      <c r="B2002" s="40">
        <v>36048</v>
      </c>
      <c r="C2002" s="39">
        <v>4747.33</v>
      </c>
      <c r="D2002" s="219">
        <f t="shared" si="208"/>
        <v>-5.9996331490940566E-2</v>
      </c>
      <c r="F2002" s="40">
        <v>36048</v>
      </c>
      <c r="G2002" s="39">
        <v>4747.33</v>
      </c>
      <c r="H2002" s="39">
        <f t="shared" si="203"/>
        <v>4</v>
      </c>
      <c r="I2002" s="39">
        <f t="shared" si="204"/>
        <v>0</v>
      </c>
      <c r="K2002" s="40"/>
      <c r="Q2002" s="40">
        <v>36048</v>
      </c>
      <c r="R2002" s="39">
        <v>4747.33</v>
      </c>
      <c r="S2002" s="39">
        <f t="shared" si="205"/>
        <v>9</v>
      </c>
      <c r="T2002" s="39">
        <f t="shared" si="206"/>
        <v>0</v>
      </c>
      <c r="U2002" s="39">
        <f t="shared" si="207"/>
        <v>0</v>
      </c>
      <c r="V2002" s="40"/>
    </row>
    <row r="2003" spans="2:22" x14ac:dyDescent="0.35">
      <c r="B2003" s="40">
        <v>36049</v>
      </c>
      <c r="C2003" s="39">
        <v>4737.1499999999996</v>
      </c>
      <c r="D2003" s="219">
        <f t="shared" si="208"/>
        <v>-2.1466656915861432E-3</v>
      </c>
      <c r="F2003" s="40">
        <v>36049</v>
      </c>
      <c r="G2003" s="39">
        <v>4737.1499999999996</v>
      </c>
      <c r="H2003" s="39">
        <f t="shared" si="203"/>
        <v>5</v>
      </c>
      <c r="I2003" s="39">
        <f t="shared" si="204"/>
        <v>4737.1499999999996</v>
      </c>
      <c r="K2003" s="40"/>
      <c r="Q2003" s="40">
        <v>36049</v>
      </c>
      <c r="R2003" s="39">
        <v>4737.1499999999996</v>
      </c>
      <c r="S2003" s="39">
        <f t="shared" si="205"/>
        <v>9</v>
      </c>
      <c r="T2003" s="39">
        <f t="shared" si="206"/>
        <v>0</v>
      </c>
      <c r="U2003" s="39">
        <f t="shared" si="207"/>
        <v>0</v>
      </c>
      <c r="V2003" s="40"/>
    </row>
    <row r="2004" spans="2:22" x14ac:dyDescent="0.35">
      <c r="B2004" s="40">
        <v>36052</v>
      </c>
      <c r="C2004" s="39">
        <v>4896.49</v>
      </c>
      <c r="D2004" s="219">
        <f t="shared" si="208"/>
        <v>3.3082932850116119E-2</v>
      </c>
      <c r="F2004" s="40">
        <v>36052</v>
      </c>
      <c r="G2004" s="39">
        <v>4896.49</v>
      </c>
      <c r="H2004" s="39">
        <f t="shared" si="203"/>
        <v>1</v>
      </c>
      <c r="I2004" s="39">
        <f t="shared" si="204"/>
        <v>0</v>
      </c>
      <c r="K2004" s="40"/>
      <c r="Q2004" s="40">
        <v>36052</v>
      </c>
      <c r="R2004" s="39">
        <v>4896.49</v>
      </c>
      <c r="S2004" s="39">
        <f t="shared" si="205"/>
        <v>9</v>
      </c>
      <c r="T2004" s="39">
        <f t="shared" si="206"/>
        <v>0</v>
      </c>
      <c r="U2004" s="39">
        <f t="shared" si="207"/>
        <v>0</v>
      </c>
      <c r="V2004" s="40"/>
    </row>
    <row r="2005" spans="2:22" x14ac:dyDescent="0.35">
      <c r="B2005" s="40">
        <v>36053</v>
      </c>
      <c r="C2005" s="39">
        <v>4831.22</v>
      </c>
      <c r="D2005" s="219">
        <f t="shared" si="208"/>
        <v>-1.3419598140308412E-2</v>
      </c>
      <c r="F2005" s="40">
        <v>36053</v>
      </c>
      <c r="G2005" s="39">
        <v>4831.22</v>
      </c>
      <c r="H2005" s="39">
        <f t="shared" si="203"/>
        <v>2</v>
      </c>
      <c r="I2005" s="39">
        <f t="shared" si="204"/>
        <v>0</v>
      </c>
      <c r="K2005" s="40"/>
      <c r="Q2005" s="40">
        <v>36053</v>
      </c>
      <c r="R2005" s="39">
        <v>4831.22</v>
      </c>
      <c r="S2005" s="39">
        <f t="shared" si="205"/>
        <v>9</v>
      </c>
      <c r="T2005" s="39">
        <f t="shared" si="206"/>
        <v>0</v>
      </c>
      <c r="U2005" s="39">
        <f t="shared" si="207"/>
        <v>0</v>
      </c>
      <c r="V2005" s="40"/>
    </row>
    <row r="2006" spans="2:22" x14ac:dyDescent="0.35">
      <c r="B2006" s="40">
        <v>36054</v>
      </c>
      <c r="C2006" s="39">
        <v>4857.97</v>
      </c>
      <c r="D2006" s="219">
        <f t="shared" si="208"/>
        <v>5.5216314188741141E-3</v>
      </c>
      <c r="F2006" s="40">
        <v>36054</v>
      </c>
      <c r="G2006" s="39">
        <v>4857.97</v>
      </c>
      <c r="H2006" s="39">
        <f t="shared" si="203"/>
        <v>3</v>
      </c>
      <c r="I2006" s="39">
        <f t="shared" si="204"/>
        <v>0</v>
      </c>
      <c r="K2006" s="40"/>
      <c r="Q2006" s="40">
        <v>36054</v>
      </c>
      <c r="R2006" s="39">
        <v>4857.97</v>
      </c>
      <c r="S2006" s="39">
        <f t="shared" si="205"/>
        <v>9</v>
      </c>
      <c r="T2006" s="39">
        <f t="shared" si="206"/>
        <v>0</v>
      </c>
      <c r="U2006" s="39">
        <f t="shared" si="207"/>
        <v>0</v>
      </c>
      <c r="V2006" s="40"/>
    </row>
    <row r="2007" spans="2:22" x14ac:dyDescent="0.35">
      <c r="B2007" s="40">
        <v>36055</v>
      </c>
      <c r="C2007" s="39">
        <v>4669.51</v>
      </c>
      <c r="D2007" s="219">
        <f t="shared" si="208"/>
        <v>-3.9566514057843616E-2</v>
      </c>
      <c r="F2007" s="40">
        <v>36055</v>
      </c>
      <c r="G2007" s="39">
        <v>4669.51</v>
      </c>
      <c r="H2007" s="39">
        <f t="shared" si="203"/>
        <v>4</v>
      </c>
      <c r="I2007" s="39">
        <f t="shared" si="204"/>
        <v>0</v>
      </c>
      <c r="K2007" s="40"/>
      <c r="Q2007" s="40">
        <v>36055</v>
      </c>
      <c r="R2007" s="39">
        <v>4669.51</v>
      </c>
      <c r="S2007" s="39">
        <f t="shared" si="205"/>
        <v>9</v>
      </c>
      <c r="T2007" s="39">
        <f t="shared" si="206"/>
        <v>0</v>
      </c>
      <c r="U2007" s="39">
        <f t="shared" si="207"/>
        <v>0</v>
      </c>
      <c r="V2007" s="40"/>
    </row>
    <row r="2008" spans="2:22" x14ac:dyDescent="0.35">
      <c r="B2008" s="40">
        <v>36056</v>
      </c>
      <c r="C2008" s="39">
        <v>4598.58</v>
      </c>
      <c r="D2008" s="219">
        <f t="shared" si="208"/>
        <v>-1.5306580935689542E-2</v>
      </c>
      <c r="F2008" s="40">
        <v>36056</v>
      </c>
      <c r="G2008" s="39">
        <v>4598.58</v>
      </c>
      <c r="H2008" s="39">
        <f t="shared" si="203"/>
        <v>5</v>
      </c>
      <c r="I2008" s="39">
        <f t="shared" si="204"/>
        <v>4598.58</v>
      </c>
      <c r="K2008" s="40"/>
      <c r="Q2008" s="40">
        <v>36056</v>
      </c>
      <c r="R2008" s="39">
        <v>4598.58</v>
      </c>
      <c r="S2008" s="39">
        <f t="shared" si="205"/>
        <v>9</v>
      </c>
      <c r="T2008" s="39">
        <f t="shared" si="206"/>
        <v>0</v>
      </c>
      <c r="U2008" s="39">
        <f t="shared" si="207"/>
        <v>0</v>
      </c>
      <c r="V2008" s="40"/>
    </row>
    <row r="2009" spans="2:22" x14ac:dyDescent="0.35">
      <c r="B2009" s="40">
        <v>36059</v>
      </c>
      <c r="C2009" s="39">
        <v>4433.87</v>
      </c>
      <c r="D2009" s="219">
        <f t="shared" si="208"/>
        <v>-3.647476832166608E-2</v>
      </c>
      <c r="F2009" s="40">
        <v>36059</v>
      </c>
      <c r="G2009" s="39">
        <v>4433.87</v>
      </c>
      <c r="H2009" s="39">
        <f t="shared" si="203"/>
        <v>1</v>
      </c>
      <c r="I2009" s="39">
        <f t="shared" si="204"/>
        <v>0</v>
      </c>
      <c r="K2009" s="40"/>
      <c r="Q2009" s="40">
        <v>36059</v>
      </c>
      <c r="R2009" s="39">
        <v>4433.87</v>
      </c>
      <c r="S2009" s="39">
        <f t="shared" si="205"/>
        <v>9</v>
      </c>
      <c r="T2009" s="39">
        <f t="shared" si="206"/>
        <v>0</v>
      </c>
      <c r="U2009" s="39">
        <f t="shared" si="207"/>
        <v>0</v>
      </c>
      <c r="V2009" s="40"/>
    </row>
    <row r="2010" spans="2:22" x14ac:dyDescent="0.35">
      <c r="B2010" s="40">
        <v>36060</v>
      </c>
      <c r="C2010" s="39">
        <v>4575.1499999999996</v>
      </c>
      <c r="D2010" s="219">
        <f t="shared" si="208"/>
        <v>3.1366693210353541E-2</v>
      </c>
      <c r="F2010" s="40">
        <v>36060</v>
      </c>
      <c r="G2010" s="39">
        <v>4575.1499999999996</v>
      </c>
      <c r="H2010" s="39">
        <f t="shared" si="203"/>
        <v>2</v>
      </c>
      <c r="I2010" s="39">
        <f t="shared" si="204"/>
        <v>0</v>
      </c>
      <c r="K2010" s="40"/>
      <c r="Q2010" s="40">
        <v>36060</v>
      </c>
      <c r="R2010" s="39">
        <v>4575.1499999999996</v>
      </c>
      <c r="S2010" s="39">
        <f t="shared" si="205"/>
        <v>9</v>
      </c>
      <c r="T2010" s="39">
        <f t="shared" si="206"/>
        <v>0</v>
      </c>
      <c r="U2010" s="39">
        <f t="shared" si="207"/>
        <v>0</v>
      </c>
      <c r="V2010" s="40"/>
    </row>
    <row r="2011" spans="2:22" x14ac:dyDescent="0.35">
      <c r="B2011" s="40">
        <v>36061</v>
      </c>
      <c r="C2011" s="39">
        <v>4699.3900000000003</v>
      </c>
      <c r="D2011" s="219">
        <f t="shared" si="208"/>
        <v>2.6793227983626242E-2</v>
      </c>
      <c r="F2011" s="40">
        <v>36061</v>
      </c>
      <c r="G2011" s="39">
        <v>4699.3900000000003</v>
      </c>
      <c r="H2011" s="39">
        <f t="shared" si="203"/>
        <v>3</v>
      </c>
      <c r="I2011" s="39">
        <f t="shared" si="204"/>
        <v>0</v>
      </c>
      <c r="K2011" s="40"/>
      <c r="Q2011" s="40">
        <v>36061</v>
      </c>
      <c r="R2011" s="39">
        <v>4699.3900000000003</v>
      </c>
      <c r="S2011" s="39">
        <f t="shared" si="205"/>
        <v>9</v>
      </c>
      <c r="T2011" s="39">
        <f t="shared" si="206"/>
        <v>0</v>
      </c>
      <c r="U2011" s="39">
        <f t="shared" si="207"/>
        <v>0</v>
      </c>
      <c r="V2011" s="40"/>
    </row>
    <row r="2012" spans="2:22" x14ac:dyDescent="0.35">
      <c r="B2012" s="40">
        <v>36062</v>
      </c>
      <c r="C2012" s="39">
        <v>4646.25</v>
      </c>
      <c r="D2012" s="219">
        <f t="shared" si="208"/>
        <v>-1.1372270429553662E-2</v>
      </c>
      <c r="F2012" s="40">
        <v>36062</v>
      </c>
      <c r="G2012" s="39">
        <v>4646.25</v>
      </c>
      <c r="H2012" s="39">
        <f t="shared" si="203"/>
        <v>4</v>
      </c>
      <c r="I2012" s="39">
        <f t="shared" si="204"/>
        <v>0</v>
      </c>
      <c r="K2012" s="40"/>
      <c r="Q2012" s="40">
        <v>36062</v>
      </c>
      <c r="R2012" s="39">
        <v>4646.25</v>
      </c>
      <c r="S2012" s="39">
        <f t="shared" si="205"/>
        <v>9</v>
      </c>
      <c r="T2012" s="39">
        <f t="shared" si="206"/>
        <v>0</v>
      </c>
      <c r="U2012" s="39">
        <f t="shared" si="207"/>
        <v>0</v>
      </c>
      <c r="V2012" s="40"/>
    </row>
    <row r="2013" spans="2:22" x14ac:dyDescent="0.35">
      <c r="B2013" s="40">
        <v>36063</v>
      </c>
      <c r="C2013" s="39">
        <v>4561.58</v>
      </c>
      <c r="D2013" s="219">
        <f t="shared" si="208"/>
        <v>-1.839138788918299E-2</v>
      </c>
      <c r="F2013" s="40">
        <v>36063</v>
      </c>
      <c r="G2013" s="39">
        <v>4561.58</v>
      </c>
      <c r="H2013" s="39">
        <f t="shared" si="203"/>
        <v>5</v>
      </c>
      <c r="I2013" s="39">
        <f t="shared" si="204"/>
        <v>4561.58</v>
      </c>
      <c r="K2013" s="40"/>
      <c r="Q2013" s="40">
        <v>36063</v>
      </c>
      <c r="R2013" s="39">
        <v>4561.58</v>
      </c>
      <c r="S2013" s="39">
        <f t="shared" si="205"/>
        <v>9</v>
      </c>
      <c r="T2013" s="39">
        <f t="shared" si="206"/>
        <v>0</v>
      </c>
      <c r="U2013" s="39">
        <f t="shared" si="207"/>
        <v>0</v>
      </c>
      <c r="V2013" s="40"/>
    </row>
    <row r="2014" spans="2:22" x14ac:dyDescent="0.35">
      <c r="B2014" s="40">
        <v>36066</v>
      </c>
      <c r="C2014" s="39">
        <v>4653.9399999999996</v>
      </c>
      <c r="D2014" s="219">
        <f t="shared" si="208"/>
        <v>2.0045117921056614E-2</v>
      </c>
      <c r="F2014" s="40">
        <v>36066</v>
      </c>
      <c r="G2014" s="39">
        <v>4653.9399999999996</v>
      </c>
      <c r="H2014" s="39">
        <f t="shared" si="203"/>
        <v>1</v>
      </c>
      <c r="I2014" s="39">
        <f t="shared" si="204"/>
        <v>0</v>
      </c>
      <c r="K2014" s="40"/>
      <c r="Q2014" s="40">
        <v>36066</v>
      </c>
      <c r="R2014" s="39">
        <v>4653.9399999999996</v>
      </c>
      <c r="S2014" s="39">
        <f t="shared" si="205"/>
        <v>9</v>
      </c>
      <c r="T2014" s="39">
        <f t="shared" si="206"/>
        <v>0</v>
      </c>
      <c r="U2014" s="39">
        <f t="shared" si="207"/>
        <v>0</v>
      </c>
      <c r="V2014" s="40"/>
    </row>
    <row r="2015" spans="2:22" x14ac:dyDescent="0.35">
      <c r="B2015" s="40">
        <v>36067</v>
      </c>
      <c r="C2015" s="39">
        <v>4578.2700000000004</v>
      </c>
      <c r="D2015" s="219">
        <f t="shared" si="208"/>
        <v>-1.6392975150412548E-2</v>
      </c>
      <c r="F2015" s="40">
        <v>36067</v>
      </c>
      <c r="G2015" s="39">
        <v>4578.2700000000004</v>
      </c>
      <c r="H2015" s="39">
        <f t="shared" si="203"/>
        <v>2</v>
      </c>
      <c r="I2015" s="39">
        <f t="shared" si="204"/>
        <v>0</v>
      </c>
      <c r="K2015" s="40"/>
      <c r="Q2015" s="40">
        <v>36067</v>
      </c>
      <c r="R2015" s="39">
        <v>4578.2700000000004</v>
      </c>
      <c r="S2015" s="39">
        <f t="shared" si="205"/>
        <v>9</v>
      </c>
      <c r="T2015" s="39">
        <f t="shared" si="206"/>
        <v>0</v>
      </c>
      <c r="U2015" s="39">
        <f t="shared" si="207"/>
        <v>0</v>
      </c>
      <c r="V2015" s="40"/>
    </row>
    <row r="2016" spans="2:22" x14ac:dyDescent="0.35">
      <c r="B2016" s="40">
        <v>36068</v>
      </c>
      <c r="C2016" s="39">
        <v>4474.51</v>
      </c>
      <c r="D2016" s="219">
        <f t="shared" si="208"/>
        <v>-2.2924348985927896E-2</v>
      </c>
      <c r="F2016" s="40">
        <v>36068</v>
      </c>
      <c r="G2016" s="39">
        <v>4474.51</v>
      </c>
      <c r="H2016" s="39">
        <f t="shared" si="203"/>
        <v>3</v>
      </c>
      <c r="I2016" s="39">
        <f t="shared" si="204"/>
        <v>0</v>
      </c>
      <c r="K2016" s="40"/>
      <c r="Q2016" s="40">
        <v>36068</v>
      </c>
      <c r="R2016" s="39">
        <v>4474.51</v>
      </c>
      <c r="S2016" s="39">
        <f t="shared" si="205"/>
        <v>9</v>
      </c>
      <c r="T2016" s="39">
        <f t="shared" si="206"/>
        <v>4474.51</v>
      </c>
      <c r="U2016" s="39">
        <f t="shared" si="207"/>
        <v>4474.51</v>
      </c>
      <c r="V2016" s="40"/>
    </row>
    <row r="2017" spans="2:22" x14ac:dyDescent="0.35">
      <c r="B2017" s="40">
        <v>36069</v>
      </c>
      <c r="C2017" s="39">
        <v>4226.49</v>
      </c>
      <c r="D2017" s="219">
        <f t="shared" si="208"/>
        <v>-5.7024987164708676E-2</v>
      </c>
      <c r="F2017" s="40">
        <v>36069</v>
      </c>
      <c r="G2017" s="39">
        <v>4226.49</v>
      </c>
      <c r="H2017" s="39">
        <f t="shared" si="203"/>
        <v>4</v>
      </c>
      <c r="I2017" s="39">
        <f t="shared" si="204"/>
        <v>0</v>
      </c>
      <c r="K2017" s="40"/>
      <c r="Q2017" s="40">
        <v>36069</v>
      </c>
      <c r="R2017" s="39">
        <v>4226.49</v>
      </c>
      <c r="S2017" s="39">
        <f t="shared" si="205"/>
        <v>10</v>
      </c>
      <c r="T2017" s="39">
        <f t="shared" si="206"/>
        <v>0</v>
      </c>
      <c r="U2017" s="39">
        <f t="shared" si="207"/>
        <v>0</v>
      </c>
      <c r="V2017" s="40"/>
    </row>
    <row r="2018" spans="2:22" x14ac:dyDescent="0.35">
      <c r="B2018" s="40">
        <v>36070</v>
      </c>
      <c r="C2018" s="39">
        <v>3962.5</v>
      </c>
      <c r="D2018" s="219">
        <f t="shared" si="208"/>
        <v>-6.4496722156750369E-2</v>
      </c>
      <c r="F2018" s="40">
        <v>36070</v>
      </c>
      <c r="G2018" s="39">
        <v>3962.5</v>
      </c>
      <c r="H2018" s="39">
        <f t="shared" si="203"/>
        <v>5</v>
      </c>
      <c r="I2018" s="39">
        <f t="shared" si="204"/>
        <v>3962.5</v>
      </c>
      <c r="K2018" s="40"/>
      <c r="Q2018" s="40">
        <v>36070</v>
      </c>
      <c r="R2018" s="39">
        <v>3962.5</v>
      </c>
      <c r="S2018" s="39">
        <f t="shared" si="205"/>
        <v>10</v>
      </c>
      <c r="T2018" s="39">
        <f t="shared" si="206"/>
        <v>0</v>
      </c>
      <c r="U2018" s="39">
        <f t="shared" si="207"/>
        <v>0</v>
      </c>
      <c r="V2018" s="40"/>
    </row>
    <row r="2019" spans="2:22" x14ac:dyDescent="0.35">
      <c r="B2019" s="40">
        <v>36073</v>
      </c>
      <c r="C2019" s="39">
        <v>4034.23</v>
      </c>
      <c r="D2019" s="219">
        <f t="shared" si="208"/>
        <v>1.7940314072667007E-2</v>
      </c>
      <c r="F2019" s="40">
        <v>36073</v>
      </c>
      <c r="G2019" s="39">
        <v>4034.23</v>
      </c>
      <c r="H2019" s="39">
        <f t="shared" si="203"/>
        <v>1</v>
      </c>
      <c r="I2019" s="39">
        <f t="shared" si="204"/>
        <v>0</v>
      </c>
      <c r="K2019" s="40"/>
      <c r="Q2019" s="40">
        <v>36073</v>
      </c>
      <c r="R2019" s="39">
        <v>4034.23</v>
      </c>
      <c r="S2019" s="39">
        <f t="shared" si="205"/>
        <v>10</v>
      </c>
      <c r="T2019" s="39">
        <f t="shared" si="206"/>
        <v>0</v>
      </c>
      <c r="U2019" s="39">
        <f t="shared" si="207"/>
        <v>0</v>
      </c>
      <c r="V2019" s="40"/>
    </row>
    <row r="2020" spans="2:22" x14ac:dyDescent="0.35">
      <c r="B2020" s="40">
        <v>36074</v>
      </c>
      <c r="C2020" s="39">
        <v>4156.6400000000003</v>
      </c>
      <c r="D2020" s="219">
        <f t="shared" si="208"/>
        <v>2.9891602330237896E-2</v>
      </c>
      <c r="F2020" s="40">
        <v>36074</v>
      </c>
      <c r="G2020" s="39">
        <v>4156.6400000000003</v>
      </c>
      <c r="H2020" s="39">
        <f t="shared" si="203"/>
        <v>2</v>
      </c>
      <c r="I2020" s="39">
        <f t="shared" si="204"/>
        <v>0</v>
      </c>
      <c r="K2020" s="40"/>
      <c r="Q2020" s="40">
        <v>36074</v>
      </c>
      <c r="R2020" s="39">
        <v>4156.6400000000003</v>
      </c>
      <c r="S2020" s="39">
        <f t="shared" si="205"/>
        <v>10</v>
      </c>
      <c r="T2020" s="39">
        <f t="shared" si="206"/>
        <v>0</v>
      </c>
      <c r="U2020" s="39">
        <f t="shared" si="207"/>
        <v>0</v>
      </c>
      <c r="V2020" s="40"/>
    </row>
    <row r="2021" spans="2:22" x14ac:dyDescent="0.35">
      <c r="B2021" s="40">
        <v>36075</v>
      </c>
      <c r="C2021" s="39">
        <v>4087.83</v>
      </c>
      <c r="D2021" s="219">
        <f t="shared" si="208"/>
        <v>-1.6692788696787638E-2</v>
      </c>
      <c r="F2021" s="40">
        <v>36075</v>
      </c>
      <c r="G2021" s="39">
        <v>4087.83</v>
      </c>
      <c r="H2021" s="39">
        <f t="shared" si="203"/>
        <v>3</v>
      </c>
      <c r="I2021" s="39">
        <f t="shared" si="204"/>
        <v>0</v>
      </c>
      <c r="K2021" s="40"/>
      <c r="Q2021" s="40">
        <v>36075</v>
      </c>
      <c r="R2021" s="39">
        <v>4087.83</v>
      </c>
      <c r="S2021" s="39">
        <f t="shared" si="205"/>
        <v>10</v>
      </c>
      <c r="T2021" s="39">
        <f t="shared" si="206"/>
        <v>0</v>
      </c>
      <c r="U2021" s="39">
        <f t="shared" si="207"/>
        <v>0</v>
      </c>
      <c r="V2021" s="40"/>
    </row>
    <row r="2022" spans="2:22" x14ac:dyDescent="0.35">
      <c r="B2022" s="40">
        <v>36076</v>
      </c>
      <c r="C2022" s="39">
        <v>3896.08</v>
      </c>
      <c r="D2022" s="219">
        <f t="shared" si="208"/>
        <v>-4.8043347459141406E-2</v>
      </c>
      <c r="F2022" s="40">
        <v>36076</v>
      </c>
      <c r="G2022" s="39">
        <v>3896.08</v>
      </c>
      <c r="H2022" s="39">
        <f t="shared" si="203"/>
        <v>4</v>
      </c>
      <c r="I2022" s="39">
        <f t="shared" si="204"/>
        <v>0</v>
      </c>
      <c r="K2022" s="40"/>
      <c r="Q2022" s="40">
        <v>36076</v>
      </c>
      <c r="R2022" s="39">
        <v>3896.08</v>
      </c>
      <c r="S2022" s="39">
        <f t="shared" si="205"/>
        <v>10</v>
      </c>
      <c r="T2022" s="39">
        <f t="shared" si="206"/>
        <v>0</v>
      </c>
      <c r="U2022" s="39">
        <f t="shared" si="207"/>
        <v>0</v>
      </c>
      <c r="V2022" s="40"/>
    </row>
    <row r="2023" spans="2:22" x14ac:dyDescent="0.35">
      <c r="B2023" s="40">
        <v>36077</v>
      </c>
      <c r="C2023" s="39">
        <v>3983.65</v>
      </c>
      <c r="D2023" s="219">
        <f t="shared" si="208"/>
        <v>2.2227565007193712E-2</v>
      </c>
      <c r="F2023" s="40">
        <v>36077</v>
      </c>
      <c r="G2023" s="39">
        <v>3983.65</v>
      </c>
      <c r="H2023" s="39">
        <f t="shared" si="203"/>
        <v>5</v>
      </c>
      <c r="I2023" s="39">
        <f t="shared" si="204"/>
        <v>3983.65</v>
      </c>
      <c r="K2023" s="40"/>
      <c r="Q2023" s="40">
        <v>36077</v>
      </c>
      <c r="R2023" s="39">
        <v>3983.65</v>
      </c>
      <c r="S2023" s="39">
        <f t="shared" si="205"/>
        <v>10</v>
      </c>
      <c r="T2023" s="39">
        <f t="shared" si="206"/>
        <v>0</v>
      </c>
      <c r="U2023" s="39">
        <f t="shared" si="207"/>
        <v>0</v>
      </c>
      <c r="V2023" s="40"/>
    </row>
    <row r="2024" spans="2:22" x14ac:dyDescent="0.35">
      <c r="B2024" s="40">
        <v>36080</v>
      </c>
      <c r="C2024" s="39">
        <v>4225.49</v>
      </c>
      <c r="D2024" s="219">
        <f t="shared" si="208"/>
        <v>5.893674595819464E-2</v>
      </c>
      <c r="F2024" s="40">
        <v>36080</v>
      </c>
      <c r="G2024" s="39">
        <v>4225.49</v>
      </c>
      <c r="H2024" s="39">
        <f t="shared" si="203"/>
        <v>1</v>
      </c>
      <c r="I2024" s="39">
        <f t="shared" si="204"/>
        <v>0</v>
      </c>
      <c r="K2024" s="40"/>
      <c r="Q2024" s="40">
        <v>36080</v>
      </c>
      <c r="R2024" s="39">
        <v>4225.49</v>
      </c>
      <c r="S2024" s="39">
        <f t="shared" si="205"/>
        <v>10</v>
      </c>
      <c r="T2024" s="39">
        <f t="shared" si="206"/>
        <v>0</v>
      </c>
      <c r="U2024" s="39">
        <f t="shared" si="207"/>
        <v>0</v>
      </c>
      <c r="V2024" s="40"/>
    </row>
    <row r="2025" spans="2:22" x14ac:dyDescent="0.35">
      <c r="B2025" s="40">
        <v>36081</v>
      </c>
      <c r="C2025" s="39">
        <v>4274.4799999999996</v>
      </c>
      <c r="D2025" s="219">
        <f t="shared" si="208"/>
        <v>1.1527227147627796E-2</v>
      </c>
      <c r="F2025" s="40">
        <v>36081</v>
      </c>
      <c r="G2025" s="39">
        <v>4274.4799999999996</v>
      </c>
      <c r="H2025" s="39">
        <f t="shared" si="203"/>
        <v>2</v>
      </c>
      <c r="I2025" s="39">
        <f t="shared" si="204"/>
        <v>0</v>
      </c>
      <c r="K2025" s="40"/>
      <c r="Q2025" s="40">
        <v>36081</v>
      </c>
      <c r="R2025" s="39">
        <v>4274.4799999999996</v>
      </c>
      <c r="S2025" s="39">
        <f t="shared" si="205"/>
        <v>10</v>
      </c>
      <c r="T2025" s="39">
        <f t="shared" si="206"/>
        <v>0</v>
      </c>
      <c r="U2025" s="39">
        <f t="shared" si="207"/>
        <v>0</v>
      </c>
      <c r="V2025" s="40"/>
    </row>
    <row r="2026" spans="2:22" x14ac:dyDescent="0.35">
      <c r="B2026" s="40">
        <v>36082</v>
      </c>
      <c r="C2026" s="39">
        <v>4318.5200000000004</v>
      </c>
      <c r="D2026" s="219">
        <f t="shared" si="208"/>
        <v>1.0250293401786285E-2</v>
      </c>
      <c r="F2026" s="40">
        <v>36082</v>
      </c>
      <c r="G2026" s="39">
        <v>4318.5200000000004</v>
      </c>
      <c r="H2026" s="39">
        <f t="shared" si="203"/>
        <v>3</v>
      </c>
      <c r="I2026" s="39">
        <f t="shared" si="204"/>
        <v>0</v>
      </c>
      <c r="K2026" s="40"/>
      <c r="Q2026" s="40">
        <v>36082</v>
      </c>
      <c r="R2026" s="39">
        <v>4318.5200000000004</v>
      </c>
      <c r="S2026" s="39">
        <f t="shared" si="205"/>
        <v>10</v>
      </c>
      <c r="T2026" s="39">
        <f t="shared" si="206"/>
        <v>0</v>
      </c>
      <c r="U2026" s="39">
        <f t="shared" si="207"/>
        <v>0</v>
      </c>
      <c r="V2026" s="40"/>
    </row>
    <row r="2027" spans="2:22" x14ac:dyDescent="0.35">
      <c r="B2027" s="40">
        <v>36083</v>
      </c>
      <c r="C2027" s="39">
        <v>4399.05</v>
      </c>
      <c r="D2027" s="219">
        <f t="shared" si="208"/>
        <v>1.8475857556405611E-2</v>
      </c>
      <c r="F2027" s="40">
        <v>36083</v>
      </c>
      <c r="G2027" s="39">
        <v>4399.05</v>
      </c>
      <c r="H2027" s="39">
        <f t="shared" si="203"/>
        <v>4</v>
      </c>
      <c r="I2027" s="39">
        <f t="shared" si="204"/>
        <v>0</v>
      </c>
      <c r="K2027" s="40"/>
      <c r="Q2027" s="40">
        <v>36083</v>
      </c>
      <c r="R2027" s="39">
        <v>4399.05</v>
      </c>
      <c r="S2027" s="39">
        <f t="shared" si="205"/>
        <v>10</v>
      </c>
      <c r="T2027" s="39">
        <f t="shared" si="206"/>
        <v>0</v>
      </c>
      <c r="U2027" s="39">
        <f t="shared" si="207"/>
        <v>0</v>
      </c>
      <c r="V2027" s="40"/>
    </row>
    <row r="2028" spans="2:22" x14ac:dyDescent="0.35">
      <c r="B2028" s="40">
        <v>36084</v>
      </c>
      <c r="C2028" s="39">
        <v>4489.1000000000004</v>
      </c>
      <c r="D2028" s="219">
        <f t="shared" si="208"/>
        <v>2.0263627706410495E-2</v>
      </c>
      <c r="F2028" s="40">
        <v>36084</v>
      </c>
      <c r="G2028" s="39">
        <v>4489.1000000000004</v>
      </c>
      <c r="H2028" s="39">
        <f t="shared" si="203"/>
        <v>5</v>
      </c>
      <c r="I2028" s="39">
        <f t="shared" si="204"/>
        <v>4489.1000000000004</v>
      </c>
      <c r="K2028" s="40"/>
      <c r="Q2028" s="40">
        <v>36084</v>
      </c>
      <c r="R2028" s="39">
        <v>4489.1000000000004</v>
      </c>
      <c r="S2028" s="39">
        <f t="shared" si="205"/>
        <v>10</v>
      </c>
      <c r="T2028" s="39">
        <f t="shared" si="206"/>
        <v>0</v>
      </c>
      <c r="U2028" s="39">
        <f t="shared" si="207"/>
        <v>0</v>
      </c>
      <c r="V2028" s="40"/>
    </row>
    <row r="2029" spans="2:22" x14ac:dyDescent="0.35">
      <c r="B2029" s="40">
        <v>36087</v>
      </c>
      <c r="C2029" s="39">
        <v>4458.3999999999996</v>
      </c>
      <c r="D2029" s="219">
        <f t="shared" si="208"/>
        <v>-6.8622789548041544E-3</v>
      </c>
      <c r="F2029" s="40">
        <v>36087</v>
      </c>
      <c r="G2029" s="39">
        <v>4458.3999999999996</v>
      </c>
      <c r="H2029" s="39">
        <f t="shared" si="203"/>
        <v>1</v>
      </c>
      <c r="I2029" s="39">
        <f t="shared" si="204"/>
        <v>0</v>
      </c>
      <c r="K2029" s="40"/>
      <c r="Q2029" s="40">
        <v>36087</v>
      </c>
      <c r="R2029" s="39">
        <v>4458.3999999999996</v>
      </c>
      <c r="S2029" s="39">
        <f t="shared" si="205"/>
        <v>10</v>
      </c>
      <c r="T2029" s="39">
        <f t="shared" si="206"/>
        <v>0</v>
      </c>
      <c r="U2029" s="39">
        <f t="shared" si="207"/>
        <v>0</v>
      </c>
      <c r="V2029" s="40"/>
    </row>
    <row r="2030" spans="2:22" x14ac:dyDescent="0.35">
      <c r="B2030" s="40">
        <v>36088</v>
      </c>
      <c r="C2030" s="39">
        <v>4595.82</v>
      </c>
      <c r="D2030" s="219">
        <f t="shared" si="208"/>
        <v>3.035723745550941E-2</v>
      </c>
      <c r="F2030" s="40">
        <v>36088</v>
      </c>
      <c r="G2030" s="39">
        <v>4595.82</v>
      </c>
      <c r="H2030" s="39">
        <f t="shared" si="203"/>
        <v>2</v>
      </c>
      <c r="I2030" s="39">
        <f t="shared" si="204"/>
        <v>0</v>
      </c>
      <c r="K2030" s="40"/>
      <c r="Q2030" s="40">
        <v>36088</v>
      </c>
      <c r="R2030" s="39">
        <v>4595.82</v>
      </c>
      <c r="S2030" s="39">
        <f t="shared" si="205"/>
        <v>10</v>
      </c>
      <c r="T2030" s="39">
        <f t="shared" si="206"/>
        <v>0</v>
      </c>
      <c r="U2030" s="39">
        <f t="shared" si="207"/>
        <v>0</v>
      </c>
      <c r="V2030" s="40"/>
    </row>
    <row r="2031" spans="2:22" x14ac:dyDescent="0.35">
      <c r="B2031" s="40">
        <v>36089</v>
      </c>
      <c r="C2031" s="39">
        <v>4523.24</v>
      </c>
      <c r="D2031" s="219">
        <f t="shared" si="208"/>
        <v>-1.5918643513830807E-2</v>
      </c>
      <c r="F2031" s="40">
        <v>36089</v>
      </c>
      <c r="G2031" s="39">
        <v>4523.24</v>
      </c>
      <c r="H2031" s="39">
        <f t="shared" si="203"/>
        <v>3</v>
      </c>
      <c r="I2031" s="39">
        <f t="shared" si="204"/>
        <v>0</v>
      </c>
      <c r="K2031" s="40"/>
      <c r="Q2031" s="40">
        <v>36089</v>
      </c>
      <c r="R2031" s="39">
        <v>4523.24</v>
      </c>
      <c r="S2031" s="39">
        <f t="shared" si="205"/>
        <v>10</v>
      </c>
      <c r="T2031" s="39">
        <f t="shared" si="206"/>
        <v>0</v>
      </c>
      <c r="U2031" s="39">
        <f t="shared" si="207"/>
        <v>0</v>
      </c>
      <c r="V2031" s="40"/>
    </row>
    <row r="2032" spans="2:22" x14ac:dyDescent="0.35">
      <c r="B2032" s="40">
        <v>36090</v>
      </c>
      <c r="C2032" s="39">
        <v>4454.28</v>
      </c>
      <c r="D2032" s="219">
        <f t="shared" si="208"/>
        <v>-1.5363119515010834E-2</v>
      </c>
      <c r="F2032" s="40">
        <v>36090</v>
      </c>
      <c r="G2032" s="39">
        <v>4454.28</v>
      </c>
      <c r="H2032" s="39">
        <f t="shared" si="203"/>
        <v>4</v>
      </c>
      <c r="I2032" s="39">
        <f t="shared" si="204"/>
        <v>0</v>
      </c>
      <c r="K2032" s="40"/>
      <c r="Q2032" s="40">
        <v>36090</v>
      </c>
      <c r="R2032" s="39">
        <v>4454.28</v>
      </c>
      <c r="S2032" s="39">
        <f t="shared" si="205"/>
        <v>10</v>
      </c>
      <c r="T2032" s="39">
        <f t="shared" si="206"/>
        <v>0</v>
      </c>
      <c r="U2032" s="39">
        <f t="shared" si="207"/>
        <v>0</v>
      </c>
      <c r="V2032" s="40"/>
    </row>
    <row r="2033" spans="2:22" x14ac:dyDescent="0.35">
      <c r="B2033" s="40">
        <v>36091</v>
      </c>
      <c r="C2033" s="39">
        <v>4451.09</v>
      </c>
      <c r="D2033" s="219">
        <f t="shared" si="208"/>
        <v>-7.1642169532343172E-4</v>
      </c>
      <c r="F2033" s="40">
        <v>36091</v>
      </c>
      <c r="G2033" s="39">
        <v>4451.09</v>
      </c>
      <c r="H2033" s="39">
        <f t="shared" si="203"/>
        <v>5</v>
      </c>
      <c r="I2033" s="39">
        <f t="shared" si="204"/>
        <v>4451.09</v>
      </c>
      <c r="K2033" s="40"/>
      <c r="Q2033" s="40">
        <v>36091</v>
      </c>
      <c r="R2033" s="39">
        <v>4451.09</v>
      </c>
      <c r="S2033" s="39">
        <f t="shared" si="205"/>
        <v>10</v>
      </c>
      <c r="T2033" s="39">
        <f t="shared" si="206"/>
        <v>0</v>
      </c>
      <c r="U2033" s="39">
        <f t="shared" si="207"/>
        <v>0</v>
      </c>
      <c r="V2033" s="40"/>
    </row>
    <row r="2034" spans="2:22" x14ac:dyDescent="0.35">
      <c r="B2034" s="40">
        <v>36094</v>
      </c>
      <c r="C2034" s="39">
        <v>4577.74</v>
      </c>
      <c r="D2034" s="219">
        <f t="shared" si="208"/>
        <v>2.8056416553491455E-2</v>
      </c>
      <c r="F2034" s="40">
        <v>36094</v>
      </c>
      <c r="G2034" s="39">
        <v>4577.74</v>
      </c>
      <c r="H2034" s="39">
        <f t="shared" si="203"/>
        <v>1</v>
      </c>
      <c r="I2034" s="39">
        <f t="shared" si="204"/>
        <v>0</v>
      </c>
      <c r="K2034" s="40"/>
      <c r="Q2034" s="40">
        <v>36094</v>
      </c>
      <c r="R2034" s="39">
        <v>4577.74</v>
      </c>
      <c r="S2034" s="39">
        <f t="shared" si="205"/>
        <v>10</v>
      </c>
      <c r="T2034" s="39">
        <f t="shared" si="206"/>
        <v>0</v>
      </c>
      <c r="U2034" s="39">
        <f t="shared" si="207"/>
        <v>0</v>
      </c>
      <c r="V2034" s="40"/>
    </row>
    <row r="2035" spans="2:22" x14ac:dyDescent="0.35">
      <c r="B2035" s="40">
        <v>36095</v>
      </c>
      <c r="C2035" s="39">
        <v>4682.45</v>
      </c>
      <c r="D2035" s="219">
        <f t="shared" si="208"/>
        <v>2.2616050664476535E-2</v>
      </c>
      <c r="F2035" s="40">
        <v>36095</v>
      </c>
      <c r="G2035" s="39">
        <v>4682.45</v>
      </c>
      <c r="H2035" s="39">
        <f t="shared" si="203"/>
        <v>2</v>
      </c>
      <c r="I2035" s="39">
        <f t="shared" si="204"/>
        <v>0</v>
      </c>
      <c r="K2035" s="40"/>
      <c r="Q2035" s="40">
        <v>36095</v>
      </c>
      <c r="R2035" s="39">
        <v>4682.45</v>
      </c>
      <c r="S2035" s="39">
        <f t="shared" si="205"/>
        <v>10</v>
      </c>
      <c r="T2035" s="39">
        <f t="shared" si="206"/>
        <v>0</v>
      </c>
      <c r="U2035" s="39">
        <f t="shared" si="207"/>
        <v>0</v>
      </c>
      <c r="V2035" s="40"/>
    </row>
    <row r="2036" spans="2:22" x14ac:dyDescent="0.35">
      <c r="B2036" s="40">
        <v>36096</v>
      </c>
      <c r="C2036" s="39">
        <v>4536.34</v>
      </c>
      <c r="D2036" s="219">
        <f t="shared" si="208"/>
        <v>-3.1700957697815405E-2</v>
      </c>
      <c r="F2036" s="40">
        <v>36096</v>
      </c>
      <c r="G2036" s="39">
        <v>4536.34</v>
      </c>
      <c r="H2036" s="39">
        <f t="shared" si="203"/>
        <v>3</v>
      </c>
      <c r="I2036" s="39">
        <f t="shared" si="204"/>
        <v>0</v>
      </c>
      <c r="K2036" s="40"/>
      <c r="Q2036" s="40">
        <v>36096</v>
      </c>
      <c r="R2036" s="39">
        <v>4536.34</v>
      </c>
      <c r="S2036" s="39">
        <f t="shared" si="205"/>
        <v>10</v>
      </c>
      <c r="T2036" s="39">
        <f t="shared" si="206"/>
        <v>0</v>
      </c>
      <c r="U2036" s="39">
        <f t="shared" si="207"/>
        <v>0</v>
      </c>
      <c r="V2036" s="40"/>
    </row>
    <row r="2037" spans="2:22" x14ac:dyDescent="0.35">
      <c r="B2037" s="40">
        <v>36097</v>
      </c>
      <c r="C2037" s="39">
        <v>4549.33</v>
      </c>
      <c r="D2037" s="219">
        <f t="shared" si="208"/>
        <v>2.8594498481696205E-3</v>
      </c>
      <c r="F2037" s="40">
        <v>36097</v>
      </c>
      <c r="G2037" s="39">
        <v>4549.33</v>
      </c>
      <c r="H2037" s="39">
        <f t="shared" si="203"/>
        <v>4</v>
      </c>
      <c r="I2037" s="39">
        <f t="shared" si="204"/>
        <v>0</v>
      </c>
      <c r="K2037" s="40"/>
      <c r="Q2037" s="40">
        <v>36097</v>
      </c>
      <c r="R2037" s="39">
        <v>4549.33</v>
      </c>
      <c r="S2037" s="39">
        <f t="shared" si="205"/>
        <v>10</v>
      </c>
      <c r="T2037" s="39">
        <f t="shared" si="206"/>
        <v>0</v>
      </c>
      <c r="U2037" s="39">
        <f t="shared" si="207"/>
        <v>0</v>
      </c>
      <c r="V2037" s="40"/>
    </row>
    <row r="2038" spans="2:22" x14ac:dyDescent="0.35">
      <c r="B2038" s="40">
        <v>36098</v>
      </c>
      <c r="C2038" s="39">
        <v>4671.12</v>
      </c>
      <c r="D2038" s="219">
        <f t="shared" si="208"/>
        <v>2.6418902247436236E-2</v>
      </c>
      <c r="F2038" s="40">
        <v>36098</v>
      </c>
      <c r="G2038" s="39">
        <v>4671.12</v>
      </c>
      <c r="H2038" s="39">
        <f t="shared" si="203"/>
        <v>5</v>
      </c>
      <c r="I2038" s="39">
        <f t="shared" si="204"/>
        <v>4671.12</v>
      </c>
      <c r="K2038" s="40"/>
      <c r="Q2038" s="40">
        <v>36098</v>
      </c>
      <c r="R2038" s="39">
        <v>4671.12</v>
      </c>
      <c r="S2038" s="39">
        <f t="shared" si="205"/>
        <v>10</v>
      </c>
      <c r="T2038" s="39">
        <f t="shared" si="206"/>
        <v>4671.12</v>
      </c>
      <c r="U2038" s="39">
        <f t="shared" si="207"/>
        <v>4671.12</v>
      </c>
      <c r="V2038" s="40"/>
    </row>
    <row r="2039" spans="2:22" x14ac:dyDescent="0.35">
      <c r="B2039" s="40">
        <v>36101</v>
      </c>
      <c r="C2039" s="39">
        <v>4761.1499999999996</v>
      </c>
      <c r="D2039" s="219">
        <f t="shared" si="208"/>
        <v>1.9090364081923612E-2</v>
      </c>
      <c r="F2039" s="40">
        <v>36101</v>
      </c>
      <c r="G2039" s="39">
        <v>4761.1499999999996</v>
      </c>
      <c r="H2039" s="39">
        <f t="shared" ref="H2039:H2102" si="209">WEEKDAY(F2039,2)</f>
        <v>1</v>
      </c>
      <c r="I2039" s="39">
        <f t="shared" ref="I2039:I2102" si="210">IF(H2039&gt;H2040,G2039,0)</f>
        <v>0</v>
      </c>
      <c r="K2039" s="40"/>
      <c r="Q2039" s="40">
        <v>36101</v>
      </c>
      <c r="R2039" s="39">
        <v>4761.1499999999996</v>
      </c>
      <c r="S2039" s="39">
        <f t="shared" ref="S2039:S2102" si="211">MONTH(Q2039)</f>
        <v>11</v>
      </c>
      <c r="T2039" s="39">
        <f t="shared" ref="T2039:T2102" si="212">IF(S2040&lt;&gt;S2039,R2039,0)</f>
        <v>0</v>
      </c>
      <c r="U2039" s="39">
        <f t="shared" ref="U2039:U2102" si="213">IF(S2040=S2039,0,R2039)</f>
        <v>0</v>
      </c>
      <c r="V2039" s="40"/>
    </row>
    <row r="2040" spans="2:22" x14ac:dyDescent="0.35">
      <c r="B2040" s="40">
        <v>36102</v>
      </c>
      <c r="C2040" s="39">
        <v>4705.08</v>
      </c>
      <c r="D2040" s="219">
        <f t="shared" ref="D2040:D2103" si="214">LN(C2040/C2039)</f>
        <v>-1.1846459621327748E-2</v>
      </c>
      <c r="F2040" s="40">
        <v>36102</v>
      </c>
      <c r="G2040" s="39">
        <v>4705.08</v>
      </c>
      <c r="H2040" s="39">
        <f t="shared" si="209"/>
        <v>2</v>
      </c>
      <c r="I2040" s="39">
        <f t="shared" si="210"/>
        <v>0</v>
      </c>
      <c r="K2040" s="40"/>
      <c r="Q2040" s="40">
        <v>36102</v>
      </c>
      <c r="R2040" s="39">
        <v>4705.08</v>
      </c>
      <c r="S2040" s="39">
        <f t="shared" si="211"/>
        <v>11</v>
      </c>
      <c r="T2040" s="39">
        <f t="shared" si="212"/>
        <v>0</v>
      </c>
      <c r="U2040" s="39">
        <f t="shared" si="213"/>
        <v>0</v>
      </c>
      <c r="V2040" s="40"/>
    </row>
    <row r="2041" spans="2:22" x14ac:dyDescent="0.35">
      <c r="B2041" s="40">
        <v>36103</v>
      </c>
      <c r="C2041" s="39">
        <v>4841.72</v>
      </c>
      <c r="D2041" s="219">
        <f t="shared" si="214"/>
        <v>2.8627253418840693E-2</v>
      </c>
      <c r="F2041" s="40">
        <v>36103</v>
      </c>
      <c r="G2041" s="39">
        <v>4841.72</v>
      </c>
      <c r="H2041" s="39">
        <f t="shared" si="209"/>
        <v>3</v>
      </c>
      <c r="I2041" s="39">
        <f t="shared" si="210"/>
        <v>0</v>
      </c>
      <c r="K2041" s="40"/>
      <c r="Q2041" s="40">
        <v>36103</v>
      </c>
      <c r="R2041" s="39">
        <v>4841.72</v>
      </c>
      <c r="S2041" s="39">
        <f t="shared" si="211"/>
        <v>11</v>
      </c>
      <c r="T2041" s="39">
        <f t="shared" si="212"/>
        <v>0</v>
      </c>
      <c r="U2041" s="39">
        <f t="shared" si="213"/>
        <v>0</v>
      </c>
      <c r="V2041" s="40"/>
    </row>
    <row r="2042" spans="2:22" x14ac:dyDescent="0.35">
      <c r="B2042" s="40">
        <v>36104</v>
      </c>
      <c r="C2042" s="39">
        <v>4811.6000000000004</v>
      </c>
      <c r="D2042" s="219">
        <f t="shared" si="214"/>
        <v>-6.2403603619482027E-3</v>
      </c>
      <c r="F2042" s="40">
        <v>36104</v>
      </c>
      <c r="G2042" s="39">
        <v>4811.6000000000004</v>
      </c>
      <c r="H2042" s="39">
        <f t="shared" si="209"/>
        <v>4</v>
      </c>
      <c r="I2042" s="39">
        <f t="shared" si="210"/>
        <v>0</v>
      </c>
      <c r="K2042" s="40"/>
      <c r="Q2042" s="40">
        <v>36104</v>
      </c>
      <c r="R2042" s="39">
        <v>4811.6000000000004</v>
      </c>
      <c r="S2042" s="39">
        <f t="shared" si="211"/>
        <v>11</v>
      </c>
      <c r="T2042" s="39">
        <f t="shared" si="212"/>
        <v>0</v>
      </c>
      <c r="U2042" s="39">
        <f t="shared" si="213"/>
        <v>0</v>
      </c>
      <c r="V2042" s="40"/>
    </row>
    <row r="2043" spans="2:22" x14ac:dyDescent="0.35">
      <c r="B2043" s="40">
        <v>36105</v>
      </c>
      <c r="C2043" s="39">
        <v>4836.22</v>
      </c>
      <c r="D2043" s="219">
        <f t="shared" si="214"/>
        <v>5.1037547222960531E-3</v>
      </c>
      <c r="F2043" s="40">
        <v>36105</v>
      </c>
      <c r="G2043" s="39">
        <v>4836.22</v>
      </c>
      <c r="H2043" s="39">
        <f t="shared" si="209"/>
        <v>5</v>
      </c>
      <c r="I2043" s="39">
        <f t="shared" si="210"/>
        <v>4836.22</v>
      </c>
      <c r="K2043" s="40"/>
      <c r="Q2043" s="40">
        <v>36105</v>
      </c>
      <c r="R2043" s="39">
        <v>4836.22</v>
      </c>
      <c r="S2043" s="39">
        <f t="shared" si="211"/>
        <v>11</v>
      </c>
      <c r="T2043" s="39">
        <f t="shared" si="212"/>
        <v>0</v>
      </c>
      <c r="U2043" s="39">
        <f t="shared" si="213"/>
        <v>0</v>
      </c>
      <c r="V2043" s="40"/>
    </row>
    <row r="2044" spans="2:22" x14ac:dyDescent="0.35">
      <c r="B2044" s="40">
        <v>36108</v>
      </c>
      <c r="C2044" s="39">
        <v>4768.58</v>
      </c>
      <c r="D2044" s="219">
        <f t="shared" si="214"/>
        <v>-1.4084857199793162E-2</v>
      </c>
      <c r="F2044" s="40">
        <v>36108</v>
      </c>
      <c r="G2044" s="39">
        <v>4768.58</v>
      </c>
      <c r="H2044" s="39">
        <f t="shared" si="209"/>
        <v>1</v>
      </c>
      <c r="I2044" s="39">
        <f t="shared" si="210"/>
        <v>0</v>
      </c>
      <c r="K2044" s="40"/>
      <c r="Q2044" s="40">
        <v>36108</v>
      </c>
      <c r="R2044" s="39">
        <v>4768.58</v>
      </c>
      <c r="S2044" s="39">
        <f t="shared" si="211"/>
        <v>11</v>
      </c>
      <c r="T2044" s="39">
        <f t="shared" si="212"/>
        <v>0</v>
      </c>
      <c r="U2044" s="39">
        <f t="shared" si="213"/>
        <v>0</v>
      </c>
      <c r="V2044" s="40"/>
    </row>
    <row r="2045" spans="2:22" x14ac:dyDescent="0.35">
      <c r="B2045" s="40">
        <v>36109</v>
      </c>
      <c r="C2045" s="39">
        <v>4662.78</v>
      </c>
      <c r="D2045" s="219">
        <f t="shared" si="214"/>
        <v>-2.2436729874192891E-2</v>
      </c>
      <c r="F2045" s="40">
        <v>36109</v>
      </c>
      <c r="G2045" s="39">
        <v>4662.78</v>
      </c>
      <c r="H2045" s="39">
        <f t="shared" si="209"/>
        <v>2</v>
      </c>
      <c r="I2045" s="39">
        <f t="shared" si="210"/>
        <v>0</v>
      </c>
      <c r="K2045" s="40"/>
      <c r="Q2045" s="40">
        <v>36109</v>
      </c>
      <c r="R2045" s="39">
        <v>4662.78</v>
      </c>
      <c r="S2045" s="39">
        <f t="shared" si="211"/>
        <v>11</v>
      </c>
      <c r="T2045" s="39">
        <f t="shared" si="212"/>
        <v>0</v>
      </c>
      <c r="U2045" s="39">
        <f t="shared" si="213"/>
        <v>0</v>
      </c>
      <c r="V2045" s="40"/>
    </row>
    <row r="2046" spans="2:22" x14ac:dyDescent="0.35">
      <c r="B2046" s="40">
        <v>36110</v>
      </c>
      <c r="C2046" s="39">
        <v>4717.7</v>
      </c>
      <c r="D2046" s="219">
        <f t="shared" si="214"/>
        <v>1.170955591233384E-2</v>
      </c>
      <c r="F2046" s="40">
        <v>36110</v>
      </c>
      <c r="G2046" s="39">
        <v>4717.7</v>
      </c>
      <c r="H2046" s="39">
        <f t="shared" si="209"/>
        <v>3</v>
      </c>
      <c r="I2046" s="39">
        <f t="shared" si="210"/>
        <v>0</v>
      </c>
      <c r="K2046" s="40"/>
      <c r="Q2046" s="40">
        <v>36110</v>
      </c>
      <c r="R2046" s="39">
        <v>4717.7</v>
      </c>
      <c r="S2046" s="39">
        <f t="shared" si="211"/>
        <v>11</v>
      </c>
      <c r="T2046" s="39">
        <f t="shared" si="212"/>
        <v>0</v>
      </c>
      <c r="U2046" s="39">
        <f t="shared" si="213"/>
        <v>0</v>
      </c>
      <c r="V2046" s="40"/>
    </row>
    <row r="2047" spans="2:22" x14ac:dyDescent="0.35">
      <c r="B2047" s="40">
        <v>36111</v>
      </c>
      <c r="C2047" s="39">
        <v>4639.8900000000003</v>
      </c>
      <c r="D2047" s="219">
        <f t="shared" si="214"/>
        <v>-1.6630733637824954E-2</v>
      </c>
      <c r="F2047" s="40">
        <v>36111</v>
      </c>
      <c r="G2047" s="39">
        <v>4639.8900000000003</v>
      </c>
      <c r="H2047" s="39">
        <f t="shared" si="209"/>
        <v>4</v>
      </c>
      <c r="I2047" s="39">
        <f t="shared" si="210"/>
        <v>0</v>
      </c>
      <c r="K2047" s="40"/>
      <c r="Q2047" s="40">
        <v>36111</v>
      </c>
      <c r="R2047" s="39">
        <v>4639.8900000000003</v>
      </c>
      <c r="S2047" s="39">
        <f t="shared" si="211"/>
        <v>11</v>
      </c>
      <c r="T2047" s="39">
        <f t="shared" si="212"/>
        <v>0</v>
      </c>
      <c r="U2047" s="39">
        <f t="shared" si="213"/>
        <v>0</v>
      </c>
      <c r="V2047" s="40"/>
    </row>
    <row r="2048" spans="2:22" x14ac:dyDescent="0.35">
      <c r="B2048" s="40">
        <v>36112</v>
      </c>
      <c r="C2048" s="39">
        <v>4639.6499999999996</v>
      </c>
      <c r="D2048" s="219">
        <f t="shared" si="214"/>
        <v>-5.1726701981860403E-5</v>
      </c>
      <c r="F2048" s="40">
        <v>36112</v>
      </c>
      <c r="G2048" s="39">
        <v>4639.6499999999996</v>
      </c>
      <c r="H2048" s="39">
        <f t="shared" si="209"/>
        <v>5</v>
      </c>
      <c r="I2048" s="39">
        <f t="shared" si="210"/>
        <v>4639.6499999999996</v>
      </c>
      <c r="K2048" s="40"/>
      <c r="Q2048" s="40">
        <v>36112</v>
      </c>
      <c r="R2048" s="39">
        <v>4639.6499999999996</v>
      </c>
      <c r="S2048" s="39">
        <f t="shared" si="211"/>
        <v>11</v>
      </c>
      <c r="T2048" s="39">
        <f t="shared" si="212"/>
        <v>0</v>
      </c>
      <c r="U2048" s="39">
        <f t="shared" si="213"/>
        <v>0</v>
      </c>
      <c r="V2048" s="40"/>
    </row>
    <row r="2049" spans="2:22" x14ac:dyDescent="0.35">
      <c r="B2049" s="40">
        <v>36115</v>
      </c>
      <c r="C2049" s="39">
        <v>4783.7700000000004</v>
      </c>
      <c r="D2049" s="219">
        <f t="shared" si="214"/>
        <v>3.0590006210903922E-2</v>
      </c>
      <c r="F2049" s="40">
        <v>36115</v>
      </c>
      <c r="G2049" s="39">
        <v>4783.7700000000004</v>
      </c>
      <c r="H2049" s="39">
        <f t="shared" si="209"/>
        <v>1</v>
      </c>
      <c r="I2049" s="39">
        <f t="shared" si="210"/>
        <v>0</v>
      </c>
      <c r="K2049" s="40"/>
      <c r="Q2049" s="40">
        <v>36115</v>
      </c>
      <c r="R2049" s="39">
        <v>4783.7700000000004</v>
      </c>
      <c r="S2049" s="39">
        <f t="shared" si="211"/>
        <v>11</v>
      </c>
      <c r="T2049" s="39">
        <f t="shared" si="212"/>
        <v>0</v>
      </c>
      <c r="U2049" s="39">
        <f t="shared" si="213"/>
        <v>0</v>
      </c>
      <c r="V2049" s="40"/>
    </row>
    <row r="2050" spans="2:22" x14ac:dyDescent="0.35">
      <c r="B2050" s="40">
        <v>36116</v>
      </c>
      <c r="C2050" s="39">
        <v>4702.63</v>
      </c>
      <c r="D2050" s="219">
        <f t="shared" si="214"/>
        <v>-1.7107011888835299E-2</v>
      </c>
      <c r="F2050" s="40">
        <v>36116</v>
      </c>
      <c r="G2050" s="39">
        <v>4702.63</v>
      </c>
      <c r="H2050" s="39">
        <f t="shared" si="209"/>
        <v>2</v>
      </c>
      <c r="I2050" s="39">
        <f t="shared" si="210"/>
        <v>0</v>
      </c>
      <c r="K2050" s="40"/>
      <c r="Q2050" s="40">
        <v>36116</v>
      </c>
      <c r="R2050" s="39">
        <v>4702.63</v>
      </c>
      <c r="S2050" s="39">
        <f t="shared" si="211"/>
        <v>11</v>
      </c>
      <c r="T2050" s="39">
        <f t="shared" si="212"/>
        <v>0</v>
      </c>
      <c r="U2050" s="39">
        <f t="shared" si="213"/>
        <v>0</v>
      </c>
      <c r="V2050" s="40"/>
    </row>
    <row r="2051" spans="2:22" x14ac:dyDescent="0.35">
      <c r="B2051" s="40">
        <v>36117</v>
      </c>
      <c r="C2051" s="39">
        <v>4698.72</v>
      </c>
      <c r="D2051" s="219">
        <f t="shared" si="214"/>
        <v>-8.3179548159333853E-4</v>
      </c>
      <c r="F2051" s="40">
        <v>36117</v>
      </c>
      <c r="G2051" s="39">
        <v>4698.72</v>
      </c>
      <c r="H2051" s="39">
        <f t="shared" si="209"/>
        <v>3</v>
      </c>
      <c r="I2051" s="39">
        <f t="shared" si="210"/>
        <v>0</v>
      </c>
      <c r="K2051" s="40"/>
      <c r="Q2051" s="40">
        <v>36117</v>
      </c>
      <c r="R2051" s="39">
        <v>4698.72</v>
      </c>
      <c r="S2051" s="39">
        <f t="shared" si="211"/>
        <v>11</v>
      </c>
      <c r="T2051" s="39">
        <f t="shared" si="212"/>
        <v>0</v>
      </c>
      <c r="U2051" s="39">
        <f t="shared" si="213"/>
        <v>0</v>
      </c>
      <c r="V2051" s="40"/>
    </row>
    <row r="2052" spans="2:22" x14ac:dyDescent="0.35">
      <c r="B2052" s="40">
        <v>36118</v>
      </c>
      <c r="C2052" s="39">
        <v>4795.6899999999996</v>
      </c>
      <c r="D2052" s="219">
        <f t="shared" si="214"/>
        <v>2.0427466679436419E-2</v>
      </c>
      <c r="F2052" s="40">
        <v>36118</v>
      </c>
      <c r="G2052" s="39">
        <v>4795.6899999999996</v>
      </c>
      <c r="H2052" s="39">
        <f t="shared" si="209"/>
        <v>4</v>
      </c>
      <c r="I2052" s="39">
        <f t="shared" si="210"/>
        <v>0</v>
      </c>
      <c r="K2052" s="40"/>
      <c r="Q2052" s="40">
        <v>36118</v>
      </c>
      <c r="R2052" s="39">
        <v>4795.6899999999996</v>
      </c>
      <c r="S2052" s="39">
        <f t="shared" si="211"/>
        <v>11</v>
      </c>
      <c r="T2052" s="39">
        <f t="shared" si="212"/>
        <v>0</v>
      </c>
      <c r="U2052" s="39">
        <f t="shared" si="213"/>
        <v>0</v>
      </c>
      <c r="V2052" s="40"/>
    </row>
    <row r="2053" spans="2:22" x14ac:dyDescent="0.35">
      <c r="B2053" s="40">
        <v>36119</v>
      </c>
      <c r="C2053" s="39">
        <v>4911.88</v>
      </c>
      <c r="D2053" s="219">
        <f t="shared" si="214"/>
        <v>2.3939162700468919E-2</v>
      </c>
      <c r="F2053" s="40">
        <v>36119</v>
      </c>
      <c r="G2053" s="39">
        <v>4911.88</v>
      </c>
      <c r="H2053" s="39">
        <f t="shared" si="209"/>
        <v>5</v>
      </c>
      <c r="I2053" s="39">
        <f t="shared" si="210"/>
        <v>4911.88</v>
      </c>
      <c r="K2053" s="40"/>
      <c r="Q2053" s="40">
        <v>36119</v>
      </c>
      <c r="R2053" s="39">
        <v>4911.88</v>
      </c>
      <c r="S2053" s="39">
        <f t="shared" si="211"/>
        <v>11</v>
      </c>
      <c r="T2053" s="39">
        <f t="shared" si="212"/>
        <v>0</v>
      </c>
      <c r="U2053" s="39">
        <f t="shared" si="213"/>
        <v>0</v>
      </c>
      <c r="V2053" s="40"/>
    </row>
    <row r="2054" spans="2:22" x14ac:dyDescent="0.35">
      <c r="B2054" s="40">
        <v>36122</v>
      </c>
      <c r="C2054" s="39">
        <v>5019.12</v>
      </c>
      <c r="D2054" s="219">
        <f t="shared" si="214"/>
        <v>2.1597858953227536E-2</v>
      </c>
      <c r="F2054" s="40">
        <v>36122</v>
      </c>
      <c r="G2054" s="39">
        <v>5019.12</v>
      </c>
      <c r="H2054" s="39">
        <f t="shared" si="209"/>
        <v>1</v>
      </c>
      <c r="I2054" s="39">
        <f t="shared" si="210"/>
        <v>0</v>
      </c>
      <c r="K2054" s="40"/>
      <c r="Q2054" s="40">
        <v>36122</v>
      </c>
      <c r="R2054" s="39">
        <v>5019.12</v>
      </c>
      <c r="S2054" s="39">
        <f t="shared" si="211"/>
        <v>11</v>
      </c>
      <c r="T2054" s="39">
        <f t="shared" si="212"/>
        <v>0</v>
      </c>
      <c r="U2054" s="39">
        <f t="shared" si="213"/>
        <v>0</v>
      </c>
      <c r="V2054" s="40"/>
    </row>
    <row r="2055" spans="2:22" x14ac:dyDescent="0.35">
      <c r="B2055" s="40">
        <v>36123</v>
      </c>
      <c r="C2055" s="39">
        <v>4958.82</v>
      </c>
      <c r="D2055" s="219">
        <f t="shared" si="214"/>
        <v>-1.2086810324657445E-2</v>
      </c>
      <c r="F2055" s="40">
        <v>36123</v>
      </c>
      <c r="G2055" s="39">
        <v>4958.82</v>
      </c>
      <c r="H2055" s="39">
        <f t="shared" si="209"/>
        <v>2</v>
      </c>
      <c r="I2055" s="39">
        <f t="shared" si="210"/>
        <v>0</v>
      </c>
      <c r="K2055" s="40"/>
      <c r="Q2055" s="40">
        <v>36123</v>
      </c>
      <c r="R2055" s="39">
        <v>4958.82</v>
      </c>
      <c r="S2055" s="39">
        <f t="shared" si="211"/>
        <v>11</v>
      </c>
      <c r="T2055" s="39">
        <f t="shared" si="212"/>
        <v>0</v>
      </c>
      <c r="U2055" s="39">
        <f t="shared" si="213"/>
        <v>0</v>
      </c>
      <c r="V2055" s="40"/>
    </row>
    <row r="2056" spans="2:22" x14ac:dyDescent="0.35">
      <c r="B2056" s="40">
        <v>36124</v>
      </c>
      <c r="C2056" s="39">
        <v>4944.37</v>
      </c>
      <c r="D2056" s="219">
        <f t="shared" si="214"/>
        <v>-2.9182536647136335E-3</v>
      </c>
      <c r="F2056" s="40">
        <v>36124</v>
      </c>
      <c r="G2056" s="39">
        <v>4944.37</v>
      </c>
      <c r="H2056" s="39">
        <f t="shared" si="209"/>
        <v>3</v>
      </c>
      <c r="I2056" s="39">
        <f t="shared" si="210"/>
        <v>0</v>
      </c>
      <c r="K2056" s="40"/>
      <c r="Q2056" s="40">
        <v>36124</v>
      </c>
      <c r="R2056" s="39">
        <v>4944.37</v>
      </c>
      <c r="S2056" s="39">
        <f t="shared" si="211"/>
        <v>11</v>
      </c>
      <c r="T2056" s="39">
        <f t="shared" si="212"/>
        <v>0</v>
      </c>
      <c r="U2056" s="39">
        <f t="shared" si="213"/>
        <v>0</v>
      </c>
      <c r="V2056" s="40"/>
    </row>
    <row r="2057" spans="2:22" x14ac:dyDescent="0.35">
      <c r="B2057" s="40">
        <v>36125</v>
      </c>
      <c r="C2057" s="39">
        <v>5051.63</v>
      </c>
      <c r="D2057" s="219">
        <f t="shared" si="214"/>
        <v>2.1461407941876575E-2</v>
      </c>
      <c r="F2057" s="40">
        <v>36125</v>
      </c>
      <c r="G2057" s="39">
        <v>5051.63</v>
      </c>
      <c r="H2057" s="39">
        <f t="shared" si="209"/>
        <v>4</v>
      </c>
      <c r="I2057" s="39">
        <f t="shared" si="210"/>
        <v>0</v>
      </c>
      <c r="K2057" s="40"/>
      <c r="Q2057" s="40">
        <v>36125</v>
      </c>
      <c r="R2057" s="39">
        <v>5051.63</v>
      </c>
      <c r="S2057" s="39">
        <f t="shared" si="211"/>
        <v>11</v>
      </c>
      <c r="T2057" s="39">
        <f t="shared" si="212"/>
        <v>0</v>
      </c>
      <c r="U2057" s="39">
        <f t="shared" si="213"/>
        <v>0</v>
      </c>
      <c r="V2057" s="40"/>
    </row>
    <row r="2058" spans="2:22" x14ac:dyDescent="0.35">
      <c r="B2058" s="40">
        <v>36126</v>
      </c>
      <c r="C2058" s="39">
        <v>5121.4799999999996</v>
      </c>
      <c r="D2058" s="219">
        <f t="shared" si="214"/>
        <v>1.373249629617009E-2</v>
      </c>
      <c r="F2058" s="40">
        <v>36126</v>
      </c>
      <c r="G2058" s="39">
        <v>5121.4799999999996</v>
      </c>
      <c r="H2058" s="39">
        <f t="shared" si="209"/>
        <v>5</v>
      </c>
      <c r="I2058" s="39">
        <f t="shared" si="210"/>
        <v>5121.4799999999996</v>
      </c>
      <c r="K2058" s="40"/>
      <c r="Q2058" s="40">
        <v>36126</v>
      </c>
      <c r="R2058" s="39">
        <v>5121.4799999999996</v>
      </c>
      <c r="S2058" s="39">
        <f t="shared" si="211"/>
        <v>11</v>
      </c>
      <c r="T2058" s="39">
        <f t="shared" si="212"/>
        <v>0</v>
      </c>
      <c r="U2058" s="39">
        <f t="shared" si="213"/>
        <v>0</v>
      </c>
      <c r="V2058" s="40"/>
    </row>
    <row r="2059" spans="2:22" x14ac:dyDescent="0.35">
      <c r="B2059" s="40">
        <v>36129</v>
      </c>
      <c r="C2059" s="39">
        <v>5022.7</v>
      </c>
      <c r="D2059" s="219">
        <f t="shared" si="214"/>
        <v>-1.9475822060404699E-2</v>
      </c>
      <c r="F2059" s="40">
        <v>36129</v>
      </c>
      <c r="G2059" s="39">
        <v>5022.7</v>
      </c>
      <c r="H2059" s="39">
        <f t="shared" si="209"/>
        <v>1</v>
      </c>
      <c r="I2059" s="39">
        <f t="shared" si="210"/>
        <v>0</v>
      </c>
      <c r="K2059" s="40"/>
      <c r="Q2059" s="40">
        <v>36129</v>
      </c>
      <c r="R2059" s="39">
        <v>5022.7</v>
      </c>
      <c r="S2059" s="39">
        <f t="shared" si="211"/>
        <v>11</v>
      </c>
      <c r="T2059" s="39">
        <f t="shared" si="212"/>
        <v>5022.7</v>
      </c>
      <c r="U2059" s="39">
        <f t="shared" si="213"/>
        <v>5022.7</v>
      </c>
      <c r="V2059" s="40"/>
    </row>
    <row r="2060" spans="2:22" x14ac:dyDescent="0.35">
      <c r="B2060" s="40">
        <v>36130</v>
      </c>
      <c r="C2060" s="39">
        <v>4781.7299999999996</v>
      </c>
      <c r="D2060" s="219">
        <f t="shared" si="214"/>
        <v>-4.9165232009880197E-2</v>
      </c>
      <c r="F2060" s="40">
        <v>36130</v>
      </c>
      <c r="G2060" s="39">
        <v>4781.7299999999996</v>
      </c>
      <c r="H2060" s="39">
        <f t="shared" si="209"/>
        <v>2</v>
      </c>
      <c r="I2060" s="39">
        <f t="shared" si="210"/>
        <v>0</v>
      </c>
      <c r="K2060" s="40"/>
      <c r="Q2060" s="40">
        <v>36130</v>
      </c>
      <c r="R2060" s="39">
        <v>4781.7299999999996</v>
      </c>
      <c r="S2060" s="39">
        <f t="shared" si="211"/>
        <v>12</v>
      </c>
      <c r="T2060" s="39">
        <f t="shared" si="212"/>
        <v>0</v>
      </c>
      <c r="U2060" s="39">
        <f t="shared" si="213"/>
        <v>0</v>
      </c>
      <c r="V2060" s="40"/>
    </row>
    <row r="2061" spans="2:22" x14ac:dyDescent="0.35">
      <c r="B2061" s="40">
        <v>36131</v>
      </c>
      <c r="C2061" s="39">
        <v>4691.6899999999996</v>
      </c>
      <c r="D2061" s="219">
        <f t="shared" si="214"/>
        <v>-1.9009547008323014E-2</v>
      </c>
      <c r="F2061" s="40">
        <v>36131</v>
      </c>
      <c r="G2061" s="39">
        <v>4691.6899999999996</v>
      </c>
      <c r="H2061" s="39">
        <f t="shared" si="209"/>
        <v>3</v>
      </c>
      <c r="I2061" s="39">
        <f t="shared" si="210"/>
        <v>0</v>
      </c>
      <c r="K2061" s="40"/>
      <c r="Q2061" s="40">
        <v>36131</v>
      </c>
      <c r="R2061" s="39">
        <v>4691.6899999999996</v>
      </c>
      <c r="S2061" s="39">
        <f t="shared" si="211"/>
        <v>12</v>
      </c>
      <c r="T2061" s="39">
        <f t="shared" si="212"/>
        <v>0</v>
      </c>
      <c r="U2061" s="39">
        <f t="shared" si="213"/>
        <v>0</v>
      </c>
      <c r="V2061" s="40"/>
    </row>
    <row r="2062" spans="2:22" x14ac:dyDescent="0.35">
      <c r="B2062" s="40">
        <v>36132</v>
      </c>
      <c r="C2062" s="39">
        <v>4787.08</v>
      </c>
      <c r="D2062" s="219">
        <f t="shared" si="214"/>
        <v>2.0127763496574694E-2</v>
      </c>
      <c r="F2062" s="40">
        <v>36132</v>
      </c>
      <c r="G2062" s="39">
        <v>4787.08</v>
      </c>
      <c r="H2062" s="39">
        <f t="shared" si="209"/>
        <v>4</v>
      </c>
      <c r="I2062" s="39">
        <f t="shared" si="210"/>
        <v>0</v>
      </c>
      <c r="K2062" s="40"/>
      <c r="Q2062" s="40">
        <v>36132</v>
      </c>
      <c r="R2062" s="39">
        <v>4787.08</v>
      </c>
      <c r="S2062" s="39">
        <f t="shared" si="211"/>
        <v>12</v>
      </c>
      <c r="T2062" s="39">
        <f t="shared" si="212"/>
        <v>0</v>
      </c>
      <c r="U2062" s="39">
        <f t="shared" si="213"/>
        <v>0</v>
      </c>
      <c r="V2062" s="40"/>
    </row>
    <row r="2063" spans="2:22" x14ac:dyDescent="0.35">
      <c r="B2063" s="40">
        <v>36133</v>
      </c>
      <c r="C2063" s="39">
        <v>4775.2299999999996</v>
      </c>
      <c r="D2063" s="219">
        <f t="shared" si="214"/>
        <v>-2.4784818869260784E-3</v>
      </c>
      <c r="F2063" s="40">
        <v>36133</v>
      </c>
      <c r="G2063" s="39">
        <v>4775.2299999999996</v>
      </c>
      <c r="H2063" s="39">
        <f t="shared" si="209"/>
        <v>5</v>
      </c>
      <c r="I2063" s="39">
        <f t="shared" si="210"/>
        <v>4775.2299999999996</v>
      </c>
      <c r="K2063" s="40"/>
      <c r="Q2063" s="40">
        <v>36133</v>
      </c>
      <c r="R2063" s="39">
        <v>4775.2299999999996</v>
      </c>
      <c r="S2063" s="39">
        <f t="shared" si="211"/>
        <v>12</v>
      </c>
      <c r="T2063" s="39">
        <f t="shared" si="212"/>
        <v>0</v>
      </c>
      <c r="U2063" s="39">
        <f t="shared" si="213"/>
        <v>0</v>
      </c>
      <c r="V2063" s="40"/>
    </row>
    <row r="2064" spans="2:22" x14ac:dyDescent="0.35">
      <c r="B2064" s="40">
        <v>36136</v>
      </c>
      <c r="C2064" s="39">
        <v>4713.96</v>
      </c>
      <c r="D2064" s="219">
        <f t="shared" si="214"/>
        <v>-1.291382119675263E-2</v>
      </c>
      <c r="F2064" s="40">
        <v>36136</v>
      </c>
      <c r="G2064" s="39">
        <v>4713.96</v>
      </c>
      <c r="H2064" s="39">
        <f t="shared" si="209"/>
        <v>1</v>
      </c>
      <c r="I2064" s="39">
        <f t="shared" si="210"/>
        <v>0</v>
      </c>
      <c r="K2064" s="40"/>
      <c r="Q2064" s="40">
        <v>36136</v>
      </c>
      <c r="R2064" s="39">
        <v>4713.96</v>
      </c>
      <c r="S2064" s="39">
        <f t="shared" si="211"/>
        <v>12</v>
      </c>
      <c r="T2064" s="39">
        <f t="shared" si="212"/>
        <v>0</v>
      </c>
      <c r="U2064" s="39">
        <f t="shared" si="213"/>
        <v>0</v>
      </c>
      <c r="V2064" s="40"/>
    </row>
    <row r="2065" spans="2:22" x14ac:dyDescent="0.35">
      <c r="B2065" s="40">
        <v>36137</v>
      </c>
      <c r="C2065" s="39">
        <v>4699.34</v>
      </c>
      <c r="D2065" s="219">
        <f t="shared" si="214"/>
        <v>-3.1062457916792813E-3</v>
      </c>
      <c r="F2065" s="40">
        <v>36137</v>
      </c>
      <c r="G2065" s="39">
        <v>4699.34</v>
      </c>
      <c r="H2065" s="39">
        <f t="shared" si="209"/>
        <v>2</v>
      </c>
      <c r="I2065" s="39">
        <f t="shared" si="210"/>
        <v>0</v>
      </c>
      <c r="K2065" s="40"/>
      <c r="Q2065" s="40">
        <v>36137</v>
      </c>
      <c r="R2065" s="39">
        <v>4699.34</v>
      </c>
      <c r="S2065" s="39">
        <f t="shared" si="211"/>
        <v>12</v>
      </c>
      <c r="T2065" s="39">
        <f t="shared" si="212"/>
        <v>0</v>
      </c>
      <c r="U2065" s="39">
        <f t="shared" si="213"/>
        <v>0</v>
      </c>
      <c r="V2065" s="40"/>
    </row>
    <row r="2066" spans="2:22" x14ac:dyDescent="0.35">
      <c r="B2066" s="40">
        <v>36138</v>
      </c>
      <c r="C2066" s="39">
        <v>4663.68</v>
      </c>
      <c r="D2066" s="219">
        <f t="shared" si="214"/>
        <v>-7.6172372637842364E-3</v>
      </c>
      <c r="F2066" s="40">
        <v>36138</v>
      </c>
      <c r="G2066" s="39">
        <v>4663.68</v>
      </c>
      <c r="H2066" s="39">
        <f t="shared" si="209"/>
        <v>3</v>
      </c>
      <c r="I2066" s="39">
        <f t="shared" si="210"/>
        <v>0</v>
      </c>
      <c r="K2066" s="40"/>
      <c r="Q2066" s="40">
        <v>36138</v>
      </c>
      <c r="R2066" s="39">
        <v>4663.68</v>
      </c>
      <c r="S2066" s="39">
        <f t="shared" si="211"/>
        <v>12</v>
      </c>
      <c r="T2066" s="39">
        <f t="shared" si="212"/>
        <v>0</v>
      </c>
      <c r="U2066" s="39">
        <f t="shared" si="213"/>
        <v>0</v>
      </c>
      <c r="V2066" s="40"/>
    </row>
    <row r="2067" spans="2:22" x14ac:dyDescent="0.35">
      <c r="B2067" s="40">
        <v>36139</v>
      </c>
      <c r="C2067" s="39">
        <v>4642.6899999999996</v>
      </c>
      <c r="D2067" s="219">
        <f t="shared" si="214"/>
        <v>-4.5108964273628442E-3</v>
      </c>
      <c r="F2067" s="40">
        <v>36139</v>
      </c>
      <c r="G2067" s="39">
        <v>4642.6899999999996</v>
      </c>
      <c r="H2067" s="39">
        <f t="shared" si="209"/>
        <v>4</v>
      </c>
      <c r="I2067" s="39">
        <f t="shared" si="210"/>
        <v>0</v>
      </c>
      <c r="K2067" s="40"/>
      <c r="Q2067" s="40">
        <v>36139</v>
      </c>
      <c r="R2067" s="39">
        <v>4642.6899999999996</v>
      </c>
      <c r="S2067" s="39">
        <f t="shared" si="211"/>
        <v>12</v>
      </c>
      <c r="T2067" s="39">
        <f t="shared" si="212"/>
        <v>0</v>
      </c>
      <c r="U2067" s="39">
        <f t="shared" si="213"/>
        <v>0</v>
      </c>
      <c r="V2067" s="40"/>
    </row>
    <row r="2068" spans="2:22" x14ac:dyDescent="0.35">
      <c r="B2068" s="40">
        <v>36140</v>
      </c>
      <c r="C2068" s="39">
        <v>4536.2</v>
      </c>
      <c r="D2068" s="219">
        <f t="shared" si="214"/>
        <v>-2.3204282468164462E-2</v>
      </c>
      <c r="F2068" s="40">
        <v>36140</v>
      </c>
      <c r="G2068" s="39">
        <v>4536.2</v>
      </c>
      <c r="H2068" s="39">
        <f t="shared" si="209"/>
        <v>5</v>
      </c>
      <c r="I2068" s="39">
        <f t="shared" si="210"/>
        <v>4536.2</v>
      </c>
      <c r="K2068" s="40"/>
      <c r="Q2068" s="40">
        <v>36140</v>
      </c>
      <c r="R2068" s="39">
        <v>4536.2</v>
      </c>
      <c r="S2068" s="39">
        <f t="shared" si="211"/>
        <v>12</v>
      </c>
      <c r="T2068" s="39">
        <f t="shared" si="212"/>
        <v>0</v>
      </c>
      <c r="U2068" s="39">
        <f t="shared" si="213"/>
        <v>0</v>
      </c>
      <c r="V2068" s="40"/>
    </row>
    <row r="2069" spans="2:22" x14ac:dyDescent="0.35">
      <c r="B2069" s="40">
        <v>36143</v>
      </c>
      <c r="C2069" s="39">
        <v>4522.8599999999997</v>
      </c>
      <c r="D2069" s="219">
        <f t="shared" si="214"/>
        <v>-2.945120054905831E-3</v>
      </c>
      <c r="F2069" s="40">
        <v>36143</v>
      </c>
      <c r="G2069" s="39">
        <v>4522.8599999999997</v>
      </c>
      <c r="H2069" s="39">
        <f t="shared" si="209"/>
        <v>1</v>
      </c>
      <c r="I2069" s="39">
        <f t="shared" si="210"/>
        <v>0</v>
      </c>
      <c r="K2069" s="40"/>
      <c r="Q2069" s="40">
        <v>36143</v>
      </c>
      <c r="R2069" s="39">
        <v>4522.8599999999997</v>
      </c>
      <c r="S2069" s="39">
        <f t="shared" si="211"/>
        <v>12</v>
      </c>
      <c r="T2069" s="39">
        <f t="shared" si="212"/>
        <v>0</v>
      </c>
      <c r="U2069" s="39">
        <f t="shared" si="213"/>
        <v>0</v>
      </c>
      <c r="V2069" s="40"/>
    </row>
    <row r="2070" spans="2:22" x14ac:dyDescent="0.35">
      <c r="B2070" s="40">
        <v>36144</v>
      </c>
      <c r="C2070" s="39">
        <v>4574.5</v>
      </c>
      <c r="D2070" s="219">
        <f t="shared" si="214"/>
        <v>1.1352866028160305E-2</v>
      </c>
      <c r="F2070" s="40">
        <v>36144</v>
      </c>
      <c r="G2070" s="39">
        <v>4574.5</v>
      </c>
      <c r="H2070" s="39">
        <f t="shared" si="209"/>
        <v>2</v>
      </c>
      <c r="I2070" s="39">
        <f t="shared" si="210"/>
        <v>0</v>
      </c>
      <c r="K2070" s="40"/>
      <c r="Q2070" s="40">
        <v>36144</v>
      </c>
      <c r="R2070" s="39">
        <v>4574.5</v>
      </c>
      <c r="S2070" s="39">
        <f t="shared" si="211"/>
        <v>12</v>
      </c>
      <c r="T2070" s="39">
        <f t="shared" si="212"/>
        <v>0</v>
      </c>
      <c r="U2070" s="39">
        <f t="shared" si="213"/>
        <v>0</v>
      </c>
      <c r="V2070" s="40"/>
    </row>
    <row r="2071" spans="2:22" x14ac:dyDescent="0.35">
      <c r="B2071" s="40">
        <v>36145</v>
      </c>
      <c r="C2071" s="39">
        <v>4663.45</v>
      </c>
      <c r="D2071" s="219">
        <f t="shared" si="214"/>
        <v>1.9258114428792512E-2</v>
      </c>
      <c r="F2071" s="40">
        <v>36145</v>
      </c>
      <c r="G2071" s="39">
        <v>4663.45</v>
      </c>
      <c r="H2071" s="39">
        <f t="shared" si="209"/>
        <v>3</v>
      </c>
      <c r="I2071" s="39">
        <f t="shared" si="210"/>
        <v>0</v>
      </c>
      <c r="K2071" s="40"/>
      <c r="Q2071" s="40">
        <v>36145</v>
      </c>
      <c r="R2071" s="39">
        <v>4663.45</v>
      </c>
      <c r="S2071" s="39">
        <f t="shared" si="211"/>
        <v>12</v>
      </c>
      <c r="T2071" s="39">
        <f t="shared" si="212"/>
        <v>0</v>
      </c>
      <c r="U2071" s="39">
        <f t="shared" si="213"/>
        <v>0</v>
      </c>
      <c r="V2071" s="40"/>
    </row>
    <row r="2072" spans="2:22" x14ac:dyDescent="0.35">
      <c r="B2072" s="40">
        <v>36146</v>
      </c>
      <c r="C2072" s="39">
        <v>4723.8100000000004</v>
      </c>
      <c r="D2072" s="219">
        <f t="shared" si="214"/>
        <v>1.2860159807605263E-2</v>
      </c>
      <c r="F2072" s="40">
        <v>36146</v>
      </c>
      <c r="G2072" s="39">
        <v>4723.8100000000004</v>
      </c>
      <c r="H2072" s="39">
        <f t="shared" si="209"/>
        <v>4</v>
      </c>
      <c r="I2072" s="39">
        <f t="shared" si="210"/>
        <v>0</v>
      </c>
      <c r="K2072" s="40"/>
      <c r="Q2072" s="40">
        <v>36146</v>
      </c>
      <c r="R2072" s="39">
        <v>4723.8100000000004</v>
      </c>
      <c r="S2072" s="39">
        <f t="shared" si="211"/>
        <v>12</v>
      </c>
      <c r="T2072" s="39">
        <f t="shared" si="212"/>
        <v>0</v>
      </c>
      <c r="U2072" s="39">
        <f t="shared" si="213"/>
        <v>0</v>
      </c>
      <c r="V2072" s="40"/>
    </row>
    <row r="2073" spans="2:22" x14ac:dyDescent="0.35">
      <c r="B2073" s="40">
        <v>36147</v>
      </c>
      <c r="C2073" s="39">
        <v>4629.2299999999996</v>
      </c>
      <c r="D2073" s="219">
        <f t="shared" si="214"/>
        <v>-2.0225129801664386E-2</v>
      </c>
      <c r="F2073" s="40">
        <v>36147</v>
      </c>
      <c r="G2073" s="39">
        <v>4629.2299999999996</v>
      </c>
      <c r="H2073" s="39">
        <f t="shared" si="209"/>
        <v>5</v>
      </c>
      <c r="I2073" s="39">
        <f t="shared" si="210"/>
        <v>4629.2299999999996</v>
      </c>
      <c r="K2073" s="40"/>
      <c r="Q2073" s="40">
        <v>36147</v>
      </c>
      <c r="R2073" s="39">
        <v>4629.2299999999996</v>
      </c>
      <c r="S2073" s="39">
        <f t="shared" si="211"/>
        <v>12</v>
      </c>
      <c r="T2073" s="39">
        <f t="shared" si="212"/>
        <v>0</v>
      </c>
      <c r="U2073" s="39">
        <f t="shared" si="213"/>
        <v>0</v>
      </c>
      <c r="V2073" s="40"/>
    </row>
    <row r="2074" spans="2:22" x14ac:dyDescent="0.35">
      <c r="B2074" s="40">
        <v>36150</v>
      </c>
      <c r="C2074" s="39">
        <v>4780.93</v>
      </c>
      <c r="D2074" s="219">
        <f t="shared" si="214"/>
        <v>3.2244540676161976E-2</v>
      </c>
      <c r="F2074" s="40">
        <v>36150</v>
      </c>
      <c r="G2074" s="39">
        <v>4780.93</v>
      </c>
      <c r="H2074" s="39">
        <f t="shared" si="209"/>
        <v>1</v>
      </c>
      <c r="I2074" s="39">
        <f t="shared" si="210"/>
        <v>0</v>
      </c>
      <c r="K2074" s="40"/>
      <c r="Q2074" s="40">
        <v>36150</v>
      </c>
      <c r="R2074" s="39">
        <v>4780.93</v>
      </c>
      <c r="S2074" s="39">
        <f t="shared" si="211"/>
        <v>12</v>
      </c>
      <c r="T2074" s="39">
        <f t="shared" si="212"/>
        <v>0</v>
      </c>
      <c r="U2074" s="39">
        <f t="shared" si="213"/>
        <v>0</v>
      </c>
      <c r="V2074" s="40"/>
    </row>
    <row r="2075" spans="2:22" x14ac:dyDescent="0.35">
      <c r="B2075" s="40">
        <v>36151</v>
      </c>
      <c r="C2075" s="39">
        <v>4825.38</v>
      </c>
      <c r="D2075" s="219">
        <f t="shared" si="214"/>
        <v>9.2543999181564449E-3</v>
      </c>
      <c r="F2075" s="40">
        <v>36151</v>
      </c>
      <c r="G2075" s="39">
        <v>4825.38</v>
      </c>
      <c r="H2075" s="39">
        <f t="shared" si="209"/>
        <v>2</v>
      </c>
      <c r="I2075" s="39">
        <f t="shared" si="210"/>
        <v>0</v>
      </c>
      <c r="K2075" s="40"/>
      <c r="Q2075" s="40">
        <v>36151</v>
      </c>
      <c r="R2075" s="39">
        <v>4825.38</v>
      </c>
      <c r="S2075" s="39">
        <f t="shared" si="211"/>
        <v>12</v>
      </c>
      <c r="T2075" s="39">
        <f t="shared" si="212"/>
        <v>0</v>
      </c>
      <c r="U2075" s="39">
        <f t="shared" si="213"/>
        <v>0</v>
      </c>
      <c r="V2075" s="40"/>
    </row>
    <row r="2076" spans="2:22" x14ac:dyDescent="0.35">
      <c r="B2076" s="40">
        <v>36152</v>
      </c>
      <c r="C2076" s="39">
        <v>4951.7700000000004</v>
      </c>
      <c r="D2076" s="219">
        <f t="shared" si="214"/>
        <v>2.5855600256694703E-2</v>
      </c>
      <c r="F2076" s="40">
        <v>36152</v>
      </c>
      <c r="G2076" s="39">
        <v>4951.7700000000004</v>
      </c>
      <c r="H2076" s="39">
        <f t="shared" si="209"/>
        <v>3</v>
      </c>
      <c r="I2076" s="39">
        <f t="shared" si="210"/>
        <v>4951.7700000000004</v>
      </c>
      <c r="K2076" s="40"/>
      <c r="Q2076" s="40">
        <v>36152</v>
      </c>
      <c r="R2076" s="39">
        <v>4951.7700000000004</v>
      </c>
      <c r="S2076" s="39">
        <f t="shared" si="211"/>
        <v>12</v>
      </c>
      <c r="T2076" s="39">
        <f t="shared" si="212"/>
        <v>0</v>
      </c>
      <c r="U2076" s="39">
        <f t="shared" si="213"/>
        <v>0</v>
      </c>
      <c r="V2076" s="40"/>
    </row>
    <row r="2077" spans="2:22" x14ac:dyDescent="0.35">
      <c r="B2077" s="40">
        <v>36157</v>
      </c>
      <c r="C2077" s="39">
        <v>5044.7700000000004</v>
      </c>
      <c r="D2077" s="219">
        <f t="shared" si="214"/>
        <v>1.8606974650366159E-2</v>
      </c>
      <c r="F2077" s="40">
        <v>36157</v>
      </c>
      <c r="G2077" s="39">
        <v>5044.7700000000004</v>
      </c>
      <c r="H2077" s="39">
        <f t="shared" si="209"/>
        <v>1</v>
      </c>
      <c r="I2077" s="39">
        <f t="shared" si="210"/>
        <v>0</v>
      </c>
      <c r="K2077" s="40"/>
      <c r="Q2077" s="40">
        <v>36157</v>
      </c>
      <c r="R2077" s="39">
        <v>5044.7700000000004</v>
      </c>
      <c r="S2077" s="39">
        <f t="shared" si="211"/>
        <v>12</v>
      </c>
      <c r="T2077" s="39">
        <f t="shared" si="212"/>
        <v>0</v>
      </c>
      <c r="U2077" s="39">
        <f t="shared" si="213"/>
        <v>0</v>
      </c>
      <c r="V2077" s="40"/>
    </row>
    <row r="2078" spans="2:22" x14ac:dyDescent="0.35">
      <c r="B2078" s="40">
        <v>36158</v>
      </c>
      <c r="C2078" s="39">
        <v>5031.87</v>
      </c>
      <c r="D2078" s="219">
        <f t="shared" si="214"/>
        <v>-2.5603786673343552E-3</v>
      </c>
      <c r="F2078" s="40">
        <v>36158</v>
      </c>
      <c r="G2078" s="39">
        <v>5031.87</v>
      </c>
      <c r="H2078" s="39">
        <f t="shared" si="209"/>
        <v>2</v>
      </c>
      <c r="I2078" s="39">
        <f t="shared" si="210"/>
        <v>0</v>
      </c>
      <c r="K2078" s="40"/>
      <c r="Q2078" s="40">
        <v>36158</v>
      </c>
      <c r="R2078" s="39">
        <v>5031.87</v>
      </c>
      <c r="S2078" s="39">
        <f t="shared" si="211"/>
        <v>12</v>
      </c>
      <c r="T2078" s="39">
        <f t="shared" si="212"/>
        <v>0</v>
      </c>
      <c r="U2078" s="39">
        <f t="shared" si="213"/>
        <v>0</v>
      </c>
      <c r="V2078" s="40"/>
    </row>
    <row r="2079" spans="2:22" x14ac:dyDescent="0.35">
      <c r="B2079" s="40">
        <v>36159</v>
      </c>
      <c r="C2079" s="39">
        <v>5002.3900000000003</v>
      </c>
      <c r="D2079" s="219">
        <f t="shared" si="214"/>
        <v>-5.875886177738719E-3</v>
      </c>
      <c r="F2079" s="40">
        <v>36159</v>
      </c>
      <c r="G2079" s="39">
        <v>5002.3900000000003</v>
      </c>
      <c r="H2079" s="39">
        <f t="shared" si="209"/>
        <v>3</v>
      </c>
      <c r="I2079" s="39">
        <f t="shared" si="210"/>
        <v>5002.3900000000003</v>
      </c>
      <c r="K2079" s="40"/>
      <c r="Q2079" s="40">
        <v>36159</v>
      </c>
      <c r="R2079" s="39">
        <v>5002.3900000000003</v>
      </c>
      <c r="S2079" s="39">
        <f t="shared" si="211"/>
        <v>12</v>
      </c>
      <c r="T2079" s="39">
        <f t="shared" si="212"/>
        <v>5002.3900000000003</v>
      </c>
      <c r="U2079" s="39">
        <f t="shared" si="213"/>
        <v>5002.3900000000003</v>
      </c>
      <c r="V2079" s="40"/>
    </row>
    <row r="2080" spans="2:22" x14ac:dyDescent="0.35">
      <c r="B2080" s="40">
        <v>36164</v>
      </c>
      <c r="C2080" s="39">
        <v>5252.36</v>
      </c>
      <c r="D2080" s="219">
        <f t="shared" si="214"/>
        <v>4.876170117900442E-2</v>
      </c>
      <c r="F2080" s="40">
        <v>36164</v>
      </c>
      <c r="G2080" s="39">
        <v>5252.36</v>
      </c>
      <c r="H2080" s="39">
        <f t="shared" si="209"/>
        <v>1</v>
      </c>
      <c r="I2080" s="39">
        <f t="shared" si="210"/>
        <v>0</v>
      </c>
      <c r="K2080" s="40"/>
      <c r="Q2080" s="40">
        <v>36164</v>
      </c>
      <c r="R2080" s="39">
        <v>5252.36</v>
      </c>
      <c r="S2080" s="39">
        <f t="shared" si="211"/>
        <v>1</v>
      </c>
      <c r="T2080" s="39">
        <f t="shared" si="212"/>
        <v>0</v>
      </c>
      <c r="U2080" s="39">
        <f t="shared" si="213"/>
        <v>0</v>
      </c>
      <c r="V2080" s="40"/>
    </row>
    <row r="2081" spans="2:22" x14ac:dyDescent="0.35">
      <c r="B2081" s="40">
        <v>36165</v>
      </c>
      <c r="C2081" s="39">
        <v>5253.91</v>
      </c>
      <c r="D2081" s="219">
        <f t="shared" si="214"/>
        <v>2.9506190327222416E-4</v>
      </c>
      <c r="F2081" s="40">
        <v>36165</v>
      </c>
      <c r="G2081" s="39">
        <v>5253.91</v>
      </c>
      <c r="H2081" s="39">
        <f t="shared" si="209"/>
        <v>2</v>
      </c>
      <c r="I2081" s="39">
        <f t="shared" si="210"/>
        <v>0</v>
      </c>
      <c r="K2081" s="40"/>
      <c r="Q2081" s="40">
        <v>36165</v>
      </c>
      <c r="R2081" s="39">
        <v>5253.91</v>
      </c>
      <c r="S2081" s="39">
        <f t="shared" si="211"/>
        <v>1</v>
      </c>
      <c r="T2081" s="39">
        <f t="shared" si="212"/>
        <v>0</v>
      </c>
      <c r="U2081" s="39">
        <f t="shared" si="213"/>
        <v>0</v>
      </c>
      <c r="V2081" s="40"/>
    </row>
    <row r="2082" spans="2:22" x14ac:dyDescent="0.35">
      <c r="B2082" s="40">
        <v>36166</v>
      </c>
      <c r="C2082" s="39">
        <v>5443.62</v>
      </c>
      <c r="D2082" s="219">
        <f t="shared" si="214"/>
        <v>3.5471719425745903E-2</v>
      </c>
      <c r="F2082" s="40">
        <v>36166</v>
      </c>
      <c r="G2082" s="39">
        <v>5443.62</v>
      </c>
      <c r="H2082" s="39">
        <f t="shared" si="209"/>
        <v>3</v>
      </c>
      <c r="I2082" s="39">
        <f t="shared" si="210"/>
        <v>0</v>
      </c>
      <c r="K2082" s="40"/>
      <c r="Q2082" s="40">
        <v>36166</v>
      </c>
      <c r="R2082" s="39">
        <v>5443.62</v>
      </c>
      <c r="S2082" s="39">
        <f t="shared" si="211"/>
        <v>1</v>
      </c>
      <c r="T2082" s="39">
        <f t="shared" si="212"/>
        <v>0</v>
      </c>
      <c r="U2082" s="39">
        <f t="shared" si="213"/>
        <v>0</v>
      </c>
      <c r="V2082" s="40"/>
    </row>
    <row r="2083" spans="2:22" x14ac:dyDescent="0.35">
      <c r="B2083" s="40">
        <v>36167</v>
      </c>
      <c r="C2083" s="39">
        <v>5323.21</v>
      </c>
      <c r="D2083" s="219">
        <f t="shared" si="214"/>
        <v>-2.2367775886922629E-2</v>
      </c>
      <c r="F2083" s="40">
        <v>36167</v>
      </c>
      <c r="G2083" s="39">
        <v>5323.21</v>
      </c>
      <c r="H2083" s="39">
        <f t="shared" si="209"/>
        <v>4</v>
      </c>
      <c r="I2083" s="39">
        <f t="shared" si="210"/>
        <v>0</v>
      </c>
      <c r="K2083" s="40"/>
      <c r="Q2083" s="40">
        <v>36167</v>
      </c>
      <c r="R2083" s="39">
        <v>5323.21</v>
      </c>
      <c r="S2083" s="39">
        <f t="shared" si="211"/>
        <v>1</v>
      </c>
      <c r="T2083" s="39">
        <f t="shared" si="212"/>
        <v>0</v>
      </c>
      <c r="U2083" s="39">
        <f t="shared" si="213"/>
        <v>0</v>
      </c>
      <c r="V2083" s="40"/>
    </row>
    <row r="2084" spans="2:22" x14ac:dyDescent="0.35">
      <c r="B2084" s="40">
        <v>36168</v>
      </c>
      <c r="C2084" s="39">
        <v>5392.84</v>
      </c>
      <c r="D2084" s="219">
        <f t="shared" si="214"/>
        <v>1.2995642977128541E-2</v>
      </c>
      <c r="F2084" s="40">
        <v>36168</v>
      </c>
      <c r="G2084" s="39">
        <v>5392.84</v>
      </c>
      <c r="H2084" s="39">
        <f t="shared" si="209"/>
        <v>5</v>
      </c>
      <c r="I2084" s="39">
        <f t="shared" si="210"/>
        <v>5392.84</v>
      </c>
      <c r="K2084" s="40"/>
      <c r="Q2084" s="40">
        <v>36168</v>
      </c>
      <c r="R2084" s="39">
        <v>5392.84</v>
      </c>
      <c r="S2084" s="39">
        <f t="shared" si="211"/>
        <v>1</v>
      </c>
      <c r="T2084" s="39">
        <f t="shared" si="212"/>
        <v>0</v>
      </c>
      <c r="U2084" s="39">
        <f t="shared" si="213"/>
        <v>0</v>
      </c>
      <c r="V2084" s="40"/>
    </row>
    <row r="2085" spans="2:22" x14ac:dyDescent="0.35">
      <c r="B2085" s="40">
        <v>36171</v>
      </c>
      <c r="C2085" s="39">
        <v>5270.6</v>
      </c>
      <c r="D2085" s="219">
        <f t="shared" si="214"/>
        <v>-2.2927939761686278E-2</v>
      </c>
      <c r="F2085" s="40">
        <v>36171</v>
      </c>
      <c r="G2085" s="39">
        <v>5270.6</v>
      </c>
      <c r="H2085" s="39">
        <f t="shared" si="209"/>
        <v>1</v>
      </c>
      <c r="I2085" s="39">
        <f t="shared" si="210"/>
        <v>0</v>
      </c>
      <c r="K2085" s="40"/>
      <c r="Q2085" s="40">
        <v>36171</v>
      </c>
      <c r="R2085" s="39">
        <v>5270.6</v>
      </c>
      <c r="S2085" s="39">
        <f t="shared" si="211"/>
        <v>1</v>
      </c>
      <c r="T2085" s="39">
        <f t="shared" si="212"/>
        <v>0</v>
      </c>
      <c r="U2085" s="39">
        <f t="shared" si="213"/>
        <v>0</v>
      </c>
      <c r="V2085" s="40"/>
    </row>
    <row r="2086" spans="2:22" x14ac:dyDescent="0.35">
      <c r="B2086" s="40">
        <v>36172</v>
      </c>
      <c r="C2086" s="39">
        <v>5200.1000000000004</v>
      </c>
      <c r="D2086" s="219">
        <f t="shared" si="214"/>
        <v>-1.3466351893331034E-2</v>
      </c>
      <c r="F2086" s="40">
        <v>36172</v>
      </c>
      <c r="G2086" s="39">
        <v>5200.1000000000004</v>
      </c>
      <c r="H2086" s="39">
        <f t="shared" si="209"/>
        <v>2</v>
      </c>
      <c r="I2086" s="39">
        <f t="shared" si="210"/>
        <v>0</v>
      </c>
      <c r="K2086" s="40"/>
      <c r="Q2086" s="40">
        <v>36172</v>
      </c>
      <c r="R2086" s="39">
        <v>5200.1000000000004</v>
      </c>
      <c r="S2086" s="39">
        <f t="shared" si="211"/>
        <v>1</v>
      </c>
      <c r="T2086" s="39">
        <f t="shared" si="212"/>
        <v>0</v>
      </c>
      <c r="U2086" s="39">
        <f t="shared" si="213"/>
        <v>0</v>
      </c>
      <c r="V2086" s="40"/>
    </row>
    <row r="2087" spans="2:22" x14ac:dyDescent="0.35">
      <c r="B2087" s="40">
        <v>36173</v>
      </c>
      <c r="C2087" s="39">
        <v>4931.8</v>
      </c>
      <c r="D2087" s="219">
        <f t="shared" si="214"/>
        <v>-5.2973823192245577E-2</v>
      </c>
      <c r="F2087" s="40">
        <v>36173</v>
      </c>
      <c r="G2087" s="39">
        <v>4931.8</v>
      </c>
      <c r="H2087" s="39">
        <f t="shared" si="209"/>
        <v>3</v>
      </c>
      <c r="I2087" s="39">
        <f t="shared" si="210"/>
        <v>0</v>
      </c>
      <c r="K2087" s="40"/>
      <c r="Q2087" s="40">
        <v>36173</v>
      </c>
      <c r="R2087" s="39">
        <v>4931.8</v>
      </c>
      <c r="S2087" s="39">
        <f t="shared" si="211"/>
        <v>1</v>
      </c>
      <c r="T2087" s="39">
        <f t="shared" si="212"/>
        <v>0</v>
      </c>
      <c r="U2087" s="39">
        <f t="shared" si="213"/>
        <v>0</v>
      </c>
      <c r="V2087" s="40"/>
    </row>
    <row r="2088" spans="2:22" x14ac:dyDescent="0.35">
      <c r="B2088" s="40">
        <v>36174</v>
      </c>
      <c r="C2088" s="39">
        <v>4912.75</v>
      </c>
      <c r="D2088" s="219">
        <f t="shared" si="214"/>
        <v>-3.8701664937185621E-3</v>
      </c>
      <c r="F2088" s="40">
        <v>36174</v>
      </c>
      <c r="G2088" s="39">
        <v>4912.75</v>
      </c>
      <c r="H2088" s="39">
        <f t="shared" si="209"/>
        <v>4</v>
      </c>
      <c r="I2088" s="39">
        <f t="shared" si="210"/>
        <v>0</v>
      </c>
      <c r="K2088" s="40"/>
      <c r="Q2088" s="40">
        <v>36174</v>
      </c>
      <c r="R2088" s="39">
        <v>4912.75</v>
      </c>
      <c r="S2088" s="39">
        <f t="shared" si="211"/>
        <v>1</v>
      </c>
      <c r="T2088" s="39">
        <f t="shared" si="212"/>
        <v>0</v>
      </c>
      <c r="U2088" s="39">
        <f t="shared" si="213"/>
        <v>0</v>
      </c>
      <c r="V2088" s="40"/>
    </row>
    <row r="2089" spans="2:22" x14ac:dyDescent="0.35">
      <c r="B2089" s="40">
        <v>36175</v>
      </c>
      <c r="C2089" s="39">
        <v>4960.22</v>
      </c>
      <c r="D2089" s="219">
        <f t="shared" si="214"/>
        <v>9.616228106159622E-3</v>
      </c>
      <c r="F2089" s="40">
        <v>36175</v>
      </c>
      <c r="G2089" s="39">
        <v>4960.22</v>
      </c>
      <c r="H2089" s="39">
        <f t="shared" si="209"/>
        <v>5</v>
      </c>
      <c r="I2089" s="39">
        <f t="shared" si="210"/>
        <v>4960.22</v>
      </c>
      <c r="K2089" s="40"/>
      <c r="Q2089" s="40">
        <v>36175</v>
      </c>
      <c r="R2089" s="39">
        <v>4960.22</v>
      </c>
      <c r="S2089" s="39">
        <f t="shared" si="211"/>
        <v>1</v>
      </c>
      <c r="T2089" s="39">
        <f t="shared" si="212"/>
        <v>0</v>
      </c>
      <c r="U2089" s="39">
        <f t="shared" si="213"/>
        <v>0</v>
      </c>
      <c r="V2089" s="40"/>
    </row>
    <row r="2090" spans="2:22" x14ac:dyDescent="0.35">
      <c r="B2090" s="40">
        <v>36178</v>
      </c>
      <c r="C2090" s="39">
        <v>5050.3999999999996</v>
      </c>
      <c r="D2090" s="219">
        <f t="shared" si="214"/>
        <v>1.8017353479379727E-2</v>
      </c>
      <c r="F2090" s="40">
        <v>36178</v>
      </c>
      <c r="G2090" s="39">
        <v>5050.3999999999996</v>
      </c>
      <c r="H2090" s="39">
        <f t="shared" si="209"/>
        <v>1</v>
      </c>
      <c r="I2090" s="39">
        <f t="shared" si="210"/>
        <v>0</v>
      </c>
      <c r="K2090" s="40"/>
      <c r="Q2090" s="40">
        <v>36178</v>
      </c>
      <c r="R2090" s="39">
        <v>5050.3999999999996</v>
      </c>
      <c r="S2090" s="39">
        <f t="shared" si="211"/>
        <v>1</v>
      </c>
      <c r="T2090" s="39">
        <f t="shared" si="212"/>
        <v>0</v>
      </c>
      <c r="U2090" s="39">
        <f t="shared" si="213"/>
        <v>0</v>
      </c>
      <c r="V2090" s="40"/>
    </row>
    <row r="2091" spans="2:22" x14ac:dyDescent="0.35">
      <c r="B2091" s="40">
        <v>36179</v>
      </c>
      <c r="C2091" s="39">
        <v>5073.1499999999996</v>
      </c>
      <c r="D2091" s="219">
        <f t="shared" si="214"/>
        <v>4.4944783789198136E-3</v>
      </c>
      <c r="F2091" s="40">
        <v>36179</v>
      </c>
      <c r="G2091" s="39">
        <v>5073.1499999999996</v>
      </c>
      <c r="H2091" s="39">
        <f t="shared" si="209"/>
        <v>2</v>
      </c>
      <c r="I2091" s="39">
        <f t="shared" si="210"/>
        <v>0</v>
      </c>
      <c r="K2091" s="40"/>
      <c r="Q2091" s="40">
        <v>36179</v>
      </c>
      <c r="R2091" s="39">
        <v>5073.1499999999996</v>
      </c>
      <c r="S2091" s="39">
        <f t="shared" si="211"/>
        <v>1</v>
      </c>
      <c r="T2091" s="39">
        <f t="shared" si="212"/>
        <v>0</v>
      </c>
      <c r="U2091" s="39">
        <f t="shared" si="213"/>
        <v>0</v>
      </c>
      <c r="V2091" s="40"/>
    </row>
    <row r="2092" spans="2:22" x14ac:dyDescent="0.35">
      <c r="B2092" s="40">
        <v>36180</v>
      </c>
      <c r="C2092" s="39">
        <v>5143.0600000000004</v>
      </c>
      <c r="D2092" s="219">
        <f t="shared" si="214"/>
        <v>1.3686306617130889E-2</v>
      </c>
      <c r="F2092" s="40">
        <v>36180</v>
      </c>
      <c r="G2092" s="39">
        <v>5143.0600000000004</v>
      </c>
      <c r="H2092" s="39">
        <f t="shared" si="209"/>
        <v>3</v>
      </c>
      <c r="I2092" s="39">
        <f t="shared" si="210"/>
        <v>0</v>
      </c>
      <c r="K2092" s="40"/>
      <c r="Q2092" s="40">
        <v>36180</v>
      </c>
      <c r="R2092" s="39">
        <v>5143.0600000000004</v>
      </c>
      <c r="S2092" s="39">
        <f t="shared" si="211"/>
        <v>1</v>
      </c>
      <c r="T2092" s="39">
        <f t="shared" si="212"/>
        <v>0</v>
      </c>
      <c r="U2092" s="39">
        <f t="shared" si="213"/>
        <v>0</v>
      </c>
      <c r="V2092" s="40"/>
    </row>
    <row r="2093" spans="2:22" x14ac:dyDescent="0.35">
      <c r="B2093" s="40">
        <v>36181</v>
      </c>
      <c r="C2093" s="39">
        <v>5156.67</v>
      </c>
      <c r="D2093" s="219">
        <f t="shared" si="214"/>
        <v>2.6427892617378007E-3</v>
      </c>
      <c r="F2093" s="40">
        <v>36181</v>
      </c>
      <c r="G2093" s="39">
        <v>5156.67</v>
      </c>
      <c r="H2093" s="39">
        <f t="shared" si="209"/>
        <v>4</v>
      </c>
      <c r="I2093" s="39">
        <f t="shared" si="210"/>
        <v>0</v>
      </c>
      <c r="K2093" s="40"/>
      <c r="Q2093" s="40">
        <v>36181</v>
      </c>
      <c r="R2093" s="39">
        <v>5156.67</v>
      </c>
      <c r="S2093" s="39">
        <f t="shared" si="211"/>
        <v>1</v>
      </c>
      <c r="T2093" s="39">
        <f t="shared" si="212"/>
        <v>0</v>
      </c>
      <c r="U2093" s="39">
        <f t="shared" si="213"/>
        <v>0</v>
      </c>
      <c r="V2093" s="40"/>
    </row>
    <row r="2094" spans="2:22" x14ac:dyDescent="0.35">
      <c r="B2094" s="40">
        <v>36182</v>
      </c>
      <c r="C2094" s="39">
        <v>5019.28</v>
      </c>
      <c r="D2094" s="219">
        <f t="shared" si="214"/>
        <v>-2.7004525206784799E-2</v>
      </c>
      <c r="F2094" s="40">
        <v>36182</v>
      </c>
      <c r="G2094" s="39">
        <v>5019.28</v>
      </c>
      <c r="H2094" s="39">
        <f t="shared" si="209"/>
        <v>5</v>
      </c>
      <c r="I2094" s="39">
        <f t="shared" si="210"/>
        <v>5019.28</v>
      </c>
      <c r="K2094" s="40"/>
      <c r="Q2094" s="40">
        <v>36182</v>
      </c>
      <c r="R2094" s="39">
        <v>5019.28</v>
      </c>
      <c r="S2094" s="39">
        <f t="shared" si="211"/>
        <v>1</v>
      </c>
      <c r="T2094" s="39">
        <f t="shared" si="212"/>
        <v>0</v>
      </c>
      <c r="U2094" s="39">
        <f t="shared" si="213"/>
        <v>0</v>
      </c>
      <c r="V2094" s="40"/>
    </row>
    <row r="2095" spans="2:22" x14ac:dyDescent="0.35">
      <c r="B2095" s="40">
        <v>36185</v>
      </c>
      <c r="C2095" s="39">
        <v>4982.45</v>
      </c>
      <c r="D2095" s="219">
        <f t="shared" si="214"/>
        <v>-7.3647591907521947E-3</v>
      </c>
      <c r="F2095" s="40">
        <v>36185</v>
      </c>
      <c r="G2095" s="39">
        <v>4982.45</v>
      </c>
      <c r="H2095" s="39">
        <f t="shared" si="209"/>
        <v>1</v>
      </c>
      <c r="I2095" s="39">
        <f t="shared" si="210"/>
        <v>0</v>
      </c>
      <c r="K2095" s="40"/>
      <c r="Q2095" s="40">
        <v>36185</v>
      </c>
      <c r="R2095" s="39">
        <v>4982.45</v>
      </c>
      <c r="S2095" s="39">
        <f t="shared" si="211"/>
        <v>1</v>
      </c>
      <c r="T2095" s="39">
        <f t="shared" si="212"/>
        <v>0</v>
      </c>
      <c r="U2095" s="39">
        <f t="shared" si="213"/>
        <v>0</v>
      </c>
      <c r="V2095" s="40"/>
    </row>
    <row r="2096" spans="2:22" x14ac:dyDescent="0.35">
      <c r="B2096" s="40">
        <v>36186</v>
      </c>
      <c r="C2096" s="39">
        <v>4986.8</v>
      </c>
      <c r="D2096" s="219">
        <f t="shared" si="214"/>
        <v>8.7268355715271781E-4</v>
      </c>
      <c r="F2096" s="40">
        <v>36186</v>
      </c>
      <c r="G2096" s="39">
        <v>4986.8</v>
      </c>
      <c r="H2096" s="39">
        <f t="shared" si="209"/>
        <v>2</v>
      </c>
      <c r="I2096" s="39">
        <f t="shared" si="210"/>
        <v>0</v>
      </c>
      <c r="K2096" s="40"/>
      <c r="Q2096" s="40">
        <v>36186</v>
      </c>
      <c r="R2096" s="39">
        <v>4986.8</v>
      </c>
      <c r="S2096" s="39">
        <f t="shared" si="211"/>
        <v>1</v>
      </c>
      <c r="T2096" s="39">
        <f t="shared" si="212"/>
        <v>0</v>
      </c>
      <c r="U2096" s="39">
        <f t="shared" si="213"/>
        <v>0</v>
      </c>
      <c r="V2096" s="40"/>
    </row>
    <row r="2097" spans="2:22" x14ac:dyDescent="0.35">
      <c r="B2097" s="40">
        <v>36187</v>
      </c>
      <c r="C2097" s="39">
        <v>5061.18</v>
      </c>
      <c r="D2097" s="219">
        <f t="shared" si="214"/>
        <v>1.4805236204456975E-2</v>
      </c>
      <c r="F2097" s="40">
        <v>36187</v>
      </c>
      <c r="G2097" s="39">
        <v>5061.18</v>
      </c>
      <c r="H2097" s="39">
        <f t="shared" si="209"/>
        <v>3</v>
      </c>
      <c r="I2097" s="39">
        <f t="shared" si="210"/>
        <v>0</v>
      </c>
      <c r="K2097" s="40"/>
      <c r="Q2097" s="40">
        <v>36187</v>
      </c>
      <c r="R2097" s="39">
        <v>5061.18</v>
      </c>
      <c r="S2097" s="39">
        <f t="shared" si="211"/>
        <v>1</v>
      </c>
      <c r="T2097" s="39">
        <f t="shared" si="212"/>
        <v>0</v>
      </c>
      <c r="U2097" s="39">
        <f t="shared" si="213"/>
        <v>0</v>
      </c>
      <c r="V2097" s="40"/>
    </row>
    <row r="2098" spans="2:22" x14ac:dyDescent="0.35">
      <c r="B2098" s="40">
        <v>36188</v>
      </c>
      <c r="C2098" s="39">
        <v>5096.41</v>
      </c>
      <c r="D2098" s="219">
        <f t="shared" si="214"/>
        <v>6.9367125993982275E-3</v>
      </c>
      <c r="F2098" s="40">
        <v>36188</v>
      </c>
      <c r="G2098" s="39">
        <v>5096.41</v>
      </c>
      <c r="H2098" s="39">
        <f t="shared" si="209"/>
        <v>4</v>
      </c>
      <c r="I2098" s="39">
        <f t="shared" si="210"/>
        <v>0</v>
      </c>
      <c r="K2098" s="40"/>
      <c r="Q2098" s="40">
        <v>36188</v>
      </c>
      <c r="R2098" s="39">
        <v>5096.41</v>
      </c>
      <c r="S2098" s="39">
        <f t="shared" si="211"/>
        <v>1</v>
      </c>
      <c r="T2098" s="39">
        <f t="shared" si="212"/>
        <v>0</v>
      </c>
      <c r="U2098" s="39">
        <f t="shared" si="213"/>
        <v>0</v>
      </c>
      <c r="V2098" s="40"/>
    </row>
    <row r="2099" spans="2:22" x14ac:dyDescent="0.35">
      <c r="B2099" s="40">
        <v>36189</v>
      </c>
      <c r="C2099" s="39">
        <v>5159.96</v>
      </c>
      <c r="D2099" s="219">
        <f t="shared" si="214"/>
        <v>1.2392457232902339E-2</v>
      </c>
      <c r="F2099" s="40">
        <v>36189</v>
      </c>
      <c r="G2099" s="39">
        <v>5159.96</v>
      </c>
      <c r="H2099" s="39">
        <f t="shared" si="209"/>
        <v>5</v>
      </c>
      <c r="I2099" s="39">
        <f t="shared" si="210"/>
        <v>5159.96</v>
      </c>
      <c r="K2099" s="40"/>
      <c r="Q2099" s="40">
        <v>36189</v>
      </c>
      <c r="R2099" s="39">
        <v>5159.96</v>
      </c>
      <c r="S2099" s="39">
        <f t="shared" si="211"/>
        <v>1</v>
      </c>
      <c r="T2099" s="39">
        <f t="shared" si="212"/>
        <v>5159.96</v>
      </c>
      <c r="U2099" s="39">
        <f t="shared" si="213"/>
        <v>5159.96</v>
      </c>
      <c r="V2099" s="40"/>
    </row>
    <row r="2100" spans="2:22" x14ac:dyDescent="0.35">
      <c r="B2100" s="40">
        <v>36192</v>
      </c>
      <c r="C2100" s="39">
        <v>5190.82</v>
      </c>
      <c r="D2100" s="219">
        <f t="shared" si="214"/>
        <v>5.9628533187156916E-3</v>
      </c>
      <c r="F2100" s="40">
        <v>36192</v>
      </c>
      <c r="G2100" s="39">
        <v>5190.82</v>
      </c>
      <c r="H2100" s="39">
        <f t="shared" si="209"/>
        <v>1</v>
      </c>
      <c r="I2100" s="39">
        <f t="shared" si="210"/>
        <v>0</v>
      </c>
      <c r="K2100" s="40"/>
      <c r="Q2100" s="40">
        <v>36192</v>
      </c>
      <c r="R2100" s="39">
        <v>5190.82</v>
      </c>
      <c r="S2100" s="39">
        <f t="shared" si="211"/>
        <v>2</v>
      </c>
      <c r="T2100" s="39">
        <f t="shared" si="212"/>
        <v>0</v>
      </c>
      <c r="U2100" s="39">
        <f t="shared" si="213"/>
        <v>0</v>
      </c>
      <c r="V2100" s="40"/>
    </row>
    <row r="2101" spans="2:22" x14ac:dyDescent="0.35">
      <c r="B2101" s="40">
        <v>36193</v>
      </c>
      <c r="C2101" s="39">
        <v>5166.87</v>
      </c>
      <c r="D2101" s="219">
        <f t="shared" si="214"/>
        <v>-4.6245915227364964E-3</v>
      </c>
      <c r="F2101" s="40">
        <v>36193</v>
      </c>
      <c r="G2101" s="39">
        <v>5166.87</v>
      </c>
      <c r="H2101" s="39">
        <f t="shared" si="209"/>
        <v>2</v>
      </c>
      <c r="I2101" s="39">
        <f t="shared" si="210"/>
        <v>0</v>
      </c>
      <c r="K2101" s="40"/>
      <c r="Q2101" s="40">
        <v>36193</v>
      </c>
      <c r="R2101" s="39">
        <v>5166.87</v>
      </c>
      <c r="S2101" s="39">
        <f t="shared" si="211"/>
        <v>2</v>
      </c>
      <c r="T2101" s="39">
        <f t="shared" si="212"/>
        <v>0</v>
      </c>
      <c r="U2101" s="39">
        <f t="shared" si="213"/>
        <v>0</v>
      </c>
      <c r="V2101" s="40"/>
    </row>
    <row r="2102" spans="2:22" x14ac:dyDescent="0.35">
      <c r="B2102" s="40">
        <v>36194</v>
      </c>
      <c r="C2102" s="39">
        <v>5085.66</v>
      </c>
      <c r="D2102" s="219">
        <f t="shared" si="214"/>
        <v>-1.5842274733020675E-2</v>
      </c>
      <c r="F2102" s="40">
        <v>36194</v>
      </c>
      <c r="G2102" s="39">
        <v>5085.66</v>
      </c>
      <c r="H2102" s="39">
        <f t="shared" si="209"/>
        <v>3</v>
      </c>
      <c r="I2102" s="39">
        <f t="shared" si="210"/>
        <v>0</v>
      </c>
      <c r="K2102" s="40"/>
      <c r="Q2102" s="40">
        <v>36194</v>
      </c>
      <c r="R2102" s="39">
        <v>5085.66</v>
      </c>
      <c r="S2102" s="39">
        <f t="shared" si="211"/>
        <v>2</v>
      </c>
      <c r="T2102" s="39">
        <f t="shared" si="212"/>
        <v>0</v>
      </c>
      <c r="U2102" s="39">
        <f t="shared" si="213"/>
        <v>0</v>
      </c>
      <c r="V2102" s="40"/>
    </row>
    <row r="2103" spans="2:22" x14ac:dyDescent="0.35">
      <c r="B2103" s="40">
        <v>36195</v>
      </c>
      <c r="C2103" s="39">
        <v>5077.8500000000004</v>
      </c>
      <c r="D2103" s="219">
        <f t="shared" si="214"/>
        <v>-1.5368709308594458E-3</v>
      </c>
      <c r="F2103" s="40">
        <v>36195</v>
      </c>
      <c r="G2103" s="39">
        <v>5077.8500000000004</v>
      </c>
      <c r="H2103" s="39">
        <f t="shared" ref="H2103:H2166" si="215">WEEKDAY(F2103,2)</f>
        <v>4</v>
      </c>
      <c r="I2103" s="39">
        <f t="shared" ref="I2103:I2166" si="216">IF(H2103&gt;H2104,G2103,0)</f>
        <v>0</v>
      </c>
      <c r="K2103" s="40"/>
      <c r="Q2103" s="40">
        <v>36195</v>
      </c>
      <c r="R2103" s="39">
        <v>5077.8500000000004</v>
      </c>
      <c r="S2103" s="39">
        <f t="shared" ref="S2103:S2166" si="217">MONTH(Q2103)</f>
        <v>2</v>
      </c>
      <c r="T2103" s="39">
        <f t="shared" ref="T2103:T2166" si="218">IF(S2104&lt;&gt;S2103,R2103,0)</f>
        <v>0</v>
      </c>
      <c r="U2103" s="39">
        <f t="shared" ref="U2103:U2166" si="219">IF(S2104=S2103,0,R2103)</f>
        <v>0</v>
      </c>
      <c r="V2103" s="40"/>
    </row>
    <row r="2104" spans="2:22" x14ac:dyDescent="0.35">
      <c r="B2104" s="40">
        <v>36196</v>
      </c>
      <c r="C2104" s="39">
        <v>5080.7700000000004</v>
      </c>
      <c r="D2104" s="219">
        <f t="shared" ref="D2104:D2167" si="220">LN(C2104/C2103)</f>
        <v>5.7488124970102934E-4</v>
      </c>
      <c r="F2104" s="40">
        <v>36196</v>
      </c>
      <c r="G2104" s="39">
        <v>5080.7700000000004</v>
      </c>
      <c r="H2104" s="39">
        <f t="shared" si="215"/>
        <v>5</v>
      </c>
      <c r="I2104" s="39">
        <f t="shared" si="216"/>
        <v>5080.7700000000004</v>
      </c>
      <c r="K2104" s="40"/>
      <c r="Q2104" s="40">
        <v>36196</v>
      </c>
      <c r="R2104" s="39">
        <v>5080.7700000000004</v>
      </c>
      <c r="S2104" s="39">
        <f t="shared" si="217"/>
        <v>2</v>
      </c>
      <c r="T2104" s="39">
        <f t="shared" si="218"/>
        <v>0</v>
      </c>
      <c r="U2104" s="39">
        <f t="shared" si="219"/>
        <v>0</v>
      </c>
      <c r="V2104" s="40"/>
    </row>
    <row r="2105" spans="2:22" x14ac:dyDescent="0.35">
      <c r="B2105" s="40">
        <v>36199</v>
      </c>
      <c r="C2105" s="39">
        <v>5027.22</v>
      </c>
      <c r="D2105" s="219">
        <f t="shared" si="220"/>
        <v>-1.0595677478255098E-2</v>
      </c>
      <c r="F2105" s="40">
        <v>36199</v>
      </c>
      <c r="G2105" s="39">
        <v>5027.22</v>
      </c>
      <c r="H2105" s="39">
        <f t="shared" si="215"/>
        <v>1</v>
      </c>
      <c r="I2105" s="39">
        <f t="shared" si="216"/>
        <v>0</v>
      </c>
      <c r="K2105" s="40"/>
      <c r="Q2105" s="40">
        <v>36199</v>
      </c>
      <c r="R2105" s="39">
        <v>5027.22</v>
      </c>
      <c r="S2105" s="39">
        <f t="shared" si="217"/>
        <v>2</v>
      </c>
      <c r="T2105" s="39">
        <f t="shared" si="218"/>
        <v>0</v>
      </c>
      <c r="U2105" s="39">
        <f t="shared" si="219"/>
        <v>0</v>
      </c>
      <c r="V2105" s="40"/>
    </row>
    <row r="2106" spans="2:22" x14ac:dyDescent="0.35">
      <c r="B2106" s="40">
        <v>36200</v>
      </c>
      <c r="C2106" s="39">
        <v>4904.3500000000004</v>
      </c>
      <c r="D2106" s="219">
        <f t="shared" si="220"/>
        <v>-2.4744581031863243E-2</v>
      </c>
      <c r="F2106" s="40">
        <v>36200</v>
      </c>
      <c r="G2106" s="39">
        <v>4904.3500000000004</v>
      </c>
      <c r="H2106" s="39">
        <f t="shared" si="215"/>
        <v>2</v>
      </c>
      <c r="I2106" s="39">
        <f t="shared" si="216"/>
        <v>0</v>
      </c>
      <c r="K2106" s="40"/>
      <c r="Q2106" s="40">
        <v>36200</v>
      </c>
      <c r="R2106" s="39">
        <v>4904.3500000000004</v>
      </c>
      <c r="S2106" s="39">
        <f t="shared" si="217"/>
        <v>2</v>
      </c>
      <c r="T2106" s="39">
        <f t="shared" si="218"/>
        <v>0</v>
      </c>
      <c r="U2106" s="39">
        <f t="shared" si="219"/>
        <v>0</v>
      </c>
      <c r="V2106" s="40"/>
    </row>
    <row r="2107" spans="2:22" x14ac:dyDescent="0.35">
      <c r="B2107" s="40">
        <v>36201</v>
      </c>
      <c r="C2107" s="39">
        <v>4796.82</v>
      </c>
      <c r="D2107" s="219">
        <f t="shared" si="220"/>
        <v>-2.2169368033375127E-2</v>
      </c>
      <c r="F2107" s="40">
        <v>36201</v>
      </c>
      <c r="G2107" s="39">
        <v>4796.82</v>
      </c>
      <c r="H2107" s="39">
        <f t="shared" si="215"/>
        <v>3</v>
      </c>
      <c r="I2107" s="39">
        <f t="shared" si="216"/>
        <v>0</v>
      </c>
      <c r="K2107" s="40"/>
      <c r="Q2107" s="40">
        <v>36201</v>
      </c>
      <c r="R2107" s="39">
        <v>4796.82</v>
      </c>
      <c r="S2107" s="39">
        <f t="shared" si="217"/>
        <v>2</v>
      </c>
      <c r="T2107" s="39">
        <f t="shared" si="218"/>
        <v>0</v>
      </c>
      <c r="U2107" s="39">
        <f t="shared" si="219"/>
        <v>0</v>
      </c>
      <c r="V2107" s="40"/>
    </row>
    <row r="2108" spans="2:22" x14ac:dyDescent="0.35">
      <c r="B2108" s="40">
        <v>36202</v>
      </c>
      <c r="C2108" s="39">
        <v>4839.33</v>
      </c>
      <c r="D2108" s="219">
        <f t="shared" si="220"/>
        <v>8.8230830304447776E-3</v>
      </c>
      <c r="F2108" s="40">
        <v>36202</v>
      </c>
      <c r="G2108" s="39">
        <v>4839.33</v>
      </c>
      <c r="H2108" s="39">
        <f t="shared" si="215"/>
        <v>4</v>
      </c>
      <c r="I2108" s="39">
        <f t="shared" si="216"/>
        <v>0</v>
      </c>
      <c r="K2108" s="40"/>
      <c r="Q2108" s="40">
        <v>36202</v>
      </c>
      <c r="R2108" s="39">
        <v>4839.33</v>
      </c>
      <c r="S2108" s="39">
        <f t="shared" si="217"/>
        <v>2</v>
      </c>
      <c r="T2108" s="39">
        <f t="shared" si="218"/>
        <v>0</v>
      </c>
      <c r="U2108" s="39">
        <f t="shared" si="219"/>
        <v>0</v>
      </c>
      <c r="V2108" s="40"/>
    </row>
    <row r="2109" spans="2:22" x14ac:dyDescent="0.35">
      <c r="B2109" s="40">
        <v>36203</v>
      </c>
      <c r="C2109" s="39">
        <v>4888.74</v>
      </c>
      <c r="D2109" s="219">
        <f t="shared" si="220"/>
        <v>1.0158320178646284E-2</v>
      </c>
      <c r="F2109" s="40">
        <v>36203</v>
      </c>
      <c r="G2109" s="39">
        <v>4888.74</v>
      </c>
      <c r="H2109" s="39">
        <f t="shared" si="215"/>
        <v>5</v>
      </c>
      <c r="I2109" s="39">
        <f t="shared" si="216"/>
        <v>4888.74</v>
      </c>
      <c r="K2109" s="40"/>
      <c r="Q2109" s="40">
        <v>36203</v>
      </c>
      <c r="R2109" s="39">
        <v>4888.74</v>
      </c>
      <c r="S2109" s="39">
        <f t="shared" si="217"/>
        <v>2</v>
      </c>
      <c r="T2109" s="39">
        <f t="shared" si="218"/>
        <v>0</v>
      </c>
      <c r="U2109" s="39">
        <f t="shared" si="219"/>
        <v>0</v>
      </c>
      <c r="V2109" s="40"/>
    </row>
    <row r="2110" spans="2:22" x14ac:dyDescent="0.35">
      <c r="B2110" s="40">
        <v>36206</v>
      </c>
      <c r="C2110" s="39">
        <v>4879.55</v>
      </c>
      <c r="D2110" s="219">
        <f t="shared" si="220"/>
        <v>-1.8815990744270536E-3</v>
      </c>
      <c r="F2110" s="40">
        <v>36206</v>
      </c>
      <c r="G2110" s="39">
        <v>4879.55</v>
      </c>
      <c r="H2110" s="39">
        <f t="shared" si="215"/>
        <v>1</v>
      </c>
      <c r="I2110" s="39">
        <f t="shared" si="216"/>
        <v>0</v>
      </c>
      <c r="K2110" s="40"/>
      <c r="Q2110" s="40">
        <v>36206</v>
      </c>
      <c r="R2110" s="39">
        <v>4879.55</v>
      </c>
      <c r="S2110" s="39">
        <f t="shared" si="217"/>
        <v>2</v>
      </c>
      <c r="T2110" s="39">
        <f t="shared" si="218"/>
        <v>0</v>
      </c>
      <c r="U2110" s="39">
        <f t="shared" si="219"/>
        <v>0</v>
      </c>
      <c r="V2110" s="40"/>
    </row>
    <row r="2111" spans="2:22" x14ac:dyDescent="0.35">
      <c r="B2111" s="40">
        <v>36207</v>
      </c>
      <c r="C2111" s="39">
        <v>4904.68</v>
      </c>
      <c r="D2111" s="219">
        <f t="shared" si="220"/>
        <v>5.1368488392450774E-3</v>
      </c>
      <c r="F2111" s="40">
        <v>36207</v>
      </c>
      <c r="G2111" s="39">
        <v>4904.68</v>
      </c>
      <c r="H2111" s="39">
        <f t="shared" si="215"/>
        <v>2</v>
      </c>
      <c r="I2111" s="39">
        <f t="shared" si="216"/>
        <v>0</v>
      </c>
      <c r="K2111" s="40"/>
      <c r="Q2111" s="40">
        <v>36207</v>
      </c>
      <c r="R2111" s="39">
        <v>4904.68</v>
      </c>
      <c r="S2111" s="39">
        <f t="shared" si="217"/>
        <v>2</v>
      </c>
      <c r="T2111" s="39">
        <f t="shared" si="218"/>
        <v>0</v>
      </c>
      <c r="U2111" s="39">
        <f t="shared" si="219"/>
        <v>0</v>
      </c>
      <c r="V2111" s="40"/>
    </row>
    <row r="2112" spans="2:22" x14ac:dyDescent="0.35">
      <c r="B2112" s="40">
        <v>36208</v>
      </c>
      <c r="C2112" s="39">
        <v>4810.09</v>
      </c>
      <c r="D2112" s="219">
        <f t="shared" si="220"/>
        <v>-1.9474056376324343E-2</v>
      </c>
      <c r="F2112" s="40">
        <v>36208</v>
      </c>
      <c r="G2112" s="39">
        <v>4810.09</v>
      </c>
      <c r="H2112" s="39">
        <f t="shared" si="215"/>
        <v>3</v>
      </c>
      <c r="I2112" s="39">
        <f t="shared" si="216"/>
        <v>0</v>
      </c>
      <c r="K2112" s="40"/>
      <c r="Q2112" s="40">
        <v>36208</v>
      </c>
      <c r="R2112" s="39">
        <v>4810.09</v>
      </c>
      <c r="S2112" s="39">
        <f t="shared" si="217"/>
        <v>2</v>
      </c>
      <c r="T2112" s="39">
        <f t="shared" si="218"/>
        <v>0</v>
      </c>
      <c r="U2112" s="39">
        <f t="shared" si="219"/>
        <v>0</v>
      </c>
      <c r="V2112" s="40"/>
    </row>
    <row r="2113" spans="2:22" x14ac:dyDescent="0.35">
      <c r="B2113" s="40">
        <v>36209</v>
      </c>
      <c r="C2113" s="39">
        <v>4845.08</v>
      </c>
      <c r="D2113" s="219">
        <f t="shared" si="220"/>
        <v>7.2479621129833711E-3</v>
      </c>
      <c r="F2113" s="40">
        <v>36209</v>
      </c>
      <c r="G2113" s="39">
        <v>4845.08</v>
      </c>
      <c r="H2113" s="39">
        <f t="shared" si="215"/>
        <v>4</v>
      </c>
      <c r="I2113" s="39">
        <f t="shared" si="216"/>
        <v>0</v>
      </c>
      <c r="K2113" s="40"/>
      <c r="Q2113" s="40">
        <v>36209</v>
      </c>
      <c r="R2113" s="39">
        <v>4845.08</v>
      </c>
      <c r="S2113" s="39">
        <f t="shared" si="217"/>
        <v>2</v>
      </c>
      <c r="T2113" s="39">
        <f t="shared" si="218"/>
        <v>0</v>
      </c>
      <c r="U2113" s="39">
        <f t="shared" si="219"/>
        <v>0</v>
      </c>
      <c r="V2113" s="40"/>
    </row>
    <row r="2114" spans="2:22" x14ac:dyDescent="0.35">
      <c r="B2114" s="40">
        <v>36210</v>
      </c>
      <c r="C2114" s="39">
        <v>4802.38</v>
      </c>
      <c r="D2114" s="219">
        <f t="shared" si="220"/>
        <v>-8.8521287118652533E-3</v>
      </c>
      <c r="F2114" s="40">
        <v>36210</v>
      </c>
      <c r="G2114" s="39">
        <v>4802.38</v>
      </c>
      <c r="H2114" s="39">
        <f t="shared" si="215"/>
        <v>5</v>
      </c>
      <c r="I2114" s="39">
        <f t="shared" si="216"/>
        <v>4802.38</v>
      </c>
      <c r="K2114" s="40"/>
      <c r="Q2114" s="40">
        <v>36210</v>
      </c>
      <c r="R2114" s="39">
        <v>4802.38</v>
      </c>
      <c r="S2114" s="39">
        <f t="shared" si="217"/>
        <v>2</v>
      </c>
      <c r="T2114" s="39">
        <f t="shared" si="218"/>
        <v>0</v>
      </c>
      <c r="U2114" s="39">
        <f t="shared" si="219"/>
        <v>0</v>
      </c>
      <c r="V2114" s="40"/>
    </row>
    <row r="2115" spans="2:22" x14ac:dyDescent="0.35">
      <c r="B2115" s="40">
        <v>36213</v>
      </c>
      <c r="C2115" s="39">
        <v>4845.18</v>
      </c>
      <c r="D2115" s="219">
        <f t="shared" si="220"/>
        <v>8.8727679929586668E-3</v>
      </c>
      <c r="F2115" s="40">
        <v>36213</v>
      </c>
      <c r="G2115" s="39">
        <v>4845.18</v>
      </c>
      <c r="H2115" s="39">
        <f t="shared" si="215"/>
        <v>1</v>
      </c>
      <c r="I2115" s="39">
        <f t="shared" si="216"/>
        <v>0</v>
      </c>
      <c r="K2115" s="40"/>
      <c r="Q2115" s="40">
        <v>36213</v>
      </c>
      <c r="R2115" s="39">
        <v>4845.18</v>
      </c>
      <c r="S2115" s="39">
        <f t="shared" si="217"/>
        <v>2</v>
      </c>
      <c r="T2115" s="39">
        <f t="shared" si="218"/>
        <v>0</v>
      </c>
      <c r="U2115" s="39">
        <f t="shared" si="219"/>
        <v>0</v>
      </c>
      <c r="V2115" s="40"/>
    </row>
    <row r="2116" spans="2:22" x14ac:dyDescent="0.35">
      <c r="B2116" s="40">
        <v>36214</v>
      </c>
      <c r="C2116" s="39">
        <v>4987.5600000000004</v>
      </c>
      <c r="D2116" s="219">
        <f t="shared" si="220"/>
        <v>2.8962415863400624E-2</v>
      </c>
      <c r="F2116" s="40">
        <v>36214</v>
      </c>
      <c r="G2116" s="39">
        <v>4987.5600000000004</v>
      </c>
      <c r="H2116" s="39">
        <f t="shared" si="215"/>
        <v>2</v>
      </c>
      <c r="I2116" s="39">
        <f t="shared" si="216"/>
        <v>0</v>
      </c>
      <c r="K2116" s="40"/>
      <c r="Q2116" s="40">
        <v>36214</v>
      </c>
      <c r="R2116" s="39">
        <v>4987.5600000000004</v>
      </c>
      <c r="S2116" s="39">
        <f t="shared" si="217"/>
        <v>2</v>
      </c>
      <c r="T2116" s="39">
        <f t="shared" si="218"/>
        <v>0</v>
      </c>
      <c r="U2116" s="39">
        <f t="shared" si="219"/>
        <v>0</v>
      </c>
      <c r="V2116" s="40"/>
    </row>
    <row r="2117" spans="2:22" x14ac:dyDescent="0.35">
      <c r="B2117" s="40">
        <v>36215</v>
      </c>
      <c r="C2117" s="39">
        <v>5062.3100000000004</v>
      </c>
      <c r="D2117" s="219">
        <f t="shared" si="220"/>
        <v>1.4876088645350435E-2</v>
      </c>
      <c r="F2117" s="40">
        <v>36215</v>
      </c>
      <c r="G2117" s="39">
        <v>5062.3100000000004</v>
      </c>
      <c r="H2117" s="39">
        <f t="shared" si="215"/>
        <v>3</v>
      </c>
      <c r="I2117" s="39">
        <f t="shared" si="216"/>
        <v>0</v>
      </c>
      <c r="K2117" s="40"/>
      <c r="Q2117" s="40">
        <v>36215</v>
      </c>
      <c r="R2117" s="39">
        <v>5062.3100000000004</v>
      </c>
      <c r="S2117" s="39">
        <f t="shared" si="217"/>
        <v>2</v>
      </c>
      <c r="T2117" s="39">
        <f t="shared" si="218"/>
        <v>0</v>
      </c>
      <c r="U2117" s="39">
        <f t="shared" si="219"/>
        <v>0</v>
      </c>
      <c r="V2117" s="40"/>
    </row>
    <row r="2118" spans="2:22" x14ac:dyDescent="0.35">
      <c r="B2118" s="40">
        <v>36216</v>
      </c>
      <c r="C2118" s="39">
        <v>4958.58</v>
      </c>
      <c r="D2118" s="219">
        <f t="shared" si="220"/>
        <v>-2.070349143880186E-2</v>
      </c>
      <c r="F2118" s="40">
        <v>36216</v>
      </c>
      <c r="G2118" s="39">
        <v>4958.58</v>
      </c>
      <c r="H2118" s="39">
        <f t="shared" si="215"/>
        <v>4</v>
      </c>
      <c r="I2118" s="39">
        <f t="shared" si="216"/>
        <v>0</v>
      </c>
      <c r="K2118" s="40"/>
      <c r="Q2118" s="40">
        <v>36216</v>
      </c>
      <c r="R2118" s="39">
        <v>4958.58</v>
      </c>
      <c r="S2118" s="39">
        <f t="shared" si="217"/>
        <v>2</v>
      </c>
      <c r="T2118" s="39">
        <f t="shared" si="218"/>
        <v>0</v>
      </c>
      <c r="U2118" s="39">
        <f t="shared" si="219"/>
        <v>0</v>
      </c>
      <c r="V2118" s="40"/>
    </row>
    <row r="2119" spans="2:22" x14ac:dyDescent="0.35">
      <c r="B2119" s="40">
        <v>36217</v>
      </c>
      <c r="C2119" s="39">
        <v>4911.8100000000004</v>
      </c>
      <c r="D2119" s="219">
        <f t="shared" si="220"/>
        <v>-9.4769001103960117E-3</v>
      </c>
      <c r="F2119" s="40">
        <v>36217</v>
      </c>
      <c r="G2119" s="39">
        <v>4911.8100000000004</v>
      </c>
      <c r="H2119" s="39">
        <f t="shared" si="215"/>
        <v>5</v>
      </c>
      <c r="I2119" s="39">
        <f t="shared" si="216"/>
        <v>4911.8100000000004</v>
      </c>
      <c r="K2119" s="40"/>
      <c r="Q2119" s="40">
        <v>36217</v>
      </c>
      <c r="R2119" s="39">
        <v>4911.8100000000004</v>
      </c>
      <c r="S2119" s="39">
        <f t="shared" si="217"/>
        <v>2</v>
      </c>
      <c r="T2119" s="39">
        <f t="shared" si="218"/>
        <v>4911.8100000000004</v>
      </c>
      <c r="U2119" s="39">
        <f t="shared" si="219"/>
        <v>4911.8100000000004</v>
      </c>
      <c r="V2119" s="40"/>
    </row>
    <row r="2120" spans="2:22" x14ac:dyDescent="0.35">
      <c r="B2120" s="40">
        <v>36220</v>
      </c>
      <c r="C2120" s="39">
        <v>4784.3100000000004</v>
      </c>
      <c r="D2120" s="219">
        <f t="shared" si="220"/>
        <v>-2.6300695434913344E-2</v>
      </c>
      <c r="F2120" s="40">
        <v>36220</v>
      </c>
      <c r="G2120" s="39">
        <v>4784.3100000000004</v>
      </c>
      <c r="H2120" s="39">
        <f t="shared" si="215"/>
        <v>1</v>
      </c>
      <c r="I2120" s="39">
        <f t="shared" si="216"/>
        <v>0</v>
      </c>
      <c r="K2120" s="40"/>
      <c r="Q2120" s="40">
        <v>36220</v>
      </c>
      <c r="R2120" s="39">
        <v>4784.3100000000004</v>
      </c>
      <c r="S2120" s="39">
        <f t="shared" si="217"/>
        <v>3</v>
      </c>
      <c r="T2120" s="39">
        <f t="shared" si="218"/>
        <v>0</v>
      </c>
      <c r="U2120" s="39">
        <f t="shared" si="219"/>
        <v>0</v>
      </c>
      <c r="V2120" s="40"/>
    </row>
    <row r="2121" spans="2:22" x14ac:dyDescent="0.35">
      <c r="B2121" s="40">
        <v>36221</v>
      </c>
      <c r="C2121" s="39">
        <v>4804.0200000000004</v>
      </c>
      <c r="D2121" s="219">
        <f t="shared" si="220"/>
        <v>4.1112535263583333E-3</v>
      </c>
      <c r="F2121" s="40">
        <v>36221</v>
      </c>
      <c r="G2121" s="39">
        <v>4804.0200000000004</v>
      </c>
      <c r="H2121" s="39">
        <f t="shared" si="215"/>
        <v>2</v>
      </c>
      <c r="I2121" s="39">
        <f t="shared" si="216"/>
        <v>0</v>
      </c>
      <c r="K2121" s="40"/>
      <c r="Q2121" s="40">
        <v>36221</v>
      </c>
      <c r="R2121" s="39">
        <v>4804.0200000000004</v>
      </c>
      <c r="S2121" s="39">
        <f t="shared" si="217"/>
        <v>3</v>
      </c>
      <c r="T2121" s="39">
        <f t="shared" si="218"/>
        <v>0</v>
      </c>
      <c r="U2121" s="39">
        <f t="shared" si="219"/>
        <v>0</v>
      </c>
      <c r="V2121" s="40"/>
    </row>
    <row r="2122" spans="2:22" x14ac:dyDescent="0.35">
      <c r="B2122" s="40">
        <v>36222</v>
      </c>
      <c r="C2122" s="39">
        <v>4697.67</v>
      </c>
      <c r="D2122" s="219">
        <f t="shared" si="220"/>
        <v>-2.2386426293266069E-2</v>
      </c>
      <c r="F2122" s="40">
        <v>36222</v>
      </c>
      <c r="G2122" s="39">
        <v>4697.67</v>
      </c>
      <c r="H2122" s="39">
        <f t="shared" si="215"/>
        <v>3</v>
      </c>
      <c r="I2122" s="39">
        <f t="shared" si="216"/>
        <v>0</v>
      </c>
      <c r="K2122" s="40"/>
      <c r="Q2122" s="40">
        <v>36222</v>
      </c>
      <c r="R2122" s="39">
        <v>4697.67</v>
      </c>
      <c r="S2122" s="39">
        <f t="shared" si="217"/>
        <v>3</v>
      </c>
      <c r="T2122" s="39">
        <f t="shared" si="218"/>
        <v>0</v>
      </c>
      <c r="U2122" s="39">
        <f t="shared" si="219"/>
        <v>0</v>
      </c>
      <c r="V2122" s="40"/>
    </row>
    <row r="2123" spans="2:22" x14ac:dyDescent="0.35">
      <c r="B2123" s="40">
        <v>36223</v>
      </c>
      <c r="C2123" s="39">
        <v>4678.72</v>
      </c>
      <c r="D2123" s="219">
        <f t="shared" si="220"/>
        <v>-4.0420728662044726E-3</v>
      </c>
      <c r="F2123" s="40">
        <v>36223</v>
      </c>
      <c r="G2123" s="39">
        <v>4678.72</v>
      </c>
      <c r="H2123" s="39">
        <f t="shared" si="215"/>
        <v>4</v>
      </c>
      <c r="I2123" s="39">
        <f t="shared" si="216"/>
        <v>0</v>
      </c>
      <c r="K2123" s="40"/>
      <c r="Q2123" s="40">
        <v>36223</v>
      </c>
      <c r="R2123" s="39">
        <v>4678.72</v>
      </c>
      <c r="S2123" s="39">
        <f t="shared" si="217"/>
        <v>3</v>
      </c>
      <c r="T2123" s="39">
        <f t="shared" si="218"/>
        <v>0</v>
      </c>
      <c r="U2123" s="39">
        <f t="shared" si="219"/>
        <v>0</v>
      </c>
      <c r="V2123" s="40"/>
    </row>
    <row r="2124" spans="2:22" x14ac:dyDescent="0.35">
      <c r="B2124" s="40">
        <v>36224</v>
      </c>
      <c r="C2124" s="39">
        <v>4839.09</v>
      </c>
      <c r="D2124" s="219">
        <f t="shared" si="220"/>
        <v>3.3702118275355339E-2</v>
      </c>
      <c r="F2124" s="40">
        <v>36224</v>
      </c>
      <c r="G2124" s="39">
        <v>4839.09</v>
      </c>
      <c r="H2124" s="39">
        <f t="shared" si="215"/>
        <v>5</v>
      </c>
      <c r="I2124" s="39">
        <f t="shared" si="216"/>
        <v>4839.09</v>
      </c>
      <c r="K2124" s="40"/>
      <c r="Q2124" s="40">
        <v>36224</v>
      </c>
      <c r="R2124" s="39">
        <v>4839.09</v>
      </c>
      <c r="S2124" s="39">
        <f t="shared" si="217"/>
        <v>3</v>
      </c>
      <c r="T2124" s="39">
        <f t="shared" si="218"/>
        <v>0</v>
      </c>
      <c r="U2124" s="39">
        <f t="shared" si="219"/>
        <v>0</v>
      </c>
      <c r="V2124" s="40"/>
    </row>
    <row r="2125" spans="2:22" x14ac:dyDescent="0.35">
      <c r="B2125" s="40">
        <v>36227</v>
      </c>
      <c r="C2125" s="39">
        <v>4788.6899999999996</v>
      </c>
      <c r="D2125" s="219">
        <f t="shared" si="220"/>
        <v>-1.0469798933763803E-2</v>
      </c>
      <c r="F2125" s="40">
        <v>36227</v>
      </c>
      <c r="G2125" s="39">
        <v>4788.6899999999996</v>
      </c>
      <c r="H2125" s="39">
        <f t="shared" si="215"/>
        <v>1</v>
      </c>
      <c r="I2125" s="39">
        <f t="shared" si="216"/>
        <v>0</v>
      </c>
      <c r="K2125" s="40"/>
      <c r="Q2125" s="40">
        <v>36227</v>
      </c>
      <c r="R2125" s="39">
        <v>4788.6899999999996</v>
      </c>
      <c r="S2125" s="39">
        <f t="shared" si="217"/>
        <v>3</v>
      </c>
      <c r="T2125" s="39">
        <f t="shared" si="218"/>
        <v>0</v>
      </c>
      <c r="U2125" s="39">
        <f t="shared" si="219"/>
        <v>0</v>
      </c>
      <c r="V2125" s="40"/>
    </row>
    <row r="2126" spans="2:22" x14ac:dyDescent="0.35">
      <c r="B2126" s="40">
        <v>36228</v>
      </c>
      <c r="C2126" s="39">
        <v>4758.46</v>
      </c>
      <c r="D2126" s="219">
        <f t="shared" si="220"/>
        <v>-6.3328011038946306E-3</v>
      </c>
      <c r="F2126" s="40">
        <v>36228</v>
      </c>
      <c r="G2126" s="39">
        <v>4758.46</v>
      </c>
      <c r="H2126" s="39">
        <f t="shared" si="215"/>
        <v>2</v>
      </c>
      <c r="I2126" s="39">
        <f t="shared" si="216"/>
        <v>0</v>
      </c>
      <c r="K2126" s="40"/>
      <c r="Q2126" s="40">
        <v>36228</v>
      </c>
      <c r="R2126" s="39">
        <v>4758.46</v>
      </c>
      <c r="S2126" s="39">
        <f t="shared" si="217"/>
        <v>3</v>
      </c>
      <c r="T2126" s="39">
        <f t="shared" si="218"/>
        <v>0</v>
      </c>
      <c r="U2126" s="39">
        <f t="shared" si="219"/>
        <v>0</v>
      </c>
      <c r="V2126" s="40"/>
    </row>
    <row r="2127" spans="2:22" x14ac:dyDescent="0.35">
      <c r="B2127" s="40">
        <v>36229</v>
      </c>
      <c r="C2127" s="39">
        <v>4721.41</v>
      </c>
      <c r="D2127" s="219">
        <f t="shared" si="220"/>
        <v>-7.8166026841775885E-3</v>
      </c>
      <c r="F2127" s="40">
        <v>36229</v>
      </c>
      <c r="G2127" s="39">
        <v>4721.41</v>
      </c>
      <c r="H2127" s="39">
        <f t="shared" si="215"/>
        <v>3</v>
      </c>
      <c r="I2127" s="39">
        <f t="shared" si="216"/>
        <v>0</v>
      </c>
      <c r="K2127" s="40"/>
      <c r="Q2127" s="40">
        <v>36229</v>
      </c>
      <c r="R2127" s="39">
        <v>4721.41</v>
      </c>
      <c r="S2127" s="39">
        <f t="shared" si="217"/>
        <v>3</v>
      </c>
      <c r="T2127" s="39">
        <f t="shared" si="218"/>
        <v>0</v>
      </c>
      <c r="U2127" s="39">
        <f t="shared" si="219"/>
        <v>0</v>
      </c>
      <c r="V2127" s="40"/>
    </row>
    <row r="2128" spans="2:22" x14ac:dyDescent="0.35">
      <c r="B2128" s="40">
        <v>36230</v>
      </c>
      <c r="C2128" s="39">
        <v>4754.41</v>
      </c>
      <c r="D2128" s="219">
        <f t="shared" si="220"/>
        <v>6.9651245824706668E-3</v>
      </c>
      <c r="F2128" s="40">
        <v>36230</v>
      </c>
      <c r="G2128" s="39">
        <v>4754.41</v>
      </c>
      <c r="H2128" s="39">
        <f t="shared" si="215"/>
        <v>4</v>
      </c>
      <c r="I2128" s="39">
        <f t="shared" si="216"/>
        <v>0</v>
      </c>
      <c r="K2128" s="40"/>
      <c r="Q2128" s="40">
        <v>36230</v>
      </c>
      <c r="R2128" s="39">
        <v>4754.41</v>
      </c>
      <c r="S2128" s="39">
        <f t="shared" si="217"/>
        <v>3</v>
      </c>
      <c r="T2128" s="39">
        <f t="shared" si="218"/>
        <v>0</v>
      </c>
      <c r="U2128" s="39">
        <f t="shared" si="219"/>
        <v>0</v>
      </c>
      <c r="V2128" s="40"/>
    </row>
    <row r="2129" spans="2:22" x14ac:dyDescent="0.35">
      <c r="B2129" s="40">
        <v>36231</v>
      </c>
      <c r="C2129" s="39">
        <v>5008.16</v>
      </c>
      <c r="D2129" s="219">
        <f t="shared" si="220"/>
        <v>5.199597378630582E-2</v>
      </c>
      <c r="F2129" s="40">
        <v>36231</v>
      </c>
      <c r="G2129" s="39">
        <v>5008.16</v>
      </c>
      <c r="H2129" s="39">
        <f t="shared" si="215"/>
        <v>5</v>
      </c>
      <c r="I2129" s="39">
        <f t="shared" si="216"/>
        <v>5008.16</v>
      </c>
      <c r="K2129" s="40"/>
      <c r="Q2129" s="40">
        <v>36231</v>
      </c>
      <c r="R2129" s="39">
        <v>5008.16</v>
      </c>
      <c r="S2129" s="39">
        <f t="shared" si="217"/>
        <v>3</v>
      </c>
      <c r="T2129" s="39">
        <f t="shared" si="218"/>
        <v>0</v>
      </c>
      <c r="U2129" s="39">
        <f t="shared" si="219"/>
        <v>0</v>
      </c>
      <c r="V2129" s="40"/>
    </row>
    <row r="2130" spans="2:22" x14ac:dyDescent="0.35">
      <c r="B2130" s="40">
        <v>36234</v>
      </c>
      <c r="C2130" s="39">
        <v>5029.24</v>
      </c>
      <c r="D2130" s="219">
        <f t="shared" si="220"/>
        <v>4.2002970872885613E-3</v>
      </c>
      <c r="F2130" s="40">
        <v>36234</v>
      </c>
      <c r="G2130" s="39">
        <v>5029.24</v>
      </c>
      <c r="H2130" s="39">
        <f t="shared" si="215"/>
        <v>1</v>
      </c>
      <c r="I2130" s="39">
        <f t="shared" si="216"/>
        <v>0</v>
      </c>
      <c r="K2130" s="40"/>
      <c r="Q2130" s="40">
        <v>36234</v>
      </c>
      <c r="R2130" s="39">
        <v>5029.24</v>
      </c>
      <c r="S2130" s="39">
        <f t="shared" si="217"/>
        <v>3</v>
      </c>
      <c r="T2130" s="39">
        <f t="shared" si="218"/>
        <v>0</v>
      </c>
      <c r="U2130" s="39">
        <f t="shared" si="219"/>
        <v>0</v>
      </c>
      <c r="V2130" s="40"/>
    </row>
    <row r="2131" spans="2:22" x14ac:dyDescent="0.35">
      <c r="B2131" s="40">
        <v>36235</v>
      </c>
      <c r="C2131" s="39">
        <v>5094.63</v>
      </c>
      <c r="D2131" s="219">
        <f t="shared" si="220"/>
        <v>1.2918164565294396E-2</v>
      </c>
      <c r="F2131" s="40">
        <v>36235</v>
      </c>
      <c r="G2131" s="39">
        <v>5094.63</v>
      </c>
      <c r="H2131" s="39">
        <f t="shared" si="215"/>
        <v>2</v>
      </c>
      <c r="I2131" s="39">
        <f t="shared" si="216"/>
        <v>0</v>
      </c>
      <c r="K2131" s="40"/>
      <c r="Q2131" s="40">
        <v>36235</v>
      </c>
      <c r="R2131" s="39">
        <v>5094.63</v>
      </c>
      <c r="S2131" s="39">
        <f t="shared" si="217"/>
        <v>3</v>
      </c>
      <c r="T2131" s="39">
        <f t="shared" si="218"/>
        <v>0</v>
      </c>
      <c r="U2131" s="39">
        <f t="shared" si="219"/>
        <v>0</v>
      </c>
      <c r="V2131" s="40"/>
    </row>
    <row r="2132" spans="2:22" x14ac:dyDescent="0.35">
      <c r="B2132" s="40">
        <v>36236</v>
      </c>
      <c r="C2132" s="39">
        <v>5077.43</v>
      </c>
      <c r="D2132" s="219">
        <f t="shared" si="220"/>
        <v>-3.3818157566054352E-3</v>
      </c>
      <c r="F2132" s="40">
        <v>36236</v>
      </c>
      <c r="G2132" s="39">
        <v>5077.43</v>
      </c>
      <c r="H2132" s="39">
        <f t="shared" si="215"/>
        <v>3</v>
      </c>
      <c r="I2132" s="39">
        <f t="shared" si="216"/>
        <v>0</v>
      </c>
      <c r="K2132" s="40"/>
      <c r="Q2132" s="40">
        <v>36236</v>
      </c>
      <c r="R2132" s="39">
        <v>5077.43</v>
      </c>
      <c r="S2132" s="39">
        <f t="shared" si="217"/>
        <v>3</v>
      </c>
      <c r="T2132" s="39">
        <f t="shared" si="218"/>
        <v>0</v>
      </c>
      <c r="U2132" s="39">
        <f t="shared" si="219"/>
        <v>0</v>
      </c>
      <c r="V2132" s="40"/>
    </row>
    <row r="2133" spans="2:22" x14ac:dyDescent="0.35">
      <c r="B2133" s="40">
        <v>36237</v>
      </c>
      <c r="C2133" s="39">
        <v>5013.62</v>
      </c>
      <c r="D2133" s="219">
        <f t="shared" si="220"/>
        <v>-1.2647018995323868E-2</v>
      </c>
      <c r="F2133" s="40">
        <v>36237</v>
      </c>
      <c r="G2133" s="39">
        <v>5013.62</v>
      </c>
      <c r="H2133" s="39">
        <f t="shared" si="215"/>
        <v>4</v>
      </c>
      <c r="I2133" s="39">
        <f t="shared" si="216"/>
        <v>0</v>
      </c>
      <c r="K2133" s="40"/>
      <c r="Q2133" s="40">
        <v>36237</v>
      </c>
      <c r="R2133" s="39">
        <v>5013.62</v>
      </c>
      <c r="S2133" s="39">
        <f t="shared" si="217"/>
        <v>3</v>
      </c>
      <c r="T2133" s="39">
        <f t="shared" si="218"/>
        <v>0</v>
      </c>
      <c r="U2133" s="39">
        <f t="shared" si="219"/>
        <v>0</v>
      </c>
      <c r="V2133" s="40"/>
    </row>
    <row r="2134" spans="2:22" x14ac:dyDescent="0.35">
      <c r="B2134" s="40">
        <v>36238</v>
      </c>
      <c r="C2134" s="39">
        <v>5099.4799999999996</v>
      </c>
      <c r="D2134" s="219">
        <f t="shared" si="220"/>
        <v>1.6980364677726768E-2</v>
      </c>
      <c r="F2134" s="40">
        <v>36238</v>
      </c>
      <c r="G2134" s="39">
        <v>5099.4799999999996</v>
      </c>
      <c r="H2134" s="39">
        <f t="shared" si="215"/>
        <v>5</v>
      </c>
      <c r="I2134" s="39">
        <f t="shared" si="216"/>
        <v>5099.4799999999996</v>
      </c>
      <c r="K2134" s="40"/>
      <c r="Q2134" s="40">
        <v>36238</v>
      </c>
      <c r="R2134" s="39">
        <v>5099.4799999999996</v>
      </c>
      <c r="S2134" s="39">
        <f t="shared" si="217"/>
        <v>3</v>
      </c>
      <c r="T2134" s="39">
        <f t="shared" si="218"/>
        <v>0</v>
      </c>
      <c r="U2134" s="39">
        <f t="shared" si="219"/>
        <v>0</v>
      </c>
      <c r="V2134" s="40"/>
    </row>
    <row r="2135" spans="2:22" x14ac:dyDescent="0.35">
      <c r="B2135" s="40">
        <v>36241</v>
      </c>
      <c r="C2135" s="39">
        <v>5027.0600000000004</v>
      </c>
      <c r="D2135" s="219">
        <f t="shared" si="220"/>
        <v>-1.4303253560361405E-2</v>
      </c>
      <c r="F2135" s="40">
        <v>36241</v>
      </c>
      <c r="G2135" s="39">
        <v>5027.0600000000004</v>
      </c>
      <c r="H2135" s="39">
        <f t="shared" si="215"/>
        <v>1</v>
      </c>
      <c r="I2135" s="39">
        <f t="shared" si="216"/>
        <v>0</v>
      </c>
      <c r="K2135" s="40"/>
      <c r="Q2135" s="40">
        <v>36241</v>
      </c>
      <c r="R2135" s="39">
        <v>5027.0600000000004</v>
      </c>
      <c r="S2135" s="39">
        <f t="shared" si="217"/>
        <v>3</v>
      </c>
      <c r="T2135" s="39">
        <f t="shared" si="218"/>
        <v>0</v>
      </c>
      <c r="U2135" s="39">
        <f t="shared" si="219"/>
        <v>0</v>
      </c>
      <c r="V2135" s="40"/>
    </row>
    <row r="2136" spans="2:22" x14ac:dyDescent="0.35">
      <c r="B2136" s="40">
        <v>36242</v>
      </c>
      <c r="C2136" s="39">
        <v>4915.03</v>
      </c>
      <c r="D2136" s="219">
        <f t="shared" si="220"/>
        <v>-2.2537462842761022E-2</v>
      </c>
      <c r="F2136" s="40">
        <v>36242</v>
      </c>
      <c r="G2136" s="39">
        <v>4915.03</v>
      </c>
      <c r="H2136" s="39">
        <f t="shared" si="215"/>
        <v>2</v>
      </c>
      <c r="I2136" s="39">
        <f t="shared" si="216"/>
        <v>0</v>
      </c>
      <c r="K2136" s="40"/>
      <c r="Q2136" s="40">
        <v>36242</v>
      </c>
      <c r="R2136" s="39">
        <v>4915.03</v>
      </c>
      <c r="S2136" s="39">
        <f t="shared" si="217"/>
        <v>3</v>
      </c>
      <c r="T2136" s="39">
        <f t="shared" si="218"/>
        <v>0</v>
      </c>
      <c r="U2136" s="39">
        <f t="shared" si="219"/>
        <v>0</v>
      </c>
      <c r="V2136" s="40"/>
    </row>
    <row r="2137" spans="2:22" x14ac:dyDescent="0.35">
      <c r="B2137" s="40">
        <v>36243</v>
      </c>
      <c r="C2137" s="39">
        <v>4780.13</v>
      </c>
      <c r="D2137" s="219">
        <f t="shared" si="220"/>
        <v>-2.7830114558227644E-2</v>
      </c>
      <c r="F2137" s="40">
        <v>36243</v>
      </c>
      <c r="G2137" s="39">
        <v>4780.13</v>
      </c>
      <c r="H2137" s="39">
        <f t="shared" si="215"/>
        <v>3</v>
      </c>
      <c r="I2137" s="39">
        <f t="shared" si="216"/>
        <v>0</v>
      </c>
      <c r="K2137" s="40"/>
      <c r="Q2137" s="40">
        <v>36243</v>
      </c>
      <c r="R2137" s="39">
        <v>4780.13</v>
      </c>
      <c r="S2137" s="39">
        <f t="shared" si="217"/>
        <v>3</v>
      </c>
      <c r="T2137" s="39">
        <f t="shared" si="218"/>
        <v>0</v>
      </c>
      <c r="U2137" s="39">
        <f t="shared" si="219"/>
        <v>0</v>
      </c>
      <c r="V2137" s="40"/>
    </row>
    <row r="2138" spans="2:22" x14ac:dyDescent="0.35">
      <c r="B2138" s="40">
        <v>36244</v>
      </c>
      <c r="C2138" s="39">
        <v>4860.26</v>
      </c>
      <c r="D2138" s="219">
        <f t="shared" si="220"/>
        <v>1.6624191637563287E-2</v>
      </c>
      <c r="F2138" s="40">
        <v>36244</v>
      </c>
      <c r="G2138" s="39">
        <v>4860.26</v>
      </c>
      <c r="H2138" s="39">
        <f t="shared" si="215"/>
        <v>4</v>
      </c>
      <c r="I2138" s="39">
        <f t="shared" si="216"/>
        <v>0</v>
      </c>
      <c r="K2138" s="40"/>
      <c r="Q2138" s="40">
        <v>36244</v>
      </c>
      <c r="R2138" s="39">
        <v>4860.26</v>
      </c>
      <c r="S2138" s="39">
        <f t="shared" si="217"/>
        <v>3</v>
      </c>
      <c r="T2138" s="39">
        <f t="shared" si="218"/>
        <v>0</v>
      </c>
      <c r="U2138" s="39">
        <f t="shared" si="219"/>
        <v>0</v>
      </c>
      <c r="V2138" s="40"/>
    </row>
    <row r="2139" spans="2:22" x14ac:dyDescent="0.35">
      <c r="B2139" s="40">
        <v>36245</v>
      </c>
      <c r="C2139" s="39">
        <v>4775.17</v>
      </c>
      <c r="D2139" s="219">
        <f t="shared" si="220"/>
        <v>-1.766235903063048E-2</v>
      </c>
      <c r="F2139" s="40">
        <v>36245</v>
      </c>
      <c r="G2139" s="39">
        <v>4775.17</v>
      </c>
      <c r="H2139" s="39">
        <f t="shared" si="215"/>
        <v>5</v>
      </c>
      <c r="I2139" s="39">
        <f t="shared" si="216"/>
        <v>4775.17</v>
      </c>
      <c r="K2139" s="40"/>
      <c r="Q2139" s="40">
        <v>36245</v>
      </c>
      <c r="R2139" s="39">
        <v>4775.17</v>
      </c>
      <c r="S2139" s="39">
        <f t="shared" si="217"/>
        <v>3</v>
      </c>
      <c r="T2139" s="39">
        <f t="shared" si="218"/>
        <v>0</v>
      </c>
      <c r="U2139" s="39">
        <f t="shared" si="219"/>
        <v>0</v>
      </c>
      <c r="V2139" s="40"/>
    </row>
    <row r="2140" spans="2:22" x14ac:dyDescent="0.35">
      <c r="B2140" s="40">
        <v>36248</v>
      </c>
      <c r="C2140" s="39">
        <v>4876.92</v>
      </c>
      <c r="D2140" s="219">
        <f t="shared" si="220"/>
        <v>2.1084297673423142E-2</v>
      </c>
      <c r="F2140" s="40">
        <v>36248</v>
      </c>
      <c r="G2140" s="39">
        <v>4876.92</v>
      </c>
      <c r="H2140" s="39">
        <f t="shared" si="215"/>
        <v>1</v>
      </c>
      <c r="I2140" s="39">
        <f t="shared" si="216"/>
        <v>0</v>
      </c>
      <c r="K2140" s="40"/>
      <c r="Q2140" s="40">
        <v>36248</v>
      </c>
      <c r="R2140" s="39">
        <v>4876.92</v>
      </c>
      <c r="S2140" s="39">
        <f t="shared" si="217"/>
        <v>3</v>
      </c>
      <c r="T2140" s="39">
        <f t="shared" si="218"/>
        <v>0</v>
      </c>
      <c r="U2140" s="39">
        <f t="shared" si="219"/>
        <v>0</v>
      </c>
      <c r="V2140" s="40"/>
    </row>
    <row r="2141" spans="2:22" x14ac:dyDescent="0.35">
      <c r="B2141" s="40">
        <v>36249</v>
      </c>
      <c r="C2141" s="39">
        <v>4856.84</v>
      </c>
      <c r="D2141" s="219">
        <f t="shared" si="220"/>
        <v>-4.1258523909717786E-3</v>
      </c>
      <c r="F2141" s="40">
        <v>36249</v>
      </c>
      <c r="G2141" s="39">
        <v>4856.84</v>
      </c>
      <c r="H2141" s="39">
        <f t="shared" si="215"/>
        <v>2</v>
      </c>
      <c r="I2141" s="39">
        <f t="shared" si="216"/>
        <v>0</v>
      </c>
      <c r="K2141" s="40"/>
      <c r="Q2141" s="40">
        <v>36249</v>
      </c>
      <c r="R2141" s="39">
        <v>4856.84</v>
      </c>
      <c r="S2141" s="39">
        <f t="shared" si="217"/>
        <v>3</v>
      </c>
      <c r="T2141" s="39">
        <f t="shared" si="218"/>
        <v>0</v>
      </c>
      <c r="U2141" s="39">
        <f t="shared" si="219"/>
        <v>0</v>
      </c>
      <c r="V2141" s="40"/>
    </row>
    <row r="2142" spans="2:22" x14ac:dyDescent="0.35">
      <c r="B2142" s="40">
        <v>36250</v>
      </c>
      <c r="C2142" s="39">
        <v>4884.2</v>
      </c>
      <c r="D2142" s="219">
        <f t="shared" si="220"/>
        <v>5.6174847753320961E-3</v>
      </c>
      <c r="F2142" s="40">
        <v>36250</v>
      </c>
      <c r="G2142" s="39">
        <v>4884.2</v>
      </c>
      <c r="H2142" s="39">
        <f t="shared" si="215"/>
        <v>3</v>
      </c>
      <c r="I2142" s="39">
        <f t="shared" si="216"/>
        <v>0</v>
      </c>
      <c r="K2142" s="40"/>
      <c r="Q2142" s="40">
        <v>36250</v>
      </c>
      <c r="R2142" s="39">
        <v>4884.2</v>
      </c>
      <c r="S2142" s="39">
        <f t="shared" si="217"/>
        <v>3</v>
      </c>
      <c r="T2142" s="39">
        <f t="shared" si="218"/>
        <v>4884.2</v>
      </c>
      <c r="U2142" s="39">
        <f t="shared" si="219"/>
        <v>4884.2</v>
      </c>
      <c r="V2142" s="40"/>
    </row>
    <row r="2143" spans="2:22" x14ac:dyDescent="0.35">
      <c r="B2143" s="40">
        <v>36251</v>
      </c>
      <c r="C2143" s="39">
        <v>4914.59</v>
      </c>
      <c r="D2143" s="219">
        <f t="shared" si="220"/>
        <v>6.2028265608345913E-3</v>
      </c>
      <c r="F2143" s="40">
        <v>36251</v>
      </c>
      <c r="G2143" s="39">
        <v>4914.59</v>
      </c>
      <c r="H2143" s="39">
        <f t="shared" si="215"/>
        <v>4</v>
      </c>
      <c r="I2143" s="39">
        <f t="shared" si="216"/>
        <v>4914.59</v>
      </c>
      <c r="K2143" s="40"/>
      <c r="Q2143" s="40">
        <v>36251</v>
      </c>
      <c r="R2143" s="39">
        <v>4914.59</v>
      </c>
      <c r="S2143" s="39">
        <f t="shared" si="217"/>
        <v>4</v>
      </c>
      <c r="T2143" s="39">
        <f t="shared" si="218"/>
        <v>0</v>
      </c>
      <c r="U2143" s="39">
        <f t="shared" si="219"/>
        <v>0</v>
      </c>
      <c r="V2143" s="40"/>
    </row>
    <row r="2144" spans="2:22" x14ac:dyDescent="0.35">
      <c r="B2144" s="40">
        <v>36256</v>
      </c>
      <c r="C2144" s="39">
        <v>4965.29</v>
      </c>
      <c r="D2144" s="219">
        <f t="shared" si="220"/>
        <v>1.0263372641626063E-2</v>
      </c>
      <c r="F2144" s="40">
        <v>36256</v>
      </c>
      <c r="G2144" s="39">
        <v>4965.29</v>
      </c>
      <c r="H2144" s="39">
        <f t="shared" si="215"/>
        <v>2</v>
      </c>
      <c r="I2144" s="39">
        <f t="shared" si="216"/>
        <v>0</v>
      </c>
      <c r="K2144" s="40"/>
      <c r="Q2144" s="40">
        <v>36256</v>
      </c>
      <c r="R2144" s="39">
        <v>4965.29</v>
      </c>
      <c r="S2144" s="39">
        <f t="shared" si="217"/>
        <v>4</v>
      </c>
      <c r="T2144" s="39">
        <f t="shared" si="218"/>
        <v>0</v>
      </c>
      <c r="U2144" s="39">
        <f t="shared" si="219"/>
        <v>0</v>
      </c>
      <c r="V2144" s="40"/>
    </row>
    <row r="2145" spans="2:22" x14ac:dyDescent="0.35">
      <c r="B2145" s="40">
        <v>36257</v>
      </c>
      <c r="C2145" s="39">
        <v>5052.2700000000004</v>
      </c>
      <c r="D2145" s="219">
        <f t="shared" si="220"/>
        <v>1.7365942587239069E-2</v>
      </c>
      <c r="F2145" s="40">
        <v>36257</v>
      </c>
      <c r="G2145" s="39">
        <v>5052.2700000000004</v>
      </c>
      <c r="H2145" s="39">
        <f t="shared" si="215"/>
        <v>3</v>
      </c>
      <c r="I2145" s="39">
        <f t="shared" si="216"/>
        <v>0</v>
      </c>
      <c r="K2145" s="40"/>
      <c r="Q2145" s="40">
        <v>36257</v>
      </c>
      <c r="R2145" s="39">
        <v>5052.2700000000004</v>
      </c>
      <c r="S2145" s="39">
        <f t="shared" si="217"/>
        <v>4</v>
      </c>
      <c r="T2145" s="39">
        <f t="shared" si="218"/>
        <v>0</v>
      </c>
      <c r="U2145" s="39">
        <f t="shared" si="219"/>
        <v>0</v>
      </c>
      <c r="V2145" s="40"/>
    </row>
    <row r="2146" spans="2:22" x14ac:dyDescent="0.35">
      <c r="B2146" s="40">
        <v>36258</v>
      </c>
      <c r="C2146" s="39">
        <v>5068.75</v>
      </c>
      <c r="D2146" s="219">
        <f t="shared" si="220"/>
        <v>3.256591640908045E-3</v>
      </c>
      <c r="F2146" s="40">
        <v>36258</v>
      </c>
      <c r="G2146" s="39">
        <v>5068.75</v>
      </c>
      <c r="H2146" s="39">
        <f t="shared" si="215"/>
        <v>4</v>
      </c>
      <c r="I2146" s="39">
        <f t="shared" si="216"/>
        <v>0</v>
      </c>
      <c r="K2146" s="40"/>
      <c r="Q2146" s="40">
        <v>36258</v>
      </c>
      <c r="R2146" s="39">
        <v>5068.75</v>
      </c>
      <c r="S2146" s="39">
        <f t="shared" si="217"/>
        <v>4</v>
      </c>
      <c r="T2146" s="39">
        <f t="shared" si="218"/>
        <v>0</v>
      </c>
      <c r="U2146" s="39">
        <f t="shared" si="219"/>
        <v>0</v>
      </c>
      <c r="V2146" s="40"/>
    </row>
    <row r="2147" spans="2:22" x14ac:dyDescent="0.35">
      <c r="B2147" s="40">
        <v>36259</v>
      </c>
      <c r="C2147" s="39">
        <v>5124.18</v>
      </c>
      <c r="D2147" s="219">
        <f t="shared" si="220"/>
        <v>1.0876273341520398E-2</v>
      </c>
      <c r="F2147" s="40">
        <v>36259</v>
      </c>
      <c r="G2147" s="39">
        <v>5124.18</v>
      </c>
      <c r="H2147" s="39">
        <f t="shared" si="215"/>
        <v>5</v>
      </c>
      <c r="I2147" s="39">
        <f t="shared" si="216"/>
        <v>5124.18</v>
      </c>
      <c r="K2147" s="40"/>
      <c r="Q2147" s="40">
        <v>36259</v>
      </c>
      <c r="R2147" s="39">
        <v>5124.18</v>
      </c>
      <c r="S2147" s="39">
        <f t="shared" si="217"/>
        <v>4</v>
      </c>
      <c r="T2147" s="39">
        <f t="shared" si="218"/>
        <v>0</v>
      </c>
      <c r="U2147" s="39">
        <f t="shared" si="219"/>
        <v>0</v>
      </c>
      <c r="V2147" s="40"/>
    </row>
    <row r="2148" spans="2:22" x14ac:dyDescent="0.35">
      <c r="B2148" s="40">
        <v>36262</v>
      </c>
      <c r="C2148" s="39">
        <v>5159.16</v>
      </c>
      <c r="D2148" s="219">
        <f t="shared" si="220"/>
        <v>6.8032633208466612E-3</v>
      </c>
      <c r="F2148" s="40">
        <v>36262</v>
      </c>
      <c r="G2148" s="39">
        <v>5159.16</v>
      </c>
      <c r="H2148" s="39">
        <f t="shared" si="215"/>
        <v>1</v>
      </c>
      <c r="I2148" s="39">
        <f t="shared" si="216"/>
        <v>0</v>
      </c>
      <c r="K2148" s="40"/>
      <c r="Q2148" s="40">
        <v>36262</v>
      </c>
      <c r="R2148" s="39">
        <v>5159.16</v>
      </c>
      <c r="S2148" s="39">
        <f t="shared" si="217"/>
        <v>4</v>
      </c>
      <c r="T2148" s="39">
        <f t="shared" si="218"/>
        <v>0</v>
      </c>
      <c r="U2148" s="39">
        <f t="shared" si="219"/>
        <v>0</v>
      </c>
      <c r="V2148" s="40"/>
    </row>
    <row r="2149" spans="2:22" x14ac:dyDescent="0.35">
      <c r="B2149" s="40">
        <v>36263</v>
      </c>
      <c r="C2149" s="39">
        <v>5199.18</v>
      </c>
      <c r="D2149" s="219">
        <f t="shared" si="220"/>
        <v>7.7271453009971651E-3</v>
      </c>
      <c r="F2149" s="40">
        <v>36263</v>
      </c>
      <c r="G2149" s="39">
        <v>5199.18</v>
      </c>
      <c r="H2149" s="39">
        <f t="shared" si="215"/>
        <v>2</v>
      </c>
      <c r="I2149" s="39">
        <f t="shared" si="216"/>
        <v>0</v>
      </c>
      <c r="K2149" s="40"/>
      <c r="Q2149" s="40">
        <v>36263</v>
      </c>
      <c r="R2149" s="39">
        <v>5199.18</v>
      </c>
      <c r="S2149" s="39">
        <f t="shared" si="217"/>
        <v>4</v>
      </c>
      <c r="T2149" s="39">
        <f t="shared" si="218"/>
        <v>0</v>
      </c>
      <c r="U2149" s="39">
        <f t="shared" si="219"/>
        <v>0</v>
      </c>
      <c r="V2149" s="40"/>
    </row>
    <row r="2150" spans="2:22" x14ac:dyDescent="0.35">
      <c r="B2150" s="40">
        <v>36264</v>
      </c>
      <c r="C2150" s="39">
        <v>5182.16</v>
      </c>
      <c r="D2150" s="219">
        <f t="shared" si="220"/>
        <v>-3.2789630720790807E-3</v>
      </c>
      <c r="F2150" s="40">
        <v>36264</v>
      </c>
      <c r="G2150" s="39">
        <v>5182.16</v>
      </c>
      <c r="H2150" s="39">
        <f t="shared" si="215"/>
        <v>3</v>
      </c>
      <c r="I2150" s="39">
        <f t="shared" si="216"/>
        <v>0</v>
      </c>
      <c r="K2150" s="40"/>
      <c r="Q2150" s="40">
        <v>36264</v>
      </c>
      <c r="R2150" s="39">
        <v>5182.16</v>
      </c>
      <c r="S2150" s="39">
        <f t="shared" si="217"/>
        <v>4</v>
      </c>
      <c r="T2150" s="39">
        <f t="shared" si="218"/>
        <v>0</v>
      </c>
      <c r="U2150" s="39">
        <f t="shared" si="219"/>
        <v>0</v>
      </c>
      <c r="V2150" s="40"/>
    </row>
    <row r="2151" spans="2:22" x14ac:dyDescent="0.35">
      <c r="B2151" s="40">
        <v>36265</v>
      </c>
      <c r="C2151" s="39">
        <v>5181.01</v>
      </c>
      <c r="D2151" s="219">
        <f t="shared" si="220"/>
        <v>-2.2193981276392988E-4</v>
      </c>
      <c r="F2151" s="40">
        <v>36265</v>
      </c>
      <c r="G2151" s="39">
        <v>5181.01</v>
      </c>
      <c r="H2151" s="39">
        <f t="shared" si="215"/>
        <v>4</v>
      </c>
      <c r="I2151" s="39">
        <f t="shared" si="216"/>
        <v>0</v>
      </c>
      <c r="K2151" s="40"/>
      <c r="Q2151" s="40">
        <v>36265</v>
      </c>
      <c r="R2151" s="39">
        <v>5181.01</v>
      </c>
      <c r="S2151" s="39">
        <f t="shared" si="217"/>
        <v>4</v>
      </c>
      <c r="T2151" s="39">
        <f t="shared" si="218"/>
        <v>0</v>
      </c>
      <c r="U2151" s="39">
        <f t="shared" si="219"/>
        <v>0</v>
      </c>
      <c r="V2151" s="40"/>
    </row>
    <row r="2152" spans="2:22" x14ac:dyDescent="0.35">
      <c r="B2152" s="40">
        <v>36266</v>
      </c>
      <c r="C2152" s="39">
        <v>5155.3500000000004</v>
      </c>
      <c r="D2152" s="219">
        <f t="shared" si="220"/>
        <v>-4.9650075486291911E-3</v>
      </c>
      <c r="F2152" s="40">
        <v>36266</v>
      </c>
      <c r="G2152" s="39">
        <v>5155.3500000000004</v>
      </c>
      <c r="H2152" s="39">
        <f t="shared" si="215"/>
        <v>5</v>
      </c>
      <c r="I2152" s="39">
        <f t="shared" si="216"/>
        <v>5155.3500000000004</v>
      </c>
      <c r="K2152" s="40"/>
      <c r="Q2152" s="40">
        <v>36266</v>
      </c>
      <c r="R2152" s="39">
        <v>5155.3500000000004</v>
      </c>
      <c r="S2152" s="39">
        <f t="shared" si="217"/>
        <v>4</v>
      </c>
      <c r="T2152" s="39">
        <f t="shared" si="218"/>
        <v>0</v>
      </c>
      <c r="U2152" s="39">
        <f t="shared" si="219"/>
        <v>0</v>
      </c>
      <c r="V2152" s="40"/>
    </row>
    <row r="2153" spans="2:22" x14ac:dyDescent="0.35">
      <c r="B2153" s="40">
        <v>36269</v>
      </c>
      <c r="C2153" s="39">
        <v>5220.1499999999996</v>
      </c>
      <c r="D2153" s="219">
        <f t="shared" si="220"/>
        <v>1.2491126702392845E-2</v>
      </c>
      <c r="F2153" s="40">
        <v>36269</v>
      </c>
      <c r="G2153" s="39">
        <v>5220.1499999999996</v>
      </c>
      <c r="H2153" s="39">
        <f t="shared" si="215"/>
        <v>1</v>
      </c>
      <c r="I2153" s="39">
        <f t="shared" si="216"/>
        <v>0</v>
      </c>
      <c r="K2153" s="40"/>
      <c r="Q2153" s="40">
        <v>36269</v>
      </c>
      <c r="R2153" s="39">
        <v>5220.1499999999996</v>
      </c>
      <c r="S2153" s="39">
        <f t="shared" si="217"/>
        <v>4</v>
      </c>
      <c r="T2153" s="39">
        <f t="shared" si="218"/>
        <v>0</v>
      </c>
      <c r="U2153" s="39">
        <f t="shared" si="219"/>
        <v>0</v>
      </c>
      <c r="V2153" s="40"/>
    </row>
    <row r="2154" spans="2:22" x14ac:dyDescent="0.35">
      <c r="B2154" s="40">
        <v>36270</v>
      </c>
      <c r="C2154" s="39">
        <v>5087.29</v>
      </c>
      <c r="D2154" s="219">
        <f t="shared" si="220"/>
        <v>-2.5780864838380387E-2</v>
      </c>
      <c r="F2154" s="40">
        <v>36270</v>
      </c>
      <c r="G2154" s="39">
        <v>5087.29</v>
      </c>
      <c r="H2154" s="39">
        <f t="shared" si="215"/>
        <v>2</v>
      </c>
      <c r="I2154" s="39">
        <f t="shared" si="216"/>
        <v>0</v>
      </c>
      <c r="K2154" s="40"/>
      <c r="Q2154" s="40">
        <v>36270</v>
      </c>
      <c r="R2154" s="39">
        <v>5087.29</v>
      </c>
      <c r="S2154" s="39">
        <f t="shared" si="217"/>
        <v>4</v>
      </c>
      <c r="T2154" s="39">
        <f t="shared" si="218"/>
        <v>0</v>
      </c>
      <c r="U2154" s="39">
        <f t="shared" si="219"/>
        <v>0</v>
      </c>
      <c r="V2154" s="40"/>
    </row>
    <row r="2155" spans="2:22" x14ac:dyDescent="0.35">
      <c r="B2155" s="40">
        <v>36271</v>
      </c>
      <c r="C2155" s="39">
        <v>5163.29</v>
      </c>
      <c r="D2155" s="219">
        <f t="shared" si="220"/>
        <v>1.4828700938662164E-2</v>
      </c>
      <c r="F2155" s="40">
        <v>36271</v>
      </c>
      <c r="G2155" s="39">
        <v>5163.29</v>
      </c>
      <c r="H2155" s="39">
        <f t="shared" si="215"/>
        <v>3</v>
      </c>
      <c r="I2155" s="39">
        <f t="shared" si="216"/>
        <v>0</v>
      </c>
      <c r="K2155" s="40"/>
      <c r="Q2155" s="40">
        <v>36271</v>
      </c>
      <c r="R2155" s="39">
        <v>5163.29</v>
      </c>
      <c r="S2155" s="39">
        <f t="shared" si="217"/>
        <v>4</v>
      </c>
      <c r="T2155" s="39">
        <f t="shared" si="218"/>
        <v>0</v>
      </c>
      <c r="U2155" s="39">
        <f t="shared" si="219"/>
        <v>0</v>
      </c>
      <c r="V2155" s="40"/>
    </row>
    <row r="2156" spans="2:22" x14ac:dyDescent="0.35">
      <c r="B2156" s="40">
        <v>36272</v>
      </c>
      <c r="C2156" s="39">
        <v>5218.82</v>
      </c>
      <c r="D2156" s="219">
        <f t="shared" si="220"/>
        <v>1.0697349486572688E-2</v>
      </c>
      <c r="F2156" s="40">
        <v>36272</v>
      </c>
      <c r="G2156" s="39">
        <v>5218.82</v>
      </c>
      <c r="H2156" s="39">
        <f t="shared" si="215"/>
        <v>4</v>
      </c>
      <c r="I2156" s="39">
        <f t="shared" si="216"/>
        <v>0</v>
      </c>
      <c r="K2156" s="40"/>
      <c r="Q2156" s="40">
        <v>36272</v>
      </c>
      <c r="R2156" s="39">
        <v>5218.82</v>
      </c>
      <c r="S2156" s="39">
        <f t="shared" si="217"/>
        <v>4</v>
      </c>
      <c r="T2156" s="39">
        <f t="shared" si="218"/>
        <v>0</v>
      </c>
      <c r="U2156" s="39">
        <f t="shared" si="219"/>
        <v>0</v>
      </c>
      <c r="V2156" s="40"/>
    </row>
    <row r="2157" spans="2:22" x14ac:dyDescent="0.35">
      <c r="B2157" s="40">
        <v>36273</v>
      </c>
      <c r="C2157" s="39">
        <v>5195.42</v>
      </c>
      <c r="D2157" s="219">
        <f t="shared" si="220"/>
        <v>-4.493854449235962E-3</v>
      </c>
      <c r="F2157" s="40">
        <v>36273</v>
      </c>
      <c r="G2157" s="39">
        <v>5195.42</v>
      </c>
      <c r="H2157" s="39">
        <f t="shared" si="215"/>
        <v>5</v>
      </c>
      <c r="I2157" s="39">
        <f t="shared" si="216"/>
        <v>5195.42</v>
      </c>
      <c r="K2157" s="40"/>
      <c r="Q2157" s="40">
        <v>36273</v>
      </c>
      <c r="R2157" s="39">
        <v>5195.42</v>
      </c>
      <c r="S2157" s="39">
        <f t="shared" si="217"/>
        <v>4</v>
      </c>
      <c r="T2157" s="39">
        <f t="shared" si="218"/>
        <v>0</v>
      </c>
      <c r="U2157" s="39">
        <f t="shared" si="219"/>
        <v>0</v>
      </c>
      <c r="V2157" s="40"/>
    </row>
    <row r="2158" spans="2:22" x14ac:dyDescent="0.35">
      <c r="B2158" s="40">
        <v>36276</v>
      </c>
      <c r="C2158" s="39">
        <v>5256.22</v>
      </c>
      <c r="D2158" s="219">
        <f t="shared" si="220"/>
        <v>1.1634668980261895E-2</v>
      </c>
      <c r="F2158" s="40">
        <v>36276</v>
      </c>
      <c r="G2158" s="39">
        <v>5256.22</v>
      </c>
      <c r="H2158" s="39">
        <f t="shared" si="215"/>
        <v>1</v>
      </c>
      <c r="I2158" s="39">
        <f t="shared" si="216"/>
        <v>0</v>
      </c>
      <c r="K2158" s="40"/>
      <c r="Q2158" s="40">
        <v>36276</v>
      </c>
      <c r="R2158" s="39">
        <v>5256.22</v>
      </c>
      <c r="S2158" s="39">
        <f t="shared" si="217"/>
        <v>4</v>
      </c>
      <c r="T2158" s="39">
        <f t="shared" si="218"/>
        <v>0</v>
      </c>
      <c r="U2158" s="39">
        <f t="shared" si="219"/>
        <v>0</v>
      </c>
      <c r="V2158" s="40"/>
    </row>
    <row r="2159" spans="2:22" x14ac:dyDescent="0.35">
      <c r="B2159" s="40">
        <v>36277</v>
      </c>
      <c r="C2159" s="39">
        <v>5347.5</v>
      </c>
      <c r="D2159" s="219">
        <f t="shared" si="220"/>
        <v>1.7217024742672282E-2</v>
      </c>
      <c r="F2159" s="40">
        <v>36277</v>
      </c>
      <c r="G2159" s="39">
        <v>5347.5</v>
      </c>
      <c r="H2159" s="39">
        <f t="shared" si="215"/>
        <v>2</v>
      </c>
      <c r="I2159" s="39">
        <f t="shared" si="216"/>
        <v>0</v>
      </c>
      <c r="K2159" s="40"/>
      <c r="Q2159" s="40">
        <v>36277</v>
      </c>
      <c r="R2159" s="39">
        <v>5347.5</v>
      </c>
      <c r="S2159" s="39">
        <f t="shared" si="217"/>
        <v>4</v>
      </c>
      <c r="T2159" s="39">
        <f t="shared" si="218"/>
        <v>0</v>
      </c>
      <c r="U2159" s="39">
        <f t="shared" si="219"/>
        <v>0</v>
      </c>
      <c r="V2159" s="40"/>
    </row>
    <row r="2160" spans="2:22" x14ac:dyDescent="0.35">
      <c r="B2160" s="40">
        <v>36278</v>
      </c>
      <c r="C2160" s="39">
        <v>5348.61</v>
      </c>
      <c r="D2160" s="219">
        <f t="shared" si="220"/>
        <v>2.075520921127291E-4</v>
      </c>
      <c r="F2160" s="40">
        <v>36278</v>
      </c>
      <c r="G2160" s="39">
        <v>5348.61</v>
      </c>
      <c r="H2160" s="39">
        <f t="shared" si="215"/>
        <v>3</v>
      </c>
      <c r="I2160" s="39">
        <f t="shared" si="216"/>
        <v>0</v>
      </c>
      <c r="K2160" s="40"/>
      <c r="Q2160" s="40">
        <v>36278</v>
      </c>
      <c r="R2160" s="39">
        <v>5348.61</v>
      </c>
      <c r="S2160" s="39">
        <f t="shared" si="217"/>
        <v>4</v>
      </c>
      <c r="T2160" s="39">
        <f t="shared" si="218"/>
        <v>0</v>
      </c>
      <c r="U2160" s="39">
        <f t="shared" si="219"/>
        <v>0</v>
      </c>
      <c r="V2160" s="40"/>
    </row>
    <row r="2161" spans="2:22" x14ac:dyDescent="0.35">
      <c r="B2161" s="40">
        <v>36279</v>
      </c>
      <c r="C2161" s="39">
        <v>5334.42</v>
      </c>
      <c r="D2161" s="219">
        <f t="shared" si="220"/>
        <v>-2.6565512490770672E-3</v>
      </c>
      <c r="F2161" s="40">
        <v>36279</v>
      </c>
      <c r="G2161" s="39">
        <v>5334.42</v>
      </c>
      <c r="H2161" s="39">
        <f t="shared" si="215"/>
        <v>4</v>
      </c>
      <c r="I2161" s="39">
        <f t="shared" si="216"/>
        <v>0</v>
      </c>
      <c r="K2161" s="40"/>
      <c r="Q2161" s="40">
        <v>36279</v>
      </c>
      <c r="R2161" s="39">
        <v>5334.42</v>
      </c>
      <c r="S2161" s="39">
        <f t="shared" si="217"/>
        <v>4</v>
      </c>
      <c r="T2161" s="39">
        <f t="shared" si="218"/>
        <v>0</v>
      </c>
      <c r="U2161" s="39">
        <f t="shared" si="219"/>
        <v>0</v>
      </c>
      <c r="V2161" s="40"/>
    </row>
    <row r="2162" spans="2:22" x14ac:dyDescent="0.35">
      <c r="B2162" s="40">
        <v>36280</v>
      </c>
      <c r="C2162" s="39">
        <v>5393.11</v>
      </c>
      <c r="D2162" s="219">
        <f t="shared" si="220"/>
        <v>1.0942050140298946E-2</v>
      </c>
      <c r="F2162" s="40">
        <v>36280</v>
      </c>
      <c r="G2162" s="39">
        <v>5393.11</v>
      </c>
      <c r="H2162" s="39">
        <f t="shared" si="215"/>
        <v>5</v>
      </c>
      <c r="I2162" s="39">
        <f t="shared" si="216"/>
        <v>5393.11</v>
      </c>
      <c r="K2162" s="40"/>
      <c r="Q2162" s="40">
        <v>36280</v>
      </c>
      <c r="R2162" s="39">
        <v>5393.11</v>
      </c>
      <c r="S2162" s="39">
        <f t="shared" si="217"/>
        <v>4</v>
      </c>
      <c r="T2162" s="39">
        <f t="shared" si="218"/>
        <v>5393.11</v>
      </c>
      <c r="U2162" s="39">
        <f t="shared" si="219"/>
        <v>5393.11</v>
      </c>
      <c r="V2162" s="40"/>
    </row>
    <row r="2163" spans="2:22" x14ac:dyDescent="0.35">
      <c r="B2163" s="40">
        <v>36283</v>
      </c>
      <c r="C2163" s="39">
        <v>5377.56</v>
      </c>
      <c r="D2163" s="219">
        <f t="shared" si="220"/>
        <v>-2.8874732591399467E-3</v>
      </c>
      <c r="F2163" s="40">
        <v>36283</v>
      </c>
      <c r="G2163" s="39">
        <v>5377.56</v>
      </c>
      <c r="H2163" s="39">
        <f t="shared" si="215"/>
        <v>1</v>
      </c>
      <c r="I2163" s="39">
        <f t="shared" si="216"/>
        <v>0</v>
      </c>
      <c r="K2163" s="40"/>
      <c r="Q2163" s="40">
        <v>36283</v>
      </c>
      <c r="R2163" s="39">
        <v>5377.56</v>
      </c>
      <c r="S2163" s="39">
        <f t="shared" si="217"/>
        <v>5</v>
      </c>
      <c r="T2163" s="39">
        <f t="shared" si="218"/>
        <v>0</v>
      </c>
      <c r="U2163" s="39">
        <f t="shared" si="219"/>
        <v>0</v>
      </c>
      <c r="V2163" s="40"/>
    </row>
    <row r="2164" spans="2:22" x14ac:dyDescent="0.35">
      <c r="B2164" s="40">
        <v>36284</v>
      </c>
      <c r="C2164" s="39">
        <v>5383.21</v>
      </c>
      <c r="D2164" s="219">
        <f t="shared" si="220"/>
        <v>1.0501108227762015E-3</v>
      </c>
      <c r="F2164" s="40">
        <v>36284</v>
      </c>
      <c r="G2164" s="39">
        <v>5383.21</v>
      </c>
      <c r="H2164" s="39">
        <f t="shared" si="215"/>
        <v>2</v>
      </c>
      <c r="I2164" s="39">
        <f t="shared" si="216"/>
        <v>0</v>
      </c>
      <c r="K2164" s="40"/>
      <c r="Q2164" s="40">
        <v>36284</v>
      </c>
      <c r="R2164" s="39">
        <v>5383.21</v>
      </c>
      <c r="S2164" s="39">
        <f t="shared" si="217"/>
        <v>5</v>
      </c>
      <c r="T2164" s="39">
        <f t="shared" si="218"/>
        <v>0</v>
      </c>
      <c r="U2164" s="39">
        <f t="shared" si="219"/>
        <v>0</v>
      </c>
      <c r="V2164" s="40"/>
    </row>
    <row r="2165" spans="2:22" x14ac:dyDescent="0.35">
      <c r="B2165" s="40">
        <v>36285</v>
      </c>
      <c r="C2165" s="39">
        <v>5307.22</v>
      </c>
      <c r="D2165" s="219">
        <f t="shared" si="220"/>
        <v>-1.4216692852363405E-2</v>
      </c>
      <c r="F2165" s="40">
        <v>36285</v>
      </c>
      <c r="G2165" s="39">
        <v>5307.22</v>
      </c>
      <c r="H2165" s="39">
        <f t="shared" si="215"/>
        <v>3</v>
      </c>
      <c r="I2165" s="39">
        <f t="shared" si="216"/>
        <v>0</v>
      </c>
      <c r="K2165" s="40"/>
      <c r="Q2165" s="40">
        <v>36285</v>
      </c>
      <c r="R2165" s="39">
        <v>5307.22</v>
      </c>
      <c r="S2165" s="39">
        <f t="shared" si="217"/>
        <v>5</v>
      </c>
      <c r="T2165" s="39">
        <f t="shared" si="218"/>
        <v>0</v>
      </c>
      <c r="U2165" s="39">
        <f t="shared" si="219"/>
        <v>0</v>
      </c>
      <c r="V2165" s="40"/>
    </row>
    <row r="2166" spans="2:22" x14ac:dyDescent="0.35">
      <c r="B2166" s="40">
        <v>36286</v>
      </c>
      <c r="C2166" s="39">
        <v>5274.45</v>
      </c>
      <c r="D2166" s="219">
        <f t="shared" si="220"/>
        <v>-6.1937491457596068E-3</v>
      </c>
      <c r="F2166" s="40">
        <v>36286</v>
      </c>
      <c r="G2166" s="39">
        <v>5274.45</v>
      </c>
      <c r="H2166" s="39">
        <f t="shared" si="215"/>
        <v>4</v>
      </c>
      <c r="I2166" s="39">
        <f t="shared" si="216"/>
        <v>0</v>
      </c>
      <c r="K2166" s="40"/>
      <c r="Q2166" s="40">
        <v>36286</v>
      </c>
      <c r="R2166" s="39">
        <v>5274.45</v>
      </c>
      <c r="S2166" s="39">
        <f t="shared" si="217"/>
        <v>5</v>
      </c>
      <c r="T2166" s="39">
        <f t="shared" si="218"/>
        <v>0</v>
      </c>
      <c r="U2166" s="39">
        <f t="shared" si="219"/>
        <v>0</v>
      </c>
      <c r="V2166" s="40"/>
    </row>
    <row r="2167" spans="2:22" x14ac:dyDescent="0.35">
      <c r="B2167" s="40">
        <v>36287</v>
      </c>
      <c r="C2167" s="39">
        <v>5297.38</v>
      </c>
      <c r="D2167" s="219">
        <f t="shared" si="220"/>
        <v>4.3379501860493896E-3</v>
      </c>
      <c r="F2167" s="40">
        <v>36287</v>
      </c>
      <c r="G2167" s="39">
        <v>5297.38</v>
      </c>
      <c r="H2167" s="39">
        <f t="shared" ref="H2167:H2230" si="221">WEEKDAY(F2167,2)</f>
        <v>5</v>
      </c>
      <c r="I2167" s="39">
        <f t="shared" ref="I2167:I2230" si="222">IF(H2167&gt;H2168,G2167,0)</f>
        <v>5297.38</v>
      </c>
      <c r="K2167" s="40"/>
      <c r="Q2167" s="40">
        <v>36287</v>
      </c>
      <c r="R2167" s="39">
        <v>5297.38</v>
      </c>
      <c r="S2167" s="39">
        <f t="shared" ref="S2167:S2230" si="223">MONTH(Q2167)</f>
        <v>5</v>
      </c>
      <c r="T2167" s="39">
        <f t="shared" ref="T2167:T2230" si="224">IF(S2168&lt;&gt;S2167,R2167,0)</f>
        <v>0</v>
      </c>
      <c r="U2167" s="39">
        <f t="shared" ref="U2167:U2230" si="225">IF(S2168=S2167,0,R2167)</f>
        <v>0</v>
      </c>
      <c r="V2167" s="40"/>
    </row>
    <row r="2168" spans="2:22" x14ac:dyDescent="0.35">
      <c r="B2168" s="40">
        <v>36290</v>
      </c>
      <c r="C2168" s="39">
        <v>5205.95</v>
      </c>
      <c r="D2168" s="219">
        <f t="shared" ref="D2168:D2231" si="226">LN(C2168/C2167)</f>
        <v>-1.7410156485796604E-2</v>
      </c>
      <c r="F2168" s="40">
        <v>36290</v>
      </c>
      <c r="G2168" s="39">
        <v>5205.95</v>
      </c>
      <c r="H2168" s="39">
        <f t="shared" si="221"/>
        <v>1</v>
      </c>
      <c r="I2168" s="39">
        <f t="shared" si="222"/>
        <v>0</v>
      </c>
      <c r="K2168" s="40"/>
      <c r="Q2168" s="40">
        <v>36290</v>
      </c>
      <c r="R2168" s="39">
        <v>5205.95</v>
      </c>
      <c r="S2168" s="39">
        <f t="shared" si="223"/>
        <v>5</v>
      </c>
      <c r="T2168" s="39">
        <f t="shared" si="224"/>
        <v>0</v>
      </c>
      <c r="U2168" s="39">
        <f t="shared" si="225"/>
        <v>0</v>
      </c>
      <c r="V2168" s="40"/>
    </row>
    <row r="2169" spans="2:22" x14ac:dyDescent="0.35">
      <c r="B2169" s="40">
        <v>36291</v>
      </c>
      <c r="C2169" s="39">
        <v>5249.15</v>
      </c>
      <c r="D2169" s="219">
        <f t="shared" si="226"/>
        <v>8.2639565101124621E-3</v>
      </c>
      <c r="F2169" s="40">
        <v>36291</v>
      </c>
      <c r="G2169" s="39">
        <v>5249.15</v>
      </c>
      <c r="H2169" s="39">
        <f t="shared" si="221"/>
        <v>2</v>
      </c>
      <c r="I2169" s="39">
        <f t="shared" si="222"/>
        <v>0</v>
      </c>
      <c r="K2169" s="40"/>
      <c r="Q2169" s="40">
        <v>36291</v>
      </c>
      <c r="R2169" s="39">
        <v>5249.15</v>
      </c>
      <c r="S2169" s="39">
        <f t="shared" si="223"/>
        <v>5</v>
      </c>
      <c r="T2169" s="39">
        <f t="shared" si="224"/>
        <v>0</v>
      </c>
      <c r="U2169" s="39">
        <f t="shared" si="225"/>
        <v>0</v>
      </c>
      <c r="V2169" s="40"/>
    </row>
    <row r="2170" spans="2:22" x14ac:dyDescent="0.35">
      <c r="B2170" s="40">
        <v>36292</v>
      </c>
      <c r="C2170" s="39">
        <v>5248.02</v>
      </c>
      <c r="D2170" s="219">
        <f t="shared" si="226"/>
        <v>-2.1529612350075278E-4</v>
      </c>
      <c r="F2170" s="40">
        <v>36292</v>
      </c>
      <c r="G2170" s="39">
        <v>5248.02</v>
      </c>
      <c r="H2170" s="39">
        <f t="shared" si="221"/>
        <v>3</v>
      </c>
      <c r="I2170" s="39">
        <f t="shared" si="222"/>
        <v>0</v>
      </c>
      <c r="K2170" s="40"/>
      <c r="Q2170" s="40">
        <v>36292</v>
      </c>
      <c r="R2170" s="39">
        <v>5248.02</v>
      </c>
      <c r="S2170" s="39">
        <f t="shared" si="223"/>
        <v>5</v>
      </c>
      <c r="T2170" s="39">
        <f t="shared" si="224"/>
        <v>0</v>
      </c>
      <c r="U2170" s="39">
        <f t="shared" si="225"/>
        <v>0</v>
      </c>
      <c r="V2170" s="40"/>
    </row>
    <row r="2171" spans="2:22" x14ac:dyDescent="0.35">
      <c r="B2171" s="40">
        <v>36294</v>
      </c>
      <c r="C2171" s="39">
        <v>5173.25</v>
      </c>
      <c r="D2171" s="219">
        <f t="shared" si="226"/>
        <v>-1.4349744900334886E-2</v>
      </c>
      <c r="F2171" s="40">
        <v>36294</v>
      </c>
      <c r="G2171" s="39">
        <v>5173.25</v>
      </c>
      <c r="H2171" s="39">
        <f t="shared" si="221"/>
        <v>5</v>
      </c>
      <c r="I2171" s="39">
        <f t="shared" si="222"/>
        <v>5173.25</v>
      </c>
      <c r="K2171" s="40"/>
      <c r="Q2171" s="40">
        <v>36294</v>
      </c>
      <c r="R2171" s="39">
        <v>5173.25</v>
      </c>
      <c r="S2171" s="39">
        <f t="shared" si="223"/>
        <v>5</v>
      </c>
      <c r="T2171" s="39">
        <f t="shared" si="224"/>
        <v>0</v>
      </c>
      <c r="U2171" s="39">
        <f t="shared" si="225"/>
        <v>0</v>
      </c>
      <c r="V2171" s="40"/>
    </row>
    <row r="2172" spans="2:22" x14ac:dyDescent="0.35">
      <c r="B2172" s="40">
        <v>36297</v>
      </c>
      <c r="C2172" s="39">
        <v>5114.47</v>
      </c>
      <c r="D2172" s="219">
        <f t="shared" si="226"/>
        <v>-1.1427340488098349E-2</v>
      </c>
      <c r="F2172" s="40">
        <v>36297</v>
      </c>
      <c r="G2172" s="39">
        <v>5114.47</v>
      </c>
      <c r="H2172" s="39">
        <f t="shared" si="221"/>
        <v>1</v>
      </c>
      <c r="I2172" s="39">
        <f t="shared" si="222"/>
        <v>0</v>
      </c>
      <c r="K2172" s="40"/>
      <c r="Q2172" s="40">
        <v>36297</v>
      </c>
      <c r="R2172" s="39">
        <v>5114.47</v>
      </c>
      <c r="S2172" s="39">
        <f t="shared" si="223"/>
        <v>5</v>
      </c>
      <c r="T2172" s="39">
        <f t="shared" si="224"/>
        <v>0</v>
      </c>
      <c r="U2172" s="39">
        <f t="shared" si="225"/>
        <v>0</v>
      </c>
      <c r="V2172" s="40"/>
    </row>
    <row r="2173" spans="2:22" x14ac:dyDescent="0.35">
      <c r="B2173" s="40">
        <v>36298</v>
      </c>
      <c r="C2173" s="39">
        <v>5154.9399999999996</v>
      </c>
      <c r="D2173" s="219">
        <f t="shared" si="226"/>
        <v>7.8817009942274922E-3</v>
      </c>
      <c r="F2173" s="40">
        <v>36298</v>
      </c>
      <c r="G2173" s="39">
        <v>5154.9399999999996</v>
      </c>
      <c r="H2173" s="39">
        <f t="shared" si="221"/>
        <v>2</v>
      </c>
      <c r="I2173" s="39">
        <f t="shared" si="222"/>
        <v>0</v>
      </c>
      <c r="K2173" s="40"/>
      <c r="Q2173" s="40">
        <v>36298</v>
      </c>
      <c r="R2173" s="39">
        <v>5154.9399999999996</v>
      </c>
      <c r="S2173" s="39">
        <f t="shared" si="223"/>
        <v>5</v>
      </c>
      <c r="T2173" s="39">
        <f t="shared" si="224"/>
        <v>0</v>
      </c>
      <c r="U2173" s="39">
        <f t="shared" si="225"/>
        <v>0</v>
      </c>
      <c r="V2173" s="40"/>
    </row>
    <row r="2174" spans="2:22" x14ac:dyDescent="0.35">
      <c r="B2174" s="40">
        <v>36299</v>
      </c>
      <c r="C2174" s="39">
        <v>5184.51</v>
      </c>
      <c r="D2174" s="219">
        <f t="shared" si="226"/>
        <v>5.7198556247145217E-3</v>
      </c>
      <c r="F2174" s="40">
        <v>36299</v>
      </c>
      <c r="G2174" s="39">
        <v>5184.51</v>
      </c>
      <c r="H2174" s="39">
        <f t="shared" si="221"/>
        <v>3</v>
      </c>
      <c r="I2174" s="39">
        <f t="shared" si="222"/>
        <v>0</v>
      </c>
      <c r="K2174" s="40"/>
      <c r="Q2174" s="40">
        <v>36299</v>
      </c>
      <c r="R2174" s="39">
        <v>5184.51</v>
      </c>
      <c r="S2174" s="39">
        <f t="shared" si="223"/>
        <v>5</v>
      </c>
      <c r="T2174" s="39">
        <f t="shared" si="224"/>
        <v>0</v>
      </c>
      <c r="U2174" s="39">
        <f t="shared" si="225"/>
        <v>0</v>
      </c>
      <c r="V2174" s="40"/>
    </row>
    <row r="2175" spans="2:22" x14ac:dyDescent="0.35">
      <c r="B2175" s="40">
        <v>36300</v>
      </c>
      <c r="C2175" s="39">
        <v>5235.6400000000003</v>
      </c>
      <c r="D2175" s="219">
        <f t="shared" si="226"/>
        <v>9.8137570686536602E-3</v>
      </c>
      <c r="F2175" s="40">
        <v>36300</v>
      </c>
      <c r="G2175" s="39">
        <v>5235.6400000000003</v>
      </c>
      <c r="H2175" s="39">
        <f t="shared" si="221"/>
        <v>4</v>
      </c>
      <c r="I2175" s="39">
        <f t="shared" si="222"/>
        <v>0</v>
      </c>
      <c r="K2175" s="40"/>
      <c r="Q2175" s="40">
        <v>36300</v>
      </c>
      <c r="R2175" s="39">
        <v>5235.6400000000003</v>
      </c>
      <c r="S2175" s="39">
        <f t="shared" si="223"/>
        <v>5</v>
      </c>
      <c r="T2175" s="39">
        <f t="shared" si="224"/>
        <v>0</v>
      </c>
      <c r="U2175" s="39">
        <f t="shared" si="225"/>
        <v>0</v>
      </c>
      <c r="V2175" s="40"/>
    </row>
    <row r="2176" spans="2:22" x14ac:dyDescent="0.35">
      <c r="B2176" s="40">
        <v>36301</v>
      </c>
      <c r="C2176" s="39">
        <v>5264.68</v>
      </c>
      <c r="D2176" s="219">
        <f t="shared" si="226"/>
        <v>5.5312741020932697E-3</v>
      </c>
      <c r="F2176" s="40">
        <v>36301</v>
      </c>
      <c r="G2176" s="39">
        <v>5264.68</v>
      </c>
      <c r="H2176" s="39">
        <f t="shared" si="221"/>
        <v>5</v>
      </c>
      <c r="I2176" s="39">
        <f t="shared" si="222"/>
        <v>5264.68</v>
      </c>
      <c r="K2176" s="40"/>
      <c r="Q2176" s="40">
        <v>36301</v>
      </c>
      <c r="R2176" s="39">
        <v>5264.68</v>
      </c>
      <c r="S2176" s="39">
        <f t="shared" si="223"/>
        <v>5</v>
      </c>
      <c r="T2176" s="39">
        <f t="shared" si="224"/>
        <v>0</v>
      </c>
      <c r="U2176" s="39">
        <f t="shared" si="225"/>
        <v>0</v>
      </c>
      <c r="V2176" s="40"/>
    </row>
    <row r="2177" spans="2:22" x14ac:dyDescent="0.35">
      <c r="B2177" s="40">
        <v>36305</v>
      </c>
      <c r="C2177" s="39">
        <v>5143.1000000000004</v>
      </c>
      <c r="D2177" s="219">
        <f t="shared" si="226"/>
        <v>-2.3364354503306841E-2</v>
      </c>
      <c r="F2177" s="40">
        <v>36305</v>
      </c>
      <c r="G2177" s="39">
        <v>5143.1000000000004</v>
      </c>
      <c r="H2177" s="39">
        <f t="shared" si="221"/>
        <v>2</v>
      </c>
      <c r="I2177" s="39">
        <f t="shared" si="222"/>
        <v>0</v>
      </c>
      <c r="K2177" s="40"/>
      <c r="Q2177" s="40">
        <v>36305</v>
      </c>
      <c r="R2177" s="39">
        <v>5143.1000000000004</v>
      </c>
      <c r="S2177" s="39">
        <f t="shared" si="223"/>
        <v>5</v>
      </c>
      <c r="T2177" s="39">
        <f t="shared" si="224"/>
        <v>0</v>
      </c>
      <c r="U2177" s="39">
        <f t="shared" si="225"/>
        <v>0</v>
      </c>
      <c r="V2177" s="40"/>
    </row>
    <row r="2178" spans="2:22" x14ac:dyDescent="0.35">
      <c r="B2178" s="40">
        <v>36306</v>
      </c>
      <c r="C2178" s="39">
        <v>5160.4399999999996</v>
      </c>
      <c r="D2178" s="219">
        <f t="shared" si="226"/>
        <v>3.3658366678235466E-3</v>
      </c>
      <c r="F2178" s="40">
        <v>36306</v>
      </c>
      <c r="G2178" s="39">
        <v>5160.4399999999996</v>
      </c>
      <c r="H2178" s="39">
        <f t="shared" si="221"/>
        <v>3</v>
      </c>
      <c r="I2178" s="39">
        <f t="shared" si="222"/>
        <v>0</v>
      </c>
      <c r="K2178" s="40"/>
      <c r="Q2178" s="40">
        <v>36306</v>
      </c>
      <c r="R2178" s="39">
        <v>5160.4399999999996</v>
      </c>
      <c r="S2178" s="39">
        <f t="shared" si="223"/>
        <v>5</v>
      </c>
      <c r="T2178" s="39">
        <f t="shared" si="224"/>
        <v>0</v>
      </c>
      <c r="U2178" s="39">
        <f t="shared" si="225"/>
        <v>0</v>
      </c>
      <c r="V2178" s="40"/>
    </row>
    <row r="2179" spans="2:22" x14ac:dyDescent="0.35">
      <c r="B2179" s="40">
        <v>36307</v>
      </c>
      <c r="C2179" s="39">
        <v>5083.83</v>
      </c>
      <c r="D2179" s="219">
        <f t="shared" si="226"/>
        <v>-1.4956932645379482E-2</v>
      </c>
      <c r="F2179" s="40">
        <v>36307</v>
      </c>
      <c r="G2179" s="39">
        <v>5083.83</v>
      </c>
      <c r="H2179" s="39">
        <f t="shared" si="221"/>
        <v>4</v>
      </c>
      <c r="I2179" s="39">
        <f t="shared" si="222"/>
        <v>0</v>
      </c>
      <c r="K2179" s="40"/>
      <c r="Q2179" s="40">
        <v>36307</v>
      </c>
      <c r="R2179" s="39">
        <v>5083.83</v>
      </c>
      <c r="S2179" s="39">
        <f t="shared" si="223"/>
        <v>5</v>
      </c>
      <c r="T2179" s="39">
        <f t="shared" si="224"/>
        <v>0</v>
      </c>
      <c r="U2179" s="39">
        <f t="shared" si="225"/>
        <v>0</v>
      </c>
      <c r="V2179" s="40"/>
    </row>
    <row r="2180" spans="2:22" x14ac:dyDescent="0.35">
      <c r="B2180" s="40">
        <v>36308</v>
      </c>
      <c r="C2180" s="39">
        <v>5068.7299999999996</v>
      </c>
      <c r="D2180" s="219">
        <f t="shared" si="226"/>
        <v>-2.9746214027202137E-3</v>
      </c>
      <c r="F2180" s="40">
        <v>36308</v>
      </c>
      <c r="G2180" s="39">
        <v>5068.7299999999996</v>
      </c>
      <c r="H2180" s="39">
        <f t="shared" si="221"/>
        <v>5</v>
      </c>
      <c r="I2180" s="39">
        <f t="shared" si="222"/>
        <v>5068.7299999999996</v>
      </c>
      <c r="K2180" s="40"/>
      <c r="Q2180" s="40">
        <v>36308</v>
      </c>
      <c r="R2180" s="39">
        <v>5068.7299999999996</v>
      </c>
      <c r="S2180" s="39">
        <f t="shared" si="223"/>
        <v>5</v>
      </c>
      <c r="T2180" s="39">
        <f t="shared" si="224"/>
        <v>0</v>
      </c>
      <c r="U2180" s="39">
        <f t="shared" si="225"/>
        <v>0</v>
      </c>
      <c r="V2180" s="40"/>
    </row>
    <row r="2181" spans="2:22" x14ac:dyDescent="0.35">
      <c r="B2181" s="40">
        <v>36311</v>
      </c>
      <c r="C2181" s="39">
        <v>5069.83</v>
      </c>
      <c r="D2181" s="219">
        <f t="shared" si="226"/>
        <v>2.1699334112856578E-4</v>
      </c>
      <c r="F2181" s="40">
        <v>36311</v>
      </c>
      <c r="G2181" s="39">
        <v>5069.83</v>
      </c>
      <c r="H2181" s="39">
        <f t="shared" si="221"/>
        <v>1</v>
      </c>
      <c r="I2181" s="39">
        <f t="shared" si="222"/>
        <v>0</v>
      </c>
      <c r="K2181" s="40"/>
      <c r="Q2181" s="40">
        <v>36311</v>
      </c>
      <c r="R2181" s="39">
        <v>5069.83</v>
      </c>
      <c r="S2181" s="39">
        <f t="shared" si="223"/>
        <v>5</v>
      </c>
      <c r="T2181" s="39">
        <f t="shared" si="224"/>
        <v>5069.83</v>
      </c>
      <c r="U2181" s="39">
        <f t="shared" si="225"/>
        <v>5069.83</v>
      </c>
      <c r="V2181" s="40"/>
    </row>
    <row r="2182" spans="2:22" x14ac:dyDescent="0.35">
      <c r="B2182" s="40">
        <v>36312</v>
      </c>
      <c r="C2182" s="39">
        <v>5021.24</v>
      </c>
      <c r="D2182" s="219">
        <f t="shared" si="226"/>
        <v>-9.6303713155378567E-3</v>
      </c>
      <c r="F2182" s="40">
        <v>36312</v>
      </c>
      <c r="G2182" s="39">
        <v>5021.24</v>
      </c>
      <c r="H2182" s="39">
        <f t="shared" si="221"/>
        <v>2</v>
      </c>
      <c r="I2182" s="39">
        <f t="shared" si="222"/>
        <v>0</v>
      </c>
      <c r="K2182" s="40"/>
      <c r="Q2182" s="40">
        <v>36312</v>
      </c>
      <c r="R2182" s="39">
        <v>5021.24</v>
      </c>
      <c r="S2182" s="39">
        <f t="shared" si="223"/>
        <v>6</v>
      </c>
      <c r="T2182" s="39">
        <f t="shared" si="224"/>
        <v>0</v>
      </c>
      <c r="U2182" s="39">
        <f t="shared" si="225"/>
        <v>0</v>
      </c>
      <c r="V2182" s="40"/>
    </row>
    <row r="2183" spans="2:22" x14ac:dyDescent="0.35">
      <c r="B2183" s="40">
        <v>36313</v>
      </c>
      <c r="C2183" s="39">
        <v>4997.83</v>
      </c>
      <c r="D2183" s="219">
        <f t="shared" si="226"/>
        <v>-4.6730969245570159E-3</v>
      </c>
      <c r="F2183" s="40">
        <v>36313</v>
      </c>
      <c r="G2183" s="39">
        <v>4997.83</v>
      </c>
      <c r="H2183" s="39">
        <f t="shared" si="221"/>
        <v>3</v>
      </c>
      <c r="I2183" s="39">
        <f t="shared" si="222"/>
        <v>0</v>
      </c>
      <c r="K2183" s="40"/>
      <c r="Q2183" s="40">
        <v>36313</v>
      </c>
      <c r="R2183" s="39">
        <v>4997.83</v>
      </c>
      <c r="S2183" s="39">
        <f t="shared" si="223"/>
        <v>6</v>
      </c>
      <c r="T2183" s="39">
        <f t="shared" si="224"/>
        <v>0</v>
      </c>
      <c r="U2183" s="39">
        <f t="shared" si="225"/>
        <v>0</v>
      </c>
      <c r="V2183" s="40"/>
    </row>
    <row r="2184" spans="2:22" x14ac:dyDescent="0.35">
      <c r="B2184" s="40">
        <v>36315</v>
      </c>
      <c r="C2184" s="39">
        <v>5107.8100000000004</v>
      </c>
      <c r="D2184" s="219">
        <f t="shared" si="226"/>
        <v>2.1766922695216954E-2</v>
      </c>
      <c r="F2184" s="40">
        <v>36315</v>
      </c>
      <c r="G2184" s="39">
        <v>5107.8100000000004</v>
      </c>
      <c r="H2184" s="39">
        <f t="shared" si="221"/>
        <v>5</v>
      </c>
      <c r="I2184" s="39">
        <f t="shared" si="222"/>
        <v>5107.8100000000004</v>
      </c>
      <c r="K2184" s="40"/>
      <c r="Q2184" s="40">
        <v>36315</v>
      </c>
      <c r="R2184" s="39">
        <v>5107.8100000000004</v>
      </c>
      <c r="S2184" s="39">
        <f t="shared" si="223"/>
        <v>6</v>
      </c>
      <c r="T2184" s="39">
        <f t="shared" si="224"/>
        <v>0</v>
      </c>
      <c r="U2184" s="39">
        <f t="shared" si="225"/>
        <v>0</v>
      </c>
      <c r="V2184" s="40"/>
    </row>
    <row r="2185" spans="2:22" x14ac:dyDescent="0.35">
      <c r="B2185" s="40">
        <v>36318</v>
      </c>
      <c r="C2185" s="39">
        <v>5190.1499999999996</v>
      </c>
      <c r="D2185" s="219">
        <f t="shared" si="226"/>
        <v>1.599185757019473E-2</v>
      </c>
      <c r="F2185" s="40">
        <v>36318</v>
      </c>
      <c r="G2185" s="39">
        <v>5190.1499999999996</v>
      </c>
      <c r="H2185" s="39">
        <f t="shared" si="221"/>
        <v>1</v>
      </c>
      <c r="I2185" s="39">
        <f t="shared" si="222"/>
        <v>0</v>
      </c>
      <c r="K2185" s="40"/>
      <c r="Q2185" s="40">
        <v>36318</v>
      </c>
      <c r="R2185" s="39">
        <v>5190.1499999999996</v>
      </c>
      <c r="S2185" s="39">
        <f t="shared" si="223"/>
        <v>6</v>
      </c>
      <c r="T2185" s="39">
        <f t="shared" si="224"/>
        <v>0</v>
      </c>
      <c r="U2185" s="39">
        <f t="shared" si="225"/>
        <v>0</v>
      </c>
      <c r="V2185" s="40"/>
    </row>
    <row r="2186" spans="2:22" x14ac:dyDescent="0.35">
      <c r="B2186" s="40">
        <v>36319</v>
      </c>
      <c r="C2186" s="39">
        <v>5211.08</v>
      </c>
      <c r="D2186" s="219">
        <f t="shared" si="226"/>
        <v>4.024529454684931E-3</v>
      </c>
      <c r="F2186" s="40">
        <v>36319</v>
      </c>
      <c r="G2186" s="39">
        <v>5211.08</v>
      </c>
      <c r="H2186" s="39">
        <f t="shared" si="221"/>
        <v>2</v>
      </c>
      <c r="I2186" s="39">
        <f t="shared" si="222"/>
        <v>0</v>
      </c>
      <c r="K2186" s="40"/>
      <c r="Q2186" s="40">
        <v>36319</v>
      </c>
      <c r="R2186" s="39">
        <v>5211.08</v>
      </c>
      <c r="S2186" s="39">
        <f t="shared" si="223"/>
        <v>6</v>
      </c>
      <c r="T2186" s="39">
        <f t="shared" si="224"/>
        <v>0</v>
      </c>
      <c r="U2186" s="39">
        <f t="shared" si="225"/>
        <v>0</v>
      </c>
      <c r="V2186" s="40"/>
    </row>
    <row r="2187" spans="2:22" x14ac:dyDescent="0.35">
      <c r="B2187" s="40">
        <v>36320</v>
      </c>
      <c r="C2187" s="39">
        <v>5253.89</v>
      </c>
      <c r="D2187" s="219">
        <f t="shared" si="226"/>
        <v>8.1816266658517808E-3</v>
      </c>
      <c r="F2187" s="40">
        <v>36320</v>
      </c>
      <c r="G2187" s="39">
        <v>5253.89</v>
      </c>
      <c r="H2187" s="39">
        <f t="shared" si="221"/>
        <v>3</v>
      </c>
      <c r="I2187" s="39">
        <f t="shared" si="222"/>
        <v>0</v>
      </c>
      <c r="K2187" s="40"/>
      <c r="Q2187" s="40">
        <v>36320</v>
      </c>
      <c r="R2187" s="39">
        <v>5253.89</v>
      </c>
      <c r="S2187" s="39">
        <f t="shared" si="223"/>
        <v>6</v>
      </c>
      <c r="T2187" s="39">
        <f t="shared" si="224"/>
        <v>0</v>
      </c>
      <c r="U2187" s="39">
        <f t="shared" si="225"/>
        <v>0</v>
      </c>
      <c r="V2187" s="40"/>
    </row>
    <row r="2188" spans="2:22" x14ac:dyDescent="0.35">
      <c r="B2188" s="40">
        <v>36321</v>
      </c>
      <c r="C2188" s="39">
        <v>5206.47</v>
      </c>
      <c r="D2188" s="219">
        <f t="shared" si="226"/>
        <v>-9.0666716718117903E-3</v>
      </c>
      <c r="F2188" s="40">
        <v>36321</v>
      </c>
      <c r="G2188" s="39">
        <v>5206.47</v>
      </c>
      <c r="H2188" s="39">
        <f t="shared" si="221"/>
        <v>4</v>
      </c>
      <c r="I2188" s="39">
        <f t="shared" si="222"/>
        <v>0</v>
      </c>
      <c r="K2188" s="40"/>
      <c r="Q2188" s="40">
        <v>36321</v>
      </c>
      <c r="R2188" s="39">
        <v>5206.47</v>
      </c>
      <c r="S2188" s="39">
        <f t="shared" si="223"/>
        <v>6</v>
      </c>
      <c r="T2188" s="39">
        <f t="shared" si="224"/>
        <v>0</v>
      </c>
      <c r="U2188" s="39">
        <f t="shared" si="225"/>
        <v>0</v>
      </c>
      <c r="V2188" s="40"/>
    </row>
    <row r="2189" spans="2:22" x14ac:dyDescent="0.35">
      <c r="B2189" s="40">
        <v>36322</v>
      </c>
      <c r="C2189" s="39">
        <v>5262.15</v>
      </c>
      <c r="D2189" s="219">
        <f t="shared" si="226"/>
        <v>1.0637605540205326E-2</v>
      </c>
      <c r="F2189" s="40">
        <v>36322</v>
      </c>
      <c r="G2189" s="39">
        <v>5262.15</v>
      </c>
      <c r="H2189" s="39">
        <f t="shared" si="221"/>
        <v>5</v>
      </c>
      <c r="I2189" s="39">
        <f t="shared" si="222"/>
        <v>5262.15</v>
      </c>
      <c r="K2189" s="40"/>
      <c r="Q2189" s="40">
        <v>36322</v>
      </c>
      <c r="R2189" s="39">
        <v>5262.15</v>
      </c>
      <c r="S2189" s="39">
        <f t="shared" si="223"/>
        <v>6</v>
      </c>
      <c r="T2189" s="39">
        <f t="shared" si="224"/>
        <v>0</v>
      </c>
      <c r="U2189" s="39">
        <f t="shared" si="225"/>
        <v>0</v>
      </c>
      <c r="V2189" s="40"/>
    </row>
    <row r="2190" spans="2:22" x14ac:dyDescent="0.35">
      <c r="B2190" s="40">
        <v>36325</v>
      </c>
      <c r="C2190" s="39">
        <v>5268.87</v>
      </c>
      <c r="D2190" s="219">
        <f t="shared" si="226"/>
        <v>1.2762298261911247E-3</v>
      </c>
      <c r="F2190" s="40">
        <v>36325</v>
      </c>
      <c r="G2190" s="39">
        <v>5268.87</v>
      </c>
      <c r="H2190" s="39">
        <f t="shared" si="221"/>
        <v>1</v>
      </c>
      <c r="I2190" s="39">
        <f t="shared" si="222"/>
        <v>0</v>
      </c>
      <c r="K2190" s="40"/>
      <c r="Q2190" s="40">
        <v>36325</v>
      </c>
      <c r="R2190" s="39">
        <v>5268.87</v>
      </c>
      <c r="S2190" s="39">
        <f t="shared" si="223"/>
        <v>6</v>
      </c>
      <c r="T2190" s="39">
        <f t="shared" si="224"/>
        <v>0</v>
      </c>
      <c r="U2190" s="39">
        <f t="shared" si="225"/>
        <v>0</v>
      </c>
      <c r="V2190" s="40"/>
    </row>
    <row r="2191" spans="2:22" x14ac:dyDescent="0.35">
      <c r="B2191" s="40">
        <v>36326</v>
      </c>
      <c r="C2191" s="39">
        <v>5342.86</v>
      </c>
      <c r="D2191" s="219">
        <f t="shared" si="226"/>
        <v>1.3945171815012473E-2</v>
      </c>
      <c r="F2191" s="40">
        <v>36326</v>
      </c>
      <c r="G2191" s="39">
        <v>5342.86</v>
      </c>
      <c r="H2191" s="39">
        <f t="shared" si="221"/>
        <v>2</v>
      </c>
      <c r="I2191" s="39">
        <f t="shared" si="222"/>
        <v>0</v>
      </c>
      <c r="K2191" s="40"/>
      <c r="Q2191" s="40">
        <v>36326</v>
      </c>
      <c r="R2191" s="39">
        <v>5342.86</v>
      </c>
      <c r="S2191" s="39">
        <f t="shared" si="223"/>
        <v>6</v>
      </c>
      <c r="T2191" s="39">
        <f t="shared" si="224"/>
        <v>0</v>
      </c>
      <c r="U2191" s="39">
        <f t="shared" si="225"/>
        <v>0</v>
      </c>
      <c r="V2191" s="40"/>
    </row>
    <row r="2192" spans="2:22" x14ac:dyDescent="0.35">
      <c r="B2192" s="40">
        <v>36327</v>
      </c>
      <c r="C2192" s="39">
        <v>5381.25</v>
      </c>
      <c r="D2192" s="219">
        <f t="shared" si="226"/>
        <v>7.1595990695156242E-3</v>
      </c>
      <c r="F2192" s="40">
        <v>36327</v>
      </c>
      <c r="G2192" s="39">
        <v>5381.25</v>
      </c>
      <c r="H2192" s="39">
        <f t="shared" si="221"/>
        <v>3</v>
      </c>
      <c r="I2192" s="39">
        <f t="shared" si="222"/>
        <v>0</v>
      </c>
      <c r="K2192" s="40"/>
      <c r="Q2192" s="40">
        <v>36327</v>
      </c>
      <c r="R2192" s="39">
        <v>5381.25</v>
      </c>
      <c r="S2192" s="39">
        <f t="shared" si="223"/>
        <v>6</v>
      </c>
      <c r="T2192" s="39">
        <f t="shared" si="224"/>
        <v>0</v>
      </c>
      <c r="U2192" s="39">
        <f t="shared" si="225"/>
        <v>0</v>
      </c>
      <c r="V2192" s="40"/>
    </row>
    <row r="2193" spans="2:22" x14ac:dyDescent="0.35">
      <c r="B2193" s="40">
        <v>36328</v>
      </c>
      <c r="C2193" s="39">
        <v>5412</v>
      </c>
      <c r="D2193" s="219">
        <f t="shared" si="226"/>
        <v>5.6980211146377959E-3</v>
      </c>
      <c r="F2193" s="40">
        <v>36328</v>
      </c>
      <c r="G2193" s="39">
        <v>5412</v>
      </c>
      <c r="H2193" s="39">
        <f t="shared" si="221"/>
        <v>4</v>
      </c>
      <c r="I2193" s="39">
        <f t="shared" si="222"/>
        <v>0</v>
      </c>
      <c r="K2193" s="40"/>
      <c r="Q2193" s="40">
        <v>36328</v>
      </c>
      <c r="R2193" s="39">
        <v>5412</v>
      </c>
      <c r="S2193" s="39">
        <f t="shared" si="223"/>
        <v>6</v>
      </c>
      <c r="T2193" s="39">
        <f t="shared" si="224"/>
        <v>0</v>
      </c>
      <c r="U2193" s="39">
        <f t="shared" si="225"/>
        <v>0</v>
      </c>
      <c r="V2193" s="40"/>
    </row>
    <row r="2194" spans="2:22" x14ac:dyDescent="0.35">
      <c r="B2194" s="40">
        <v>36329</v>
      </c>
      <c r="C2194" s="39">
        <v>5430.32</v>
      </c>
      <c r="D2194" s="219">
        <f t="shared" si="226"/>
        <v>3.3793537609254822E-3</v>
      </c>
      <c r="F2194" s="40">
        <v>36329</v>
      </c>
      <c r="G2194" s="39">
        <v>5430.32</v>
      </c>
      <c r="H2194" s="39">
        <f t="shared" si="221"/>
        <v>5</v>
      </c>
      <c r="I2194" s="39">
        <f t="shared" si="222"/>
        <v>5430.32</v>
      </c>
      <c r="K2194" s="40"/>
      <c r="Q2194" s="40">
        <v>36329</v>
      </c>
      <c r="R2194" s="39">
        <v>5430.32</v>
      </c>
      <c r="S2194" s="39">
        <f t="shared" si="223"/>
        <v>6</v>
      </c>
      <c r="T2194" s="39">
        <f t="shared" si="224"/>
        <v>0</v>
      </c>
      <c r="U2194" s="39">
        <f t="shared" si="225"/>
        <v>0</v>
      </c>
      <c r="V2194" s="40"/>
    </row>
    <row r="2195" spans="2:22" x14ac:dyDescent="0.35">
      <c r="B2195" s="40">
        <v>36332</v>
      </c>
      <c r="C2195" s="39">
        <v>5468.47</v>
      </c>
      <c r="D2195" s="219">
        <f t="shared" si="226"/>
        <v>7.000805743555702E-3</v>
      </c>
      <c r="F2195" s="40">
        <v>36332</v>
      </c>
      <c r="G2195" s="39">
        <v>5468.47</v>
      </c>
      <c r="H2195" s="39">
        <f t="shared" si="221"/>
        <v>1</v>
      </c>
      <c r="I2195" s="39">
        <f t="shared" si="222"/>
        <v>0</v>
      </c>
      <c r="K2195" s="40"/>
      <c r="Q2195" s="40">
        <v>36332</v>
      </c>
      <c r="R2195" s="39">
        <v>5468.47</v>
      </c>
      <c r="S2195" s="39">
        <f t="shared" si="223"/>
        <v>6</v>
      </c>
      <c r="T2195" s="39">
        <f t="shared" si="224"/>
        <v>0</v>
      </c>
      <c r="U2195" s="39">
        <f t="shared" si="225"/>
        <v>0</v>
      </c>
      <c r="V2195" s="40"/>
    </row>
    <row r="2196" spans="2:22" x14ac:dyDescent="0.35">
      <c r="B2196" s="40">
        <v>36333</v>
      </c>
      <c r="C2196" s="39">
        <v>5468.67</v>
      </c>
      <c r="D2196" s="219">
        <f t="shared" si="226"/>
        <v>3.6572632337627289E-5</v>
      </c>
      <c r="F2196" s="40">
        <v>36333</v>
      </c>
      <c r="G2196" s="39">
        <v>5468.67</v>
      </c>
      <c r="H2196" s="39">
        <f t="shared" si="221"/>
        <v>2</v>
      </c>
      <c r="I2196" s="39">
        <f t="shared" si="222"/>
        <v>0</v>
      </c>
      <c r="K2196" s="40"/>
      <c r="Q2196" s="40">
        <v>36333</v>
      </c>
      <c r="R2196" s="39">
        <v>5468.67</v>
      </c>
      <c r="S2196" s="39">
        <f t="shared" si="223"/>
        <v>6</v>
      </c>
      <c r="T2196" s="39">
        <f t="shared" si="224"/>
        <v>0</v>
      </c>
      <c r="U2196" s="39">
        <f t="shared" si="225"/>
        <v>0</v>
      </c>
      <c r="V2196" s="40"/>
    </row>
    <row r="2197" spans="2:22" x14ac:dyDescent="0.35">
      <c r="B2197" s="40">
        <v>36334</v>
      </c>
      <c r="C2197" s="39">
        <v>5399.11</v>
      </c>
      <c r="D2197" s="219">
        <f t="shared" si="226"/>
        <v>-1.2801317273400597E-2</v>
      </c>
      <c r="F2197" s="40">
        <v>36334</v>
      </c>
      <c r="G2197" s="39">
        <v>5399.11</v>
      </c>
      <c r="H2197" s="39">
        <f t="shared" si="221"/>
        <v>3</v>
      </c>
      <c r="I2197" s="39">
        <f t="shared" si="222"/>
        <v>0</v>
      </c>
      <c r="K2197" s="40"/>
      <c r="Q2197" s="40">
        <v>36334</v>
      </c>
      <c r="R2197" s="39">
        <v>5399.11</v>
      </c>
      <c r="S2197" s="39">
        <f t="shared" si="223"/>
        <v>6</v>
      </c>
      <c r="T2197" s="39">
        <f t="shared" si="224"/>
        <v>0</v>
      </c>
      <c r="U2197" s="39">
        <f t="shared" si="225"/>
        <v>0</v>
      </c>
      <c r="V2197" s="40"/>
    </row>
    <row r="2198" spans="2:22" x14ac:dyDescent="0.35">
      <c r="B2198" s="40">
        <v>36335</v>
      </c>
      <c r="C2198" s="39">
        <v>5327.6</v>
      </c>
      <c r="D2198" s="219">
        <f t="shared" si="226"/>
        <v>-1.3333269827221193E-2</v>
      </c>
      <c r="F2198" s="40">
        <v>36335</v>
      </c>
      <c r="G2198" s="39">
        <v>5327.6</v>
      </c>
      <c r="H2198" s="39">
        <f t="shared" si="221"/>
        <v>4</v>
      </c>
      <c r="I2198" s="39">
        <f t="shared" si="222"/>
        <v>0</v>
      </c>
      <c r="K2198" s="40"/>
      <c r="Q2198" s="40">
        <v>36335</v>
      </c>
      <c r="R2198" s="39">
        <v>5327.6</v>
      </c>
      <c r="S2198" s="39">
        <f t="shared" si="223"/>
        <v>6</v>
      </c>
      <c r="T2198" s="39">
        <f t="shared" si="224"/>
        <v>0</v>
      </c>
      <c r="U2198" s="39">
        <f t="shared" si="225"/>
        <v>0</v>
      </c>
      <c r="V2198" s="40"/>
    </row>
    <row r="2199" spans="2:22" x14ac:dyDescent="0.35">
      <c r="B2199" s="40">
        <v>36336</v>
      </c>
      <c r="C2199" s="39">
        <v>5301.21</v>
      </c>
      <c r="D2199" s="219">
        <f t="shared" si="226"/>
        <v>-4.9657589567798843E-3</v>
      </c>
      <c r="F2199" s="40">
        <v>36336</v>
      </c>
      <c r="G2199" s="39">
        <v>5301.21</v>
      </c>
      <c r="H2199" s="39">
        <f t="shared" si="221"/>
        <v>5</v>
      </c>
      <c r="I2199" s="39">
        <f t="shared" si="222"/>
        <v>5301.21</v>
      </c>
      <c r="K2199" s="40"/>
      <c r="Q2199" s="40">
        <v>36336</v>
      </c>
      <c r="R2199" s="39">
        <v>5301.21</v>
      </c>
      <c r="S2199" s="39">
        <f t="shared" si="223"/>
        <v>6</v>
      </c>
      <c r="T2199" s="39">
        <f t="shared" si="224"/>
        <v>0</v>
      </c>
      <c r="U2199" s="39">
        <f t="shared" si="225"/>
        <v>0</v>
      </c>
      <c r="V2199" s="40"/>
    </row>
    <row r="2200" spans="2:22" x14ac:dyDescent="0.35">
      <c r="B2200" s="40">
        <v>36339</v>
      </c>
      <c r="C2200" s="39">
        <v>5356.95</v>
      </c>
      <c r="D2200" s="219">
        <f t="shared" si="226"/>
        <v>1.0459686885077469E-2</v>
      </c>
      <c r="F2200" s="40">
        <v>36339</v>
      </c>
      <c r="G2200" s="39">
        <v>5356.95</v>
      </c>
      <c r="H2200" s="39">
        <f t="shared" si="221"/>
        <v>1</v>
      </c>
      <c r="I2200" s="39">
        <f t="shared" si="222"/>
        <v>0</v>
      </c>
      <c r="K2200" s="40"/>
      <c r="Q2200" s="40">
        <v>36339</v>
      </c>
      <c r="R2200" s="39">
        <v>5356.95</v>
      </c>
      <c r="S2200" s="39">
        <f t="shared" si="223"/>
        <v>6</v>
      </c>
      <c r="T2200" s="39">
        <f t="shared" si="224"/>
        <v>0</v>
      </c>
      <c r="U2200" s="39">
        <f t="shared" si="225"/>
        <v>0</v>
      </c>
      <c r="V2200" s="40"/>
    </row>
    <row r="2201" spans="2:22" x14ac:dyDescent="0.35">
      <c r="B2201" s="40">
        <v>36340</v>
      </c>
      <c r="C2201" s="39">
        <v>5359.53</v>
      </c>
      <c r="D2201" s="219">
        <f t="shared" si="226"/>
        <v>4.8150139781847864E-4</v>
      </c>
      <c r="F2201" s="40">
        <v>36340</v>
      </c>
      <c r="G2201" s="39">
        <v>5359.53</v>
      </c>
      <c r="H2201" s="39">
        <f t="shared" si="221"/>
        <v>2</v>
      </c>
      <c r="I2201" s="39">
        <f t="shared" si="222"/>
        <v>0</v>
      </c>
      <c r="K2201" s="40"/>
      <c r="Q2201" s="40">
        <v>36340</v>
      </c>
      <c r="R2201" s="39">
        <v>5359.53</v>
      </c>
      <c r="S2201" s="39">
        <f t="shared" si="223"/>
        <v>6</v>
      </c>
      <c r="T2201" s="39">
        <f t="shared" si="224"/>
        <v>0</v>
      </c>
      <c r="U2201" s="39">
        <f t="shared" si="225"/>
        <v>0</v>
      </c>
      <c r="V2201" s="40"/>
    </row>
    <row r="2202" spans="2:22" x14ac:dyDescent="0.35">
      <c r="B2202" s="40">
        <v>36341</v>
      </c>
      <c r="C2202" s="39">
        <v>5378.52</v>
      </c>
      <c r="D2202" s="219">
        <f t="shared" si="226"/>
        <v>3.5369587210328586E-3</v>
      </c>
      <c r="F2202" s="40">
        <v>36341</v>
      </c>
      <c r="G2202" s="39">
        <v>5378.52</v>
      </c>
      <c r="H2202" s="39">
        <f t="shared" si="221"/>
        <v>3</v>
      </c>
      <c r="I2202" s="39">
        <f t="shared" si="222"/>
        <v>0</v>
      </c>
      <c r="K2202" s="40"/>
      <c r="Q2202" s="40">
        <v>36341</v>
      </c>
      <c r="R2202" s="39">
        <v>5378.52</v>
      </c>
      <c r="S2202" s="39">
        <f t="shared" si="223"/>
        <v>6</v>
      </c>
      <c r="T2202" s="39">
        <f t="shared" si="224"/>
        <v>5378.52</v>
      </c>
      <c r="U2202" s="39">
        <f t="shared" si="225"/>
        <v>5378.52</v>
      </c>
      <c r="V2202" s="40"/>
    </row>
    <row r="2203" spans="2:22" x14ac:dyDescent="0.35">
      <c r="B2203" s="40">
        <v>36342</v>
      </c>
      <c r="C2203" s="39">
        <v>5480.22</v>
      </c>
      <c r="D2203" s="219">
        <f t="shared" si="226"/>
        <v>1.8732002747609753E-2</v>
      </c>
      <c r="F2203" s="40">
        <v>36342</v>
      </c>
      <c r="G2203" s="39">
        <v>5480.22</v>
      </c>
      <c r="H2203" s="39">
        <f t="shared" si="221"/>
        <v>4</v>
      </c>
      <c r="I2203" s="39">
        <f t="shared" si="222"/>
        <v>0</v>
      </c>
      <c r="K2203" s="40"/>
      <c r="Q2203" s="40">
        <v>36342</v>
      </c>
      <c r="R2203" s="39">
        <v>5480.22</v>
      </c>
      <c r="S2203" s="39">
        <f t="shared" si="223"/>
        <v>7</v>
      </c>
      <c r="T2203" s="39">
        <f t="shared" si="224"/>
        <v>0</v>
      </c>
      <c r="U2203" s="39">
        <f t="shared" si="225"/>
        <v>0</v>
      </c>
      <c r="V2203" s="40"/>
    </row>
    <row r="2204" spans="2:22" x14ac:dyDescent="0.35">
      <c r="B2204" s="40">
        <v>36343</v>
      </c>
      <c r="C2204" s="39">
        <v>5519.05</v>
      </c>
      <c r="D2204" s="219">
        <f t="shared" si="226"/>
        <v>7.0604978890776542E-3</v>
      </c>
      <c r="F2204" s="40">
        <v>36343</v>
      </c>
      <c r="G2204" s="39">
        <v>5519.05</v>
      </c>
      <c r="H2204" s="39">
        <f t="shared" si="221"/>
        <v>5</v>
      </c>
      <c r="I2204" s="39">
        <f t="shared" si="222"/>
        <v>5519.05</v>
      </c>
      <c r="K2204" s="40"/>
      <c r="Q2204" s="40">
        <v>36343</v>
      </c>
      <c r="R2204" s="39">
        <v>5519.05</v>
      </c>
      <c r="S2204" s="39">
        <f t="shared" si="223"/>
        <v>7</v>
      </c>
      <c r="T2204" s="39">
        <f t="shared" si="224"/>
        <v>0</v>
      </c>
      <c r="U2204" s="39">
        <f t="shared" si="225"/>
        <v>0</v>
      </c>
      <c r="V2204" s="40"/>
    </row>
    <row r="2205" spans="2:22" x14ac:dyDescent="0.35">
      <c r="B2205" s="40">
        <v>36346</v>
      </c>
      <c r="C2205" s="39">
        <v>5625.62</v>
      </c>
      <c r="D2205" s="219">
        <f t="shared" si="226"/>
        <v>1.9125420210108417E-2</v>
      </c>
      <c r="F2205" s="40">
        <v>36346</v>
      </c>
      <c r="G2205" s="39">
        <v>5625.62</v>
      </c>
      <c r="H2205" s="39">
        <f t="shared" si="221"/>
        <v>1</v>
      </c>
      <c r="I2205" s="39">
        <f t="shared" si="222"/>
        <v>0</v>
      </c>
      <c r="K2205" s="40"/>
      <c r="Q2205" s="40">
        <v>36346</v>
      </c>
      <c r="R2205" s="39">
        <v>5625.62</v>
      </c>
      <c r="S2205" s="39">
        <f t="shared" si="223"/>
        <v>7</v>
      </c>
      <c r="T2205" s="39">
        <f t="shared" si="224"/>
        <v>0</v>
      </c>
      <c r="U2205" s="39">
        <f t="shared" si="225"/>
        <v>0</v>
      </c>
      <c r="V2205" s="40"/>
    </row>
    <row r="2206" spans="2:22" x14ac:dyDescent="0.35">
      <c r="B2206" s="40">
        <v>36347</v>
      </c>
      <c r="C2206" s="39">
        <v>5612.9</v>
      </c>
      <c r="D2206" s="219">
        <f t="shared" si="226"/>
        <v>-2.2636442221093253E-3</v>
      </c>
      <c r="F2206" s="40">
        <v>36347</v>
      </c>
      <c r="G2206" s="39">
        <v>5612.9</v>
      </c>
      <c r="H2206" s="39">
        <f t="shared" si="221"/>
        <v>2</v>
      </c>
      <c r="I2206" s="39">
        <f t="shared" si="222"/>
        <v>0</v>
      </c>
      <c r="K2206" s="40"/>
      <c r="Q2206" s="40">
        <v>36347</v>
      </c>
      <c r="R2206" s="39">
        <v>5612.9</v>
      </c>
      <c r="S2206" s="39">
        <f t="shared" si="223"/>
        <v>7</v>
      </c>
      <c r="T2206" s="39">
        <f t="shared" si="224"/>
        <v>0</v>
      </c>
      <c r="U2206" s="39">
        <f t="shared" si="225"/>
        <v>0</v>
      </c>
      <c r="V2206" s="40"/>
    </row>
    <row r="2207" spans="2:22" x14ac:dyDescent="0.35">
      <c r="B2207" s="40">
        <v>36348</v>
      </c>
      <c r="C2207" s="39">
        <v>5588.5</v>
      </c>
      <c r="D2207" s="219">
        <f t="shared" si="226"/>
        <v>-4.3566051730447898E-3</v>
      </c>
      <c r="F2207" s="40">
        <v>36348</v>
      </c>
      <c r="G2207" s="39">
        <v>5588.5</v>
      </c>
      <c r="H2207" s="39">
        <f t="shared" si="221"/>
        <v>3</v>
      </c>
      <c r="I2207" s="39">
        <f t="shared" si="222"/>
        <v>0</v>
      </c>
      <c r="K2207" s="40"/>
      <c r="Q2207" s="40">
        <v>36348</v>
      </c>
      <c r="R2207" s="39">
        <v>5588.5</v>
      </c>
      <c r="S2207" s="39">
        <f t="shared" si="223"/>
        <v>7</v>
      </c>
      <c r="T2207" s="39">
        <f t="shared" si="224"/>
        <v>0</v>
      </c>
      <c r="U2207" s="39">
        <f t="shared" si="225"/>
        <v>0</v>
      </c>
      <c r="V2207" s="40"/>
    </row>
    <row r="2208" spans="2:22" x14ac:dyDescent="0.35">
      <c r="B2208" s="40">
        <v>36349</v>
      </c>
      <c r="C2208" s="39">
        <v>5607.1</v>
      </c>
      <c r="D2208" s="219">
        <f t="shared" si="226"/>
        <v>3.3227369882628329E-3</v>
      </c>
      <c r="F2208" s="40">
        <v>36349</v>
      </c>
      <c r="G2208" s="39">
        <v>5607.1</v>
      </c>
      <c r="H2208" s="39">
        <f t="shared" si="221"/>
        <v>4</v>
      </c>
      <c r="I2208" s="39">
        <f t="shared" si="222"/>
        <v>0</v>
      </c>
      <c r="K2208" s="40"/>
      <c r="Q2208" s="40">
        <v>36349</v>
      </c>
      <c r="R2208" s="39">
        <v>5607.1</v>
      </c>
      <c r="S2208" s="39">
        <f t="shared" si="223"/>
        <v>7</v>
      </c>
      <c r="T2208" s="39">
        <f t="shared" si="224"/>
        <v>0</v>
      </c>
      <c r="U2208" s="39">
        <f t="shared" si="225"/>
        <v>0</v>
      </c>
      <c r="V2208" s="40"/>
    </row>
    <row r="2209" spans="2:22" x14ac:dyDescent="0.35">
      <c r="B2209" s="40">
        <v>36350</v>
      </c>
      <c r="C2209" s="39">
        <v>5638.95</v>
      </c>
      <c r="D2209" s="219">
        <f t="shared" si="226"/>
        <v>5.6642261335843238E-3</v>
      </c>
      <c r="F2209" s="40">
        <v>36350</v>
      </c>
      <c r="G2209" s="39">
        <v>5638.95</v>
      </c>
      <c r="H2209" s="39">
        <f t="shared" si="221"/>
        <v>5</v>
      </c>
      <c r="I2209" s="39">
        <f t="shared" si="222"/>
        <v>5638.95</v>
      </c>
      <c r="K2209" s="40"/>
      <c r="Q2209" s="40">
        <v>36350</v>
      </c>
      <c r="R2209" s="39">
        <v>5638.95</v>
      </c>
      <c r="S2209" s="39">
        <f t="shared" si="223"/>
        <v>7</v>
      </c>
      <c r="T2209" s="39">
        <f t="shared" si="224"/>
        <v>0</v>
      </c>
      <c r="U2209" s="39">
        <f t="shared" si="225"/>
        <v>0</v>
      </c>
      <c r="V2209" s="40"/>
    </row>
    <row r="2210" spans="2:22" x14ac:dyDescent="0.35">
      <c r="B2210" s="40">
        <v>36353</v>
      </c>
      <c r="C2210" s="39">
        <v>5652.02</v>
      </c>
      <c r="D2210" s="219">
        <f t="shared" si="226"/>
        <v>2.315125421061505E-3</v>
      </c>
      <c r="F2210" s="40">
        <v>36353</v>
      </c>
      <c r="G2210" s="39">
        <v>5652.02</v>
      </c>
      <c r="H2210" s="39">
        <f t="shared" si="221"/>
        <v>1</v>
      </c>
      <c r="I2210" s="39">
        <f t="shared" si="222"/>
        <v>0</v>
      </c>
      <c r="K2210" s="40"/>
      <c r="Q2210" s="40">
        <v>36353</v>
      </c>
      <c r="R2210" s="39">
        <v>5652.02</v>
      </c>
      <c r="S2210" s="39">
        <f t="shared" si="223"/>
        <v>7</v>
      </c>
      <c r="T2210" s="39">
        <f t="shared" si="224"/>
        <v>0</v>
      </c>
      <c r="U2210" s="39">
        <f t="shared" si="225"/>
        <v>0</v>
      </c>
      <c r="V2210" s="40"/>
    </row>
    <row r="2211" spans="2:22" x14ac:dyDescent="0.35">
      <c r="B2211" s="40">
        <v>36354</v>
      </c>
      <c r="C2211" s="39">
        <v>5573.82</v>
      </c>
      <c r="D2211" s="219">
        <f t="shared" si="226"/>
        <v>-1.3932367636048796E-2</v>
      </c>
      <c r="F2211" s="40">
        <v>36354</v>
      </c>
      <c r="G2211" s="39">
        <v>5573.82</v>
      </c>
      <c r="H2211" s="39">
        <f t="shared" si="221"/>
        <v>2</v>
      </c>
      <c r="I2211" s="39">
        <f t="shared" si="222"/>
        <v>0</v>
      </c>
      <c r="K2211" s="40"/>
      <c r="Q2211" s="40">
        <v>36354</v>
      </c>
      <c r="R2211" s="39">
        <v>5573.82</v>
      </c>
      <c r="S2211" s="39">
        <f t="shared" si="223"/>
        <v>7</v>
      </c>
      <c r="T2211" s="39">
        <f t="shared" si="224"/>
        <v>0</v>
      </c>
      <c r="U2211" s="39">
        <f t="shared" si="225"/>
        <v>0</v>
      </c>
      <c r="V2211" s="40"/>
    </row>
    <row r="2212" spans="2:22" x14ac:dyDescent="0.35">
      <c r="B2212" s="40">
        <v>36355</v>
      </c>
      <c r="C2212" s="39">
        <v>5610.89</v>
      </c>
      <c r="D2212" s="219">
        <f t="shared" si="226"/>
        <v>6.6287164776772465E-3</v>
      </c>
      <c r="F2212" s="40">
        <v>36355</v>
      </c>
      <c r="G2212" s="39">
        <v>5610.89</v>
      </c>
      <c r="H2212" s="39">
        <f t="shared" si="221"/>
        <v>3</v>
      </c>
      <c r="I2212" s="39">
        <f t="shared" si="222"/>
        <v>0</v>
      </c>
      <c r="K2212" s="40"/>
      <c r="Q2212" s="40">
        <v>36355</v>
      </c>
      <c r="R2212" s="39">
        <v>5610.89</v>
      </c>
      <c r="S2212" s="39">
        <f t="shared" si="223"/>
        <v>7</v>
      </c>
      <c r="T2212" s="39">
        <f t="shared" si="224"/>
        <v>0</v>
      </c>
      <c r="U2212" s="39">
        <f t="shared" si="225"/>
        <v>0</v>
      </c>
      <c r="V2212" s="40"/>
    </row>
    <row r="2213" spans="2:22" x14ac:dyDescent="0.35">
      <c r="B2213" s="40">
        <v>36356</v>
      </c>
      <c r="C2213" s="39">
        <v>5619.26</v>
      </c>
      <c r="D2213" s="219">
        <f t="shared" si="226"/>
        <v>1.4906304100710459E-3</v>
      </c>
      <c r="F2213" s="40">
        <v>36356</v>
      </c>
      <c r="G2213" s="39">
        <v>5619.26</v>
      </c>
      <c r="H2213" s="39">
        <f t="shared" si="221"/>
        <v>4</v>
      </c>
      <c r="I2213" s="39">
        <f t="shared" si="222"/>
        <v>0</v>
      </c>
      <c r="K2213" s="40"/>
      <c r="Q2213" s="40">
        <v>36356</v>
      </c>
      <c r="R2213" s="39">
        <v>5619.26</v>
      </c>
      <c r="S2213" s="39">
        <f t="shared" si="223"/>
        <v>7</v>
      </c>
      <c r="T2213" s="39">
        <f t="shared" si="224"/>
        <v>0</v>
      </c>
      <c r="U2213" s="39">
        <f t="shared" si="225"/>
        <v>0</v>
      </c>
      <c r="V2213" s="40"/>
    </row>
    <row r="2214" spans="2:22" x14ac:dyDescent="0.35">
      <c r="B2214" s="40">
        <v>36357</v>
      </c>
      <c r="C2214" s="39">
        <v>5619.94</v>
      </c>
      <c r="D2214" s="219">
        <f t="shared" si="226"/>
        <v>1.2100505388798736E-4</v>
      </c>
      <c r="F2214" s="40">
        <v>36357</v>
      </c>
      <c r="G2214" s="39">
        <v>5619.94</v>
      </c>
      <c r="H2214" s="39">
        <f t="shared" si="221"/>
        <v>5</v>
      </c>
      <c r="I2214" s="39">
        <f t="shared" si="222"/>
        <v>5619.94</v>
      </c>
      <c r="K2214" s="40"/>
      <c r="Q2214" s="40">
        <v>36357</v>
      </c>
      <c r="R2214" s="39">
        <v>5619.94</v>
      </c>
      <c r="S2214" s="39">
        <f t="shared" si="223"/>
        <v>7</v>
      </c>
      <c r="T2214" s="39">
        <f t="shared" si="224"/>
        <v>0</v>
      </c>
      <c r="U2214" s="39">
        <f t="shared" si="225"/>
        <v>0</v>
      </c>
      <c r="V2214" s="40"/>
    </row>
    <row r="2215" spans="2:22" x14ac:dyDescent="0.35">
      <c r="B2215" s="40">
        <v>36360</v>
      </c>
      <c r="C2215" s="39">
        <v>5624.74</v>
      </c>
      <c r="D2215" s="219">
        <f t="shared" si="226"/>
        <v>8.5373710795623675E-4</v>
      </c>
      <c r="F2215" s="40">
        <v>36360</v>
      </c>
      <c r="G2215" s="39">
        <v>5624.74</v>
      </c>
      <c r="H2215" s="39">
        <f t="shared" si="221"/>
        <v>1</v>
      </c>
      <c r="I2215" s="39">
        <f t="shared" si="222"/>
        <v>0</v>
      </c>
      <c r="K2215" s="40"/>
      <c r="Q2215" s="40">
        <v>36360</v>
      </c>
      <c r="R2215" s="39">
        <v>5624.74</v>
      </c>
      <c r="S2215" s="39">
        <f t="shared" si="223"/>
        <v>7</v>
      </c>
      <c r="T2215" s="39">
        <f t="shared" si="224"/>
        <v>0</v>
      </c>
      <c r="U2215" s="39">
        <f t="shared" si="225"/>
        <v>0</v>
      </c>
      <c r="V2215" s="40"/>
    </row>
    <row r="2216" spans="2:22" x14ac:dyDescent="0.35">
      <c r="B2216" s="40">
        <v>36361</v>
      </c>
      <c r="C2216" s="39">
        <v>5491.29</v>
      </c>
      <c r="D2216" s="219">
        <f t="shared" si="226"/>
        <v>-2.4011524202702805E-2</v>
      </c>
      <c r="F2216" s="40">
        <v>36361</v>
      </c>
      <c r="G2216" s="39">
        <v>5491.29</v>
      </c>
      <c r="H2216" s="39">
        <f t="shared" si="221"/>
        <v>2</v>
      </c>
      <c r="I2216" s="39">
        <f t="shared" si="222"/>
        <v>0</v>
      </c>
      <c r="K2216" s="40"/>
      <c r="Q2216" s="40">
        <v>36361</v>
      </c>
      <c r="R2216" s="39">
        <v>5491.29</v>
      </c>
      <c r="S2216" s="39">
        <f t="shared" si="223"/>
        <v>7</v>
      </c>
      <c r="T2216" s="39">
        <f t="shared" si="224"/>
        <v>0</v>
      </c>
      <c r="U2216" s="39">
        <f t="shared" si="225"/>
        <v>0</v>
      </c>
      <c r="V2216" s="40"/>
    </row>
    <row r="2217" spans="2:22" x14ac:dyDescent="0.35">
      <c r="B2217" s="40">
        <v>36362</v>
      </c>
      <c r="C2217" s="39">
        <v>5414.17</v>
      </c>
      <c r="D2217" s="219">
        <f t="shared" si="226"/>
        <v>-1.4143609824258944E-2</v>
      </c>
      <c r="F2217" s="40">
        <v>36362</v>
      </c>
      <c r="G2217" s="39">
        <v>5414.17</v>
      </c>
      <c r="H2217" s="39">
        <f t="shared" si="221"/>
        <v>3</v>
      </c>
      <c r="I2217" s="39">
        <f t="shared" si="222"/>
        <v>0</v>
      </c>
      <c r="K2217" s="40"/>
      <c r="Q2217" s="40">
        <v>36362</v>
      </c>
      <c r="R2217" s="39">
        <v>5414.17</v>
      </c>
      <c r="S2217" s="39">
        <f t="shared" si="223"/>
        <v>7</v>
      </c>
      <c r="T2217" s="39">
        <f t="shared" si="224"/>
        <v>0</v>
      </c>
      <c r="U2217" s="39">
        <f t="shared" si="225"/>
        <v>0</v>
      </c>
      <c r="V2217" s="40"/>
    </row>
    <row r="2218" spans="2:22" x14ac:dyDescent="0.35">
      <c r="B2218" s="40">
        <v>36363</v>
      </c>
      <c r="C2218" s="39">
        <v>5340.91</v>
      </c>
      <c r="D2218" s="219">
        <f t="shared" si="226"/>
        <v>-1.3623540334370726E-2</v>
      </c>
      <c r="F2218" s="40">
        <v>36363</v>
      </c>
      <c r="G2218" s="39">
        <v>5340.91</v>
      </c>
      <c r="H2218" s="39">
        <f t="shared" si="221"/>
        <v>4</v>
      </c>
      <c r="I2218" s="39">
        <f t="shared" si="222"/>
        <v>0</v>
      </c>
      <c r="K2218" s="40"/>
      <c r="Q2218" s="40">
        <v>36363</v>
      </c>
      <c r="R2218" s="39">
        <v>5340.91</v>
      </c>
      <c r="S2218" s="39">
        <f t="shared" si="223"/>
        <v>7</v>
      </c>
      <c r="T2218" s="39">
        <f t="shared" si="224"/>
        <v>0</v>
      </c>
      <c r="U2218" s="39">
        <f t="shared" si="225"/>
        <v>0</v>
      </c>
      <c r="V2218" s="40"/>
    </row>
    <row r="2219" spans="2:22" x14ac:dyDescent="0.35">
      <c r="B2219" s="40">
        <v>36364</v>
      </c>
      <c r="C2219" s="39">
        <v>5310.63</v>
      </c>
      <c r="D2219" s="219">
        <f t="shared" si="226"/>
        <v>-5.685578154655869E-3</v>
      </c>
      <c r="F2219" s="40">
        <v>36364</v>
      </c>
      <c r="G2219" s="39">
        <v>5310.63</v>
      </c>
      <c r="H2219" s="39">
        <f t="shared" si="221"/>
        <v>5</v>
      </c>
      <c r="I2219" s="39">
        <f t="shared" si="222"/>
        <v>5310.63</v>
      </c>
      <c r="K2219" s="40"/>
      <c r="Q2219" s="40">
        <v>36364</v>
      </c>
      <c r="R2219" s="39">
        <v>5310.63</v>
      </c>
      <c r="S2219" s="39">
        <f t="shared" si="223"/>
        <v>7</v>
      </c>
      <c r="T2219" s="39">
        <f t="shared" si="224"/>
        <v>0</v>
      </c>
      <c r="U2219" s="39">
        <f t="shared" si="225"/>
        <v>0</v>
      </c>
      <c r="V2219" s="40"/>
    </row>
    <row r="2220" spans="2:22" x14ac:dyDescent="0.35">
      <c r="B2220" s="40">
        <v>36367</v>
      </c>
      <c r="C2220" s="39">
        <v>5206.4399999999996</v>
      </c>
      <c r="D2220" s="219">
        <f t="shared" si="226"/>
        <v>-1.9814151419050186E-2</v>
      </c>
      <c r="F2220" s="40">
        <v>36367</v>
      </c>
      <c r="G2220" s="39">
        <v>5206.4399999999996</v>
      </c>
      <c r="H2220" s="39">
        <f t="shared" si="221"/>
        <v>1</v>
      </c>
      <c r="I2220" s="39">
        <f t="shared" si="222"/>
        <v>0</v>
      </c>
      <c r="K2220" s="40"/>
      <c r="Q2220" s="40">
        <v>36367</v>
      </c>
      <c r="R2220" s="39">
        <v>5206.4399999999996</v>
      </c>
      <c r="S2220" s="39">
        <f t="shared" si="223"/>
        <v>7</v>
      </c>
      <c r="T2220" s="39">
        <f t="shared" si="224"/>
        <v>0</v>
      </c>
      <c r="U2220" s="39">
        <f t="shared" si="225"/>
        <v>0</v>
      </c>
      <c r="V2220" s="40"/>
    </row>
    <row r="2221" spans="2:22" x14ac:dyDescent="0.35">
      <c r="B2221" s="40">
        <v>36368</v>
      </c>
      <c r="C2221" s="39">
        <v>5224.16</v>
      </c>
      <c r="D2221" s="219">
        <f t="shared" si="226"/>
        <v>3.3976985115260231E-3</v>
      </c>
      <c r="F2221" s="40">
        <v>36368</v>
      </c>
      <c r="G2221" s="39">
        <v>5224.16</v>
      </c>
      <c r="H2221" s="39">
        <f t="shared" si="221"/>
        <v>2</v>
      </c>
      <c r="I2221" s="39">
        <f t="shared" si="222"/>
        <v>0</v>
      </c>
      <c r="K2221" s="40"/>
      <c r="Q2221" s="40">
        <v>36368</v>
      </c>
      <c r="R2221" s="39">
        <v>5224.16</v>
      </c>
      <c r="S2221" s="39">
        <f t="shared" si="223"/>
        <v>7</v>
      </c>
      <c r="T2221" s="39">
        <f t="shared" si="224"/>
        <v>0</v>
      </c>
      <c r="U2221" s="39">
        <f t="shared" si="225"/>
        <v>0</v>
      </c>
      <c r="V2221" s="40"/>
    </row>
    <row r="2222" spans="2:22" x14ac:dyDescent="0.35">
      <c r="B2222" s="40">
        <v>36369</v>
      </c>
      <c r="C2222" s="39">
        <v>5229.5600000000004</v>
      </c>
      <c r="D2222" s="219">
        <f t="shared" si="226"/>
        <v>1.0331251421133629E-3</v>
      </c>
      <c r="F2222" s="40">
        <v>36369</v>
      </c>
      <c r="G2222" s="39">
        <v>5229.5600000000004</v>
      </c>
      <c r="H2222" s="39">
        <f t="shared" si="221"/>
        <v>3</v>
      </c>
      <c r="I2222" s="39">
        <f t="shared" si="222"/>
        <v>0</v>
      </c>
      <c r="K2222" s="40"/>
      <c r="Q2222" s="40">
        <v>36369</v>
      </c>
      <c r="R2222" s="39">
        <v>5229.5600000000004</v>
      </c>
      <c r="S2222" s="39">
        <f t="shared" si="223"/>
        <v>7</v>
      </c>
      <c r="T2222" s="39">
        <f t="shared" si="224"/>
        <v>0</v>
      </c>
      <c r="U2222" s="39">
        <f t="shared" si="225"/>
        <v>0</v>
      </c>
      <c r="V2222" s="40"/>
    </row>
    <row r="2223" spans="2:22" x14ac:dyDescent="0.35">
      <c r="B2223" s="40">
        <v>36370</v>
      </c>
      <c r="C2223" s="39">
        <v>5052.32</v>
      </c>
      <c r="D2223" s="219">
        <f t="shared" si="226"/>
        <v>-3.4479600785320579E-2</v>
      </c>
      <c r="F2223" s="40">
        <v>36370</v>
      </c>
      <c r="G2223" s="39">
        <v>5052.32</v>
      </c>
      <c r="H2223" s="39">
        <f t="shared" si="221"/>
        <v>4</v>
      </c>
      <c r="I2223" s="39">
        <f t="shared" si="222"/>
        <v>0</v>
      </c>
      <c r="K2223" s="40"/>
      <c r="Q2223" s="40">
        <v>36370</v>
      </c>
      <c r="R2223" s="39">
        <v>5052.32</v>
      </c>
      <c r="S2223" s="39">
        <f t="shared" si="223"/>
        <v>7</v>
      </c>
      <c r="T2223" s="39">
        <f t="shared" si="224"/>
        <v>0</v>
      </c>
      <c r="U2223" s="39">
        <f t="shared" si="225"/>
        <v>0</v>
      </c>
      <c r="V2223" s="40"/>
    </row>
    <row r="2224" spans="2:22" x14ac:dyDescent="0.35">
      <c r="B2224" s="40">
        <v>36371</v>
      </c>
      <c r="C2224" s="39">
        <v>5101.87</v>
      </c>
      <c r="D2224" s="219">
        <f t="shared" si="226"/>
        <v>9.7595954578900967E-3</v>
      </c>
      <c r="F2224" s="40">
        <v>36371</v>
      </c>
      <c r="G2224" s="39">
        <v>5101.87</v>
      </c>
      <c r="H2224" s="39">
        <f t="shared" si="221"/>
        <v>5</v>
      </c>
      <c r="I2224" s="39">
        <f t="shared" si="222"/>
        <v>5101.87</v>
      </c>
      <c r="K2224" s="40"/>
      <c r="Q2224" s="40">
        <v>36371</v>
      </c>
      <c r="R2224" s="39">
        <v>5101.87</v>
      </c>
      <c r="S2224" s="39">
        <f t="shared" si="223"/>
        <v>7</v>
      </c>
      <c r="T2224" s="39">
        <f t="shared" si="224"/>
        <v>5101.87</v>
      </c>
      <c r="U2224" s="39">
        <f t="shared" si="225"/>
        <v>5101.87</v>
      </c>
      <c r="V2224" s="40"/>
    </row>
    <row r="2225" spans="2:22" x14ac:dyDescent="0.35">
      <c r="B2225" s="40">
        <v>36374</v>
      </c>
      <c r="C2225" s="39">
        <v>5129.5</v>
      </c>
      <c r="D2225" s="219">
        <f t="shared" si="226"/>
        <v>5.4010493544783692E-3</v>
      </c>
      <c r="F2225" s="40">
        <v>36374</v>
      </c>
      <c r="G2225" s="39">
        <v>5129.5</v>
      </c>
      <c r="H2225" s="39">
        <f t="shared" si="221"/>
        <v>1</v>
      </c>
      <c r="I2225" s="39">
        <f t="shared" si="222"/>
        <v>0</v>
      </c>
      <c r="K2225" s="40"/>
      <c r="Q2225" s="40">
        <v>36374</v>
      </c>
      <c r="R2225" s="39">
        <v>5129.5</v>
      </c>
      <c r="S2225" s="39">
        <f t="shared" si="223"/>
        <v>8</v>
      </c>
      <c r="T2225" s="39">
        <f t="shared" si="224"/>
        <v>0</v>
      </c>
      <c r="U2225" s="39">
        <f t="shared" si="225"/>
        <v>0</v>
      </c>
      <c r="V2225" s="40"/>
    </row>
    <row r="2226" spans="2:22" x14ac:dyDescent="0.35">
      <c r="B2226" s="40">
        <v>36375</v>
      </c>
      <c r="C2226" s="39">
        <v>5107.68</v>
      </c>
      <c r="D2226" s="219">
        <f t="shared" si="226"/>
        <v>-4.2628991662363187E-3</v>
      </c>
      <c r="F2226" s="40">
        <v>36375</v>
      </c>
      <c r="G2226" s="39">
        <v>5107.68</v>
      </c>
      <c r="H2226" s="39">
        <f t="shared" si="221"/>
        <v>2</v>
      </c>
      <c r="I2226" s="39">
        <f t="shared" si="222"/>
        <v>0</v>
      </c>
      <c r="K2226" s="40"/>
      <c r="Q2226" s="40">
        <v>36375</v>
      </c>
      <c r="R2226" s="39">
        <v>5107.68</v>
      </c>
      <c r="S2226" s="39">
        <f t="shared" si="223"/>
        <v>8</v>
      </c>
      <c r="T2226" s="39">
        <f t="shared" si="224"/>
        <v>0</v>
      </c>
      <c r="U2226" s="39">
        <f t="shared" si="225"/>
        <v>0</v>
      </c>
      <c r="V2226" s="40"/>
    </row>
    <row r="2227" spans="2:22" x14ac:dyDescent="0.35">
      <c r="B2227" s="40">
        <v>36376</v>
      </c>
      <c r="C2227" s="39">
        <v>5119.37</v>
      </c>
      <c r="D2227" s="219">
        <f t="shared" si="226"/>
        <v>2.2860952261345539E-3</v>
      </c>
      <c r="F2227" s="40">
        <v>36376</v>
      </c>
      <c r="G2227" s="39">
        <v>5119.37</v>
      </c>
      <c r="H2227" s="39">
        <f t="shared" si="221"/>
        <v>3</v>
      </c>
      <c r="I2227" s="39">
        <f t="shared" si="222"/>
        <v>0</v>
      </c>
      <c r="K2227" s="40"/>
      <c r="Q2227" s="40">
        <v>36376</v>
      </c>
      <c r="R2227" s="39">
        <v>5119.37</v>
      </c>
      <c r="S2227" s="39">
        <f t="shared" si="223"/>
        <v>8</v>
      </c>
      <c r="T2227" s="39">
        <f t="shared" si="224"/>
        <v>0</v>
      </c>
      <c r="U2227" s="39">
        <f t="shared" si="225"/>
        <v>0</v>
      </c>
      <c r="V2227" s="40"/>
    </row>
    <row r="2228" spans="2:22" x14ac:dyDescent="0.35">
      <c r="B2228" s="40">
        <v>36377</v>
      </c>
      <c r="C2228" s="39">
        <v>4978.45</v>
      </c>
      <c r="D2228" s="219">
        <f t="shared" si="226"/>
        <v>-2.7912786995658311E-2</v>
      </c>
      <c r="F2228" s="40">
        <v>36377</v>
      </c>
      <c r="G2228" s="39">
        <v>4978.45</v>
      </c>
      <c r="H2228" s="39">
        <f t="shared" si="221"/>
        <v>4</v>
      </c>
      <c r="I2228" s="39">
        <f t="shared" si="222"/>
        <v>0</v>
      </c>
      <c r="K2228" s="40"/>
      <c r="Q2228" s="40">
        <v>36377</v>
      </c>
      <c r="R2228" s="39">
        <v>4978.45</v>
      </c>
      <c r="S2228" s="39">
        <f t="shared" si="223"/>
        <v>8</v>
      </c>
      <c r="T2228" s="39">
        <f t="shared" si="224"/>
        <v>0</v>
      </c>
      <c r="U2228" s="39">
        <f t="shared" si="225"/>
        <v>0</v>
      </c>
      <c r="V2228" s="40"/>
    </row>
    <row r="2229" spans="2:22" x14ac:dyDescent="0.35">
      <c r="B2229" s="40">
        <v>36378</v>
      </c>
      <c r="C2229" s="39">
        <v>5010.47</v>
      </c>
      <c r="D2229" s="219">
        <f t="shared" si="226"/>
        <v>6.4111254620471264E-3</v>
      </c>
      <c r="F2229" s="40">
        <v>36378</v>
      </c>
      <c r="G2229" s="39">
        <v>5010.47</v>
      </c>
      <c r="H2229" s="39">
        <f t="shared" si="221"/>
        <v>5</v>
      </c>
      <c r="I2229" s="39">
        <f t="shared" si="222"/>
        <v>5010.47</v>
      </c>
      <c r="K2229" s="40"/>
      <c r="Q2229" s="40">
        <v>36378</v>
      </c>
      <c r="R2229" s="39">
        <v>5010.47</v>
      </c>
      <c r="S2229" s="39">
        <f t="shared" si="223"/>
        <v>8</v>
      </c>
      <c r="T2229" s="39">
        <f t="shared" si="224"/>
        <v>0</v>
      </c>
      <c r="U2229" s="39">
        <f t="shared" si="225"/>
        <v>0</v>
      </c>
      <c r="V2229" s="40"/>
    </row>
    <row r="2230" spans="2:22" x14ac:dyDescent="0.35">
      <c r="B2230" s="40">
        <v>36381</v>
      </c>
      <c r="C2230" s="39">
        <v>5087.3</v>
      </c>
      <c r="D2230" s="219">
        <f t="shared" si="226"/>
        <v>1.5217514884745698E-2</v>
      </c>
      <c r="F2230" s="40">
        <v>36381</v>
      </c>
      <c r="G2230" s="39">
        <v>5087.3</v>
      </c>
      <c r="H2230" s="39">
        <f t="shared" si="221"/>
        <v>1</v>
      </c>
      <c r="I2230" s="39">
        <f t="shared" si="222"/>
        <v>0</v>
      </c>
      <c r="K2230" s="40"/>
      <c r="Q2230" s="40">
        <v>36381</v>
      </c>
      <c r="R2230" s="39">
        <v>5087.3</v>
      </c>
      <c r="S2230" s="39">
        <f t="shared" si="223"/>
        <v>8</v>
      </c>
      <c r="T2230" s="39">
        <f t="shared" si="224"/>
        <v>0</v>
      </c>
      <c r="U2230" s="39">
        <f t="shared" si="225"/>
        <v>0</v>
      </c>
      <c r="V2230" s="40"/>
    </row>
    <row r="2231" spans="2:22" x14ac:dyDescent="0.35">
      <c r="B2231" s="40">
        <v>36382</v>
      </c>
      <c r="C2231" s="39">
        <v>5000.87</v>
      </c>
      <c r="D2231" s="219">
        <f t="shared" si="226"/>
        <v>-1.7135340658806789E-2</v>
      </c>
      <c r="F2231" s="40">
        <v>36382</v>
      </c>
      <c r="G2231" s="39">
        <v>5000.87</v>
      </c>
      <c r="H2231" s="39">
        <f t="shared" ref="H2231:H2294" si="227">WEEKDAY(F2231,2)</f>
        <v>2</v>
      </c>
      <c r="I2231" s="39">
        <f t="shared" ref="I2231:I2294" si="228">IF(H2231&gt;H2232,G2231,0)</f>
        <v>0</v>
      </c>
      <c r="K2231" s="40"/>
      <c r="Q2231" s="40">
        <v>36382</v>
      </c>
      <c r="R2231" s="39">
        <v>5000.87</v>
      </c>
      <c r="S2231" s="39">
        <f t="shared" ref="S2231:S2294" si="229">MONTH(Q2231)</f>
        <v>8</v>
      </c>
      <c r="T2231" s="39">
        <f t="shared" ref="T2231:T2294" si="230">IF(S2232&lt;&gt;S2231,R2231,0)</f>
        <v>0</v>
      </c>
      <c r="U2231" s="39">
        <f t="shared" ref="U2231:U2294" si="231">IF(S2232=S2231,0,R2231)</f>
        <v>0</v>
      </c>
      <c r="V2231" s="40"/>
    </row>
    <row r="2232" spans="2:22" x14ac:dyDescent="0.35">
      <c r="B2232" s="40">
        <v>36383</v>
      </c>
      <c r="C2232" s="39">
        <v>5019.6899999999996</v>
      </c>
      <c r="D2232" s="219">
        <f t="shared" ref="D2232:D2295" si="232">LN(C2232/C2231)</f>
        <v>3.7562815109396411E-3</v>
      </c>
      <c r="F2232" s="40">
        <v>36383</v>
      </c>
      <c r="G2232" s="39">
        <v>5019.6899999999996</v>
      </c>
      <c r="H2232" s="39">
        <f t="shared" si="227"/>
        <v>3</v>
      </c>
      <c r="I2232" s="39">
        <f t="shared" si="228"/>
        <v>0</v>
      </c>
      <c r="K2232" s="40"/>
      <c r="Q2232" s="40">
        <v>36383</v>
      </c>
      <c r="R2232" s="39">
        <v>5019.6899999999996</v>
      </c>
      <c r="S2232" s="39">
        <f t="shared" si="229"/>
        <v>8</v>
      </c>
      <c r="T2232" s="39">
        <f t="shared" si="230"/>
        <v>0</v>
      </c>
      <c r="U2232" s="39">
        <f t="shared" si="231"/>
        <v>0</v>
      </c>
      <c r="V2232" s="40"/>
    </row>
    <row r="2233" spans="2:22" x14ac:dyDescent="0.35">
      <c r="B2233" s="40">
        <v>36384</v>
      </c>
      <c r="C2233" s="39">
        <v>5127.43</v>
      </c>
      <c r="D2233" s="219">
        <f t="shared" si="232"/>
        <v>2.1236380185282139E-2</v>
      </c>
      <c r="F2233" s="40">
        <v>36384</v>
      </c>
      <c r="G2233" s="39">
        <v>5127.43</v>
      </c>
      <c r="H2233" s="39">
        <f t="shared" si="227"/>
        <v>4</v>
      </c>
      <c r="I2233" s="39">
        <f t="shared" si="228"/>
        <v>0</v>
      </c>
      <c r="K2233" s="40"/>
      <c r="Q2233" s="40">
        <v>36384</v>
      </c>
      <c r="R2233" s="39">
        <v>5127.43</v>
      </c>
      <c r="S2233" s="39">
        <f t="shared" si="229"/>
        <v>8</v>
      </c>
      <c r="T2233" s="39">
        <f t="shared" si="230"/>
        <v>0</v>
      </c>
      <c r="U2233" s="39">
        <f t="shared" si="231"/>
        <v>0</v>
      </c>
      <c r="V2233" s="40"/>
    </row>
    <row r="2234" spans="2:22" x14ac:dyDescent="0.35">
      <c r="B2234" s="40">
        <v>36385</v>
      </c>
      <c r="C2234" s="39">
        <v>5219.43</v>
      </c>
      <c r="D2234" s="219">
        <f t="shared" si="232"/>
        <v>1.7783641535918753E-2</v>
      </c>
      <c r="F2234" s="40">
        <v>36385</v>
      </c>
      <c r="G2234" s="39">
        <v>5219.43</v>
      </c>
      <c r="H2234" s="39">
        <f t="shared" si="227"/>
        <v>5</v>
      </c>
      <c r="I2234" s="39">
        <f t="shared" si="228"/>
        <v>5219.43</v>
      </c>
      <c r="K2234" s="40"/>
      <c r="Q2234" s="40">
        <v>36385</v>
      </c>
      <c r="R2234" s="39">
        <v>5219.43</v>
      </c>
      <c r="S2234" s="39">
        <f t="shared" si="229"/>
        <v>8</v>
      </c>
      <c r="T2234" s="39">
        <f t="shared" si="230"/>
        <v>0</v>
      </c>
      <c r="U2234" s="39">
        <f t="shared" si="231"/>
        <v>0</v>
      </c>
      <c r="V2234" s="40"/>
    </row>
    <row r="2235" spans="2:22" x14ac:dyDescent="0.35">
      <c r="B2235" s="40">
        <v>36388</v>
      </c>
      <c r="C2235" s="39">
        <v>5257.1</v>
      </c>
      <c r="D2235" s="219">
        <f t="shared" si="232"/>
        <v>7.1913433824332407E-3</v>
      </c>
      <c r="F2235" s="40">
        <v>36388</v>
      </c>
      <c r="G2235" s="39">
        <v>5257.1</v>
      </c>
      <c r="H2235" s="39">
        <f t="shared" si="227"/>
        <v>1</v>
      </c>
      <c r="I2235" s="39">
        <f t="shared" si="228"/>
        <v>0</v>
      </c>
      <c r="K2235" s="40"/>
      <c r="Q2235" s="40">
        <v>36388</v>
      </c>
      <c r="R2235" s="39">
        <v>5257.1</v>
      </c>
      <c r="S2235" s="39">
        <f t="shared" si="229"/>
        <v>8</v>
      </c>
      <c r="T2235" s="39">
        <f t="shared" si="230"/>
        <v>0</v>
      </c>
      <c r="U2235" s="39">
        <f t="shared" si="231"/>
        <v>0</v>
      </c>
      <c r="V2235" s="40"/>
    </row>
    <row r="2236" spans="2:22" x14ac:dyDescent="0.35">
      <c r="B2236" s="40">
        <v>36389</v>
      </c>
      <c r="C2236" s="39">
        <v>5259.91</v>
      </c>
      <c r="D2236" s="219">
        <f t="shared" si="232"/>
        <v>5.3437242464665895E-4</v>
      </c>
      <c r="F2236" s="40">
        <v>36389</v>
      </c>
      <c r="G2236" s="39">
        <v>5259.91</v>
      </c>
      <c r="H2236" s="39">
        <f t="shared" si="227"/>
        <v>2</v>
      </c>
      <c r="I2236" s="39">
        <f t="shared" si="228"/>
        <v>0</v>
      </c>
      <c r="K2236" s="40"/>
      <c r="Q2236" s="40">
        <v>36389</v>
      </c>
      <c r="R2236" s="39">
        <v>5259.91</v>
      </c>
      <c r="S2236" s="39">
        <f t="shared" si="229"/>
        <v>8</v>
      </c>
      <c r="T2236" s="39">
        <f t="shared" si="230"/>
        <v>0</v>
      </c>
      <c r="U2236" s="39">
        <f t="shared" si="231"/>
        <v>0</v>
      </c>
      <c r="V2236" s="40"/>
    </row>
    <row r="2237" spans="2:22" x14ac:dyDescent="0.35">
      <c r="B2237" s="40">
        <v>36390</v>
      </c>
      <c r="C2237" s="39">
        <v>5230.47</v>
      </c>
      <c r="D2237" s="219">
        <f t="shared" si="232"/>
        <v>-5.612776141178299E-3</v>
      </c>
      <c r="F2237" s="40">
        <v>36390</v>
      </c>
      <c r="G2237" s="39">
        <v>5230.47</v>
      </c>
      <c r="H2237" s="39">
        <f t="shared" si="227"/>
        <v>3</v>
      </c>
      <c r="I2237" s="39">
        <f t="shared" si="228"/>
        <v>0</v>
      </c>
      <c r="K2237" s="40"/>
      <c r="Q2237" s="40">
        <v>36390</v>
      </c>
      <c r="R2237" s="39">
        <v>5230.47</v>
      </c>
      <c r="S2237" s="39">
        <f t="shared" si="229"/>
        <v>8</v>
      </c>
      <c r="T2237" s="39">
        <f t="shared" si="230"/>
        <v>0</v>
      </c>
      <c r="U2237" s="39">
        <f t="shared" si="231"/>
        <v>0</v>
      </c>
      <c r="V2237" s="40"/>
    </row>
    <row r="2238" spans="2:22" x14ac:dyDescent="0.35">
      <c r="B2238" s="40">
        <v>36391</v>
      </c>
      <c r="C2238" s="39">
        <v>5186.8500000000004</v>
      </c>
      <c r="D2238" s="219">
        <f t="shared" si="232"/>
        <v>-8.3745636947524689E-3</v>
      </c>
      <c r="F2238" s="40">
        <v>36391</v>
      </c>
      <c r="G2238" s="39">
        <v>5186.8500000000004</v>
      </c>
      <c r="H2238" s="39">
        <f t="shared" si="227"/>
        <v>4</v>
      </c>
      <c r="I2238" s="39">
        <f t="shared" si="228"/>
        <v>0</v>
      </c>
      <c r="K2238" s="40"/>
      <c r="Q2238" s="40">
        <v>36391</v>
      </c>
      <c r="R2238" s="39">
        <v>5186.8500000000004</v>
      </c>
      <c r="S2238" s="39">
        <f t="shared" si="229"/>
        <v>8</v>
      </c>
      <c r="T2238" s="39">
        <f t="shared" si="230"/>
        <v>0</v>
      </c>
      <c r="U2238" s="39">
        <f t="shared" si="231"/>
        <v>0</v>
      </c>
      <c r="V2238" s="40"/>
    </row>
    <row r="2239" spans="2:22" x14ac:dyDescent="0.35">
      <c r="B2239" s="40">
        <v>36392</v>
      </c>
      <c r="C2239" s="39">
        <v>5254.14</v>
      </c>
      <c r="D2239" s="219">
        <f t="shared" si="232"/>
        <v>1.288976077186894E-2</v>
      </c>
      <c r="F2239" s="40">
        <v>36392</v>
      </c>
      <c r="G2239" s="39">
        <v>5254.14</v>
      </c>
      <c r="H2239" s="39">
        <f t="shared" si="227"/>
        <v>5</v>
      </c>
      <c r="I2239" s="39">
        <f t="shared" si="228"/>
        <v>5254.14</v>
      </c>
      <c r="K2239" s="40"/>
      <c r="Q2239" s="40">
        <v>36392</v>
      </c>
      <c r="R2239" s="39">
        <v>5254.14</v>
      </c>
      <c r="S2239" s="39">
        <f t="shared" si="229"/>
        <v>8</v>
      </c>
      <c r="T2239" s="39">
        <f t="shared" si="230"/>
        <v>0</v>
      </c>
      <c r="U2239" s="39">
        <f t="shared" si="231"/>
        <v>0</v>
      </c>
      <c r="V2239" s="40"/>
    </row>
    <row r="2240" spans="2:22" x14ac:dyDescent="0.35">
      <c r="B2240" s="40">
        <v>36395</v>
      </c>
      <c r="C2240" s="39">
        <v>5301.98</v>
      </c>
      <c r="D2240" s="219">
        <f t="shared" si="232"/>
        <v>9.0639984252558255E-3</v>
      </c>
      <c r="F2240" s="40">
        <v>36395</v>
      </c>
      <c r="G2240" s="39">
        <v>5301.98</v>
      </c>
      <c r="H2240" s="39">
        <f t="shared" si="227"/>
        <v>1</v>
      </c>
      <c r="I2240" s="39">
        <f t="shared" si="228"/>
        <v>0</v>
      </c>
      <c r="K2240" s="40"/>
      <c r="Q2240" s="40">
        <v>36395</v>
      </c>
      <c r="R2240" s="39">
        <v>5301.98</v>
      </c>
      <c r="S2240" s="39">
        <f t="shared" si="229"/>
        <v>8</v>
      </c>
      <c r="T2240" s="39">
        <f t="shared" si="230"/>
        <v>0</v>
      </c>
      <c r="U2240" s="39">
        <f t="shared" si="231"/>
        <v>0</v>
      </c>
      <c r="V2240" s="40"/>
    </row>
    <row r="2241" spans="2:22" x14ac:dyDescent="0.35">
      <c r="B2241" s="40">
        <v>36396</v>
      </c>
      <c r="C2241" s="39">
        <v>5324.02</v>
      </c>
      <c r="D2241" s="219">
        <f t="shared" si="232"/>
        <v>4.1483214015433159E-3</v>
      </c>
      <c r="F2241" s="40">
        <v>36396</v>
      </c>
      <c r="G2241" s="39">
        <v>5324.02</v>
      </c>
      <c r="H2241" s="39">
        <f t="shared" si="227"/>
        <v>2</v>
      </c>
      <c r="I2241" s="39">
        <f t="shared" si="228"/>
        <v>0</v>
      </c>
      <c r="K2241" s="40"/>
      <c r="Q2241" s="40">
        <v>36396</v>
      </c>
      <c r="R2241" s="39">
        <v>5324.02</v>
      </c>
      <c r="S2241" s="39">
        <f t="shared" si="229"/>
        <v>8</v>
      </c>
      <c r="T2241" s="39">
        <f t="shared" si="230"/>
        <v>0</v>
      </c>
      <c r="U2241" s="39">
        <f t="shared" si="231"/>
        <v>0</v>
      </c>
      <c r="V2241" s="40"/>
    </row>
    <row r="2242" spans="2:22" x14ac:dyDescent="0.35">
      <c r="B2242" s="40">
        <v>36397</v>
      </c>
      <c r="C2242" s="39">
        <v>5400.32</v>
      </c>
      <c r="D2242" s="219">
        <f t="shared" si="232"/>
        <v>1.4229553973913473E-2</v>
      </c>
      <c r="F2242" s="40">
        <v>36397</v>
      </c>
      <c r="G2242" s="39">
        <v>5400.32</v>
      </c>
      <c r="H2242" s="39">
        <f t="shared" si="227"/>
        <v>3</v>
      </c>
      <c r="I2242" s="39">
        <f t="shared" si="228"/>
        <v>0</v>
      </c>
      <c r="K2242" s="40"/>
      <c r="Q2242" s="40">
        <v>36397</v>
      </c>
      <c r="R2242" s="39">
        <v>5400.32</v>
      </c>
      <c r="S2242" s="39">
        <f t="shared" si="229"/>
        <v>8</v>
      </c>
      <c r="T2242" s="39">
        <f t="shared" si="230"/>
        <v>0</v>
      </c>
      <c r="U2242" s="39">
        <f t="shared" si="231"/>
        <v>0</v>
      </c>
      <c r="V2242" s="40"/>
    </row>
    <row r="2243" spans="2:22" x14ac:dyDescent="0.35">
      <c r="B2243" s="40">
        <v>36398</v>
      </c>
      <c r="C2243" s="39">
        <v>5389.34</v>
      </c>
      <c r="D2243" s="219">
        <f t="shared" si="232"/>
        <v>-2.0352826299017287E-3</v>
      </c>
      <c r="F2243" s="40">
        <v>36398</v>
      </c>
      <c r="G2243" s="39">
        <v>5389.34</v>
      </c>
      <c r="H2243" s="39">
        <f t="shared" si="227"/>
        <v>4</v>
      </c>
      <c r="I2243" s="39">
        <f t="shared" si="228"/>
        <v>0</v>
      </c>
      <c r="K2243" s="40"/>
      <c r="Q2243" s="40">
        <v>36398</v>
      </c>
      <c r="R2243" s="39">
        <v>5389.34</v>
      </c>
      <c r="S2243" s="39">
        <f t="shared" si="229"/>
        <v>8</v>
      </c>
      <c r="T2243" s="39">
        <f t="shared" si="230"/>
        <v>0</v>
      </c>
      <c r="U2243" s="39">
        <f t="shared" si="231"/>
        <v>0</v>
      </c>
      <c r="V2243" s="40"/>
    </row>
    <row r="2244" spans="2:22" x14ac:dyDescent="0.35">
      <c r="B2244" s="40">
        <v>36399</v>
      </c>
      <c r="C2244" s="39">
        <v>5420.36</v>
      </c>
      <c r="D2244" s="219">
        <f t="shared" si="232"/>
        <v>5.7393054661811728E-3</v>
      </c>
      <c r="F2244" s="40">
        <v>36399</v>
      </c>
      <c r="G2244" s="39">
        <v>5420.36</v>
      </c>
      <c r="H2244" s="39">
        <f t="shared" si="227"/>
        <v>5</v>
      </c>
      <c r="I2244" s="39">
        <f t="shared" si="228"/>
        <v>5420.36</v>
      </c>
      <c r="K2244" s="40"/>
      <c r="Q2244" s="40">
        <v>36399</v>
      </c>
      <c r="R2244" s="39">
        <v>5420.36</v>
      </c>
      <c r="S2244" s="39">
        <f t="shared" si="229"/>
        <v>8</v>
      </c>
      <c r="T2244" s="39">
        <f t="shared" si="230"/>
        <v>0</v>
      </c>
      <c r="U2244" s="39">
        <f t="shared" si="231"/>
        <v>0</v>
      </c>
      <c r="V2244" s="40"/>
    </row>
    <row r="2245" spans="2:22" x14ac:dyDescent="0.35">
      <c r="B2245" s="40">
        <v>36402</v>
      </c>
      <c r="C2245" s="39">
        <v>5392.53</v>
      </c>
      <c r="D2245" s="219">
        <f t="shared" si="232"/>
        <v>-5.1475713619708752E-3</v>
      </c>
      <c r="F2245" s="40">
        <v>36402</v>
      </c>
      <c r="G2245" s="39">
        <v>5392.53</v>
      </c>
      <c r="H2245" s="39">
        <f t="shared" si="227"/>
        <v>1</v>
      </c>
      <c r="I2245" s="39">
        <f t="shared" si="228"/>
        <v>0</v>
      </c>
      <c r="K2245" s="40"/>
      <c r="Q2245" s="40">
        <v>36402</v>
      </c>
      <c r="R2245" s="39">
        <v>5392.53</v>
      </c>
      <c r="S2245" s="39">
        <f t="shared" si="229"/>
        <v>8</v>
      </c>
      <c r="T2245" s="39">
        <f t="shared" si="230"/>
        <v>0</v>
      </c>
      <c r="U2245" s="39">
        <f t="shared" si="231"/>
        <v>0</v>
      </c>
      <c r="V2245" s="40"/>
    </row>
    <row r="2246" spans="2:22" x14ac:dyDescent="0.35">
      <c r="B2246" s="40">
        <v>36403</v>
      </c>
      <c r="C2246" s="39">
        <v>5270.77</v>
      </c>
      <c r="D2246" s="219">
        <f t="shared" si="232"/>
        <v>-2.2838200610873632E-2</v>
      </c>
      <c r="F2246" s="40">
        <v>36403</v>
      </c>
      <c r="G2246" s="39">
        <v>5270.77</v>
      </c>
      <c r="H2246" s="39">
        <f t="shared" si="227"/>
        <v>2</v>
      </c>
      <c r="I2246" s="39">
        <f t="shared" si="228"/>
        <v>0</v>
      </c>
      <c r="K2246" s="40"/>
      <c r="Q2246" s="40">
        <v>36403</v>
      </c>
      <c r="R2246" s="39">
        <v>5270.77</v>
      </c>
      <c r="S2246" s="39">
        <f t="shared" si="229"/>
        <v>8</v>
      </c>
      <c r="T2246" s="39">
        <f t="shared" si="230"/>
        <v>5270.77</v>
      </c>
      <c r="U2246" s="39">
        <f t="shared" si="231"/>
        <v>5270.77</v>
      </c>
      <c r="V2246" s="40"/>
    </row>
    <row r="2247" spans="2:22" x14ac:dyDescent="0.35">
      <c r="B2247" s="40">
        <v>36404</v>
      </c>
      <c r="C2247" s="39">
        <v>5317.12</v>
      </c>
      <c r="D2247" s="219">
        <f t="shared" si="232"/>
        <v>8.7553414482840018E-3</v>
      </c>
      <c r="F2247" s="40">
        <v>36404</v>
      </c>
      <c r="G2247" s="39">
        <v>5317.12</v>
      </c>
      <c r="H2247" s="39">
        <f t="shared" si="227"/>
        <v>3</v>
      </c>
      <c r="I2247" s="39">
        <f t="shared" si="228"/>
        <v>0</v>
      </c>
      <c r="K2247" s="40"/>
      <c r="Q2247" s="40">
        <v>36404</v>
      </c>
      <c r="R2247" s="39">
        <v>5317.12</v>
      </c>
      <c r="S2247" s="39">
        <f t="shared" si="229"/>
        <v>9</v>
      </c>
      <c r="T2247" s="39">
        <f t="shared" si="230"/>
        <v>0</v>
      </c>
      <c r="U2247" s="39">
        <f t="shared" si="231"/>
        <v>0</v>
      </c>
      <c r="V2247" s="40"/>
    </row>
    <row r="2248" spans="2:22" x14ac:dyDescent="0.35">
      <c r="B2248" s="40">
        <v>36405</v>
      </c>
      <c r="C2248" s="39">
        <v>5189.92</v>
      </c>
      <c r="D2248" s="219">
        <f t="shared" si="232"/>
        <v>-2.4213520584638753E-2</v>
      </c>
      <c r="F2248" s="40">
        <v>36405</v>
      </c>
      <c r="G2248" s="39">
        <v>5189.92</v>
      </c>
      <c r="H2248" s="39">
        <f t="shared" si="227"/>
        <v>4</v>
      </c>
      <c r="I2248" s="39">
        <f t="shared" si="228"/>
        <v>0</v>
      </c>
      <c r="K2248" s="40"/>
      <c r="Q2248" s="40">
        <v>36405</v>
      </c>
      <c r="R2248" s="39">
        <v>5189.92</v>
      </c>
      <c r="S2248" s="39">
        <f t="shared" si="229"/>
        <v>9</v>
      </c>
      <c r="T2248" s="39">
        <f t="shared" si="230"/>
        <v>0</v>
      </c>
      <c r="U2248" s="39">
        <f t="shared" si="231"/>
        <v>0</v>
      </c>
      <c r="V2248" s="40"/>
    </row>
    <row r="2249" spans="2:22" x14ac:dyDescent="0.35">
      <c r="B2249" s="40">
        <v>36406</v>
      </c>
      <c r="C2249" s="39">
        <v>5336.22</v>
      </c>
      <c r="D2249" s="219">
        <f t="shared" si="232"/>
        <v>2.779925434791464E-2</v>
      </c>
      <c r="F2249" s="40">
        <v>36406</v>
      </c>
      <c r="G2249" s="39">
        <v>5336.22</v>
      </c>
      <c r="H2249" s="39">
        <f t="shared" si="227"/>
        <v>5</v>
      </c>
      <c r="I2249" s="39">
        <f t="shared" si="228"/>
        <v>5336.22</v>
      </c>
      <c r="K2249" s="40"/>
      <c r="Q2249" s="40">
        <v>36406</v>
      </c>
      <c r="R2249" s="39">
        <v>5336.22</v>
      </c>
      <c r="S2249" s="39">
        <f t="shared" si="229"/>
        <v>9</v>
      </c>
      <c r="T2249" s="39">
        <f t="shared" si="230"/>
        <v>0</v>
      </c>
      <c r="U2249" s="39">
        <f t="shared" si="231"/>
        <v>0</v>
      </c>
      <c r="V2249" s="40"/>
    </row>
    <row r="2250" spans="2:22" x14ac:dyDescent="0.35">
      <c r="B2250" s="40">
        <v>36409</v>
      </c>
      <c r="C2250" s="39">
        <v>5400.55</v>
      </c>
      <c r="D2250" s="219">
        <f t="shared" si="232"/>
        <v>1.1983263086810707E-2</v>
      </c>
      <c r="F2250" s="40">
        <v>36409</v>
      </c>
      <c r="G2250" s="39">
        <v>5400.55</v>
      </c>
      <c r="H2250" s="39">
        <f t="shared" si="227"/>
        <v>1</v>
      </c>
      <c r="I2250" s="39">
        <f t="shared" si="228"/>
        <v>0</v>
      </c>
      <c r="K2250" s="40"/>
      <c r="Q2250" s="40">
        <v>36409</v>
      </c>
      <c r="R2250" s="39">
        <v>5400.55</v>
      </c>
      <c r="S2250" s="39">
        <f t="shared" si="229"/>
        <v>9</v>
      </c>
      <c r="T2250" s="39">
        <f t="shared" si="230"/>
        <v>0</v>
      </c>
      <c r="U2250" s="39">
        <f t="shared" si="231"/>
        <v>0</v>
      </c>
      <c r="V2250" s="40"/>
    </row>
    <row r="2251" spans="2:22" x14ac:dyDescent="0.35">
      <c r="B2251" s="40">
        <v>36410</v>
      </c>
      <c r="C2251" s="39">
        <v>5391.36</v>
      </c>
      <c r="D2251" s="219">
        <f t="shared" si="232"/>
        <v>-1.703128032278125E-3</v>
      </c>
      <c r="F2251" s="40">
        <v>36410</v>
      </c>
      <c r="G2251" s="39">
        <v>5391.36</v>
      </c>
      <c r="H2251" s="39">
        <f t="shared" si="227"/>
        <v>2</v>
      </c>
      <c r="I2251" s="39">
        <f t="shared" si="228"/>
        <v>0</v>
      </c>
      <c r="K2251" s="40"/>
      <c r="Q2251" s="40">
        <v>36410</v>
      </c>
      <c r="R2251" s="39">
        <v>5391.36</v>
      </c>
      <c r="S2251" s="39">
        <f t="shared" si="229"/>
        <v>9</v>
      </c>
      <c r="T2251" s="39">
        <f t="shared" si="230"/>
        <v>0</v>
      </c>
      <c r="U2251" s="39">
        <f t="shared" si="231"/>
        <v>0</v>
      </c>
      <c r="V2251" s="40"/>
    </row>
    <row r="2252" spans="2:22" x14ac:dyDescent="0.35">
      <c r="B2252" s="40">
        <v>36411</v>
      </c>
      <c r="C2252" s="39">
        <v>5400.7</v>
      </c>
      <c r="D2252" s="219">
        <f t="shared" si="232"/>
        <v>1.7309025954090746E-3</v>
      </c>
      <c r="F2252" s="40">
        <v>36411</v>
      </c>
      <c r="G2252" s="39">
        <v>5400.7</v>
      </c>
      <c r="H2252" s="39">
        <f t="shared" si="227"/>
        <v>3</v>
      </c>
      <c r="I2252" s="39">
        <f t="shared" si="228"/>
        <v>0</v>
      </c>
      <c r="K2252" s="40"/>
      <c r="Q2252" s="40">
        <v>36411</v>
      </c>
      <c r="R2252" s="39">
        <v>5400.7</v>
      </c>
      <c r="S2252" s="39">
        <f t="shared" si="229"/>
        <v>9</v>
      </c>
      <c r="T2252" s="39">
        <f t="shared" si="230"/>
        <v>0</v>
      </c>
      <c r="U2252" s="39">
        <f t="shared" si="231"/>
        <v>0</v>
      </c>
      <c r="V2252" s="40"/>
    </row>
    <row r="2253" spans="2:22" x14ac:dyDescent="0.35">
      <c r="B2253" s="40">
        <v>36412</v>
      </c>
      <c r="C2253" s="39">
        <v>5436.86</v>
      </c>
      <c r="D2253" s="219">
        <f t="shared" si="232"/>
        <v>6.6731135393893731E-3</v>
      </c>
      <c r="F2253" s="40">
        <v>36412</v>
      </c>
      <c r="G2253" s="39">
        <v>5436.86</v>
      </c>
      <c r="H2253" s="39">
        <f t="shared" si="227"/>
        <v>4</v>
      </c>
      <c r="I2253" s="39">
        <f t="shared" si="228"/>
        <v>0</v>
      </c>
      <c r="K2253" s="40"/>
      <c r="Q2253" s="40">
        <v>36412</v>
      </c>
      <c r="R2253" s="39">
        <v>5436.86</v>
      </c>
      <c r="S2253" s="39">
        <f t="shared" si="229"/>
        <v>9</v>
      </c>
      <c r="T2253" s="39">
        <f t="shared" si="230"/>
        <v>0</v>
      </c>
      <c r="U2253" s="39">
        <f t="shared" si="231"/>
        <v>0</v>
      </c>
      <c r="V2253" s="40"/>
    </row>
    <row r="2254" spans="2:22" x14ac:dyDescent="0.35">
      <c r="B2254" s="40">
        <v>36413</v>
      </c>
      <c r="C2254" s="39">
        <v>5483.95</v>
      </c>
      <c r="D2254" s="219">
        <f t="shared" si="232"/>
        <v>8.6239558879195322E-3</v>
      </c>
      <c r="F2254" s="40">
        <v>36413</v>
      </c>
      <c r="G2254" s="39">
        <v>5483.95</v>
      </c>
      <c r="H2254" s="39">
        <f t="shared" si="227"/>
        <v>5</v>
      </c>
      <c r="I2254" s="39">
        <f t="shared" si="228"/>
        <v>5483.95</v>
      </c>
      <c r="K2254" s="40"/>
      <c r="Q2254" s="40">
        <v>36413</v>
      </c>
      <c r="R2254" s="39">
        <v>5483.95</v>
      </c>
      <c r="S2254" s="39">
        <f t="shared" si="229"/>
        <v>9</v>
      </c>
      <c r="T2254" s="39">
        <f t="shared" si="230"/>
        <v>0</v>
      </c>
      <c r="U2254" s="39">
        <f t="shared" si="231"/>
        <v>0</v>
      </c>
      <c r="V2254" s="40"/>
    </row>
    <row r="2255" spans="2:22" x14ac:dyDescent="0.35">
      <c r="B2255" s="40">
        <v>36416</v>
      </c>
      <c r="C2255" s="39">
        <v>5446.91</v>
      </c>
      <c r="D2255" s="219">
        <f t="shared" si="232"/>
        <v>-6.777168817557697E-3</v>
      </c>
      <c r="F2255" s="40">
        <v>36416</v>
      </c>
      <c r="G2255" s="39">
        <v>5446.91</v>
      </c>
      <c r="H2255" s="39">
        <f t="shared" si="227"/>
        <v>1</v>
      </c>
      <c r="I2255" s="39">
        <f t="shared" si="228"/>
        <v>0</v>
      </c>
      <c r="K2255" s="40"/>
      <c r="Q2255" s="40">
        <v>36416</v>
      </c>
      <c r="R2255" s="39">
        <v>5446.91</v>
      </c>
      <c r="S2255" s="39">
        <f t="shared" si="229"/>
        <v>9</v>
      </c>
      <c r="T2255" s="39">
        <f t="shared" si="230"/>
        <v>0</v>
      </c>
      <c r="U2255" s="39">
        <f t="shared" si="231"/>
        <v>0</v>
      </c>
      <c r="V2255" s="40"/>
    </row>
    <row r="2256" spans="2:22" x14ac:dyDescent="0.35">
      <c r="B2256" s="40">
        <v>36417</v>
      </c>
      <c r="C2256" s="39">
        <v>5401.47</v>
      </c>
      <c r="D2256" s="219">
        <f t="shared" si="232"/>
        <v>-8.3773366617104252E-3</v>
      </c>
      <c r="F2256" s="40">
        <v>36417</v>
      </c>
      <c r="G2256" s="39">
        <v>5401.47</v>
      </c>
      <c r="H2256" s="39">
        <f t="shared" si="227"/>
        <v>2</v>
      </c>
      <c r="I2256" s="39">
        <f t="shared" si="228"/>
        <v>0</v>
      </c>
      <c r="K2256" s="40"/>
      <c r="Q2256" s="40">
        <v>36417</v>
      </c>
      <c r="R2256" s="39">
        <v>5401.47</v>
      </c>
      <c r="S2256" s="39">
        <f t="shared" si="229"/>
        <v>9</v>
      </c>
      <c r="T2256" s="39">
        <f t="shared" si="230"/>
        <v>0</v>
      </c>
      <c r="U2256" s="39">
        <f t="shared" si="231"/>
        <v>0</v>
      </c>
      <c r="V2256" s="40"/>
    </row>
    <row r="2257" spans="2:22" x14ac:dyDescent="0.35">
      <c r="B2257" s="40">
        <v>36418</v>
      </c>
      <c r="C2257" s="39">
        <v>5387.18</v>
      </c>
      <c r="D2257" s="219">
        <f t="shared" si="232"/>
        <v>-2.6490818326356529E-3</v>
      </c>
      <c r="F2257" s="40">
        <v>36418</v>
      </c>
      <c r="G2257" s="39">
        <v>5387.18</v>
      </c>
      <c r="H2257" s="39">
        <f t="shared" si="227"/>
        <v>3</v>
      </c>
      <c r="I2257" s="39">
        <f t="shared" si="228"/>
        <v>0</v>
      </c>
      <c r="K2257" s="40"/>
      <c r="Q2257" s="40">
        <v>36418</v>
      </c>
      <c r="R2257" s="39">
        <v>5387.18</v>
      </c>
      <c r="S2257" s="39">
        <f t="shared" si="229"/>
        <v>9</v>
      </c>
      <c r="T2257" s="39">
        <f t="shared" si="230"/>
        <v>0</v>
      </c>
      <c r="U2257" s="39">
        <f t="shared" si="231"/>
        <v>0</v>
      </c>
      <c r="V2257" s="40"/>
    </row>
    <row r="2258" spans="2:22" x14ac:dyDescent="0.35">
      <c r="B2258" s="40">
        <v>36419</v>
      </c>
      <c r="C2258" s="39">
        <v>5304.42</v>
      </c>
      <c r="D2258" s="219">
        <f t="shared" si="232"/>
        <v>-1.5481621645153612E-2</v>
      </c>
      <c r="F2258" s="40">
        <v>36419</v>
      </c>
      <c r="G2258" s="39">
        <v>5304.42</v>
      </c>
      <c r="H2258" s="39">
        <f t="shared" si="227"/>
        <v>4</v>
      </c>
      <c r="I2258" s="39">
        <f t="shared" si="228"/>
        <v>0</v>
      </c>
      <c r="K2258" s="40"/>
      <c r="Q2258" s="40">
        <v>36419</v>
      </c>
      <c r="R2258" s="39">
        <v>5304.42</v>
      </c>
      <c r="S2258" s="39">
        <f t="shared" si="229"/>
        <v>9</v>
      </c>
      <c r="T2258" s="39">
        <f t="shared" si="230"/>
        <v>0</v>
      </c>
      <c r="U2258" s="39">
        <f t="shared" si="231"/>
        <v>0</v>
      </c>
      <c r="V2258" s="40"/>
    </row>
    <row r="2259" spans="2:22" x14ac:dyDescent="0.35">
      <c r="B2259" s="40">
        <v>36420</v>
      </c>
      <c r="C2259" s="39">
        <v>5303.94</v>
      </c>
      <c r="D2259" s="219">
        <f t="shared" si="232"/>
        <v>-9.0494666532425544E-5</v>
      </c>
      <c r="F2259" s="40">
        <v>36420</v>
      </c>
      <c r="G2259" s="39">
        <v>5303.94</v>
      </c>
      <c r="H2259" s="39">
        <f t="shared" si="227"/>
        <v>5</v>
      </c>
      <c r="I2259" s="39">
        <f t="shared" si="228"/>
        <v>5303.94</v>
      </c>
      <c r="K2259" s="40"/>
      <c r="Q2259" s="40">
        <v>36420</v>
      </c>
      <c r="R2259" s="39">
        <v>5303.94</v>
      </c>
      <c r="S2259" s="39">
        <f t="shared" si="229"/>
        <v>9</v>
      </c>
      <c r="T2259" s="39">
        <f t="shared" si="230"/>
        <v>0</v>
      </c>
      <c r="U2259" s="39">
        <f t="shared" si="231"/>
        <v>0</v>
      </c>
      <c r="V2259" s="40"/>
    </row>
    <row r="2260" spans="2:22" x14ac:dyDescent="0.35">
      <c r="B2260" s="40">
        <v>36423</v>
      </c>
      <c r="C2260" s="39">
        <v>5351.98</v>
      </c>
      <c r="D2260" s="219">
        <f t="shared" si="232"/>
        <v>9.0166452957846192E-3</v>
      </c>
      <c r="F2260" s="40">
        <v>36423</v>
      </c>
      <c r="G2260" s="39">
        <v>5351.98</v>
      </c>
      <c r="H2260" s="39">
        <f t="shared" si="227"/>
        <v>1</v>
      </c>
      <c r="I2260" s="39">
        <f t="shared" si="228"/>
        <v>0</v>
      </c>
      <c r="K2260" s="40"/>
      <c r="Q2260" s="40">
        <v>36423</v>
      </c>
      <c r="R2260" s="39">
        <v>5351.98</v>
      </c>
      <c r="S2260" s="39">
        <f t="shared" si="229"/>
        <v>9</v>
      </c>
      <c r="T2260" s="39">
        <f t="shared" si="230"/>
        <v>0</v>
      </c>
      <c r="U2260" s="39">
        <f t="shared" si="231"/>
        <v>0</v>
      </c>
      <c r="V2260" s="40"/>
    </row>
    <row r="2261" spans="2:22" x14ac:dyDescent="0.35">
      <c r="B2261" s="40">
        <v>36424</v>
      </c>
      <c r="C2261" s="39">
        <v>5282.76</v>
      </c>
      <c r="D2261" s="219">
        <f t="shared" si="232"/>
        <v>-1.3017897481579069E-2</v>
      </c>
      <c r="F2261" s="40">
        <v>36424</v>
      </c>
      <c r="G2261" s="39">
        <v>5282.76</v>
      </c>
      <c r="H2261" s="39">
        <f t="shared" si="227"/>
        <v>2</v>
      </c>
      <c r="I2261" s="39">
        <f t="shared" si="228"/>
        <v>0</v>
      </c>
      <c r="K2261" s="40"/>
      <c r="Q2261" s="40">
        <v>36424</v>
      </c>
      <c r="R2261" s="39">
        <v>5282.76</v>
      </c>
      <c r="S2261" s="39">
        <f t="shared" si="229"/>
        <v>9</v>
      </c>
      <c r="T2261" s="39">
        <f t="shared" si="230"/>
        <v>0</v>
      </c>
      <c r="U2261" s="39">
        <f t="shared" si="231"/>
        <v>0</v>
      </c>
      <c r="V2261" s="40"/>
    </row>
    <row r="2262" spans="2:22" x14ac:dyDescent="0.35">
      <c r="B2262" s="40">
        <v>36425</v>
      </c>
      <c r="C2262" s="39">
        <v>5238.76</v>
      </c>
      <c r="D2262" s="219">
        <f t="shared" si="232"/>
        <v>-8.3638593089635973E-3</v>
      </c>
      <c r="F2262" s="40">
        <v>36425</v>
      </c>
      <c r="G2262" s="39">
        <v>5238.76</v>
      </c>
      <c r="H2262" s="39">
        <f t="shared" si="227"/>
        <v>3</v>
      </c>
      <c r="I2262" s="39">
        <f t="shared" si="228"/>
        <v>0</v>
      </c>
      <c r="K2262" s="40"/>
      <c r="Q2262" s="40">
        <v>36425</v>
      </c>
      <c r="R2262" s="39">
        <v>5238.76</v>
      </c>
      <c r="S2262" s="39">
        <f t="shared" si="229"/>
        <v>9</v>
      </c>
      <c r="T2262" s="39">
        <f t="shared" si="230"/>
        <v>0</v>
      </c>
      <c r="U2262" s="39">
        <f t="shared" si="231"/>
        <v>0</v>
      </c>
      <c r="V2262" s="40"/>
    </row>
    <row r="2263" spans="2:22" x14ac:dyDescent="0.35">
      <c r="B2263" s="40">
        <v>36426</v>
      </c>
      <c r="C2263" s="39">
        <v>5299.57</v>
      </c>
      <c r="D2263" s="219">
        <f t="shared" si="232"/>
        <v>1.1540856083594547E-2</v>
      </c>
      <c r="F2263" s="40">
        <v>36426</v>
      </c>
      <c r="G2263" s="39">
        <v>5299.57</v>
      </c>
      <c r="H2263" s="39">
        <f t="shared" si="227"/>
        <v>4</v>
      </c>
      <c r="I2263" s="39">
        <f t="shared" si="228"/>
        <v>0</v>
      </c>
      <c r="K2263" s="40"/>
      <c r="Q2263" s="40">
        <v>36426</v>
      </c>
      <c r="R2263" s="39">
        <v>5299.57</v>
      </c>
      <c r="S2263" s="39">
        <f t="shared" si="229"/>
        <v>9</v>
      </c>
      <c r="T2263" s="39">
        <f t="shared" si="230"/>
        <v>0</v>
      </c>
      <c r="U2263" s="39">
        <f t="shared" si="231"/>
        <v>0</v>
      </c>
      <c r="V2263" s="40"/>
    </row>
    <row r="2264" spans="2:22" x14ac:dyDescent="0.35">
      <c r="B2264" s="40">
        <v>36427</v>
      </c>
      <c r="C2264" s="39">
        <v>5186.53</v>
      </c>
      <c r="D2264" s="219">
        <f t="shared" si="232"/>
        <v>-2.1560805070636829E-2</v>
      </c>
      <c r="F2264" s="40">
        <v>36427</v>
      </c>
      <c r="G2264" s="39">
        <v>5186.53</v>
      </c>
      <c r="H2264" s="39">
        <f t="shared" si="227"/>
        <v>5</v>
      </c>
      <c r="I2264" s="39">
        <f t="shared" si="228"/>
        <v>5186.53</v>
      </c>
      <c r="K2264" s="40"/>
      <c r="Q2264" s="40">
        <v>36427</v>
      </c>
      <c r="R2264" s="39">
        <v>5186.53</v>
      </c>
      <c r="S2264" s="39">
        <f t="shared" si="229"/>
        <v>9</v>
      </c>
      <c r="T2264" s="39">
        <f t="shared" si="230"/>
        <v>0</v>
      </c>
      <c r="U2264" s="39">
        <f t="shared" si="231"/>
        <v>0</v>
      </c>
      <c r="V2264" s="40"/>
    </row>
    <row r="2265" spans="2:22" x14ac:dyDescent="0.35">
      <c r="B2265" s="40">
        <v>36430</v>
      </c>
      <c r="C2265" s="39">
        <v>5239.6400000000003</v>
      </c>
      <c r="D2265" s="219">
        <f t="shared" si="232"/>
        <v>1.0187913562181343E-2</v>
      </c>
      <c r="F2265" s="40">
        <v>36430</v>
      </c>
      <c r="G2265" s="39">
        <v>5239.6400000000003</v>
      </c>
      <c r="H2265" s="39">
        <f t="shared" si="227"/>
        <v>1</v>
      </c>
      <c r="I2265" s="39">
        <f t="shared" si="228"/>
        <v>0</v>
      </c>
      <c r="K2265" s="40"/>
      <c r="Q2265" s="40">
        <v>36430</v>
      </c>
      <c r="R2265" s="39">
        <v>5239.6400000000003</v>
      </c>
      <c r="S2265" s="39">
        <f t="shared" si="229"/>
        <v>9</v>
      </c>
      <c r="T2265" s="39">
        <f t="shared" si="230"/>
        <v>0</v>
      </c>
      <c r="U2265" s="39">
        <f t="shared" si="231"/>
        <v>0</v>
      </c>
      <c r="V2265" s="40"/>
    </row>
    <row r="2266" spans="2:22" x14ac:dyDescent="0.35">
      <c r="B2266" s="40">
        <v>36431</v>
      </c>
      <c r="C2266" s="39">
        <v>5119.1000000000004</v>
      </c>
      <c r="D2266" s="219">
        <f t="shared" si="232"/>
        <v>-2.3274151332682264E-2</v>
      </c>
      <c r="F2266" s="40">
        <v>36431</v>
      </c>
      <c r="G2266" s="39">
        <v>5119.1000000000004</v>
      </c>
      <c r="H2266" s="39">
        <f t="shared" si="227"/>
        <v>2</v>
      </c>
      <c r="I2266" s="39">
        <f t="shared" si="228"/>
        <v>0</v>
      </c>
      <c r="K2266" s="40"/>
      <c r="Q2266" s="40">
        <v>36431</v>
      </c>
      <c r="R2266" s="39">
        <v>5119.1000000000004</v>
      </c>
      <c r="S2266" s="39">
        <f t="shared" si="229"/>
        <v>9</v>
      </c>
      <c r="T2266" s="39">
        <f t="shared" si="230"/>
        <v>0</v>
      </c>
      <c r="U2266" s="39">
        <f t="shared" si="231"/>
        <v>0</v>
      </c>
      <c r="V2266" s="40"/>
    </row>
    <row r="2267" spans="2:22" x14ac:dyDescent="0.35">
      <c r="B2267" s="40">
        <v>36432</v>
      </c>
      <c r="C2267" s="39">
        <v>5135.62</v>
      </c>
      <c r="D2267" s="219">
        <f t="shared" si="232"/>
        <v>3.221933761424418E-3</v>
      </c>
      <c r="F2267" s="40">
        <v>36432</v>
      </c>
      <c r="G2267" s="39">
        <v>5135.62</v>
      </c>
      <c r="H2267" s="39">
        <f t="shared" si="227"/>
        <v>3</v>
      </c>
      <c r="I2267" s="39">
        <f t="shared" si="228"/>
        <v>0</v>
      </c>
      <c r="K2267" s="40"/>
      <c r="Q2267" s="40">
        <v>36432</v>
      </c>
      <c r="R2267" s="39">
        <v>5135.62</v>
      </c>
      <c r="S2267" s="39">
        <f t="shared" si="229"/>
        <v>9</v>
      </c>
      <c r="T2267" s="39">
        <f t="shared" si="230"/>
        <v>0</v>
      </c>
      <c r="U2267" s="39">
        <f t="shared" si="231"/>
        <v>0</v>
      </c>
      <c r="V2267" s="40"/>
    </row>
    <row r="2268" spans="2:22" x14ac:dyDescent="0.35">
      <c r="B2268" s="40">
        <v>36433</v>
      </c>
      <c r="C2268" s="39">
        <v>5149.83</v>
      </c>
      <c r="D2268" s="219">
        <f t="shared" si="232"/>
        <v>2.7631283105682193E-3</v>
      </c>
      <c r="F2268" s="40">
        <v>36433</v>
      </c>
      <c r="G2268" s="39">
        <v>5149.83</v>
      </c>
      <c r="H2268" s="39">
        <f t="shared" si="227"/>
        <v>4</v>
      </c>
      <c r="I2268" s="39">
        <f t="shared" si="228"/>
        <v>0</v>
      </c>
      <c r="K2268" s="40"/>
      <c r="Q2268" s="40">
        <v>36433</v>
      </c>
      <c r="R2268" s="39">
        <v>5149.83</v>
      </c>
      <c r="S2268" s="39">
        <f t="shared" si="229"/>
        <v>9</v>
      </c>
      <c r="T2268" s="39">
        <f t="shared" si="230"/>
        <v>5149.83</v>
      </c>
      <c r="U2268" s="39">
        <f t="shared" si="231"/>
        <v>5149.83</v>
      </c>
      <c r="V2268" s="40"/>
    </row>
    <row r="2269" spans="2:22" x14ac:dyDescent="0.35">
      <c r="B2269" s="40">
        <v>36434</v>
      </c>
      <c r="C2269" s="39">
        <v>5124.55</v>
      </c>
      <c r="D2269" s="219">
        <f t="shared" si="232"/>
        <v>-4.9209881307253405E-3</v>
      </c>
      <c r="F2269" s="40">
        <v>36434</v>
      </c>
      <c r="G2269" s="39">
        <v>5124.55</v>
      </c>
      <c r="H2269" s="39">
        <f t="shared" si="227"/>
        <v>5</v>
      </c>
      <c r="I2269" s="39">
        <f t="shared" si="228"/>
        <v>5124.55</v>
      </c>
      <c r="K2269" s="40"/>
      <c r="Q2269" s="40">
        <v>36434</v>
      </c>
      <c r="R2269" s="39">
        <v>5124.55</v>
      </c>
      <c r="S2269" s="39">
        <f t="shared" si="229"/>
        <v>10</v>
      </c>
      <c r="T2269" s="39">
        <f t="shared" si="230"/>
        <v>0</v>
      </c>
      <c r="U2269" s="39">
        <f t="shared" si="231"/>
        <v>0</v>
      </c>
      <c r="V2269" s="40"/>
    </row>
    <row r="2270" spans="2:22" x14ac:dyDescent="0.35">
      <c r="B2270" s="40">
        <v>36437</v>
      </c>
      <c r="C2270" s="39">
        <v>5218.8599999999997</v>
      </c>
      <c r="D2270" s="219">
        <f t="shared" si="232"/>
        <v>1.8236270947856074E-2</v>
      </c>
      <c r="F2270" s="40">
        <v>36437</v>
      </c>
      <c r="G2270" s="39">
        <v>5218.8599999999997</v>
      </c>
      <c r="H2270" s="39">
        <f t="shared" si="227"/>
        <v>1</v>
      </c>
      <c r="I2270" s="39">
        <f t="shared" si="228"/>
        <v>0</v>
      </c>
      <c r="K2270" s="40"/>
      <c r="Q2270" s="40">
        <v>36437</v>
      </c>
      <c r="R2270" s="39">
        <v>5218.8599999999997</v>
      </c>
      <c r="S2270" s="39">
        <f t="shared" si="229"/>
        <v>10</v>
      </c>
      <c r="T2270" s="39">
        <f t="shared" si="230"/>
        <v>0</v>
      </c>
      <c r="U2270" s="39">
        <f t="shared" si="231"/>
        <v>0</v>
      </c>
      <c r="V2270" s="40"/>
    </row>
    <row r="2271" spans="2:22" x14ac:dyDescent="0.35">
      <c r="B2271" s="40">
        <v>36438</v>
      </c>
      <c r="C2271" s="39">
        <v>5301.85</v>
      </c>
      <c r="D2271" s="219">
        <f t="shared" si="232"/>
        <v>1.577682901656104E-2</v>
      </c>
      <c r="F2271" s="40">
        <v>36438</v>
      </c>
      <c r="G2271" s="39">
        <v>5301.85</v>
      </c>
      <c r="H2271" s="39">
        <f t="shared" si="227"/>
        <v>2</v>
      </c>
      <c r="I2271" s="39">
        <f t="shared" si="228"/>
        <v>0</v>
      </c>
      <c r="K2271" s="40"/>
      <c r="Q2271" s="40">
        <v>36438</v>
      </c>
      <c r="R2271" s="39">
        <v>5301.85</v>
      </c>
      <c r="S2271" s="39">
        <f t="shared" si="229"/>
        <v>10</v>
      </c>
      <c r="T2271" s="39">
        <f t="shared" si="230"/>
        <v>0</v>
      </c>
      <c r="U2271" s="39">
        <f t="shared" si="231"/>
        <v>0</v>
      </c>
      <c r="V2271" s="40"/>
    </row>
    <row r="2272" spans="2:22" x14ac:dyDescent="0.35">
      <c r="B2272" s="40">
        <v>36439</v>
      </c>
      <c r="C2272" s="39">
        <v>5353.32</v>
      </c>
      <c r="D2272" s="219">
        <f t="shared" si="232"/>
        <v>9.6611129316131698E-3</v>
      </c>
      <c r="F2272" s="40">
        <v>36439</v>
      </c>
      <c r="G2272" s="39">
        <v>5353.32</v>
      </c>
      <c r="H2272" s="39">
        <f t="shared" si="227"/>
        <v>3</v>
      </c>
      <c r="I2272" s="39">
        <f t="shared" si="228"/>
        <v>0</v>
      </c>
      <c r="K2272" s="40"/>
      <c r="Q2272" s="40">
        <v>36439</v>
      </c>
      <c r="R2272" s="39">
        <v>5353.32</v>
      </c>
      <c r="S2272" s="39">
        <f t="shared" si="229"/>
        <v>10</v>
      </c>
      <c r="T2272" s="39">
        <f t="shared" si="230"/>
        <v>0</v>
      </c>
      <c r="U2272" s="39">
        <f t="shared" si="231"/>
        <v>0</v>
      </c>
      <c r="V2272" s="40"/>
    </row>
    <row r="2273" spans="2:22" x14ac:dyDescent="0.35">
      <c r="B2273" s="40">
        <v>36440</v>
      </c>
      <c r="C2273" s="39">
        <v>5419.31</v>
      </c>
      <c r="D2273" s="219">
        <f t="shared" si="232"/>
        <v>1.2251571886981514E-2</v>
      </c>
      <c r="F2273" s="40">
        <v>36440</v>
      </c>
      <c r="G2273" s="39">
        <v>5419.31</v>
      </c>
      <c r="H2273" s="39">
        <f t="shared" si="227"/>
        <v>4</v>
      </c>
      <c r="I2273" s="39">
        <f t="shared" si="228"/>
        <v>0</v>
      </c>
      <c r="K2273" s="40"/>
      <c r="Q2273" s="40">
        <v>36440</v>
      </c>
      <c r="R2273" s="39">
        <v>5419.31</v>
      </c>
      <c r="S2273" s="39">
        <f t="shared" si="229"/>
        <v>10</v>
      </c>
      <c r="T2273" s="39">
        <f t="shared" si="230"/>
        <v>0</v>
      </c>
      <c r="U2273" s="39">
        <f t="shared" si="231"/>
        <v>0</v>
      </c>
      <c r="V2273" s="40"/>
    </row>
    <row r="2274" spans="2:22" x14ac:dyDescent="0.35">
      <c r="B2274" s="40">
        <v>36441</v>
      </c>
      <c r="C2274" s="39">
        <v>5419.26</v>
      </c>
      <c r="D2274" s="219">
        <f t="shared" si="232"/>
        <v>-9.22630937480679E-6</v>
      </c>
      <c r="F2274" s="40">
        <v>36441</v>
      </c>
      <c r="G2274" s="39">
        <v>5419.26</v>
      </c>
      <c r="H2274" s="39">
        <f t="shared" si="227"/>
        <v>5</v>
      </c>
      <c r="I2274" s="39">
        <f t="shared" si="228"/>
        <v>5419.26</v>
      </c>
      <c r="K2274" s="40"/>
      <c r="Q2274" s="40">
        <v>36441</v>
      </c>
      <c r="R2274" s="39">
        <v>5419.26</v>
      </c>
      <c r="S2274" s="39">
        <f t="shared" si="229"/>
        <v>10</v>
      </c>
      <c r="T2274" s="39">
        <f t="shared" si="230"/>
        <v>0</v>
      </c>
      <c r="U2274" s="39">
        <f t="shared" si="231"/>
        <v>0</v>
      </c>
      <c r="V2274" s="40"/>
    </row>
    <row r="2275" spans="2:22" x14ac:dyDescent="0.35">
      <c r="B2275" s="40">
        <v>36444</v>
      </c>
      <c r="C2275" s="39">
        <v>5414.5</v>
      </c>
      <c r="D2275" s="219">
        <f t="shared" si="232"/>
        <v>-8.7873467868887164E-4</v>
      </c>
      <c r="F2275" s="40">
        <v>36444</v>
      </c>
      <c r="G2275" s="39">
        <v>5414.5</v>
      </c>
      <c r="H2275" s="39">
        <f t="shared" si="227"/>
        <v>1</v>
      </c>
      <c r="I2275" s="39">
        <f t="shared" si="228"/>
        <v>0</v>
      </c>
      <c r="K2275" s="40"/>
      <c r="Q2275" s="40">
        <v>36444</v>
      </c>
      <c r="R2275" s="39">
        <v>5414.5</v>
      </c>
      <c r="S2275" s="39">
        <f t="shared" si="229"/>
        <v>10</v>
      </c>
      <c r="T2275" s="39">
        <f t="shared" si="230"/>
        <v>0</v>
      </c>
      <c r="U2275" s="39">
        <f t="shared" si="231"/>
        <v>0</v>
      </c>
      <c r="V2275" s="40"/>
    </row>
    <row r="2276" spans="2:22" x14ac:dyDescent="0.35">
      <c r="B2276" s="40">
        <v>36445</v>
      </c>
      <c r="C2276" s="39">
        <v>5358.46</v>
      </c>
      <c r="D2276" s="219">
        <f t="shared" si="232"/>
        <v>-1.0403919718834163E-2</v>
      </c>
      <c r="F2276" s="40">
        <v>36445</v>
      </c>
      <c r="G2276" s="39">
        <v>5358.46</v>
      </c>
      <c r="H2276" s="39">
        <f t="shared" si="227"/>
        <v>2</v>
      </c>
      <c r="I2276" s="39">
        <f t="shared" si="228"/>
        <v>0</v>
      </c>
      <c r="K2276" s="40"/>
      <c r="Q2276" s="40">
        <v>36445</v>
      </c>
      <c r="R2276" s="39">
        <v>5358.46</v>
      </c>
      <c r="S2276" s="39">
        <f t="shared" si="229"/>
        <v>10</v>
      </c>
      <c r="T2276" s="39">
        <f t="shared" si="230"/>
        <v>0</v>
      </c>
      <c r="U2276" s="39">
        <f t="shared" si="231"/>
        <v>0</v>
      </c>
      <c r="V2276" s="40"/>
    </row>
    <row r="2277" spans="2:22" x14ac:dyDescent="0.35">
      <c r="B2277" s="40">
        <v>36446</v>
      </c>
      <c r="C2277" s="39">
        <v>5295.43</v>
      </c>
      <c r="D2277" s="219">
        <f t="shared" si="232"/>
        <v>-1.1832435923899088E-2</v>
      </c>
      <c r="F2277" s="40">
        <v>36446</v>
      </c>
      <c r="G2277" s="39">
        <v>5295.43</v>
      </c>
      <c r="H2277" s="39">
        <f t="shared" si="227"/>
        <v>3</v>
      </c>
      <c r="I2277" s="39">
        <f t="shared" si="228"/>
        <v>0</v>
      </c>
      <c r="K2277" s="40"/>
      <c r="Q2277" s="40">
        <v>36446</v>
      </c>
      <c r="R2277" s="39">
        <v>5295.43</v>
      </c>
      <c r="S2277" s="39">
        <f t="shared" si="229"/>
        <v>10</v>
      </c>
      <c r="T2277" s="39">
        <f t="shared" si="230"/>
        <v>0</v>
      </c>
      <c r="U2277" s="39">
        <f t="shared" si="231"/>
        <v>0</v>
      </c>
      <c r="V2277" s="40"/>
    </row>
    <row r="2278" spans="2:22" x14ac:dyDescent="0.35">
      <c r="B2278" s="40">
        <v>36447</v>
      </c>
      <c r="C2278" s="39">
        <v>5220.29</v>
      </c>
      <c r="D2278" s="219">
        <f t="shared" si="232"/>
        <v>-1.429122853661371E-2</v>
      </c>
      <c r="F2278" s="40">
        <v>36447</v>
      </c>
      <c r="G2278" s="39">
        <v>5220.29</v>
      </c>
      <c r="H2278" s="39">
        <f t="shared" si="227"/>
        <v>4</v>
      </c>
      <c r="I2278" s="39">
        <f t="shared" si="228"/>
        <v>0</v>
      </c>
      <c r="K2278" s="40"/>
      <c r="Q2278" s="40">
        <v>36447</v>
      </c>
      <c r="R2278" s="39">
        <v>5220.29</v>
      </c>
      <c r="S2278" s="39">
        <f t="shared" si="229"/>
        <v>10</v>
      </c>
      <c r="T2278" s="39">
        <f t="shared" si="230"/>
        <v>0</v>
      </c>
      <c r="U2278" s="39">
        <f t="shared" si="231"/>
        <v>0</v>
      </c>
      <c r="V2278" s="40"/>
    </row>
    <row r="2279" spans="2:22" x14ac:dyDescent="0.35">
      <c r="B2279" s="40">
        <v>36448</v>
      </c>
      <c r="C2279" s="39">
        <v>5184.2299999999996</v>
      </c>
      <c r="D2279" s="219">
        <f t="shared" si="232"/>
        <v>-6.9316305572248785E-3</v>
      </c>
      <c r="F2279" s="40">
        <v>36448</v>
      </c>
      <c r="G2279" s="39">
        <v>5184.2299999999996</v>
      </c>
      <c r="H2279" s="39">
        <f t="shared" si="227"/>
        <v>5</v>
      </c>
      <c r="I2279" s="39">
        <f t="shared" si="228"/>
        <v>5184.2299999999996</v>
      </c>
      <c r="K2279" s="40"/>
      <c r="Q2279" s="40">
        <v>36448</v>
      </c>
      <c r="R2279" s="39">
        <v>5184.2299999999996</v>
      </c>
      <c r="S2279" s="39">
        <f t="shared" si="229"/>
        <v>10</v>
      </c>
      <c r="T2279" s="39">
        <f t="shared" si="230"/>
        <v>0</v>
      </c>
      <c r="U2279" s="39">
        <f t="shared" si="231"/>
        <v>0</v>
      </c>
      <c r="V2279" s="40"/>
    </row>
    <row r="2280" spans="2:22" x14ac:dyDescent="0.35">
      <c r="B2280" s="40">
        <v>36451</v>
      </c>
      <c r="C2280" s="39">
        <v>5156.28</v>
      </c>
      <c r="D2280" s="219">
        <f t="shared" si="232"/>
        <v>-5.4059360839786262E-3</v>
      </c>
      <c r="F2280" s="40">
        <v>36451</v>
      </c>
      <c r="G2280" s="39">
        <v>5156.28</v>
      </c>
      <c r="H2280" s="39">
        <f t="shared" si="227"/>
        <v>1</v>
      </c>
      <c r="I2280" s="39">
        <f t="shared" si="228"/>
        <v>0</v>
      </c>
      <c r="K2280" s="40"/>
      <c r="Q2280" s="40">
        <v>36451</v>
      </c>
      <c r="R2280" s="39">
        <v>5156.28</v>
      </c>
      <c r="S2280" s="39">
        <f t="shared" si="229"/>
        <v>10</v>
      </c>
      <c r="T2280" s="39">
        <f t="shared" si="230"/>
        <v>0</v>
      </c>
      <c r="U2280" s="39">
        <f t="shared" si="231"/>
        <v>0</v>
      </c>
      <c r="V2280" s="40"/>
    </row>
    <row r="2281" spans="2:22" x14ac:dyDescent="0.35">
      <c r="B2281" s="40">
        <v>36452</v>
      </c>
      <c r="C2281" s="39">
        <v>5296.91</v>
      </c>
      <c r="D2281" s="219">
        <f t="shared" si="232"/>
        <v>2.6908242402817688E-2</v>
      </c>
      <c r="F2281" s="40">
        <v>36452</v>
      </c>
      <c r="G2281" s="39">
        <v>5296.91</v>
      </c>
      <c r="H2281" s="39">
        <f t="shared" si="227"/>
        <v>2</v>
      </c>
      <c r="I2281" s="39">
        <f t="shared" si="228"/>
        <v>0</v>
      </c>
      <c r="K2281" s="40"/>
      <c r="Q2281" s="40">
        <v>36452</v>
      </c>
      <c r="R2281" s="39">
        <v>5296.91</v>
      </c>
      <c r="S2281" s="39">
        <f t="shared" si="229"/>
        <v>10</v>
      </c>
      <c r="T2281" s="39">
        <f t="shared" si="230"/>
        <v>0</v>
      </c>
      <c r="U2281" s="39">
        <f t="shared" si="231"/>
        <v>0</v>
      </c>
      <c r="V2281" s="40"/>
    </row>
    <row r="2282" spans="2:22" x14ac:dyDescent="0.35">
      <c r="B2282" s="40">
        <v>36453</v>
      </c>
      <c r="C2282" s="39">
        <v>5291.23</v>
      </c>
      <c r="D2282" s="219">
        <f t="shared" si="232"/>
        <v>-1.0728986478947017E-3</v>
      </c>
      <c r="F2282" s="40">
        <v>36453</v>
      </c>
      <c r="G2282" s="39">
        <v>5291.23</v>
      </c>
      <c r="H2282" s="39">
        <f t="shared" si="227"/>
        <v>3</v>
      </c>
      <c r="I2282" s="39">
        <f t="shared" si="228"/>
        <v>0</v>
      </c>
      <c r="K2282" s="40"/>
      <c r="Q2282" s="40">
        <v>36453</v>
      </c>
      <c r="R2282" s="39">
        <v>5291.23</v>
      </c>
      <c r="S2282" s="39">
        <f t="shared" si="229"/>
        <v>10</v>
      </c>
      <c r="T2282" s="39">
        <f t="shared" si="230"/>
        <v>0</v>
      </c>
      <c r="U2282" s="39">
        <f t="shared" si="231"/>
        <v>0</v>
      </c>
      <c r="V2282" s="40"/>
    </row>
    <row r="2283" spans="2:22" x14ac:dyDescent="0.35">
      <c r="B2283" s="40">
        <v>36454</v>
      </c>
      <c r="C2283" s="39">
        <v>5246.49</v>
      </c>
      <c r="D2283" s="219">
        <f t="shared" si="232"/>
        <v>-8.491451439250652E-3</v>
      </c>
      <c r="F2283" s="40">
        <v>36454</v>
      </c>
      <c r="G2283" s="39">
        <v>5246.49</v>
      </c>
      <c r="H2283" s="39">
        <f t="shared" si="227"/>
        <v>4</v>
      </c>
      <c r="I2283" s="39">
        <f t="shared" si="228"/>
        <v>0</v>
      </c>
      <c r="K2283" s="40"/>
      <c r="Q2283" s="40">
        <v>36454</v>
      </c>
      <c r="R2283" s="39">
        <v>5246.49</v>
      </c>
      <c r="S2283" s="39">
        <f t="shared" si="229"/>
        <v>10</v>
      </c>
      <c r="T2283" s="39">
        <f t="shared" si="230"/>
        <v>0</v>
      </c>
      <c r="U2283" s="39">
        <f t="shared" si="231"/>
        <v>0</v>
      </c>
      <c r="V2283" s="40"/>
    </row>
    <row r="2284" spans="2:22" x14ac:dyDescent="0.35">
      <c r="B2284" s="40">
        <v>36455</v>
      </c>
      <c r="C2284" s="39">
        <v>5357.75</v>
      </c>
      <c r="D2284" s="219">
        <f t="shared" si="232"/>
        <v>2.098482925122909E-2</v>
      </c>
      <c r="F2284" s="40">
        <v>36455</v>
      </c>
      <c r="G2284" s="39">
        <v>5357.75</v>
      </c>
      <c r="H2284" s="39">
        <f t="shared" si="227"/>
        <v>5</v>
      </c>
      <c r="I2284" s="39">
        <f t="shared" si="228"/>
        <v>5357.75</v>
      </c>
      <c r="K2284" s="40"/>
      <c r="Q2284" s="40">
        <v>36455</v>
      </c>
      <c r="R2284" s="39">
        <v>5357.75</v>
      </c>
      <c r="S2284" s="39">
        <f t="shared" si="229"/>
        <v>10</v>
      </c>
      <c r="T2284" s="39">
        <f t="shared" si="230"/>
        <v>0</v>
      </c>
      <c r="U2284" s="39">
        <f t="shared" si="231"/>
        <v>0</v>
      </c>
      <c r="V2284" s="40"/>
    </row>
    <row r="2285" spans="2:22" x14ac:dyDescent="0.35">
      <c r="B2285" s="40">
        <v>36458</v>
      </c>
      <c r="C2285" s="39">
        <v>5320.4</v>
      </c>
      <c r="D2285" s="219">
        <f t="shared" si="232"/>
        <v>-6.9956223356440845E-3</v>
      </c>
      <c r="F2285" s="40">
        <v>36458</v>
      </c>
      <c r="G2285" s="39">
        <v>5320.4</v>
      </c>
      <c r="H2285" s="39">
        <f t="shared" si="227"/>
        <v>1</v>
      </c>
      <c r="I2285" s="39">
        <f t="shared" si="228"/>
        <v>0</v>
      </c>
      <c r="K2285" s="40"/>
      <c r="Q2285" s="40">
        <v>36458</v>
      </c>
      <c r="R2285" s="39">
        <v>5320.4</v>
      </c>
      <c r="S2285" s="39">
        <f t="shared" si="229"/>
        <v>10</v>
      </c>
      <c r="T2285" s="39">
        <f t="shared" si="230"/>
        <v>0</v>
      </c>
      <c r="U2285" s="39">
        <f t="shared" si="231"/>
        <v>0</v>
      </c>
      <c r="V2285" s="40"/>
    </row>
    <row r="2286" spans="2:22" x14ac:dyDescent="0.35">
      <c r="B2286" s="40">
        <v>36459</v>
      </c>
      <c r="C2286" s="39">
        <v>5388.76</v>
      </c>
      <c r="D2286" s="219">
        <f t="shared" si="232"/>
        <v>1.2766814298412334E-2</v>
      </c>
      <c r="F2286" s="40">
        <v>36459</v>
      </c>
      <c r="G2286" s="39">
        <v>5388.76</v>
      </c>
      <c r="H2286" s="39">
        <f t="shared" si="227"/>
        <v>2</v>
      </c>
      <c r="I2286" s="39">
        <f t="shared" si="228"/>
        <v>0</v>
      </c>
      <c r="K2286" s="40"/>
      <c r="Q2286" s="40">
        <v>36459</v>
      </c>
      <c r="R2286" s="39">
        <v>5388.76</v>
      </c>
      <c r="S2286" s="39">
        <f t="shared" si="229"/>
        <v>10</v>
      </c>
      <c r="T2286" s="39">
        <f t="shared" si="230"/>
        <v>0</v>
      </c>
      <c r="U2286" s="39">
        <f t="shared" si="231"/>
        <v>0</v>
      </c>
      <c r="V2286" s="40"/>
    </row>
    <row r="2287" spans="2:22" x14ac:dyDescent="0.35">
      <c r="B2287" s="40">
        <v>36460</v>
      </c>
      <c r="C2287" s="39">
        <v>5363.86</v>
      </c>
      <c r="D2287" s="219">
        <f t="shared" si="232"/>
        <v>-4.6314376420221433E-3</v>
      </c>
      <c r="F2287" s="40">
        <v>36460</v>
      </c>
      <c r="G2287" s="39">
        <v>5363.86</v>
      </c>
      <c r="H2287" s="39">
        <f t="shared" si="227"/>
        <v>3</v>
      </c>
      <c r="I2287" s="39">
        <f t="shared" si="228"/>
        <v>0</v>
      </c>
      <c r="K2287" s="40"/>
      <c r="Q2287" s="40">
        <v>36460</v>
      </c>
      <c r="R2287" s="39">
        <v>5363.86</v>
      </c>
      <c r="S2287" s="39">
        <f t="shared" si="229"/>
        <v>10</v>
      </c>
      <c r="T2287" s="39">
        <f t="shared" si="230"/>
        <v>0</v>
      </c>
      <c r="U2287" s="39">
        <f t="shared" si="231"/>
        <v>0</v>
      </c>
      <c r="V2287" s="40"/>
    </row>
    <row r="2288" spans="2:22" x14ac:dyDescent="0.35">
      <c r="B2288" s="40">
        <v>36461</v>
      </c>
      <c r="C2288" s="39">
        <v>5478.89</v>
      </c>
      <c r="D2288" s="219">
        <f t="shared" si="232"/>
        <v>2.1218660545021552E-2</v>
      </c>
      <c r="F2288" s="40">
        <v>36461</v>
      </c>
      <c r="G2288" s="39">
        <v>5478.89</v>
      </c>
      <c r="H2288" s="39">
        <f t="shared" si="227"/>
        <v>4</v>
      </c>
      <c r="I2288" s="39">
        <f t="shared" si="228"/>
        <v>0</v>
      </c>
      <c r="K2288" s="40"/>
      <c r="Q2288" s="40">
        <v>36461</v>
      </c>
      <c r="R2288" s="39">
        <v>5478.89</v>
      </c>
      <c r="S2288" s="39">
        <f t="shared" si="229"/>
        <v>10</v>
      </c>
      <c r="T2288" s="39">
        <f t="shared" si="230"/>
        <v>0</v>
      </c>
      <c r="U2288" s="39">
        <f t="shared" si="231"/>
        <v>0</v>
      </c>
      <c r="V2288" s="40"/>
    </row>
    <row r="2289" spans="2:22" x14ac:dyDescent="0.35">
      <c r="B2289" s="40">
        <v>36462</v>
      </c>
      <c r="C2289" s="39">
        <v>5525.4</v>
      </c>
      <c r="D2289" s="219">
        <f t="shared" si="232"/>
        <v>8.4531172748234327E-3</v>
      </c>
      <c r="F2289" s="40">
        <v>36462</v>
      </c>
      <c r="G2289" s="39">
        <v>5525.4</v>
      </c>
      <c r="H2289" s="39">
        <f t="shared" si="227"/>
        <v>5</v>
      </c>
      <c r="I2289" s="39">
        <f t="shared" si="228"/>
        <v>5525.4</v>
      </c>
      <c r="K2289" s="40"/>
      <c r="Q2289" s="40">
        <v>36462</v>
      </c>
      <c r="R2289" s="39">
        <v>5525.4</v>
      </c>
      <c r="S2289" s="39">
        <f t="shared" si="229"/>
        <v>10</v>
      </c>
      <c r="T2289" s="39">
        <f t="shared" si="230"/>
        <v>5525.4</v>
      </c>
      <c r="U2289" s="39">
        <f t="shared" si="231"/>
        <v>5525.4</v>
      </c>
      <c r="V2289" s="40"/>
    </row>
    <row r="2290" spans="2:22" x14ac:dyDescent="0.35">
      <c r="B2290" s="40">
        <v>36465</v>
      </c>
      <c r="C2290" s="39">
        <v>5524.92</v>
      </c>
      <c r="D2290" s="219">
        <f t="shared" si="232"/>
        <v>-8.6875312262671257E-5</v>
      </c>
      <c r="F2290" s="40">
        <v>36465</v>
      </c>
      <c r="G2290" s="39">
        <v>5524.92</v>
      </c>
      <c r="H2290" s="39">
        <f t="shared" si="227"/>
        <v>1</v>
      </c>
      <c r="I2290" s="39">
        <f t="shared" si="228"/>
        <v>0</v>
      </c>
      <c r="K2290" s="40"/>
      <c r="Q2290" s="40">
        <v>36465</v>
      </c>
      <c r="R2290" s="39">
        <v>5524.92</v>
      </c>
      <c r="S2290" s="39">
        <f t="shared" si="229"/>
        <v>11</v>
      </c>
      <c r="T2290" s="39">
        <f t="shared" si="230"/>
        <v>0</v>
      </c>
      <c r="U2290" s="39">
        <f t="shared" si="231"/>
        <v>0</v>
      </c>
      <c r="V2290" s="40"/>
    </row>
    <row r="2291" spans="2:22" x14ac:dyDescent="0.35">
      <c r="B2291" s="40">
        <v>36466</v>
      </c>
      <c r="C2291" s="39">
        <v>5546.95</v>
      </c>
      <c r="D2291" s="219">
        <f t="shared" si="232"/>
        <v>3.9794594901184444E-3</v>
      </c>
      <c r="F2291" s="40">
        <v>36466</v>
      </c>
      <c r="G2291" s="39">
        <v>5546.95</v>
      </c>
      <c r="H2291" s="39">
        <f t="shared" si="227"/>
        <v>2</v>
      </c>
      <c r="I2291" s="39">
        <f t="shared" si="228"/>
        <v>0</v>
      </c>
      <c r="K2291" s="40"/>
      <c r="Q2291" s="40">
        <v>36466</v>
      </c>
      <c r="R2291" s="39">
        <v>5546.95</v>
      </c>
      <c r="S2291" s="39">
        <f t="shared" si="229"/>
        <v>11</v>
      </c>
      <c r="T2291" s="39">
        <f t="shared" si="230"/>
        <v>0</v>
      </c>
      <c r="U2291" s="39">
        <f t="shared" si="231"/>
        <v>0</v>
      </c>
      <c r="V2291" s="40"/>
    </row>
    <row r="2292" spans="2:22" x14ac:dyDescent="0.35">
      <c r="B2292" s="40">
        <v>36467</v>
      </c>
      <c r="C2292" s="39">
        <v>5560.87</v>
      </c>
      <c r="D2292" s="219">
        <f t="shared" si="232"/>
        <v>2.5063436906322834E-3</v>
      </c>
      <c r="F2292" s="40">
        <v>36467</v>
      </c>
      <c r="G2292" s="39">
        <v>5560.87</v>
      </c>
      <c r="H2292" s="39">
        <f t="shared" si="227"/>
        <v>3</v>
      </c>
      <c r="I2292" s="39">
        <f t="shared" si="228"/>
        <v>0</v>
      </c>
      <c r="K2292" s="40"/>
      <c r="Q2292" s="40">
        <v>36467</v>
      </c>
      <c r="R2292" s="39">
        <v>5560.87</v>
      </c>
      <c r="S2292" s="39">
        <f t="shared" si="229"/>
        <v>11</v>
      </c>
      <c r="T2292" s="39">
        <f t="shared" si="230"/>
        <v>0</v>
      </c>
      <c r="U2292" s="39">
        <f t="shared" si="231"/>
        <v>0</v>
      </c>
      <c r="V2292" s="40"/>
    </row>
    <row r="2293" spans="2:22" x14ac:dyDescent="0.35">
      <c r="B2293" s="40">
        <v>36468</v>
      </c>
      <c r="C2293" s="39">
        <v>5635.62</v>
      </c>
      <c r="D2293" s="219">
        <f t="shared" si="232"/>
        <v>1.3352597216871275E-2</v>
      </c>
      <c r="F2293" s="40">
        <v>36468</v>
      </c>
      <c r="G2293" s="39">
        <v>5635.62</v>
      </c>
      <c r="H2293" s="39">
        <f t="shared" si="227"/>
        <v>4</v>
      </c>
      <c r="I2293" s="39">
        <f t="shared" si="228"/>
        <v>0</v>
      </c>
      <c r="K2293" s="40"/>
      <c r="Q2293" s="40">
        <v>36468</v>
      </c>
      <c r="R2293" s="39">
        <v>5635.62</v>
      </c>
      <c r="S2293" s="39">
        <f t="shared" si="229"/>
        <v>11</v>
      </c>
      <c r="T2293" s="39">
        <f t="shared" si="230"/>
        <v>0</v>
      </c>
      <c r="U2293" s="39">
        <f t="shared" si="231"/>
        <v>0</v>
      </c>
      <c r="V2293" s="40"/>
    </row>
    <row r="2294" spans="2:22" x14ac:dyDescent="0.35">
      <c r="B2294" s="40">
        <v>36469</v>
      </c>
      <c r="C2294" s="39">
        <v>5658.1</v>
      </c>
      <c r="D2294" s="219">
        <f t="shared" si="232"/>
        <v>3.9809787543765981E-3</v>
      </c>
      <c r="F2294" s="40">
        <v>36469</v>
      </c>
      <c r="G2294" s="39">
        <v>5658.1</v>
      </c>
      <c r="H2294" s="39">
        <f t="shared" si="227"/>
        <v>5</v>
      </c>
      <c r="I2294" s="39">
        <f t="shared" si="228"/>
        <v>5658.1</v>
      </c>
      <c r="K2294" s="40"/>
      <c r="Q2294" s="40">
        <v>36469</v>
      </c>
      <c r="R2294" s="39">
        <v>5658.1</v>
      </c>
      <c r="S2294" s="39">
        <f t="shared" si="229"/>
        <v>11</v>
      </c>
      <c r="T2294" s="39">
        <f t="shared" si="230"/>
        <v>0</v>
      </c>
      <c r="U2294" s="39">
        <f t="shared" si="231"/>
        <v>0</v>
      </c>
      <c r="V2294" s="40"/>
    </row>
    <row r="2295" spans="2:22" x14ac:dyDescent="0.35">
      <c r="B2295" s="40">
        <v>36472</v>
      </c>
      <c r="C2295" s="39">
        <v>5647.94</v>
      </c>
      <c r="D2295" s="219">
        <f t="shared" si="232"/>
        <v>-1.7972699079228218E-3</v>
      </c>
      <c r="F2295" s="40">
        <v>36472</v>
      </c>
      <c r="G2295" s="39">
        <v>5647.94</v>
      </c>
      <c r="H2295" s="39">
        <f t="shared" ref="H2295:H2358" si="233">WEEKDAY(F2295,2)</f>
        <v>1</v>
      </c>
      <c r="I2295" s="39">
        <f t="shared" ref="I2295:I2358" si="234">IF(H2295&gt;H2296,G2295,0)</f>
        <v>0</v>
      </c>
      <c r="K2295" s="40"/>
      <c r="Q2295" s="40">
        <v>36472</v>
      </c>
      <c r="R2295" s="39">
        <v>5647.94</v>
      </c>
      <c r="S2295" s="39">
        <f t="shared" ref="S2295:S2358" si="235">MONTH(Q2295)</f>
        <v>11</v>
      </c>
      <c r="T2295" s="39">
        <f t="shared" ref="T2295:T2358" si="236">IF(S2296&lt;&gt;S2295,R2295,0)</f>
        <v>0</v>
      </c>
      <c r="U2295" s="39">
        <f t="shared" ref="U2295:U2358" si="237">IF(S2296=S2295,0,R2295)</f>
        <v>0</v>
      </c>
      <c r="V2295" s="40"/>
    </row>
    <row r="2296" spans="2:22" x14ac:dyDescent="0.35">
      <c r="B2296" s="40">
        <v>36473</v>
      </c>
      <c r="C2296" s="39">
        <v>5694.73</v>
      </c>
      <c r="D2296" s="219">
        <f t="shared" ref="D2296:D2359" si="238">LN(C2296/C2295)</f>
        <v>8.2503088614235328E-3</v>
      </c>
      <c r="F2296" s="40">
        <v>36473</v>
      </c>
      <c r="G2296" s="39">
        <v>5694.73</v>
      </c>
      <c r="H2296" s="39">
        <f t="shared" si="233"/>
        <v>2</v>
      </c>
      <c r="I2296" s="39">
        <f t="shared" si="234"/>
        <v>0</v>
      </c>
      <c r="K2296" s="40"/>
      <c r="Q2296" s="40">
        <v>36473</v>
      </c>
      <c r="R2296" s="39">
        <v>5694.73</v>
      </c>
      <c r="S2296" s="39">
        <f t="shared" si="235"/>
        <v>11</v>
      </c>
      <c r="T2296" s="39">
        <f t="shared" si="236"/>
        <v>0</v>
      </c>
      <c r="U2296" s="39">
        <f t="shared" si="237"/>
        <v>0</v>
      </c>
      <c r="V2296" s="40"/>
    </row>
    <row r="2297" spans="2:22" x14ac:dyDescent="0.35">
      <c r="B2297" s="40">
        <v>36474</v>
      </c>
      <c r="C2297" s="39">
        <v>5742.42</v>
      </c>
      <c r="D2297" s="219">
        <f t="shared" si="238"/>
        <v>8.3395385029723882E-3</v>
      </c>
      <c r="F2297" s="40">
        <v>36474</v>
      </c>
      <c r="G2297" s="39">
        <v>5742.42</v>
      </c>
      <c r="H2297" s="39">
        <f t="shared" si="233"/>
        <v>3</v>
      </c>
      <c r="I2297" s="39">
        <f t="shared" si="234"/>
        <v>0</v>
      </c>
      <c r="K2297" s="40"/>
      <c r="Q2297" s="40">
        <v>36474</v>
      </c>
      <c r="R2297" s="39">
        <v>5742.42</v>
      </c>
      <c r="S2297" s="39">
        <f t="shared" si="235"/>
        <v>11</v>
      </c>
      <c r="T2297" s="39">
        <f t="shared" si="236"/>
        <v>0</v>
      </c>
      <c r="U2297" s="39">
        <f t="shared" si="237"/>
        <v>0</v>
      </c>
      <c r="V2297" s="40"/>
    </row>
    <row r="2298" spans="2:22" x14ac:dyDescent="0.35">
      <c r="B2298" s="40">
        <v>36475</v>
      </c>
      <c r="C2298" s="39">
        <v>5802.36</v>
      </c>
      <c r="D2298" s="219">
        <f t="shared" si="238"/>
        <v>1.0384007074696564E-2</v>
      </c>
      <c r="F2298" s="40">
        <v>36475</v>
      </c>
      <c r="G2298" s="39">
        <v>5802.36</v>
      </c>
      <c r="H2298" s="39">
        <f t="shared" si="233"/>
        <v>4</v>
      </c>
      <c r="I2298" s="39">
        <f t="shared" si="234"/>
        <v>0</v>
      </c>
      <c r="K2298" s="40"/>
      <c r="Q2298" s="40">
        <v>36475</v>
      </c>
      <c r="R2298" s="39">
        <v>5802.36</v>
      </c>
      <c r="S2298" s="39">
        <f t="shared" si="235"/>
        <v>11</v>
      </c>
      <c r="T2298" s="39">
        <f t="shared" si="236"/>
        <v>0</v>
      </c>
      <c r="U2298" s="39">
        <f t="shared" si="237"/>
        <v>0</v>
      </c>
      <c r="V2298" s="40"/>
    </row>
    <row r="2299" spans="2:22" x14ac:dyDescent="0.35">
      <c r="B2299" s="40">
        <v>36476</v>
      </c>
      <c r="C2299" s="39">
        <v>5791.05</v>
      </c>
      <c r="D2299" s="219">
        <f t="shared" si="238"/>
        <v>-1.9511090503886769E-3</v>
      </c>
      <c r="F2299" s="40">
        <v>36476</v>
      </c>
      <c r="G2299" s="39">
        <v>5791.05</v>
      </c>
      <c r="H2299" s="39">
        <f t="shared" si="233"/>
        <v>5</v>
      </c>
      <c r="I2299" s="39">
        <f t="shared" si="234"/>
        <v>5791.05</v>
      </c>
      <c r="K2299" s="40"/>
      <c r="Q2299" s="40">
        <v>36476</v>
      </c>
      <c r="R2299" s="39">
        <v>5791.05</v>
      </c>
      <c r="S2299" s="39">
        <f t="shared" si="235"/>
        <v>11</v>
      </c>
      <c r="T2299" s="39">
        <f t="shared" si="236"/>
        <v>0</v>
      </c>
      <c r="U2299" s="39">
        <f t="shared" si="237"/>
        <v>0</v>
      </c>
      <c r="V2299" s="40"/>
    </row>
    <row r="2300" spans="2:22" x14ac:dyDescent="0.35">
      <c r="B2300" s="40">
        <v>36479</v>
      </c>
      <c r="C2300" s="39">
        <v>5859.29</v>
      </c>
      <c r="D2300" s="219">
        <f t="shared" si="238"/>
        <v>1.1714813545093352E-2</v>
      </c>
      <c r="F2300" s="40">
        <v>36479</v>
      </c>
      <c r="G2300" s="39">
        <v>5859.29</v>
      </c>
      <c r="H2300" s="39">
        <f t="shared" si="233"/>
        <v>1</v>
      </c>
      <c r="I2300" s="39">
        <f t="shared" si="234"/>
        <v>0</v>
      </c>
      <c r="K2300" s="40"/>
      <c r="Q2300" s="40">
        <v>36479</v>
      </c>
      <c r="R2300" s="39">
        <v>5859.29</v>
      </c>
      <c r="S2300" s="39">
        <f t="shared" si="235"/>
        <v>11</v>
      </c>
      <c r="T2300" s="39">
        <f t="shared" si="236"/>
        <v>0</v>
      </c>
      <c r="U2300" s="39">
        <f t="shared" si="237"/>
        <v>0</v>
      </c>
      <c r="V2300" s="40"/>
    </row>
    <row r="2301" spans="2:22" x14ac:dyDescent="0.35">
      <c r="B2301" s="40">
        <v>36480</v>
      </c>
      <c r="C2301" s="39">
        <v>5909.52</v>
      </c>
      <c r="D2301" s="219">
        <f t="shared" si="238"/>
        <v>8.5361740066629242E-3</v>
      </c>
      <c r="F2301" s="40">
        <v>36480</v>
      </c>
      <c r="G2301" s="39">
        <v>5909.52</v>
      </c>
      <c r="H2301" s="39">
        <f t="shared" si="233"/>
        <v>2</v>
      </c>
      <c r="I2301" s="39">
        <f t="shared" si="234"/>
        <v>0</v>
      </c>
      <c r="K2301" s="40"/>
      <c r="Q2301" s="40">
        <v>36480</v>
      </c>
      <c r="R2301" s="39">
        <v>5909.52</v>
      </c>
      <c r="S2301" s="39">
        <f t="shared" si="235"/>
        <v>11</v>
      </c>
      <c r="T2301" s="39">
        <f t="shared" si="236"/>
        <v>0</v>
      </c>
      <c r="U2301" s="39">
        <f t="shared" si="237"/>
        <v>0</v>
      </c>
      <c r="V2301" s="40"/>
    </row>
    <row r="2302" spans="2:22" x14ac:dyDescent="0.35">
      <c r="B2302" s="40">
        <v>36481</v>
      </c>
      <c r="C2302" s="39">
        <v>5870.17</v>
      </c>
      <c r="D2302" s="219">
        <f t="shared" si="238"/>
        <v>-6.6810156071466413E-3</v>
      </c>
      <c r="F2302" s="40">
        <v>36481</v>
      </c>
      <c r="G2302" s="39">
        <v>5870.17</v>
      </c>
      <c r="H2302" s="39">
        <f t="shared" si="233"/>
        <v>3</v>
      </c>
      <c r="I2302" s="39">
        <f t="shared" si="234"/>
        <v>0</v>
      </c>
      <c r="K2302" s="40"/>
      <c r="Q2302" s="40">
        <v>36481</v>
      </c>
      <c r="R2302" s="39">
        <v>5870.17</v>
      </c>
      <c r="S2302" s="39">
        <f t="shared" si="235"/>
        <v>11</v>
      </c>
      <c r="T2302" s="39">
        <f t="shared" si="236"/>
        <v>0</v>
      </c>
      <c r="U2302" s="39">
        <f t="shared" si="237"/>
        <v>0</v>
      </c>
      <c r="V2302" s="40"/>
    </row>
    <row r="2303" spans="2:22" x14ac:dyDescent="0.35">
      <c r="B2303" s="40">
        <v>36482</v>
      </c>
      <c r="C2303" s="39">
        <v>5950.05</v>
      </c>
      <c r="D2303" s="219">
        <f t="shared" si="238"/>
        <v>1.3516028645208986E-2</v>
      </c>
      <c r="F2303" s="40">
        <v>36482</v>
      </c>
      <c r="G2303" s="39">
        <v>5950.05</v>
      </c>
      <c r="H2303" s="39">
        <f t="shared" si="233"/>
        <v>4</v>
      </c>
      <c r="I2303" s="39">
        <f t="shared" si="234"/>
        <v>0</v>
      </c>
      <c r="K2303" s="40"/>
      <c r="Q2303" s="40">
        <v>36482</v>
      </c>
      <c r="R2303" s="39">
        <v>5950.05</v>
      </c>
      <c r="S2303" s="39">
        <f t="shared" si="235"/>
        <v>11</v>
      </c>
      <c r="T2303" s="39">
        <f t="shared" si="236"/>
        <v>0</v>
      </c>
      <c r="U2303" s="39">
        <f t="shared" si="237"/>
        <v>0</v>
      </c>
      <c r="V2303" s="40"/>
    </row>
    <row r="2304" spans="2:22" x14ac:dyDescent="0.35">
      <c r="B2304" s="40">
        <v>36483</v>
      </c>
      <c r="C2304" s="39">
        <v>5955.97</v>
      </c>
      <c r="D2304" s="219">
        <f t="shared" si="238"/>
        <v>9.9445498796028636E-4</v>
      </c>
      <c r="F2304" s="40">
        <v>36483</v>
      </c>
      <c r="G2304" s="39">
        <v>5955.97</v>
      </c>
      <c r="H2304" s="39">
        <f t="shared" si="233"/>
        <v>5</v>
      </c>
      <c r="I2304" s="39">
        <f t="shared" si="234"/>
        <v>5955.97</v>
      </c>
      <c r="K2304" s="40"/>
      <c r="Q2304" s="40">
        <v>36483</v>
      </c>
      <c r="R2304" s="39">
        <v>5955.97</v>
      </c>
      <c r="S2304" s="39">
        <f t="shared" si="235"/>
        <v>11</v>
      </c>
      <c r="T2304" s="39">
        <f t="shared" si="236"/>
        <v>0</v>
      </c>
      <c r="U2304" s="39">
        <f t="shared" si="237"/>
        <v>0</v>
      </c>
      <c r="V2304" s="40"/>
    </row>
    <row r="2305" spans="2:22" x14ac:dyDescent="0.35">
      <c r="B2305" s="40">
        <v>36486</v>
      </c>
      <c r="C2305" s="39">
        <v>5819.89</v>
      </c>
      <c r="D2305" s="219">
        <f t="shared" si="238"/>
        <v>-2.3112716650445109E-2</v>
      </c>
      <c r="F2305" s="40">
        <v>36486</v>
      </c>
      <c r="G2305" s="39">
        <v>5819.89</v>
      </c>
      <c r="H2305" s="39">
        <f t="shared" si="233"/>
        <v>1</v>
      </c>
      <c r="I2305" s="39">
        <f t="shared" si="234"/>
        <v>0</v>
      </c>
      <c r="K2305" s="40"/>
      <c r="Q2305" s="40">
        <v>36486</v>
      </c>
      <c r="R2305" s="39">
        <v>5819.89</v>
      </c>
      <c r="S2305" s="39">
        <f t="shared" si="235"/>
        <v>11</v>
      </c>
      <c r="T2305" s="39">
        <f t="shared" si="236"/>
        <v>0</v>
      </c>
      <c r="U2305" s="39">
        <f t="shared" si="237"/>
        <v>0</v>
      </c>
      <c r="V2305" s="40"/>
    </row>
    <row r="2306" spans="2:22" x14ac:dyDescent="0.35">
      <c r="B2306" s="40">
        <v>36487</v>
      </c>
      <c r="C2306" s="39">
        <v>5814.74</v>
      </c>
      <c r="D2306" s="219">
        <f t="shared" si="238"/>
        <v>-8.8528820192017874E-4</v>
      </c>
      <c r="F2306" s="40">
        <v>36487</v>
      </c>
      <c r="G2306" s="39">
        <v>5814.74</v>
      </c>
      <c r="H2306" s="39">
        <f t="shared" si="233"/>
        <v>2</v>
      </c>
      <c r="I2306" s="39">
        <f t="shared" si="234"/>
        <v>0</v>
      </c>
      <c r="K2306" s="40"/>
      <c r="Q2306" s="40">
        <v>36487</v>
      </c>
      <c r="R2306" s="39">
        <v>5814.74</v>
      </c>
      <c r="S2306" s="39">
        <f t="shared" si="235"/>
        <v>11</v>
      </c>
      <c r="T2306" s="39">
        <f t="shared" si="236"/>
        <v>0</v>
      </c>
      <c r="U2306" s="39">
        <f t="shared" si="237"/>
        <v>0</v>
      </c>
      <c r="V2306" s="40"/>
    </row>
    <row r="2307" spans="2:22" x14ac:dyDescent="0.35">
      <c r="B2307" s="40">
        <v>36488</v>
      </c>
      <c r="C2307" s="39">
        <v>5818.73</v>
      </c>
      <c r="D2307" s="219">
        <f t="shared" si="238"/>
        <v>6.8595185382357236E-4</v>
      </c>
      <c r="F2307" s="40">
        <v>36488</v>
      </c>
      <c r="G2307" s="39">
        <v>5818.73</v>
      </c>
      <c r="H2307" s="39">
        <f t="shared" si="233"/>
        <v>3</v>
      </c>
      <c r="I2307" s="39">
        <f t="shared" si="234"/>
        <v>0</v>
      </c>
      <c r="K2307" s="40"/>
      <c r="Q2307" s="40">
        <v>36488</v>
      </c>
      <c r="R2307" s="39">
        <v>5818.73</v>
      </c>
      <c r="S2307" s="39">
        <f t="shared" si="235"/>
        <v>11</v>
      </c>
      <c r="T2307" s="39">
        <f t="shared" si="236"/>
        <v>0</v>
      </c>
      <c r="U2307" s="39">
        <f t="shared" si="237"/>
        <v>0</v>
      </c>
      <c r="V2307" s="40"/>
    </row>
    <row r="2308" spans="2:22" x14ac:dyDescent="0.35">
      <c r="B2308" s="40">
        <v>36489</v>
      </c>
      <c r="C2308" s="39">
        <v>5961.45</v>
      </c>
      <c r="D2308" s="219">
        <f t="shared" si="238"/>
        <v>2.4231715204998849E-2</v>
      </c>
      <c r="F2308" s="40">
        <v>36489</v>
      </c>
      <c r="G2308" s="39">
        <v>5961.45</v>
      </c>
      <c r="H2308" s="39">
        <f t="shared" si="233"/>
        <v>4</v>
      </c>
      <c r="I2308" s="39">
        <f t="shared" si="234"/>
        <v>0</v>
      </c>
      <c r="K2308" s="40"/>
      <c r="Q2308" s="40">
        <v>36489</v>
      </c>
      <c r="R2308" s="39">
        <v>5961.45</v>
      </c>
      <c r="S2308" s="39">
        <f t="shared" si="235"/>
        <v>11</v>
      </c>
      <c r="T2308" s="39">
        <f t="shared" si="236"/>
        <v>0</v>
      </c>
      <c r="U2308" s="39">
        <f t="shared" si="237"/>
        <v>0</v>
      </c>
      <c r="V2308" s="40"/>
    </row>
    <row r="2309" spans="2:22" x14ac:dyDescent="0.35">
      <c r="B2309" s="40">
        <v>36490</v>
      </c>
      <c r="C2309" s="39">
        <v>5958.07</v>
      </c>
      <c r="D2309" s="219">
        <f t="shared" si="238"/>
        <v>-5.6713694688986143E-4</v>
      </c>
      <c r="F2309" s="40">
        <v>36490</v>
      </c>
      <c r="G2309" s="39">
        <v>5958.07</v>
      </c>
      <c r="H2309" s="39">
        <f t="shared" si="233"/>
        <v>5</v>
      </c>
      <c r="I2309" s="39">
        <f t="shared" si="234"/>
        <v>5958.07</v>
      </c>
      <c r="K2309" s="40"/>
      <c r="Q2309" s="40">
        <v>36490</v>
      </c>
      <c r="R2309" s="39">
        <v>5958.07</v>
      </c>
      <c r="S2309" s="39">
        <f t="shared" si="235"/>
        <v>11</v>
      </c>
      <c r="T2309" s="39">
        <f t="shared" si="236"/>
        <v>0</v>
      </c>
      <c r="U2309" s="39">
        <f t="shared" si="237"/>
        <v>0</v>
      </c>
      <c r="V2309" s="40"/>
    </row>
    <row r="2310" spans="2:22" x14ac:dyDescent="0.35">
      <c r="B2310" s="40">
        <v>36493</v>
      </c>
      <c r="C2310" s="39">
        <v>5888.88</v>
      </c>
      <c r="D2310" s="219">
        <f t="shared" si="238"/>
        <v>-1.1680776350301455E-2</v>
      </c>
      <c r="F2310" s="40">
        <v>36493</v>
      </c>
      <c r="G2310" s="39">
        <v>5888.88</v>
      </c>
      <c r="H2310" s="39">
        <f t="shared" si="233"/>
        <v>1</v>
      </c>
      <c r="I2310" s="39">
        <f t="shared" si="234"/>
        <v>0</v>
      </c>
      <c r="K2310" s="40"/>
      <c r="Q2310" s="40">
        <v>36493</v>
      </c>
      <c r="R2310" s="39">
        <v>5888.88</v>
      </c>
      <c r="S2310" s="39">
        <f t="shared" si="235"/>
        <v>11</v>
      </c>
      <c r="T2310" s="39">
        <f t="shared" si="236"/>
        <v>0</v>
      </c>
      <c r="U2310" s="39">
        <f t="shared" si="237"/>
        <v>0</v>
      </c>
      <c r="V2310" s="40"/>
    </row>
    <row r="2311" spans="2:22" x14ac:dyDescent="0.35">
      <c r="B2311" s="40">
        <v>36494</v>
      </c>
      <c r="C2311" s="39">
        <v>5896.04</v>
      </c>
      <c r="D2311" s="219">
        <f t="shared" si="238"/>
        <v>1.2151123437369779E-3</v>
      </c>
      <c r="F2311" s="40">
        <v>36494</v>
      </c>
      <c r="G2311" s="39">
        <v>5896.04</v>
      </c>
      <c r="H2311" s="39">
        <f t="shared" si="233"/>
        <v>2</v>
      </c>
      <c r="I2311" s="39">
        <f t="shared" si="234"/>
        <v>0</v>
      </c>
      <c r="K2311" s="40"/>
      <c r="Q2311" s="40">
        <v>36494</v>
      </c>
      <c r="R2311" s="39">
        <v>5896.04</v>
      </c>
      <c r="S2311" s="39">
        <f t="shared" si="235"/>
        <v>11</v>
      </c>
      <c r="T2311" s="39">
        <f t="shared" si="236"/>
        <v>5896.04</v>
      </c>
      <c r="U2311" s="39">
        <f t="shared" si="237"/>
        <v>5896.04</v>
      </c>
      <c r="V2311" s="40"/>
    </row>
    <row r="2312" spans="2:22" x14ac:dyDescent="0.35">
      <c r="B2312" s="40">
        <v>36495</v>
      </c>
      <c r="C2312" s="39">
        <v>5933.84</v>
      </c>
      <c r="D2312" s="219">
        <f t="shared" si="238"/>
        <v>6.390619118021826E-3</v>
      </c>
      <c r="F2312" s="40">
        <v>36495</v>
      </c>
      <c r="G2312" s="39">
        <v>5933.84</v>
      </c>
      <c r="H2312" s="39">
        <f t="shared" si="233"/>
        <v>3</v>
      </c>
      <c r="I2312" s="39">
        <f t="shared" si="234"/>
        <v>0</v>
      </c>
      <c r="K2312" s="40"/>
      <c r="Q2312" s="40">
        <v>36495</v>
      </c>
      <c r="R2312" s="39">
        <v>5933.84</v>
      </c>
      <c r="S2312" s="39">
        <f t="shared" si="235"/>
        <v>12</v>
      </c>
      <c r="T2312" s="39">
        <f t="shared" si="236"/>
        <v>0</v>
      </c>
      <c r="U2312" s="39">
        <f t="shared" si="237"/>
        <v>0</v>
      </c>
      <c r="V2312" s="40"/>
    </row>
    <row r="2313" spans="2:22" x14ac:dyDescent="0.35">
      <c r="B2313" s="40">
        <v>36496</v>
      </c>
      <c r="C2313" s="39">
        <v>5937.2</v>
      </c>
      <c r="D2313" s="219">
        <f t="shared" si="238"/>
        <v>5.660835259127117E-4</v>
      </c>
      <c r="F2313" s="40">
        <v>36496</v>
      </c>
      <c r="G2313" s="39">
        <v>5937.2</v>
      </c>
      <c r="H2313" s="39">
        <f t="shared" si="233"/>
        <v>4</v>
      </c>
      <c r="I2313" s="39">
        <f t="shared" si="234"/>
        <v>0</v>
      </c>
      <c r="K2313" s="40"/>
      <c r="Q2313" s="40">
        <v>36496</v>
      </c>
      <c r="R2313" s="39">
        <v>5937.2</v>
      </c>
      <c r="S2313" s="39">
        <f t="shared" si="235"/>
        <v>12</v>
      </c>
      <c r="T2313" s="39">
        <f t="shared" si="236"/>
        <v>0</v>
      </c>
      <c r="U2313" s="39">
        <f t="shared" si="237"/>
        <v>0</v>
      </c>
      <c r="V2313" s="40"/>
    </row>
    <row r="2314" spans="2:22" x14ac:dyDescent="0.35">
      <c r="B2314" s="40">
        <v>36497</v>
      </c>
      <c r="C2314" s="39">
        <v>6119.17</v>
      </c>
      <c r="D2314" s="219">
        <f t="shared" si="238"/>
        <v>3.0188824643381445E-2</v>
      </c>
      <c r="F2314" s="40">
        <v>36497</v>
      </c>
      <c r="G2314" s="39">
        <v>6119.17</v>
      </c>
      <c r="H2314" s="39">
        <f t="shared" si="233"/>
        <v>5</v>
      </c>
      <c r="I2314" s="39">
        <f t="shared" si="234"/>
        <v>6119.17</v>
      </c>
      <c r="K2314" s="40"/>
      <c r="Q2314" s="40">
        <v>36497</v>
      </c>
      <c r="R2314" s="39">
        <v>6119.17</v>
      </c>
      <c r="S2314" s="39">
        <f t="shared" si="235"/>
        <v>12</v>
      </c>
      <c r="T2314" s="39">
        <f t="shared" si="236"/>
        <v>0</v>
      </c>
      <c r="U2314" s="39">
        <f t="shared" si="237"/>
        <v>0</v>
      </c>
      <c r="V2314" s="40"/>
    </row>
    <row r="2315" spans="2:22" x14ac:dyDescent="0.35">
      <c r="B2315" s="40">
        <v>36500</v>
      </c>
      <c r="C2315" s="39">
        <v>6142.19</v>
      </c>
      <c r="D2315" s="219">
        <f t="shared" si="238"/>
        <v>3.7548896773198625E-3</v>
      </c>
      <c r="F2315" s="40">
        <v>36500</v>
      </c>
      <c r="G2315" s="39">
        <v>6142.19</v>
      </c>
      <c r="H2315" s="39">
        <f t="shared" si="233"/>
        <v>1</v>
      </c>
      <c r="I2315" s="39">
        <f t="shared" si="234"/>
        <v>0</v>
      </c>
      <c r="K2315" s="40"/>
      <c r="Q2315" s="40">
        <v>36500</v>
      </c>
      <c r="R2315" s="39">
        <v>6142.19</v>
      </c>
      <c r="S2315" s="39">
        <f t="shared" si="235"/>
        <v>12</v>
      </c>
      <c r="T2315" s="39">
        <f t="shared" si="236"/>
        <v>0</v>
      </c>
      <c r="U2315" s="39">
        <f t="shared" si="237"/>
        <v>0</v>
      </c>
      <c r="V2315" s="40"/>
    </row>
    <row r="2316" spans="2:22" x14ac:dyDescent="0.35">
      <c r="B2316" s="40">
        <v>36501</v>
      </c>
      <c r="C2316" s="39">
        <v>6158.77</v>
      </c>
      <c r="D2316" s="219">
        <f t="shared" si="238"/>
        <v>2.6957261938072626E-3</v>
      </c>
      <c r="F2316" s="40">
        <v>36501</v>
      </c>
      <c r="G2316" s="39">
        <v>6158.77</v>
      </c>
      <c r="H2316" s="39">
        <f t="shared" si="233"/>
        <v>2</v>
      </c>
      <c r="I2316" s="39">
        <f t="shared" si="234"/>
        <v>0</v>
      </c>
      <c r="K2316" s="40"/>
      <c r="Q2316" s="40">
        <v>36501</v>
      </c>
      <c r="R2316" s="39">
        <v>6158.77</v>
      </c>
      <c r="S2316" s="39">
        <f t="shared" si="235"/>
        <v>12</v>
      </c>
      <c r="T2316" s="39">
        <f t="shared" si="236"/>
        <v>0</v>
      </c>
      <c r="U2316" s="39">
        <f t="shared" si="237"/>
        <v>0</v>
      </c>
      <c r="V2316" s="40"/>
    </row>
    <row r="2317" spans="2:22" x14ac:dyDescent="0.35">
      <c r="B2317" s="40">
        <v>36502</v>
      </c>
      <c r="C2317" s="39">
        <v>6115.59</v>
      </c>
      <c r="D2317" s="219">
        <f t="shared" si="238"/>
        <v>-7.035833742531819E-3</v>
      </c>
      <c r="F2317" s="40">
        <v>36502</v>
      </c>
      <c r="G2317" s="39">
        <v>6115.59</v>
      </c>
      <c r="H2317" s="39">
        <f t="shared" si="233"/>
        <v>3</v>
      </c>
      <c r="I2317" s="39">
        <f t="shared" si="234"/>
        <v>0</v>
      </c>
      <c r="K2317" s="40"/>
      <c r="Q2317" s="40">
        <v>36502</v>
      </c>
      <c r="R2317" s="39">
        <v>6115.59</v>
      </c>
      <c r="S2317" s="39">
        <f t="shared" si="235"/>
        <v>12</v>
      </c>
      <c r="T2317" s="39">
        <f t="shared" si="236"/>
        <v>0</v>
      </c>
      <c r="U2317" s="39">
        <f t="shared" si="237"/>
        <v>0</v>
      </c>
      <c r="V2317" s="40"/>
    </row>
    <row r="2318" spans="2:22" x14ac:dyDescent="0.35">
      <c r="B2318" s="40">
        <v>36503</v>
      </c>
      <c r="C2318" s="39">
        <v>6118.06</v>
      </c>
      <c r="D2318" s="219">
        <f t="shared" si="238"/>
        <v>4.0380426668452831E-4</v>
      </c>
      <c r="F2318" s="40">
        <v>36503</v>
      </c>
      <c r="G2318" s="39">
        <v>6118.06</v>
      </c>
      <c r="H2318" s="39">
        <f t="shared" si="233"/>
        <v>4</v>
      </c>
      <c r="I2318" s="39">
        <f t="shared" si="234"/>
        <v>0</v>
      </c>
      <c r="K2318" s="40"/>
      <c r="Q2318" s="40">
        <v>36503</v>
      </c>
      <c r="R2318" s="39">
        <v>6118.06</v>
      </c>
      <c r="S2318" s="39">
        <f t="shared" si="235"/>
        <v>12</v>
      </c>
      <c r="T2318" s="39">
        <f t="shared" si="236"/>
        <v>0</v>
      </c>
      <c r="U2318" s="39">
        <f t="shared" si="237"/>
        <v>0</v>
      </c>
      <c r="V2318" s="40"/>
    </row>
    <row r="2319" spans="2:22" x14ac:dyDescent="0.35">
      <c r="B2319" s="40">
        <v>36504</v>
      </c>
      <c r="C2319" s="39">
        <v>6097.9</v>
      </c>
      <c r="D2319" s="219">
        <f t="shared" si="238"/>
        <v>-3.300603194818333E-3</v>
      </c>
      <c r="F2319" s="40">
        <v>36504</v>
      </c>
      <c r="G2319" s="39">
        <v>6097.9</v>
      </c>
      <c r="H2319" s="39">
        <f t="shared" si="233"/>
        <v>5</v>
      </c>
      <c r="I2319" s="39">
        <f t="shared" si="234"/>
        <v>6097.9</v>
      </c>
      <c r="K2319" s="40"/>
      <c r="Q2319" s="40">
        <v>36504</v>
      </c>
      <c r="R2319" s="39">
        <v>6097.9</v>
      </c>
      <c r="S2319" s="39">
        <f t="shared" si="235"/>
        <v>12</v>
      </c>
      <c r="T2319" s="39">
        <f t="shared" si="236"/>
        <v>0</v>
      </c>
      <c r="U2319" s="39">
        <f t="shared" si="237"/>
        <v>0</v>
      </c>
      <c r="V2319" s="40"/>
    </row>
    <row r="2320" spans="2:22" x14ac:dyDescent="0.35">
      <c r="B2320" s="40">
        <v>36507</v>
      </c>
      <c r="C2320" s="39">
        <v>6127.2</v>
      </c>
      <c r="D2320" s="219">
        <f t="shared" si="238"/>
        <v>4.7934260009308127E-3</v>
      </c>
      <c r="F2320" s="40">
        <v>36507</v>
      </c>
      <c r="G2320" s="39">
        <v>6127.2</v>
      </c>
      <c r="H2320" s="39">
        <f t="shared" si="233"/>
        <v>1</v>
      </c>
      <c r="I2320" s="39">
        <f t="shared" si="234"/>
        <v>0</v>
      </c>
      <c r="K2320" s="40"/>
      <c r="Q2320" s="40">
        <v>36507</v>
      </c>
      <c r="R2320" s="39">
        <v>6127.2</v>
      </c>
      <c r="S2320" s="39">
        <f t="shared" si="235"/>
        <v>12</v>
      </c>
      <c r="T2320" s="39">
        <f t="shared" si="236"/>
        <v>0</v>
      </c>
      <c r="U2320" s="39">
        <f t="shared" si="237"/>
        <v>0</v>
      </c>
      <c r="V2320" s="40"/>
    </row>
    <row r="2321" spans="2:22" x14ac:dyDescent="0.35">
      <c r="B2321" s="40">
        <v>36508</v>
      </c>
      <c r="C2321" s="39">
        <v>6187.99</v>
      </c>
      <c r="D2321" s="219">
        <f t="shared" si="238"/>
        <v>9.8724410652394241E-3</v>
      </c>
      <c r="F2321" s="40">
        <v>36508</v>
      </c>
      <c r="G2321" s="39">
        <v>6187.99</v>
      </c>
      <c r="H2321" s="39">
        <f t="shared" si="233"/>
        <v>2</v>
      </c>
      <c r="I2321" s="39">
        <f t="shared" si="234"/>
        <v>0</v>
      </c>
      <c r="K2321" s="40"/>
      <c r="Q2321" s="40">
        <v>36508</v>
      </c>
      <c r="R2321" s="39">
        <v>6187.99</v>
      </c>
      <c r="S2321" s="39">
        <f t="shared" si="235"/>
        <v>12</v>
      </c>
      <c r="T2321" s="39">
        <f t="shared" si="236"/>
        <v>0</v>
      </c>
      <c r="U2321" s="39">
        <f t="shared" si="237"/>
        <v>0</v>
      </c>
      <c r="V2321" s="40"/>
    </row>
    <row r="2322" spans="2:22" x14ac:dyDescent="0.35">
      <c r="B2322" s="40">
        <v>36509</v>
      </c>
      <c r="C2322" s="39">
        <v>6232.75</v>
      </c>
      <c r="D2322" s="219">
        <f t="shared" si="238"/>
        <v>7.2073312470930309E-3</v>
      </c>
      <c r="F2322" s="40">
        <v>36509</v>
      </c>
      <c r="G2322" s="39">
        <v>6232.75</v>
      </c>
      <c r="H2322" s="39">
        <f t="shared" si="233"/>
        <v>3</v>
      </c>
      <c r="I2322" s="39">
        <f t="shared" si="234"/>
        <v>0</v>
      </c>
      <c r="K2322" s="40"/>
      <c r="Q2322" s="40">
        <v>36509</v>
      </c>
      <c r="R2322" s="39">
        <v>6232.75</v>
      </c>
      <c r="S2322" s="39">
        <f t="shared" si="235"/>
        <v>12</v>
      </c>
      <c r="T2322" s="39">
        <f t="shared" si="236"/>
        <v>0</v>
      </c>
      <c r="U2322" s="39">
        <f t="shared" si="237"/>
        <v>0</v>
      </c>
      <c r="V2322" s="40"/>
    </row>
    <row r="2323" spans="2:22" x14ac:dyDescent="0.35">
      <c r="B2323" s="40">
        <v>36510</v>
      </c>
      <c r="C2323" s="39">
        <v>6341.29</v>
      </c>
      <c r="D2323" s="219">
        <f t="shared" si="238"/>
        <v>1.7264569857881804E-2</v>
      </c>
      <c r="F2323" s="40">
        <v>36510</v>
      </c>
      <c r="G2323" s="39">
        <v>6341.29</v>
      </c>
      <c r="H2323" s="39">
        <f t="shared" si="233"/>
        <v>4</v>
      </c>
      <c r="I2323" s="39">
        <f t="shared" si="234"/>
        <v>0</v>
      </c>
      <c r="K2323" s="40"/>
      <c r="Q2323" s="40">
        <v>36510</v>
      </c>
      <c r="R2323" s="39">
        <v>6341.29</v>
      </c>
      <c r="S2323" s="39">
        <f t="shared" si="235"/>
        <v>12</v>
      </c>
      <c r="T2323" s="39">
        <f t="shared" si="236"/>
        <v>0</v>
      </c>
      <c r="U2323" s="39">
        <f t="shared" si="237"/>
        <v>0</v>
      </c>
      <c r="V2323" s="40"/>
    </row>
    <row r="2324" spans="2:22" x14ac:dyDescent="0.35">
      <c r="B2324" s="40">
        <v>36511</v>
      </c>
      <c r="C2324" s="39">
        <v>6353.9</v>
      </c>
      <c r="D2324" s="219">
        <f t="shared" si="238"/>
        <v>1.9865798222968244E-3</v>
      </c>
      <c r="F2324" s="40">
        <v>36511</v>
      </c>
      <c r="G2324" s="39">
        <v>6353.9</v>
      </c>
      <c r="H2324" s="39">
        <f t="shared" si="233"/>
        <v>5</v>
      </c>
      <c r="I2324" s="39">
        <f t="shared" si="234"/>
        <v>6353.9</v>
      </c>
      <c r="K2324" s="40"/>
      <c r="Q2324" s="40">
        <v>36511</v>
      </c>
      <c r="R2324" s="39">
        <v>6353.9</v>
      </c>
      <c r="S2324" s="39">
        <f t="shared" si="235"/>
        <v>12</v>
      </c>
      <c r="T2324" s="39">
        <f t="shared" si="236"/>
        <v>0</v>
      </c>
      <c r="U2324" s="39">
        <f t="shared" si="237"/>
        <v>0</v>
      </c>
      <c r="V2324" s="40"/>
    </row>
    <row r="2325" spans="2:22" x14ac:dyDescent="0.35">
      <c r="B2325" s="40">
        <v>36514</v>
      </c>
      <c r="C2325" s="39">
        <v>6378.66</v>
      </c>
      <c r="D2325" s="219">
        <f t="shared" si="238"/>
        <v>3.8892463433059204E-3</v>
      </c>
      <c r="F2325" s="40">
        <v>36514</v>
      </c>
      <c r="G2325" s="39">
        <v>6378.66</v>
      </c>
      <c r="H2325" s="39">
        <f t="shared" si="233"/>
        <v>1</v>
      </c>
      <c r="I2325" s="39">
        <f t="shared" si="234"/>
        <v>0</v>
      </c>
      <c r="K2325" s="40"/>
      <c r="Q2325" s="40">
        <v>36514</v>
      </c>
      <c r="R2325" s="39">
        <v>6378.66</v>
      </c>
      <c r="S2325" s="39">
        <f t="shared" si="235"/>
        <v>12</v>
      </c>
      <c r="T2325" s="39">
        <f t="shared" si="236"/>
        <v>0</v>
      </c>
      <c r="U2325" s="39">
        <f t="shared" si="237"/>
        <v>0</v>
      </c>
      <c r="V2325" s="40"/>
    </row>
    <row r="2326" spans="2:22" x14ac:dyDescent="0.35">
      <c r="B2326" s="40">
        <v>36515</v>
      </c>
      <c r="C2326" s="39">
        <v>6418.68</v>
      </c>
      <c r="D2326" s="219">
        <f t="shared" si="238"/>
        <v>6.2544451360557127E-3</v>
      </c>
      <c r="F2326" s="40">
        <v>36515</v>
      </c>
      <c r="G2326" s="39">
        <v>6418.68</v>
      </c>
      <c r="H2326" s="39">
        <f t="shared" si="233"/>
        <v>2</v>
      </c>
      <c r="I2326" s="39">
        <f t="shared" si="234"/>
        <v>0</v>
      </c>
      <c r="K2326" s="40"/>
      <c r="Q2326" s="40">
        <v>36515</v>
      </c>
      <c r="R2326" s="39">
        <v>6418.68</v>
      </c>
      <c r="S2326" s="39">
        <f t="shared" si="235"/>
        <v>12</v>
      </c>
      <c r="T2326" s="39">
        <f t="shared" si="236"/>
        <v>0</v>
      </c>
      <c r="U2326" s="39">
        <f t="shared" si="237"/>
        <v>0</v>
      </c>
      <c r="V2326" s="40"/>
    </row>
    <row r="2327" spans="2:22" x14ac:dyDescent="0.35">
      <c r="B2327" s="40">
        <v>36516</v>
      </c>
      <c r="C2327" s="39">
        <v>6492.53</v>
      </c>
      <c r="D2327" s="219">
        <f t="shared" si="238"/>
        <v>1.1439796175182652E-2</v>
      </c>
      <c r="F2327" s="40">
        <v>36516</v>
      </c>
      <c r="G2327" s="39">
        <v>6492.53</v>
      </c>
      <c r="H2327" s="39">
        <f t="shared" si="233"/>
        <v>3</v>
      </c>
      <c r="I2327" s="39">
        <f t="shared" si="234"/>
        <v>0</v>
      </c>
      <c r="K2327" s="40"/>
      <c r="Q2327" s="40">
        <v>36516</v>
      </c>
      <c r="R2327" s="39">
        <v>6492.53</v>
      </c>
      <c r="S2327" s="39">
        <f t="shared" si="235"/>
        <v>12</v>
      </c>
      <c r="T2327" s="39">
        <f t="shared" si="236"/>
        <v>0</v>
      </c>
      <c r="U2327" s="39">
        <f t="shared" si="237"/>
        <v>0</v>
      </c>
      <c r="V2327" s="40"/>
    </row>
    <row r="2328" spans="2:22" x14ac:dyDescent="0.35">
      <c r="B2328" s="40">
        <v>36517</v>
      </c>
      <c r="C2328" s="39">
        <v>6782.39</v>
      </c>
      <c r="D2328" s="219">
        <f t="shared" si="238"/>
        <v>4.367726195050621E-2</v>
      </c>
      <c r="F2328" s="40">
        <v>36517</v>
      </c>
      <c r="G2328" s="39">
        <v>6782.39</v>
      </c>
      <c r="H2328" s="39">
        <f t="shared" si="233"/>
        <v>4</v>
      </c>
      <c r="I2328" s="39">
        <f t="shared" si="234"/>
        <v>6782.39</v>
      </c>
      <c r="K2328" s="40"/>
      <c r="Q2328" s="40">
        <v>36517</v>
      </c>
      <c r="R2328" s="39">
        <v>6782.39</v>
      </c>
      <c r="S2328" s="39">
        <f t="shared" si="235"/>
        <v>12</v>
      </c>
      <c r="T2328" s="39">
        <f t="shared" si="236"/>
        <v>0</v>
      </c>
      <c r="U2328" s="39">
        <f t="shared" si="237"/>
        <v>0</v>
      </c>
      <c r="V2328" s="40"/>
    </row>
    <row r="2329" spans="2:22" x14ac:dyDescent="0.35">
      <c r="B2329" s="40">
        <v>36521</v>
      </c>
      <c r="C2329" s="39">
        <v>6837.41</v>
      </c>
      <c r="D2329" s="219">
        <f t="shared" si="238"/>
        <v>8.0794577449951315E-3</v>
      </c>
      <c r="F2329" s="40">
        <v>36521</v>
      </c>
      <c r="G2329" s="39">
        <v>6837.41</v>
      </c>
      <c r="H2329" s="39">
        <f t="shared" si="233"/>
        <v>1</v>
      </c>
      <c r="I2329" s="39">
        <f t="shared" si="234"/>
        <v>0</v>
      </c>
      <c r="K2329" s="40"/>
      <c r="Q2329" s="40">
        <v>36521</v>
      </c>
      <c r="R2329" s="39">
        <v>6837.41</v>
      </c>
      <c r="S2329" s="39">
        <f t="shared" si="235"/>
        <v>12</v>
      </c>
      <c r="T2329" s="39">
        <f t="shared" si="236"/>
        <v>0</v>
      </c>
      <c r="U2329" s="39">
        <f t="shared" si="237"/>
        <v>0</v>
      </c>
      <c r="V2329" s="40"/>
    </row>
    <row r="2330" spans="2:22" x14ac:dyDescent="0.35">
      <c r="B2330" s="40">
        <v>36522</v>
      </c>
      <c r="C2330" s="39">
        <v>6861.54</v>
      </c>
      <c r="D2330" s="219">
        <f t="shared" si="238"/>
        <v>3.5229013838453845E-3</v>
      </c>
      <c r="F2330" s="40">
        <v>36522</v>
      </c>
      <c r="G2330" s="39">
        <v>6861.54</v>
      </c>
      <c r="H2330" s="39">
        <f t="shared" si="233"/>
        <v>2</v>
      </c>
      <c r="I2330" s="39">
        <f t="shared" si="234"/>
        <v>0</v>
      </c>
      <c r="K2330" s="40"/>
      <c r="Q2330" s="40">
        <v>36522</v>
      </c>
      <c r="R2330" s="39">
        <v>6861.54</v>
      </c>
      <c r="S2330" s="39">
        <f t="shared" si="235"/>
        <v>12</v>
      </c>
      <c r="T2330" s="39">
        <f t="shared" si="236"/>
        <v>0</v>
      </c>
      <c r="U2330" s="39">
        <f t="shared" si="237"/>
        <v>0</v>
      </c>
      <c r="V2330" s="40"/>
    </row>
    <row r="2331" spans="2:22" x14ac:dyDescent="0.35">
      <c r="B2331" s="40">
        <v>36523</v>
      </c>
      <c r="C2331" s="39">
        <v>6859.58</v>
      </c>
      <c r="D2331" s="219">
        <f t="shared" si="238"/>
        <v>-2.8569096594609889E-4</v>
      </c>
      <c r="F2331" s="40">
        <v>36523</v>
      </c>
      <c r="G2331" s="39">
        <v>6859.58</v>
      </c>
      <c r="H2331" s="39">
        <f t="shared" si="233"/>
        <v>3</v>
      </c>
      <c r="I2331" s="39">
        <f t="shared" si="234"/>
        <v>0</v>
      </c>
      <c r="K2331" s="40"/>
      <c r="Q2331" s="40">
        <v>36523</v>
      </c>
      <c r="R2331" s="39">
        <v>6859.58</v>
      </c>
      <c r="S2331" s="39">
        <f t="shared" si="235"/>
        <v>12</v>
      </c>
      <c r="T2331" s="39">
        <f t="shared" si="236"/>
        <v>0</v>
      </c>
      <c r="U2331" s="39">
        <f t="shared" si="237"/>
        <v>0</v>
      </c>
      <c r="V2331" s="40"/>
    </row>
    <row r="2332" spans="2:22" x14ac:dyDescent="0.35">
      <c r="B2332" s="40">
        <v>36524</v>
      </c>
      <c r="C2332" s="39">
        <v>6958.14</v>
      </c>
      <c r="D2332" s="219">
        <f t="shared" si="238"/>
        <v>1.4265981877975007E-2</v>
      </c>
      <c r="F2332" s="40">
        <v>36524</v>
      </c>
      <c r="G2332" s="39">
        <v>6958.14</v>
      </c>
      <c r="H2332" s="39">
        <f t="shared" si="233"/>
        <v>4</v>
      </c>
      <c r="I2332" s="39">
        <f t="shared" si="234"/>
        <v>6958.14</v>
      </c>
      <c r="K2332" s="40"/>
      <c r="Q2332" s="40">
        <v>36524</v>
      </c>
      <c r="R2332" s="39">
        <v>6958.14</v>
      </c>
      <c r="S2332" s="39">
        <f t="shared" si="235"/>
        <v>12</v>
      </c>
      <c r="T2332" s="39">
        <f t="shared" si="236"/>
        <v>6958.14</v>
      </c>
      <c r="U2332" s="39">
        <f t="shared" si="237"/>
        <v>6958.14</v>
      </c>
      <c r="V2332" s="40"/>
    </row>
    <row r="2333" spans="2:22" x14ac:dyDescent="0.35">
      <c r="B2333" s="40">
        <v>36528</v>
      </c>
      <c r="C2333" s="39">
        <v>6750.76</v>
      </c>
      <c r="D2333" s="219">
        <f t="shared" si="238"/>
        <v>-3.0257106112716457E-2</v>
      </c>
      <c r="F2333" s="40">
        <v>36528</v>
      </c>
      <c r="G2333" s="39">
        <v>6750.76</v>
      </c>
      <c r="H2333" s="39">
        <f t="shared" si="233"/>
        <v>1</v>
      </c>
      <c r="I2333" s="39">
        <f t="shared" si="234"/>
        <v>0</v>
      </c>
      <c r="K2333" s="40"/>
      <c r="Q2333" s="40">
        <v>36528</v>
      </c>
      <c r="R2333" s="39">
        <v>6750.76</v>
      </c>
      <c r="S2333" s="39">
        <f t="shared" si="235"/>
        <v>1</v>
      </c>
      <c r="T2333" s="39">
        <f t="shared" si="236"/>
        <v>0</v>
      </c>
      <c r="U2333" s="39">
        <f t="shared" si="237"/>
        <v>0</v>
      </c>
      <c r="V2333" s="40"/>
    </row>
    <row r="2334" spans="2:22" x14ac:dyDescent="0.35">
      <c r="B2334" s="40">
        <v>36529</v>
      </c>
      <c r="C2334" s="39">
        <v>6586.95</v>
      </c>
      <c r="D2334" s="219">
        <f t="shared" si="238"/>
        <v>-2.4564672218186794E-2</v>
      </c>
      <c r="F2334" s="40">
        <v>36529</v>
      </c>
      <c r="G2334" s="39">
        <v>6586.95</v>
      </c>
      <c r="H2334" s="39">
        <f t="shared" si="233"/>
        <v>2</v>
      </c>
      <c r="I2334" s="39">
        <f t="shared" si="234"/>
        <v>0</v>
      </c>
      <c r="K2334" s="40"/>
      <c r="Q2334" s="40">
        <v>36529</v>
      </c>
      <c r="R2334" s="39">
        <v>6586.95</v>
      </c>
      <c r="S2334" s="39">
        <f t="shared" si="235"/>
        <v>1</v>
      </c>
      <c r="T2334" s="39">
        <f t="shared" si="236"/>
        <v>0</v>
      </c>
      <c r="U2334" s="39">
        <f t="shared" si="237"/>
        <v>0</v>
      </c>
      <c r="V2334" s="40"/>
    </row>
    <row r="2335" spans="2:22" x14ac:dyDescent="0.35">
      <c r="B2335" s="40">
        <v>36530</v>
      </c>
      <c r="C2335" s="39">
        <v>6502.07</v>
      </c>
      <c r="D2335" s="219">
        <f t="shared" si="238"/>
        <v>-1.2969831178833545E-2</v>
      </c>
      <c r="F2335" s="40">
        <v>36530</v>
      </c>
      <c r="G2335" s="39">
        <v>6502.07</v>
      </c>
      <c r="H2335" s="39">
        <f t="shared" si="233"/>
        <v>3</v>
      </c>
      <c r="I2335" s="39">
        <f t="shared" si="234"/>
        <v>0</v>
      </c>
      <c r="K2335" s="40"/>
      <c r="Q2335" s="40">
        <v>36530</v>
      </c>
      <c r="R2335" s="39">
        <v>6502.07</v>
      </c>
      <c r="S2335" s="39">
        <f t="shared" si="235"/>
        <v>1</v>
      </c>
      <c r="T2335" s="39">
        <f t="shared" si="236"/>
        <v>0</v>
      </c>
      <c r="U2335" s="39">
        <f t="shared" si="237"/>
        <v>0</v>
      </c>
      <c r="V2335" s="40"/>
    </row>
    <row r="2336" spans="2:22" x14ac:dyDescent="0.35">
      <c r="B2336" s="40">
        <v>36531</v>
      </c>
      <c r="C2336" s="39">
        <v>6474.92</v>
      </c>
      <c r="D2336" s="219">
        <f t="shared" si="238"/>
        <v>-4.1843354450205369E-3</v>
      </c>
      <c r="F2336" s="40">
        <v>36531</v>
      </c>
      <c r="G2336" s="39">
        <v>6474.92</v>
      </c>
      <c r="H2336" s="39">
        <f t="shared" si="233"/>
        <v>4</v>
      </c>
      <c r="I2336" s="39">
        <f t="shared" si="234"/>
        <v>0</v>
      </c>
      <c r="K2336" s="40"/>
      <c r="Q2336" s="40">
        <v>36531</v>
      </c>
      <c r="R2336" s="39">
        <v>6474.92</v>
      </c>
      <c r="S2336" s="39">
        <f t="shared" si="235"/>
        <v>1</v>
      </c>
      <c r="T2336" s="39">
        <f t="shared" si="236"/>
        <v>0</v>
      </c>
      <c r="U2336" s="39">
        <f t="shared" si="237"/>
        <v>0</v>
      </c>
      <c r="V2336" s="40"/>
    </row>
    <row r="2337" spans="2:22" x14ac:dyDescent="0.35">
      <c r="B2337" s="40">
        <v>36532</v>
      </c>
      <c r="C2337" s="39">
        <v>6780.96</v>
      </c>
      <c r="D2337" s="219">
        <f t="shared" si="238"/>
        <v>4.6182432552406796E-2</v>
      </c>
      <c r="F2337" s="40">
        <v>36532</v>
      </c>
      <c r="G2337" s="39">
        <v>6780.96</v>
      </c>
      <c r="H2337" s="39">
        <f t="shared" si="233"/>
        <v>5</v>
      </c>
      <c r="I2337" s="39">
        <f t="shared" si="234"/>
        <v>6780.96</v>
      </c>
      <c r="K2337" s="40"/>
      <c r="Q2337" s="40">
        <v>36532</v>
      </c>
      <c r="R2337" s="39">
        <v>6780.96</v>
      </c>
      <c r="S2337" s="39">
        <f t="shared" si="235"/>
        <v>1</v>
      </c>
      <c r="T2337" s="39">
        <f t="shared" si="236"/>
        <v>0</v>
      </c>
      <c r="U2337" s="39">
        <f t="shared" si="237"/>
        <v>0</v>
      </c>
      <c r="V2337" s="40"/>
    </row>
    <row r="2338" spans="2:22" x14ac:dyDescent="0.35">
      <c r="B2338" s="40">
        <v>36535</v>
      </c>
      <c r="C2338" s="39">
        <v>6925.52</v>
      </c>
      <c r="D2338" s="219">
        <f t="shared" si="238"/>
        <v>2.109445465765112E-2</v>
      </c>
      <c r="F2338" s="40">
        <v>36535</v>
      </c>
      <c r="G2338" s="39">
        <v>6925.52</v>
      </c>
      <c r="H2338" s="39">
        <f t="shared" si="233"/>
        <v>1</v>
      </c>
      <c r="I2338" s="39">
        <f t="shared" si="234"/>
        <v>0</v>
      </c>
      <c r="K2338" s="40"/>
      <c r="Q2338" s="40">
        <v>36535</v>
      </c>
      <c r="R2338" s="39">
        <v>6925.52</v>
      </c>
      <c r="S2338" s="39">
        <f t="shared" si="235"/>
        <v>1</v>
      </c>
      <c r="T2338" s="39">
        <f t="shared" si="236"/>
        <v>0</v>
      </c>
      <c r="U2338" s="39">
        <f t="shared" si="237"/>
        <v>0</v>
      </c>
      <c r="V2338" s="40"/>
    </row>
    <row r="2339" spans="2:22" x14ac:dyDescent="0.35">
      <c r="B2339" s="40">
        <v>36536</v>
      </c>
      <c r="C2339" s="39">
        <v>6891.25</v>
      </c>
      <c r="D2339" s="219">
        <f t="shared" si="238"/>
        <v>-4.9606485852216661E-3</v>
      </c>
      <c r="F2339" s="40">
        <v>36536</v>
      </c>
      <c r="G2339" s="39">
        <v>6891.25</v>
      </c>
      <c r="H2339" s="39">
        <f t="shared" si="233"/>
        <v>2</v>
      </c>
      <c r="I2339" s="39">
        <f t="shared" si="234"/>
        <v>0</v>
      </c>
      <c r="K2339" s="40"/>
      <c r="Q2339" s="40">
        <v>36536</v>
      </c>
      <c r="R2339" s="39">
        <v>6891.25</v>
      </c>
      <c r="S2339" s="39">
        <f t="shared" si="235"/>
        <v>1</v>
      </c>
      <c r="T2339" s="39">
        <f t="shared" si="236"/>
        <v>0</v>
      </c>
      <c r="U2339" s="39">
        <f t="shared" si="237"/>
        <v>0</v>
      </c>
      <c r="V2339" s="40"/>
    </row>
    <row r="2340" spans="2:22" x14ac:dyDescent="0.35">
      <c r="B2340" s="40">
        <v>36537</v>
      </c>
      <c r="C2340" s="39">
        <v>6912.81</v>
      </c>
      <c r="D2340" s="219">
        <f t="shared" si="238"/>
        <v>3.1237212140796536E-3</v>
      </c>
      <c r="F2340" s="40">
        <v>36537</v>
      </c>
      <c r="G2340" s="39">
        <v>6912.81</v>
      </c>
      <c r="H2340" s="39">
        <f t="shared" si="233"/>
        <v>3</v>
      </c>
      <c r="I2340" s="39">
        <f t="shared" si="234"/>
        <v>0</v>
      </c>
      <c r="K2340" s="40"/>
      <c r="Q2340" s="40">
        <v>36537</v>
      </c>
      <c r="R2340" s="39">
        <v>6912.81</v>
      </c>
      <c r="S2340" s="39">
        <f t="shared" si="235"/>
        <v>1</v>
      </c>
      <c r="T2340" s="39">
        <f t="shared" si="236"/>
        <v>0</v>
      </c>
      <c r="U2340" s="39">
        <f t="shared" si="237"/>
        <v>0</v>
      </c>
      <c r="V2340" s="40"/>
    </row>
    <row r="2341" spans="2:22" x14ac:dyDescent="0.35">
      <c r="B2341" s="40">
        <v>36538</v>
      </c>
      <c r="C2341" s="39">
        <v>6955.98</v>
      </c>
      <c r="D2341" s="219">
        <f t="shared" si="238"/>
        <v>6.2255091364261323E-3</v>
      </c>
      <c r="F2341" s="40">
        <v>36538</v>
      </c>
      <c r="G2341" s="39">
        <v>6955.98</v>
      </c>
      <c r="H2341" s="39">
        <f t="shared" si="233"/>
        <v>4</v>
      </c>
      <c r="I2341" s="39">
        <f t="shared" si="234"/>
        <v>0</v>
      </c>
      <c r="K2341" s="40"/>
      <c r="Q2341" s="40">
        <v>36538</v>
      </c>
      <c r="R2341" s="39">
        <v>6955.98</v>
      </c>
      <c r="S2341" s="39">
        <f t="shared" si="235"/>
        <v>1</v>
      </c>
      <c r="T2341" s="39">
        <f t="shared" si="236"/>
        <v>0</v>
      </c>
      <c r="U2341" s="39">
        <f t="shared" si="237"/>
        <v>0</v>
      </c>
      <c r="V2341" s="40"/>
    </row>
    <row r="2342" spans="2:22" x14ac:dyDescent="0.35">
      <c r="B2342" s="40">
        <v>36539</v>
      </c>
      <c r="C2342" s="39">
        <v>7173.22</v>
      </c>
      <c r="D2342" s="219">
        <f t="shared" si="238"/>
        <v>3.0752925971896883E-2</v>
      </c>
      <c r="F2342" s="40">
        <v>36539</v>
      </c>
      <c r="G2342" s="39">
        <v>7173.22</v>
      </c>
      <c r="H2342" s="39">
        <f t="shared" si="233"/>
        <v>5</v>
      </c>
      <c r="I2342" s="39">
        <f t="shared" si="234"/>
        <v>7173.22</v>
      </c>
      <c r="K2342" s="40"/>
      <c r="Q2342" s="40">
        <v>36539</v>
      </c>
      <c r="R2342" s="39">
        <v>7173.22</v>
      </c>
      <c r="S2342" s="39">
        <f t="shared" si="235"/>
        <v>1</v>
      </c>
      <c r="T2342" s="39">
        <f t="shared" si="236"/>
        <v>0</v>
      </c>
      <c r="U2342" s="39">
        <f t="shared" si="237"/>
        <v>0</v>
      </c>
      <c r="V2342" s="40"/>
    </row>
    <row r="2343" spans="2:22" x14ac:dyDescent="0.35">
      <c r="B2343" s="40">
        <v>36542</v>
      </c>
      <c r="C2343" s="39">
        <v>7258.9</v>
      </c>
      <c r="D2343" s="219">
        <f t="shared" si="238"/>
        <v>1.1873654961450425E-2</v>
      </c>
      <c r="F2343" s="40">
        <v>36542</v>
      </c>
      <c r="G2343" s="39">
        <v>7258.9</v>
      </c>
      <c r="H2343" s="39">
        <f t="shared" si="233"/>
        <v>1</v>
      </c>
      <c r="I2343" s="39">
        <f t="shared" si="234"/>
        <v>0</v>
      </c>
      <c r="K2343" s="40"/>
      <c r="Q2343" s="40">
        <v>36542</v>
      </c>
      <c r="R2343" s="39">
        <v>7258.9</v>
      </c>
      <c r="S2343" s="39">
        <f t="shared" si="235"/>
        <v>1</v>
      </c>
      <c r="T2343" s="39">
        <f t="shared" si="236"/>
        <v>0</v>
      </c>
      <c r="U2343" s="39">
        <f t="shared" si="237"/>
        <v>0</v>
      </c>
      <c r="V2343" s="40"/>
    </row>
    <row r="2344" spans="2:22" x14ac:dyDescent="0.35">
      <c r="B2344" s="40">
        <v>36543</v>
      </c>
      <c r="C2344" s="39">
        <v>7072.12</v>
      </c>
      <c r="D2344" s="219">
        <f t="shared" si="238"/>
        <v>-2.6068008688435649E-2</v>
      </c>
      <c r="F2344" s="40">
        <v>36543</v>
      </c>
      <c r="G2344" s="39">
        <v>7072.12</v>
      </c>
      <c r="H2344" s="39">
        <f t="shared" si="233"/>
        <v>2</v>
      </c>
      <c r="I2344" s="39">
        <f t="shared" si="234"/>
        <v>0</v>
      </c>
      <c r="K2344" s="40"/>
      <c r="Q2344" s="40">
        <v>36543</v>
      </c>
      <c r="R2344" s="39">
        <v>7072.12</v>
      </c>
      <c r="S2344" s="39">
        <f t="shared" si="235"/>
        <v>1</v>
      </c>
      <c r="T2344" s="39">
        <f t="shared" si="236"/>
        <v>0</v>
      </c>
      <c r="U2344" s="39">
        <f t="shared" si="237"/>
        <v>0</v>
      </c>
      <c r="V2344" s="40"/>
    </row>
    <row r="2345" spans="2:22" x14ac:dyDescent="0.35">
      <c r="B2345" s="40">
        <v>36544</v>
      </c>
      <c r="C2345" s="39">
        <v>7091.04</v>
      </c>
      <c r="D2345" s="219">
        <f t="shared" si="238"/>
        <v>2.6717217420969379E-3</v>
      </c>
      <c r="F2345" s="40">
        <v>36544</v>
      </c>
      <c r="G2345" s="39">
        <v>7091.04</v>
      </c>
      <c r="H2345" s="39">
        <f t="shared" si="233"/>
        <v>3</v>
      </c>
      <c r="I2345" s="39">
        <f t="shared" si="234"/>
        <v>0</v>
      </c>
      <c r="K2345" s="40"/>
      <c r="Q2345" s="40">
        <v>36544</v>
      </c>
      <c r="R2345" s="39">
        <v>7091.04</v>
      </c>
      <c r="S2345" s="39">
        <f t="shared" si="235"/>
        <v>1</v>
      </c>
      <c r="T2345" s="39">
        <f t="shared" si="236"/>
        <v>0</v>
      </c>
      <c r="U2345" s="39">
        <f t="shared" si="237"/>
        <v>0</v>
      </c>
      <c r="V2345" s="40"/>
    </row>
    <row r="2346" spans="2:22" x14ac:dyDescent="0.35">
      <c r="B2346" s="40">
        <v>36545</v>
      </c>
      <c r="C2346" s="39">
        <v>7112.66</v>
      </c>
      <c r="D2346" s="219">
        <f t="shared" si="238"/>
        <v>3.0442795464831612E-3</v>
      </c>
      <c r="F2346" s="40">
        <v>36545</v>
      </c>
      <c r="G2346" s="39">
        <v>7112.66</v>
      </c>
      <c r="H2346" s="39">
        <f t="shared" si="233"/>
        <v>4</v>
      </c>
      <c r="I2346" s="39">
        <f t="shared" si="234"/>
        <v>0</v>
      </c>
      <c r="K2346" s="40"/>
      <c r="Q2346" s="40">
        <v>36545</v>
      </c>
      <c r="R2346" s="39">
        <v>7112.66</v>
      </c>
      <c r="S2346" s="39">
        <f t="shared" si="235"/>
        <v>1</v>
      </c>
      <c r="T2346" s="39">
        <f t="shared" si="236"/>
        <v>0</v>
      </c>
      <c r="U2346" s="39">
        <f t="shared" si="237"/>
        <v>0</v>
      </c>
      <c r="V2346" s="40"/>
    </row>
    <row r="2347" spans="2:22" x14ac:dyDescent="0.35">
      <c r="B2347" s="40">
        <v>36546</v>
      </c>
      <c r="C2347" s="39">
        <v>6992.75</v>
      </c>
      <c r="D2347" s="219">
        <f t="shared" si="238"/>
        <v>-1.7002396758821876E-2</v>
      </c>
      <c r="F2347" s="40">
        <v>36546</v>
      </c>
      <c r="G2347" s="39">
        <v>6992.75</v>
      </c>
      <c r="H2347" s="39">
        <f t="shared" si="233"/>
        <v>5</v>
      </c>
      <c r="I2347" s="39">
        <f t="shared" si="234"/>
        <v>6992.75</v>
      </c>
      <c r="K2347" s="40"/>
      <c r="Q2347" s="40">
        <v>36546</v>
      </c>
      <c r="R2347" s="39">
        <v>6992.75</v>
      </c>
      <c r="S2347" s="39">
        <f t="shared" si="235"/>
        <v>1</v>
      </c>
      <c r="T2347" s="39">
        <f t="shared" si="236"/>
        <v>0</v>
      </c>
      <c r="U2347" s="39">
        <f t="shared" si="237"/>
        <v>0</v>
      </c>
      <c r="V2347" s="40"/>
    </row>
    <row r="2348" spans="2:22" x14ac:dyDescent="0.35">
      <c r="B2348" s="40">
        <v>36549</v>
      </c>
      <c r="C2348" s="39">
        <v>6931.99</v>
      </c>
      <c r="D2348" s="219">
        <f t="shared" si="238"/>
        <v>-8.7269687797254317E-3</v>
      </c>
      <c r="F2348" s="40">
        <v>36549</v>
      </c>
      <c r="G2348" s="39">
        <v>6931.99</v>
      </c>
      <c r="H2348" s="39">
        <f t="shared" si="233"/>
        <v>1</v>
      </c>
      <c r="I2348" s="39">
        <f t="shared" si="234"/>
        <v>0</v>
      </c>
      <c r="K2348" s="40"/>
      <c r="Q2348" s="40">
        <v>36549</v>
      </c>
      <c r="R2348" s="39">
        <v>6931.99</v>
      </c>
      <c r="S2348" s="39">
        <f t="shared" si="235"/>
        <v>1</v>
      </c>
      <c r="T2348" s="39">
        <f t="shared" si="236"/>
        <v>0</v>
      </c>
      <c r="U2348" s="39">
        <f t="shared" si="237"/>
        <v>0</v>
      </c>
      <c r="V2348" s="40"/>
    </row>
    <row r="2349" spans="2:22" x14ac:dyDescent="0.35">
      <c r="B2349" s="40">
        <v>36550</v>
      </c>
      <c r="C2349" s="39">
        <v>6809.64</v>
      </c>
      <c r="D2349" s="219">
        <f t="shared" si="238"/>
        <v>-1.7807673939229506E-2</v>
      </c>
      <c r="F2349" s="40">
        <v>36550</v>
      </c>
      <c r="G2349" s="39">
        <v>6809.64</v>
      </c>
      <c r="H2349" s="39">
        <f t="shared" si="233"/>
        <v>2</v>
      </c>
      <c r="I2349" s="39">
        <f t="shared" si="234"/>
        <v>0</v>
      </c>
      <c r="K2349" s="40"/>
      <c r="Q2349" s="40">
        <v>36550</v>
      </c>
      <c r="R2349" s="39">
        <v>6809.64</v>
      </c>
      <c r="S2349" s="39">
        <f t="shared" si="235"/>
        <v>1</v>
      </c>
      <c r="T2349" s="39">
        <f t="shared" si="236"/>
        <v>0</v>
      </c>
      <c r="U2349" s="39">
        <f t="shared" si="237"/>
        <v>0</v>
      </c>
      <c r="V2349" s="40"/>
    </row>
    <row r="2350" spans="2:22" x14ac:dyDescent="0.35">
      <c r="B2350" s="40">
        <v>36551</v>
      </c>
      <c r="C2350" s="39">
        <v>6969.37</v>
      </c>
      <c r="D2350" s="219">
        <f t="shared" si="238"/>
        <v>2.3185577984808657E-2</v>
      </c>
      <c r="F2350" s="40">
        <v>36551</v>
      </c>
      <c r="G2350" s="39">
        <v>6969.37</v>
      </c>
      <c r="H2350" s="39">
        <f t="shared" si="233"/>
        <v>3</v>
      </c>
      <c r="I2350" s="39">
        <f t="shared" si="234"/>
        <v>0</v>
      </c>
      <c r="K2350" s="40"/>
      <c r="Q2350" s="40">
        <v>36551</v>
      </c>
      <c r="R2350" s="39">
        <v>6969.37</v>
      </c>
      <c r="S2350" s="39">
        <f t="shared" si="235"/>
        <v>1</v>
      </c>
      <c r="T2350" s="39">
        <f t="shared" si="236"/>
        <v>0</v>
      </c>
      <c r="U2350" s="39">
        <f t="shared" si="237"/>
        <v>0</v>
      </c>
      <c r="V2350" s="40"/>
    </row>
    <row r="2351" spans="2:22" x14ac:dyDescent="0.35">
      <c r="B2351" s="40">
        <v>36552</v>
      </c>
      <c r="C2351" s="39">
        <v>7126.13</v>
      </c>
      <c r="D2351" s="219">
        <f t="shared" si="238"/>
        <v>2.2243476758062708E-2</v>
      </c>
      <c r="F2351" s="40">
        <v>36552</v>
      </c>
      <c r="G2351" s="39">
        <v>7126.13</v>
      </c>
      <c r="H2351" s="39">
        <f t="shared" si="233"/>
        <v>4</v>
      </c>
      <c r="I2351" s="39">
        <f t="shared" si="234"/>
        <v>0</v>
      </c>
      <c r="K2351" s="40"/>
      <c r="Q2351" s="40">
        <v>36552</v>
      </c>
      <c r="R2351" s="39">
        <v>7126.13</v>
      </c>
      <c r="S2351" s="39">
        <f t="shared" si="235"/>
        <v>1</v>
      </c>
      <c r="T2351" s="39">
        <f t="shared" si="236"/>
        <v>0</v>
      </c>
      <c r="U2351" s="39">
        <f t="shared" si="237"/>
        <v>0</v>
      </c>
      <c r="V2351" s="40"/>
    </row>
    <row r="2352" spans="2:22" x14ac:dyDescent="0.35">
      <c r="B2352" s="40">
        <v>36553</v>
      </c>
      <c r="C2352" s="39">
        <v>7066.6</v>
      </c>
      <c r="D2352" s="219">
        <f t="shared" si="238"/>
        <v>-8.3888510677555192E-3</v>
      </c>
      <c r="F2352" s="40">
        <v>36553</v>
      </c>
      <c r="G2352" s="39">
        <v>7066.6</v>
      </c>
      <c r="H2352" s="39">
        <f t="shared" si="233"/>
        <v>5</v>
      </c>
      <c r="I2352" s="39">
        <f t="shared" si="234"/>
        <v>7066.6</v>
      </c>
      <c r="K2352" s="40"/>
      <c r="Q2352" s="40">
        <v>36553</v>
      </c>
      <c r="R2352" s="39">
        <v>7066.6</v>
      </c>
      <c r="S2352" s="39">
        <f t="shared" si="235"/>
        <v>1</v>
      </c>
      <c r="T2352" s="39">
        <f t="shared" si="236"/>
        <v>0</v>
      </c>
      <c r="U2352" s="39">
        <f t="shared" si="237"/>
        <v>0</v>
      </c>
      <c r="V2352" s="40"/>
    </row>
    <row r="2353" spans="2:22" x14ac:dyDescent="0.35">
      <c r="B2353" s="40">
        <v>36556</v>
      </c>
      <c r="C2353" s="39">
        <v>6835.6</v>
      </c>
      <c r="D2353" s="219">
        <f t="shared" si="238"/>
        <v>-3.3235209212476115E-2</v>
      </c>
      <c r="F2353" s="40">
        <v>36556</v>
      </c>
      <c r="G2353" s="39">
        <v>6835.6</v>
      </c>
      <c r="H2353" s="39">
        <f t="shared" si="233"/>
        <v>1</v>
      </c>
      <c r="I2353" s="39">
        <f t="shared" si="234"/>
        <v>0</v>
      </c>
      <c r="K2353" s="40"/>
      <c r="Q2353" s="40">
        <v>36556</v>
      </c>
      <c r="R2353" s="39">
        <v>6835.6</v>
      </c>
      <c r="S2353" s="39">
        <f t="shared" si="235"/>
        <v>1</v>
      </c>
      <c r="T2353" s="39">
        <f t="shared" si="236"/>
        <v>6835.6</v>
      </c>
      <c r="U2353" s="39">
        <f t="shared" si="237"/>
        <v>6835.6</v>
      </c>
      <c r="V2353" s="40"/>
    </row>
    <row r="2354" spans="2:22" x14ac:dyDescent="0.35">
      <c r="B2354" s="40">
        <v>36557</v>
      </c>
      <c r="C2354" s="39">
        <v>7050.46</v>
      </c>
      <c r="D2354" s="219">
        <f t="shared" si="238"/>
        <v>3.0948613131937808E-2</v>
      </c>
      <c r="F2354" s="40">
        <v>36557</v>
      </c>
      <c r="G2354" s="39">
        <v>7050.46</v>
      </c>
      <c r="H2354" s="39">
        <f t="shared" si="233"/>
        <v>2</v>
      </c>
      <c r="I2354" s="39">
        <f t="shared" si="234"/>
        <v>0</v>
      </c>
      <c r="K2354" s="40"/>
      <c r="Q2354" s="40">
        <v>36557</v>
      </c>
      <c r="R2354" s="39">
        <v>7050.46</v>
      </c>
      <c r="S2354" s="39">
        <f t="shared" si="235"/>
        <v>2</v>
      </c>
      <c r="T2354" s="39">
        <f t="shared" si="236"/>
        <v>0</v>
      </c>
      <c r="U2354" s="39">
        <f t="shared" si="237"/>
        <v>0</v>
      </c>
      <c r="V2354" s="40"/>
    </row>
    <row r="2355" spans="2:22" x14ac:dyDescent="0.35">
      <c r="B2355" s="40">
        <v>36558</v>
      </c>
      <c r="C2355" s="39">
        <v>7171.95</v>
      </c>
      <c r="D2355" s="219">
        <f t="shared" si="238"/>
        <v>1.7084721239979013E-2</v>
      </c>
      <c r="F2355" s="40">
        <v>36558</v>
      </c>
      <c r="G2355" s="39">
        <v>7171.95</v>
      </c>
      <c r="H2355" s="39">
        <f t="shared" si="233"/>
        <v>3</v>
      </c>
      <c r="I2355" s="39">
        <f t="shared" si="234"/>
        <v>0</v>
      </c>
      <c r="K2355" s="40"/>
      <c r="Q2355" s="40">
        <v>36558</v>
      </c>
      <c r="R2355" s="39">
        <v>7171.95</v>
      </c>
      <c r="S2355" s="39">
        <f t="shared" si="235"/>
        <v>2</v>
      </c>
      <c r="T2355" s="39">
        <f t="shared" si="236"/>
        <v>0</v>
      </c>
      <c r="U2355" s="39">
        <f t="shared" si="237"/>
        <v>0</v>
      </c>
      <c r="V2355" s="40"/>
    </row>
    <row r="2356" spans="2:22" x14ac:dyDescent="0.35">
      <c r="B2356" s="40">
        <v>36559</v>
      </c>
      <c r="C2356" s="39">
        <v>7354.26</v>
      </c>
      <c r="D2356" s="219">
        <f t="shared" si="238"/>
        <v>2.5102153000469696E-2</v>
      </c>
      <c r="F2356" s="40">
        <v>36559</v>
      </c>
      <c r="G2356" s="39">
        <v>7354.26</v>
      </c>
      <c r="H2356" s="39">
        <f t="shared" si="233"/>
        <v>4</v>
      </c>
      <c r="I2356" s="39">
        <f t="shared" si="234"/>
        <v>0</v>
      </c>
      <c r="K2356" s="40"/>
      <c r="Q2356" s="40">
        <v>36559</v>
      </c>
      <c r="R2356" s="39">
        <v>7354.26</v>
      </c>
      <c r="S2356" s="39">
        <f t="shared" si="235"/>
        <v>2</v>
      </c>
      <c r="T2356" s="39">
        <f t="shared" si="236"/>
        <v>0</v>
      </c>
      <c r="U2356" s="39">
        <f t="shared" si="237"/>
        <v>0</v>
      </c>
      <c r="V2356" s="40"/>
    </row>
    <row r="2357" spans="2:22" x14ac:dyDescent="0.35">
      <c r="B2357" s="40">
        <v>36560</v>
      </c>
      <c r="C2357" s="39">
        <v>7444.61</v>
      </c>
      <c r="D2357" s="219">
        <f t="shared" si="238"/>
        <v>1.2210543450434841E-2</v>
      </c>
      <c r="F2357" s="40">
        <v>36560</v>
      </c>
      <c r="G2357" s="39">
        <v>7444.61</v>
      </c>
      <c r="H2357" s="39">
        <f t="shared" si="233"/>
        <v>5</v>
      </c>
      <c r="I2357" s="39">
        <f t="shared" si="234"/>
        <v>7444.61</v>
      </c>
      <c r="K2357" s="40"/>
      <c r="Q2357" s="40">
        <v>36560</v>
      </c>
      <c r="R2357" s="39">
        <v>7444.61</v>
      </c>
      <c r="S2357" s="39">
        <f t="shared" si="235"/>
        <v>2</v>
      </c>
      <c r="T2357" s="39">
        <f t="shared" si="236"/>
        <v>0</v>
      </c>
      <c r="U2357" s="39">
        <f t="shared" si="237"/>
        <v>0</v>
      </c>
      <c r="V2357" s="40"/>
    </row>
    <row r="2358" spans="2:22" x14ac:dyDescent="0.35">
      <c r="B2358" s="40">
        <v>36563</v>
      </c>
      <c r="C2358" s="39">
        <v>7296.32</v>
      </c>
      <c r="D2358" s="219">
        <f t="shared" si="238"/>
        <v>-2.0120169154091469E-2</v>
      </c>
      <c r="F2358" s="40">
        <v>36563</v>
      </c>
      <c r="G2358" s="39">
        <v>7296.32</v>
      </c>
      <c r="H2358" s="39">
        <f t="shared" si="233"/>
        <v>1</v>
      </c>
      <c r="I2358" s="39">
        <f t="shared" si="234"/>
        <v>0</v>
      </c>
      <c r="K2358" s="40"/>
      <c r="Q2358" s="40">
        <v>36563</v>
      </c>
      <c r="R2358" s="39">
        <v>7296.32</v>
      </c>
      <c r="S2358" s="39">
        <f t="shared" si="235"/>
        <v>2</v>
      </c>
      <c r="T2358" s="39">
        <f t="shared" si="236"/>
        <v>0</v>
      </c>
      <c r="U2358" s="39">
        <f t="shared" si="237"/>
        <v>0</v>
      </c>
      <c r="V2358" s="40"/>
    </row>
    <row r="2359" spans="2:22" x14ac:dyDescent="0.35">
      <c r="B2359" s="40">
        <v>36564</v>
      </c>
      <c r="C2359" s="39">
        <v>7549.88</v>
      </c>
      <c r="D2359" s="219">
        <f t="shared" si="238"/>
        <v>3.416155763553997E-2</v>
      </c>
      <c r="F2359" s="40">
        <v>36564</v>
      </c>
      <c r="G2359" s="39">
        <v>7549.88</v>
      </c>
      <c r="H2359" s="39">
        <f t="shared" ref="H2359:H2422" si="239">WEEKDAY(F2359,2)</f>
        <v>2</v>
      </c>
      <c r="I2359" s="39">
        <f t="shared" ref="I2359:I2422" si="240">IF(H2359&gt;H2360,G2359,0)</f>
        <v>0</v>
      </c>
      <c r="K2359" s="40"/>
      <c r="Q2359" s="40">
        <v>36564</v>
      </c>
      <c r="R2359" s="39">
        <v>7549.88</v>
      </c>
      <c r="S2359" s="39">
        <f t="shared" ref="S2359:S2422" si="241">MONTH(Q2359)</f>
        <v>2</v>
      </c>
      <c r="T2359" s="39">
        <f t="shared" ref="T2359:T2422" si="242">IF(S2360&lt;&gt;S2359,R2359,0)</f>
        <v>0</v>
      </c>
      <c r="U2359" s="39">
        <f t="shared" ref="U2359:U2422" si="243">IF(S2360=S2359,0,R2359)</f>
        <v>0</v>
      </c>
      <c r="V2359" s="40"/>
    </row>
    <row r="2360" spans="2:22" x14ac:dyDescent="0.35">
      <c r="B2360" s="40">
        <v>36565</v>
      </c>
      <c r="C2360" s="39">
        <v>7629.11</v>
      </c>
      <c r="D2360" s="219">
        <f t="shared" ref="D2360:D2423" si="244">LN(C2360/C2359)</f>
        <v>1.0439524574875542E-2</v>
      </c>
      <c r="F2360" s="40">
        <v>36565</v>
      </c>
      <c r="G2360" s="39">
        <v>7629.11</v>
      </c>
      <c r="H2360" s="39">
        <f t="shared" si="239"/>
        <v>3</v>
      </c>
      <c r="I2360" s="39">
        <f t="shared" si="240"/>
        <v>0</v>
      </c>
      <c r="K2360" s="40"/>
      <c r="Q2360" s="40">
        <v>36565</v>
      </c>
      <c r="R2360" s="39">
        <v>7629.11</v>
      </c>
      <c r="S2360" s="39">
        <f t="shared" si="241"/>
        <v>2</v>
      </c>
      <c r="T2360" s="39">
        <f t="shared" si="242"/>
        <v>0</v>
      </c>
      <c r="U2360" s="39">
        <f t="shared" si="243"/>
        <v>0</v>
      </c>
      <c r="V2360" s="40"/>
    </row>
    <row r="2361" spans="2:22" x14ac:dyDescent="0.35">
      <c r="B2361" s="40">
        <v>36566</v>
      </c>
      <c r="C2361" s="39">
        <v>7709.27</v>
      </c>
      <c r="D2361" s="219">
        <f t="shared" si="244"/>
        <v>1.0452307191961415E-2</v>
      </c>
      <c r="F2361" s="40">
        <v>36566</v>
      </c>
      <c r="G2361" s="39">
        <v>7709.27</v>
      </c>
      <c r="H2361" s="39">
        <f t="shared" si="239"/>
        <v>4</v>
      </c>
      <c r="I2361" s="39">
        <f t="shared" si="240"/>
        <v>0</v>
      </c>
      <c r="K2361" s="40"/>
      <c r="Q2361" s="40">
        <v>36566</v>
      </c>
      <c r="R2361" s="39">
        <v>7709.27</v>
      </c>
      <c r="S2361" s="39">
        <f t="shared" si="241"/>
        <v>2</v>
      </c>
      <c r="T2361" s="39">
        <f t="shared" si="242"/>
        <v>0</v>
      </c>
      <c r="U2361" s="39">
        <f t="shared" si="243"/>
        <v>0</v>
      </c>
      <c r="V2361" s="40"/>
    </row>
    <row r="2362" spans="2:22" x14ac:dyDescent="0.35">
      <c r="B2362" s="40">
        <v>36567</v>
      </c>
      <c r="C2362" s="39">
        <v>7611.55</v>
      </c>
      <c r="D2362" s="219">
        <f t="shared" si="244"/>
        <v>-1.2756670358704867E-2</v>
      </c>
      <c r="F2362" s="40">
        <v>36567</v>
      </c>
      <c r="G2362" s="39">
        <v>7611.55</v>
      </c>
      <c r="H2362" s="39">
        <f t="shared" si="239"/>
        <v>5</v>
      </c>
      <c r="I2362" s="39">
        <f t="shared" si="240"/>
        <v>7611.55</v>
      </c>
      <c r="K2362" s="40"/>
      <c r="Q2362" s="40">
        <v>36567</v>
      </c>
      <c r="R2362" s="39">
        <v>7611.55</v>
      </c>
      <c r="S2362" s="39">
        <f t="shared" si="241"/>
        <v>2</v>
      </c>
      <c r="T2362" s="39">
        <f t="shared" si="242"/>
        <v>0</v>
      </c>
      <c r="U2362" s="39">
        <f t="shared" si="243"/>
        <v>0</v>
      </c>
      <c r="V2362" s="40"/>
    </row>
    <row r="2363" spans="2:22" x14ac:dyDescent="0.35">
      <c r="B2363" s="40">
        <v>36570</v>
      </c>
      <c r="C2363" s="39">
        <v>7644.8</v>
      </c>
      <c r="D2363" s="219">
        <f t="shared" si="244"/>
        <v>4.3588476463345032E-3</v>
      </c>
      <c r="F2363" s="40">
        <v>36570</v>
      </c>
      <c r="G2363" s="39">
        <v>7644.8</v>
      </c>
      <c r="H2363" s="39">
        <f t="shared" si="239"/>
        <v>1</v>
      </c>
      <c r="I2363" s="39">
        <f t="shared" si="240"/>
        <v>0</v>
      </c>
      <c r="K2363" s="40"/>
      <c r="Q2363" s="40">
        <v>36570</v>
      </c>
      <c r="R2363" s="39">
        <v>7644.8</v>
      </c>
      <c r="S2363" s="39">
        <f t="shared" si="241"/>
        <v>2</v>
      </c>
      <c r="T2363" s="39">
        <f t="shared" si="242"/>
        <v>0</v>
      </c>
      <c r="U2363" s="39">
        <f t="shared" si="243"/>
        <v>0</v>
      </c>
      <c r="V2363" s="40"/>
    </row>
    <row r="2364" spans="2:22" x14ac:dyDescent="0.35">
      <c r="B2364" s="40">
        <v>36571</v>
      </c>
      <c r="C2364" s="39">
        <v>7396.13</v>
      </c>
      <c r="D2364" s="219">
        <f t="shared" si="244"/>
        <v>-3.3068787710264065E-2</v>
      </c>
      <c r="F2364" s="40">
        <v>36571</v>
      </c>
      <c r="G2364" s="39">
        <v>7396.13</v>
      </c>
      <c r="H2364" s="39">
        <f t="shared" si="239"/>
        <v>2</v>
      </c>
      <c r="I2364" s="39">
        <f t="shared" si="240"/>
        <v>0</v>
      </c>
      <c r="K2364" s="40"/>
      <c r="Q2364" s="40">
        <v>36571</v>
      </c>
      <c r="R2364" s="39">
        <v>7396.13</v>
      </c>
      <c r="S2364" s="39">
        <f t="shared" si="241"/>
        <v>2</v>
      </c>
      <c r="T2364" s="39">
        <f t="shared" si="242"/>
        <v>0</v>
      </c>
      <c r="U2364" s="39">
        <f t="shared" si="243"/>
        <v>0</v>
      </c>
      <c r="V2364" s="40"/>
    </row>
    <row r="2365" spans="2:22" x14ac:dyDescent="0.35">
      <c r="B2365" s="40">
        <v>36572</v>
      </c>
      <c r="C2365" s="39">
        <v>7490.32</v>
      </c>
      <c r="D2365" s="219">
        <f t="shared" si="244"/>
        <v>1.2654629808919095E-2</v>
      </c>
      <c r="F2365" s="40">
        <v>36572</v>
      </c>
      <c r="G2365" s="39">
        <v>7490.32</v>
      </c>
      <c r="H2365" s="39">
        <f t="shared" si="239"/>
        <v>3</v>
      </c>
      <c r="I2365" s="39">
        <f t="shared" si="240"/>
        <v>0</v>
      </c>
      <c r="K2365" s="40"/>
      <c r="Q2365" s="40">
        <v>36572</v>
      </c>
      <c r="R2365" s="39">
        <v>7490.32</v>
      </c>
      <c r="S2365" s="39">
        <f t="shared" si="241"/>
        <v>2</v>
      </c>
      <c r="T2365" s="39">
        <f t="shared" si="242"/>
        <v>0</v>
      </c>
      <c r="U2365" s="39">
        <f t="shared" si="243"/>
        <v>0</v>
      </c>
      <c r="V2365" s="40"/>
    </row>
    <row r="2366" spans="2:22" x14ac:dyDescent="0.35">
      <c r="B2366" s="40">
        <v>36573</v>
      </c>
      <c r="C2366" s="39">
        <v>7580.53</v>
      </c>
      <c r="D2366" s="219">
        <f t="shared" si="244"/>
        <v>1.1971597806250827E-2</v>
      </c>
      <c r="F2366" s="40">
        <v>36573</v>
      </c>
      <c r="G2366" s="39">
        <v>7580.53</v>
      </c>
      <c r="H2366" s="39">
        <f t="shared" si="239"/>
        <v>4</v>
      </c>
      <c r="I2366" s="39">
        <f t="shared" si="240"/>
        <v>0</v>
      </c>
      <c r="K2366" s="40"/>
      <c r="Q2366" s="40">
        <v>36573</v>
      </c>
      <c r="R2366" s="39">
        <v>7580.53</v>
      </c>
      <c r="S2366" s="39">
        <f t="shared" si="241"/>
        <v>2</v>
      </c>
      <c r="T2366" s="39">
        <f t="shared" si="242"/>
        <v>0</v>
      </c>
      <c r="U2366" s="39">
        <f t="shared" si="243"/>
        <v>0</v>
      </c>
      <c r="V2366" s="40"/>
    </row>
    <row r="2367" spans="2:22" x14ac:dyDescent="0.35">
      <c r="B2367" s="40">
        <v>36574</v>
      </c>
      <c r="C2367" s="39">
        <v>7573.78</v>
      </c>
      <c r="D2367" s="219">
        <f t="shared" si="244"/>
        <v>-8.9083573536422826E-4</v>
      </c>
      <c r="F2367" s="40">
        <v>36574</v>
      </c>
      <c r="G2367" s="39">
        <v>7573.78</v>
      </c>
      <c r="H2367" s="39">
        <f t="shared" si="239"/>
        <v>5</v>
      </c>
      <c r="I2367" s="39">
        <f t="shared" si="240"/>
        <v>7573.78</v>
      </c>
      <c r="K2367" s="40"/>
      <c r="Q2367" s="40">
        <v>36574</v>
      </c>
      <c r="R2367" s="39">
        <v>7573.78</v>
      </c>
      <c r="S2367" s="39">
        <f t="shared" si="241"/>
        <v>2</v>
      </c>
      <c r="T2367" s="39">
        <f t="shared" si="242"/>
        <v>0</v>
      </c>
      <c r="U2367" s="39">
        <f t="shared" si="243"/>
        <v>0</v>
      </c>
      <c r="V2367" s="40"/>
    </row>
    <row r="2368" spans="2:22" x14ac:dyDescent="0.35">
      <c r="B2368" s="40">
        <v>36577</v>
      </c>
      <c r="C2368" s="39">
        <v>7590.53</v>
      </c>
      <c r="D2368" s="219">
        <f t="shared" si="244"/>
        <v>2.2091353727344402E-3</v>
      </c>
      <c r="F2368" s="40">
        <v>36577</v>
      </c>
      <c r="G2368" s="39">
        <v>7590.53</v>
      </c>
      <c r="H2368" s="39">
        <f t="shared" si="239"/>
        <v>1</v>
      </c>
      <c r="I2368" s="39">
        <f t="shared" si="240"/>
        <v>0</v>
      </c>
      <c r="K2368" s="40"/>
      <c r="Q2368" s="40">
        <v>36577</v>
      </c>
      <c r="R2368" s="39">
        <v>7590.53</v>
      </c>
      <c r="S2368" s="39">
        <f t="shared" si="241"/>
        <v>2</v>
      </c>
      <c r="T2368" s="39">
        <f t="shared" si="242"/>
        <v>0</v>
      </c>
      <c r="U2368" s="39">
        <f t="shared" si="243"/>
        <v>0</v>
      </c>
      <c r="V2368" s="40"/>
    </row>
    <row r="2369" spans="2:22" x14ac:dyDescent="0.35">
      <c r="B2369" s="40">
        <v>36578</v>
      </c>
      <c r="C2369" s="39">
        <v>7607.94</v>
      </c>
      <c r="D2369" s="219">
        <f t="shared" si="244"/>
        <v>2.2910210850303455E-3</v>
      </c>
      <c r="F2369" s="40">
        <v>36578</v>
      </c>
      <c r="G2369" s="39">
        <v>7607.94</v>
      </c>
      <c r="H2369" s="39">
        <f t="shared" si="239"/>
        <v>2</v>
      </c>
      <c r="I2369" s="39">
        <f t="shared" si="240"/>
        <v>0</v>
      </c>
      <c r="K2369" s="40"/>
      <c r="Q2369" s="40">
        <v>36578</v>
      </c>
      <c r="R2369" s="39">
        <v>7607.94</v>
      </c>
      <c r="S2369" s="39">
        <f t="shared" si="241"/>
        <v>2</v>
      </c>
      <c r="T2369" s="39">
        <f t="shared" si="242"/>
        <v>0</v>
      </c>
      <c r="U2369" s="39">
        <f t="shared" si="243"/>
        <v>0</v>
      </c>
      <c r="V2369" s="40"/>
    </row>
    <row r="2370" spans="2:22" x14ac:dyDescent="0.35">
      <c r="B2370" s="40">
        <v>36579</v>
      </c>
      <c r="C2370" s="39">
        <v>7698.97</v>
      </c>
      <c r="D2370" s="219">
        <f t="shared" si="244"/>
        <v>1.1894114901711618E-2</v>
      </c>
      <c r="F2370" s="40">
        <v>36579</v>
      </c>
      <c r="G2370" s="39">
        <v>7698.97</v>
      </c>
      <c r="H2370" s="39">
        <f t="shared" si="239"/>
        <v>3</v>
      </c>
      <c r="I2370" s="39">
        <f t="shared" si="240"/>
        <v>0</v>
      </c>
      <c r="K2370" s="40"/>
      <c r="Q2370" s="40">
        <v>36579</v>
      </c>
      <c r="R2370" s="39">
        <v>7698.97</v>
      </c>
      <c r="S2370" s="39">
        <f t="shared" si="241"/>
        <v>2</v>
      </c>
      <c r="T2370" s="39">
        <f t="shared" si="242"/>
        <v>0</v>
      </c>
      <c r="U2370" s="39">
        <f t="shared" si="243"/>
        <v>0</v>
      </c>
      <c r="V2370" s="40"/>
    </row>
    <row r="2371" spans="2:22" x14ac:dyDescent="0.35">
      <c r="B2371" s="40">
        <v>36580</v>
      </c>
      <c r="C2371" s="39">
        <v>7640.53</v>
      </c>
      <c r="D2371" s="219">
        <f t="shared" si="244"/>
        <v>-7.6195811783006029E-3</v>
      </c>
      <c r="F2371" s="40">
        <v>36580</v>
      </c>
      <c r="G2371" s="39">
        <v>7640.53</v>
      </c>
      <c r="H2371" s="39">
        <f t="shared" si="239"/>
        <v>4</v>
      </c>
      <c r="I2371" s="39">
        <f t="shared" si="240"/>
        <v>0</v>
      </c>
      <c r="K2371" s="40"/>
      <c r="Q2371" s="40">
        <v>36580</v>
      </c>
      <c r="R2371" s="39">
        <v>7640.53</v>
      </c>
      <c r="S2371" s="39">
        <f t="shared" si="241"/>
        <v>2</v>
      </c>
      <c r="T2371" s="39">
        <f t="shared" si="242"/>
        <v>0</v>
      </c>
      <c r="U2371" s="39">
        <f t="shared" si="243"/>
        <v>0</v>
      </c>
      <c r="V2371" s="40"/>
    </row>
    <row r="2372" spans="2:22" x14ac:dyDescent="0.35">
      <c r="B2372" s="40">
        <v>36581</v>
      </c>
      <c r="C2372" s="39">
        <v>7738.68</v>
      </c>
      <c r="D2372" s="219">
        <f t="shared" si="244"/>
        <v>1.2764157921857215E-2</v>
      </c>
      <c r="F2372" s="40">
        <v>36581</v>
      </c>
      <c r="G2372" s="39">
        <v>7738.68</v>
      </c>
      <c r="H2372" s="39">
        <f t="shared" si="239"/>
        <v>5</v>
      </c>
      <c r="I2372" s="39">
        <f t="shared" si="240"/>
        <v>7738.68</v>
      </c>
      <c r="K2372" s="40"/>
      <c r="Q2372" s="40">
        <v>36581</v>
      </c>
      <c r="R2372" s="39">
        <v>7738.68</v>
      </c>
      <c r="S2372" s="39">
        <f t="shared" si="241"/>
        <v>2</v>
      </c>
      <c r="T2372" s="39">
        <f t="shared" si="242"/>
        <v>0</v>
      </c>
      <c r="U2372" s="39">
        <f t="shared" si="243"/>
        <v>0</v>
      </c>
      <c r="V2372" s="40"/>
    </row>
    <row r="2373" spans="2:22" x14ac:dyDescent="0.35">
      <c r="B2373" s="40">
        <v>36584</v>
      </c>
      <c r="C2373" s="39">
        <v>7587.13</v>
      </c>
      <c r="D2373" s="219">
        <f t="shared" si="244"/>
        <v>-1.9777739640490597E-2</v>
      </c>
      <c r="F2373" s="40">
        <v>36584</v>
      </c>
      <c r="G2373" s="39">
        <v>7587.13</v>
      </c>
      <c r="H2373" s="39">
        <f t="shared" si="239"/>
        <v>1</v>
      </c>
      <c r="I2373" s="39">
        <f t="shared" si="240"/>
        <v>0</v>
      </c>
      <c r="K2373" s="40"/>
      <c r="Q2373" s="40">
        <v>36584</v>
      </c>
      <c r="R2373" s="39">
        <v>7587.13</v>
      </c>
      <c r="S2373" s="39">
        <f t="shared" si="241"/>
        <v>2</v>
      </c>
      <c r="T2373" s="39">
        <f t="shared" si="242"/>
        <v>0</v>
      </c>
      <c r="U2373" s="39">
        <f t="shared" si="243"/>
        <v>0</v>
      </c>
      <c r="V2373" s="40"/>
    </row>
    <row r="2374" spans="2:22" x14ac:dyDescent="0.35">
      <c r="B2374" s="40">
        <v>36585</v>
      </c>
      <c r="C2374" s="39">
        <v>7644.55</v>
      </c>
      <c r="D2374" s="219">
        <f t="shared" si="244"/>
        <v>7.5395848658445924E-3</v>
      </c>
      <c r="F2374" s="40">
        <v>36585</v>
      </c>
      <c r="G2374" s="39">
        <v>7644.55</v>
      </c>
      <c r="H2374" s="39">
        <f t="shared" si="239"/>
        <v>2</v>
      </c>
      <c r="I2374" s="39">
        <f t="shared" si="240"/>
        <v>0</v>
      </c>
      <c r="K2374" s="40"/>
      <c r="Q2374" s="40">
        <v>36585</v>
      </c>
      <c r="R2374" s="39">
        <v>7644.55</v>
      </c>
      <c r="S2374" s="39">
        <f t="shared" si="241"/>
        <v>2</v>
      </c>
      <c r="T2374" s="39">
        <f t="shared" si="242"/>
        <v>7644.55</v>
      </c>
      <c r="U2374" s="39">
        <f t="shared" si="243"/>
        <v>7644.55</v>
      </c>
      <c r="V2374" s="40"/>
    </row>
    <row r="2375" spans="2:22" x14ac:dyDescent="0.35">
      <c r="B2375" s="40">
        <v>36586</v>
      </c>
      <c r="C2375" s="39">
        <v>7727.93</v>
      </c>
      <c r="D2375" s="219">
        <f t="shared" si="244"/>
        <v>1.0848063250896765E-2</v>
      </c>
      <c r="F2375" s="40">
        <v>36586</v>
      </c>
      <c r="G2375" s="39">
        <v>7727.93</v>
      </c>
      <c r="H2375" s="39">
        <f t="shared" si="239"/>
        <v>3</v>
      </c>
      <c r="I2375" s="39">
        <f t="shared" si="240"/>
        <v>0</v>
      </c>
      <c r="K2375" s="40"/>
      <c r="Q2375" s="40">
        <v>36586</v>
      </c>
      <c r="R2375" s="39">
        <v>7727.93</v>
      </c>
      <c r="S2375" s="39">
        <f t="shared" si="241"/>
        <v>3</v>
      </c>
      <c r="T2375" s="39">
        <f t="shared" si="242"/>
        <v>0</v>
      </c>
      <c r="U2375" s="39">
        <f t="shared" si="243"/>
        <v>0</v>
      </c>
      <c r="V2375" s="40"/>
    </row>
    <row r="2376" spans="2:22" x14ac:dyDescent="0.35">
      <c r="B2376" s="40">
        <v>36587</v>
      </c>
      <c r="C2376" s="39">
        <v>7945.77</v>
      </c>
      <c r="D2376" s="219">
        <f t="shared" si="244"/>
        <v>2.7798672693978864E-2</v>
      </c>
      <c r="F2376" s="40">
        <v>36587</v>
      </c>
      <c r="G2376" s="39">
        <v>7945.77</v>
      </c>
      <c r="H2376" s="39">
        <f t="shared" si="239"/>
        <v>4</v>
      </c>
      <c r="I2376" s="39">
        <f t="shared" si="240"/>
        <v>0</v>
      </c>
      <c r="K2376" s="40"/>
      <c r="Q2376" s="40">
        <v>36587</v>
      </c>
      <c r="R2376" s="39">
        <v>7945.77</v>
      </c>
      <c r="S2376" s="39">
        <f t="shared" si="241"/>
        <v>3</v>
      </c>
      <c r="T2376" s="39">
        <f t="shared" si="242"/>
        <v>0</v>
      </c>
      <c r="U2376" s="39">
        <f t="shared" si="243"/>
        <v>0</v>
      </c>
      <c r="V2376" s="40"/>
    </row>
    <row r="2377" spans="2:22" x14ac:dyDescent="0.35">
      <c r="B2377" s="40">
        <v>36588</v>
      </c>
      <c r="C2377" s="39">
        <v>7960.03</v>
      </c>
      <c r="D2377" s="219">
        <f t="shared" si="244"/>
        <v>1.7930571012530659E-3</v>
      </c>
      <c r="F2377" s="40">
        <v>36588</v>
      </c>
      <c r="G2377" s="39">
        <v>7960.03</v>
      </c>
      <c r="H2377" s="39">
        <f t="shared" si="239"/>
        <v>5</v>
      </c>
      <c r="I2377" s="39">
        <f t="shared" si="240"/>
        <v>7960.03</v>
      </c>
      <c r="K2377" s="40"/>
      <c r="Q2377" s="40">
        <v>36588</v>
      </c>
      <c r="R2377" s="39">
        <v>7960.03</v>
      </c>
      <c r="S2377" s="39">
        <f t="shared" si="241"/>
        <v>3</v>
      </c>
      <c r="T2377" s="39">
        <f t="shared" si="242"/>
        <v>0</v>
      </c>
      <c r="U2377" s="39">
        <f t="shared" si="243"/>
        <v>0</v>
      </c>
      <c r="V2377" s="40"/>
    </row>
    <row r="2378" spans="2:22" x14ac:dyDescent="0.35">
      <c r="B2378" s="40">
        <v>36591</v>
      </c>
      <c r="C2378" s="39">
        <v>7975.78</v>
      </c>
      <c r="D2378" s="219">
        <f t="shared" si="244"/>
        <v>1.9766808374707852E-3</v>
      </c>
      <c r="F2378" s="40">
        <v>36591</v>
      </c>
      <c r="G2378" s="39">
        <v>7975.78</v>
      </c>
      <c r="H2378" s="39">
        <f t="shared" si="239"/>
        <v>1</v>
      </c>
      <c r="I2378" s="39">
        <f t="shared" si="240"/>
        <v>0</v>
      </c>
      <c r="K2378" s="40"/>
      <c r="Q2378" s="40">
        <v>36591</v>
      </c>
      <c r="R2378" s="39">
        <v>7975.78</v>
      </c>
      <c r="S2378" s="39">
        <f t="shared" si="241"/>
        <v>3</v>
      </c>
      <c r="T2378" s="39">
        <f t="shared" si="242"/>
        <v>0</v>
      </c>
      <c r="U2378" s="39">
        <f t="shared" si="243"/>
        <v>0</v>
      </c>
      <c r="V2378" s="40"/>
    </row>
    <row r="2379" spans="2:22" x14ac:dyDescent="0.35">
      <c r="B2379" s="40">
        <v>36592</v>
      </c>
      <c r="C2379" s="39">
        <v>8064.97</v>
      </c>
      <c r="D2379" s="219">
        <f t="shared" si="244"/>
        <v>1.1120542262558965E-2</v>
      </c>
      <c r="F2379" s="40">
        <v>36592</v>
      </c>
      <c r="G2379" s="39">
        <v>8064.97</v>
      </c>
      <c r="H2379" s="39">
        <f t="shared" si="239"/>
        <v>2</v>
      </c>
      <c r="I2379" s="39">
        <f t="shared" si="240"/>
        <v>0</v>
      </c>
      <c r="K2379" s="40"/>
      <c r="Q2379" s="40">
        <v>36592</v>
      </c>
      <c r="R2379" s="39">
        <v>8064.97</v>
      </c>
      <c r="S2379" s="39">
        <f t="shared" si="241"/>
        <v>3</v>
      </c>
      <c r="T2379" s="39">
        <f t="shared" si="242"/>
        <v>0</v>
      </c>
      <c r="U2379" s="39">
        <f t="shared" si="243"/>
        <v>0</v>
      </c>
      <c r="V2379" s="40"/>
    </row>
    <row r="2380" spans="2:22" x14ac:dyDescent="0.35">
      <c r="B2380" s="40">
        <v>36593</v>
      </c>
      <c r="C2380" s="39">
        <v>7987</v>
      </c>
      <c r="D2380" s="219">
        <f t="shared" si="244"/>
        <v>-9.7147718581885711E-3</v>
      </c>
      <c r="F2380" s="40">
        <v>36593</v>
      </c>
      <c r="G2380" s="39">
        <v>7987</v>
      </c>
      <c r="H2380" s="39">
        <f t="shared" si="239"/>
        <v>3</v>
      </c>
      <c r="I2380" s="39">
        <f t="shared" si="240"/>
        <v>0</v>
      </c>
      <c r="K2380" s="40"/>
      <c r="Q2380" s="40">
        <v>36593</v>
      </c>
      <c r="R2380" s="39">
        <v>7987</v>
      </c>
      <c r="S2380" s="39">
        <f t="shared" si="241"/>
        <v>3</v>
      </c>
      <c r="T2380" s="39">
        <f t="shared" si="242"/>
        <v>0</v>
      </c>
      <c r="U2380" s="39">
        <f t="shared" si="243"/>
        <v>0</v>
      </c>
      <c r="V2380" s="40"/>
    </row>
    <row r="2381" spans="2:22" x14ac:dyDescent="0.35">
      <c r="B2381" s="40">
        <v>36594</v>
      </c>
      <c r="C2381" s="39">
        <v>7949.15</v>
      </c>
      <c r="D2381" s="219">
        <f t="shared" si="244"/>
        <v>-4.750215224167428E-3</v>
      </c>
      <c r="F2381" s="40">
        <v>36594</v>
      </c>
      <c r="G2381" s="39">
        <v>7949.15</v>
      </c>
      <c r="H2381" s="39">
        <f t="shared" si="239"/>
        <v>4</v>
      </c>
      <c r="I2381" s="39">
        <f t="shared" si="240"/>
        <v>0</v>
      </c>
      <c r="K2381" s="40"/>
      <c r="Q2381" s="40">
        <v>36594</v>
      </c>
      <c r="R2381" s="39">
        <v>7949.15</v>
      </c>
      <c r="S2381" s="39">
        <f t="shared" si="241"/>
        <v>3</v>
      </c>
      <c r="T2381" s="39">
        <f t="shared" si="242"/>
        <v>0</v>
      </c>
      <c r="U2381" s="39">
        <f t="shared" si="243"/>
        <v>0</v>
      </c>
      <c r="V2381" s="40"/>
    </row>
    <row r="2382" spans="2:22" x14ac:dyDescent="0.35">
      <c r="B2382" s="40">
        <v>36595</v>
      </c>
      <c r="C2382" s="39">
        <v>7975.95</v>
      </c>
      <c r="D2382" s="219">
        <f t="shared" si="244"/>
        <v>3.3657591223843959E-3</v>
      </c>
      <c r="F2382" s="40">
        <v>36595</v>
      </c>
      <c r="G2382" s="39">
        <v>7975.95</v>
      </c>
      <c r="H2382" s="39">
        <f t="shared" si="239"/>
        <v>5</v>
      </c>
      <c r="I2382" s="39">
        <f t="shared" si="240"/>
        <v>7975.95</v>
      </c>
      <c r="K2382" s="40"/>
      <c r="Q2382" s="40">
        <v>36595</v>
      </c>
      <c r="R2382" s="39">
        <v>7975.95</v>
      </c>
      <c r="S2382" s="39">
        <f t="shared" si="241"/>
        <v>3</v>
      </c>
      <c r="T2382" s="39">
        <f t="shared" si="242"/>
        <v>0</v>
      </c>
      <c r="U2382" s="39">
        <f t="shared" si="243"/>
        <v>0</v>
      </c>
      <c r="V2382" s="40"/>
    </row>
    <row r="2383" spans="2:22" x14ac:dyDescent="0.35">
      <c r="B2383" s="40">
        <v>36598</v>
      </c>
      <c r="C2383" s="39">
        <v>7693.85</v>
      </c>
      <c r="D2383" s="219">
        <f t="shared" si="244"/>
        <v>-3.6009455404352846E-2</v>
      </c>
      <c r="F2383" s="40">
        <v>36598</v>
      </c>
      <c r="G2383" s="39">
        <v>7693.85</v>
      </c>
      <c r="H2383" s="39">
        <f t="shared" si="239"/>
        <v>1</v>
      </c>
      <c r="I2383" s="39">
        <f t="shared" si="240"/>
        <v>0</v>
      </c>
      <c r="K2383" s="40"/>
      <c r="Q2383" s="40">
        <v>36598</v>
      </c>
      <c r="R2383" s="39">
        <v>7693.85</v>
      </c>
      <c r="S2383" s="39">
        <f t="shared" si="241"/>
        <v>3</v>
      </c>
      <c r="T2383" s="39">
        <f t="shared" si="242"/>
        <v>0</v>
      </c>
      <c r="U2383" s="39">
        <f t="shared" si="243"/>
        <v>0</v>
      </c>
      <c r="V2383" s="40"/>
    </row>
    <row r="2384" spans="2:22" x14ac:dyDescent="0.35">
      <c r="B2384" s="40">
        <v>36599</v>
      </c>
      <c r="C2384" s="39">
        <v>7650.05</v>
      </c>
      <c r="D2384" s="219">
        <f t="shared" si="244"/>
        <v>-5.7091246643182414E-3</v>
      </c>
      <c r="F2384" s="40">
        <v>36599</v>
      </c>
      <c r="G2384" s="39">
        <v>7650.05</v>
      </c>
      <c r="H2384" s="39">
        <f t="shared" si="239"/>
        <v>2</v>
      </c>
      <c r="I2384" s="39">
        <f t="shared" si="240"/>
        <v>0</v>
      </c>
      <c r="K2384" s="40"/>
      <c r="Q2384" s="40">
        <v>36599</v>
      </c>
      <c r="R2384" s="39">
        <v>7650.05</v>
      </c>
      <c r="S2384" s="39">
        <f t="shared" si="241"/>
        <v>3</v>
      </c>
      <c r="T2384" s="39">
        <f t="shared" si="242"/>
        <v>0</v>
      </c>
      <c r="U2384" s="39">
        <f t="shared" si="243"/>
        <v>0</v>
      </c>
      <c r="V2384" s="40"/>
    </row>
    <row r="2385" spans="2:22" x14ac:dyDescent="0.35">
      <c r="B2385" s="40">
        <v>36600</v>
      </c>
      <c r="C2385" s="39">
        <v>7414.46</v>
      </c>
      <c r="D2385" s="219">
        <f t="shared" si="244"/>
        <v>-3.1280036180809254E-2</v>
      </c>
      <c r="F2385" s="40">
        <v>36600</v>
      </c>
      <c r="G2385" s="39">
        <v>7414.46</v>
      </c>
      <c r="H2385" s="39">
        <f t="shared" si="239"/>
        <v>3</v>
      </c>
      <c r="I2385" s="39">
        <f t="shared" si="240"/>
        <v>0</v>
      </c>
      <c r="K2385" s="40"/>
      <c r="Q2385" s="40">
        <v>36600</v>
      </c>
      <c r="R2385" s="39">
        <v>7414.46</v>
      </c>
      <c r="S2385" s="39">
        <f t="shared" si="241"/>
        <v>3</v>
      </c>
      <c r="T2385" s="39">
        <f t="shared" si="242"/>
        <v>0</v>
      </c>
      <c r="U2385" s="39">
        <f t="shared" si="243"/>
        <v>0</v>
      </c>
      <c r="V2385" s="40"/>
    </row>
    <row r="2386" spans="2:22" x14ac:dyDescent="0.35">
      <c r="B2386" s="40">
        <v>36601</v>
      </c>
      <c r="C2386" s="39">
        <v>7583.96</v>
      </c>
      <c r="D2386" s="219">
        <f t="shared" si="244"/>
        <v>2.2603343093219947E-2</v>
      </c>
      <c r="F2386" s="40">
        <v>36601</v>
      </c>
      <c r="G2386" s="39">
        <v>7583.96</v>
      </c>
      <c r="H2386" s="39">
        <f t="shared" si="239"/>
        <v>4</v>
      </c>
      <c r="I2386" s="39">
        <f t="shared" si="240"/>
        <v>0</v>
      </c>
      <c r="K2386" s="40"/>
      <c r="Q2386" s="40">
        <v>36601</v>
      </c>
      <c r="R2386" s="39">
        <v>7583.96</v>
      </c>
      <c r="S2386" s="39">
        <f t="shared" si="241"/>
        <v>3</v>
      </c>
      <c r="T2386" s="39">
        <f t="shared" si="242"/>
        <v>0</v>
      </c>
      <c r="U2386" s="39">
        <f t="shared" si="243"/>
        <v>0</v>
      </c>
      <c r="V2386" s="40"/>
    </row>
    <row r="2387" spans="2:22" x14ac:dyDescent="0.35">
      <c r="B2387" s="40">
        <v>36602</v>
      </c>
      <c r="C2387" s="39">
        <v>7710.92</v>
      </c>
      <c r="D2387" s="219">
        <f t="shared" si="244"/>
        <v>1.6602015330534681E-2</v>
      </c>
      <c r="F2387" s="40">
        <v>36602</v>
      </c>
      <c r="G2387" s="39">
        <v>7710.92</v>
      </c>
      <c r="H2387" s="39">
        <f t="shared" si="239"/>
        <v>5</v>
      </c>
      <c r="I2387" s="39">
        <f t="shared" si="240"/>
        <v>7710.92</v>
      </c>
      <c r="K2387" s="40"/>
      <c r="Q2387" s="40">
        <v>36602</v>
      </c>
      <c r="R2387" s="39">
        <v>7710.92</v>
      </c>
      <c r="S2387" s="39">
        <f t="shared" si="241"/>
        <v>3</v>
      </c>
      <c r="T2387" s="39">
        <f t="shared" si="242"/>
        <v>0</v>
      </c>
      <c r="U2387" s="39">
        <f t="shared" si="243"/>
        <v>0</v>
      </c>
      <c r="V2387" s="40"/>
    </row>
    <row r="2388" spans="2:22" x14ac:dyDescent="0.35">
      <c r="B2388" s="40">
        <v>36605</v>
      </c>
      <c r="C2388" s="39">
        <v>7872.38</v>
      </c>
      <c r="D2388" s="219">
        <f t="shared" si="244"/>
        <v>2.0722924934860214E-2</v>
      </c>
      <c r="F2388" s="40">
        <v>36605</v>
      </c>
      <c r="G2388" s="39">
        <v>7872.38</v>
      </c>
      <c r="H2388" s="39">
        <f t="shared" si="239"/>
        <v>1</v>
      </c>
      <c r="I2388" s="39">
        <f t="shared" si="240"/>
        <v>0</v>
      </c>
      <c r="K2388" s="40"/>
      <c r="Q2388" s="40">
        <v>36605</v>
      </c>
      <c r="R2388" s="39">
        <v>7872.38</v>
      </c>
      <c r="S2388" s="39">
        <f t="shared" si="241"/>
        <v>3</v>
      </c>
      <c r="T2388" s="39">
        <f t="shared" si="242"/>
        <v>0</v>
      </c>
      <c r="U2388" s="39">
        <f t="shared" si="243"/>
        <v>0</v>
      </c>
      <c r="V2388" s="40"/>
    </row>
    <row r="2389" spans="2:22" x14ac:dyDescent="0.35">
      <c r="B2389" s="40">
        <v>36606</v>
      </c>
      <c r="C2389" s="39">
        <v>7807.93</v>
      </c>
      <c r="D2389" s="219">
        <f t="shared" si="244"/>
        <v>-8.2205470359334541E-3</v>
      </c>
      <c r="F2389" s="40">
        <v>36606</v>
      </c>
      <c r="G2389" s="39">
        <v>7807.93</v>
      </c>
      <c r="H2389" s="39">
        <f t="shared" si="239"/>
        <v>2</v>
      </c>
      <c r="I2389" s="39">
        <f t="shared" si="240"/>
        <v>0</v>
      </c>
      <c r="K2389" s="40"/>
      <c r="Q2389" s="40">
        <v>36606</v>
      </c>
      <c r="R2389" s="39">
        <v>7807.93</v>
      </c>
      <c r="S2389" s="39">
        <f t="shared" si="241"/>
        <v>3</v>
      </c>
      <c r="T2389" s="39">
        <f t="shared" si="242"/>
        <v>0</v>
      </c>
      <c r="U2389" s="39">
        <f t="shared" si="243"/>
        <v>0</v>
      </c>
      <c r="V2389" s="40"/>
    </row>
    <row r="2390" spans="2:22" x14ac:dyDescent="0.35">
      <c r="B2390" s="40">
        <v>36607</v>
      </c>
      <c r="C2390" s="39">
        <v>7798.62</v>
      </c>
      <c r="D2390" s="219">
        <f t="shared" si="244"/>
        <v>-1.1930889407804587E-3</v>
      </c>
      <c r="F2390" s="40">
        <v>36607</v>
      </c>
      <c r="G2390" s="39">
        <v>7798.62</v>
      </c>
      <c r="H2390" s="39">
        <f t="shared" si="239"/>
        <v>3</v>
      </c>
      <c r="I2390" s="39">
        <f t="shared" si="240"/>
        <v>0</v>
      </c>
      <c r="K2390" s="40"/>
      <c r="Q2390" s="40">
        <v>36607</v>
      </c>
      <c r="R2390" s="39">
        <v>7798.62</v>
      </c>
      <c r="S2390" s="39">
        <f t="shared" si="241"/>
        <v>3</v>
      </c>
      <c r="T2390" s="39">
        <f t="shared" si="242"/>
        <v>0</v>
      </c>
      <c r="U2390" s="39">
        <f t="shared" si="243"/>
        <v>0</v>
      </c>
      <c r="V2390" s="40"/>
    </row>
    <row r="2391" spans="2:22" x14ac:dyDescent="0.35">
      <c r="B2391" s="40">
        <v>36608</v>
      </c>
      <c r="C2391" s="39">
        <v>7694.78</v>
      </c>
      <c r="D2391" s="219">
        <f t="shared" si="244"/>
        <v>-1.3404618077250569E-2</v>
      </c>
      <c r="F2391" s="40">
        <v>36608</v>
      </c>
      <c r="G2391" s="39">
        <v>7694.78</v>
      </c>
      <c r="H2391" s="39">
        <f t="shared" si="239"/>
        <v>4</v>
      </c>
      <c r="I2391" s="39">
        <f t="shared" si="240"/>
        <v>0</v>
      </c>
      <c r="K2391" s="40"/>
      <c r="Q2391" s="40">
        <v>36608</v>
      </c>
      <c r="R2391" s="39">
        <v>7694.78</v>
      </c>
      <c r="S2391" s="39">
        <f t="shared" si="241"/>
        <v>3</v>
      </c>
      <c r="T2391" s="39">
        <f t="shared" si="242"/>
        <v>0</v>
      </c>
      <c r="U2391" s="39">
        <f t="shared" si="243"/>
        <v>0</v>
      </c>
      <c r="V2391" s="40"/>
    </row>
    <row r="2392" spans="2:22" x14ac:dyDescent="0.35">
      <c r="B2392" s="40">
        <v>36609</v>
      </c>
      <c r="C2392" s="39">
        <v>7932.42</v>
      </c>
      <c r="D2392" s="219">
        <f t="shared" si="244"/>
        <v>3.0415982442748148E-2</v>
      </c>
      <c r="F2392" s="40">
        <v>36609</v>
      </c>
      <c r="G2392" s="39">
        <v>7932.42</v>
      </c>
      <c r="H2392" s="39">
        <f t="shared" si="239"/>
        <v>5</v>
      </c>
      <c r="I2392" s="39">
        <f t="shared" si="240"/>
        <v>7932.42</v>
      </c>
      <c r="K2392" s="40"/>
      <c r="Q2392" s="40">
        <v>36609</v>
      </c>
      <c r="R2392" s="39">
        <v>7932.42</v>
      </c>
      <c r="S2392" s="39">
        <f t="shared" si="241"/>
        <v>3</v>
      </c>
      <c r="T2392" s="39">
        <f t="shared" si="242"/>
        <v>0</v>
      </c>
      <c r="U2392" s="39">
        <f t="shared" si="243"/>
        <v>0</v>
      </c>
      <c r="V2392" s="40"/>
    </row>
    <row r="2393" spans="2:22" x14ac:dyDescent="0.35">
      <c r="B2393" s="40">
        <v>36612</v>
      </c>
      <c r="C2393" s="39">
        <v>7892.49</v>
      </c>
      <c r="D2393" s="219">
        <f t="shared" si="244"/>
        <v>-5.046484907837029E-3</v>
      </c>
      <c r="F2393" s="40">
        <v>36612</v>
      </c>
      <c r="G2393" s="39">
        <v>7892.49</v>
      </c>
      <c r="H2393" s="39">
        <f t="shared" si="239"/>
        <v>1</v>
      </c>
      <c r="I2393" s="39">
        <f t="shared" si="240"/>
        <v>0</v>
      </c>
      <c r="K2393" s="40"/>
      <c r="Q2393" s="40">
        <v>36612</v>
      </c>
      <c r="R2393" s="39">
        <v>7892.49</v>
      </c>
      <c r="S2393" s="39">
        <f t="shared" si="241"/>
        <v>3</v>
      </c>
      <c r="T2393" s="39">
        <f t="shared" si="242"/>
        <v>0</v>
      </c>
      <c r="U2393" s="39">
        <f t="shared" si="243"/>
        <v>0</v>
      </c>
      <c r="V2393" s="40"/>
    </row>
    <row r="2394" spans="2:22" x14ac:dyDescent="0.35">
      <c r="B2394" s="40">
        <v>36613</v>
      </c>
      <c r="C2394" s="39">
        <v>7931.93</v>
      </c>
      <c r="D2394" s="219">
        <f t="shared" si="244"/>
        <v>4.984711182452143E-3</v>
      </c>
      <c r="F2394" s="40">
        <v>36613</v>
      </c>
      <c r="G2394" s="39">
        <v>7931.93</v>
      </c>
      <c r="H2394" s="39">
        <f t="shared" si="239"/>
        <v>2</v>
      </c>
      <c r="I2394" s="39">
        <f t="shared" si="240"/>
        <v>0</v>
      </c>
      <c r="K2394" s="40"/>
      <c r="Q2394" s="40">
        <v>36613</v>
      </c>
      <c r="R2394" s="39">
        <v>7931.93</v>
      </c>
      <c r="S2394" s="39">
        <f t="shared" si="241"/>
        <v>3</v>
      </c>
      <c r="T2394" s="39">
        <f t="shared" si="242"/>
        <v>0</v>
      </c>
      <c r="U2394" s="39">
        <f t="shared" si="243"/>
        <v>0</v>
      </c>
      <c r="V2394" s="40"/>
    </row>
    <row r="2395" spans="2:22" x14ac:dyDescent="0.35">
      <c r="B2395" s="40">
        <v>36614</v>
      </c>
      <c r="C2395" s="39">
        <v>7864.76</v>
      </c>
      <c r="D2395" s="219">
        <f t="shared" si="244"/>
        <v>-8.5043645009566324E-3</v>
      </c>
      <c r="F2395" s="40">
        <v>36614</v>
      </c>
      <c r="G2395" s="39">
        <v>7864.76</v>
      </c>
      <c r="H2395" s="39">
        <f t="shared" si="239"/>
        <v>3</v>
      </c>
      <c r="I2395" s="39">
        <f t="shared" si="240"/>
        <v>0</v>
      </c>
      <c r="K2395" s="40"/>
      <c r="Q2395" s="40">
        <v>36614</v>
      </c>
      <c r="R2395" s="39">
        <v>7864.76</v>
      </c>
      <c r="S2395" s="39">
        <f t="shared" si="241"/>
        <v>3</v>
      </c>
      <c r="T2395" s="39">
        <f t="shared" si="242"/>
        <v>0</v>
      </c>
      <c r="U2395" s="39">
        <f t="shared" si="243"/>
        <v>0</v>
      </c>
      <c r="V2395" s="40"/>
    </row>
    <row r="2396" spans="2:22" x14ac:dyDescent="0.35">
      <c r="B2396" s="40">
        <v>36615</v>
      </c>
      <c r="C2396" s="39">
        <v>7644.89</v>
      </c>
      <c r="D2396" s="219">
        <f t="shared" si="244"/>
        <v>-2.8354570316743304E-2</v>
      </c>
      <c r="F2396" s="40">
        <v>36615</v>
      </c>
      <c r="G2396" s="39">
        <v>7644.89</v>
      </c>
      <c r="H2396" s="39">
        <f t="shared" si="239"/>
        <v>4</v>
      </c>
      <c r="I2396" s="39">
        <f t="shared" si="240"/>
        <v>0</v>
      </c>
      <c r="K2396" s="40"/>
      <c r="Q2396" s="40">
        <v>36615</v>
      </c>
      <c r="R2396" s="39">
        <v>7644.89</v>
      </c>
      <c r="S2396" s="39">
        <f t="shared" si="241"/>
        <v>3</v>
      </c>
      <c r="T2396" s="39">
        <f t="shared" si="242"/>
        <v>0</v>
      </c>
      <c r="U2396" s="39">
        <f t="shared" si="243"/>
        <v>0</v>
      </c>
      <c r="V2396" s="40"/>
    </row>
    <row r="2397" spans="2:22" x14ac:dyDescent="0.35">
      <c r="B2397" s="40">
        <v>36616</v>
      </c>
      <c r="C2397" s="39">
        <v>7599.39</v>
      </c>
      <c r="D2397" s="219">
        <f t="shared" si="244"/>
        <v>-5.9694698751706328E-3</v>
      </c>
      <c r="F2397" s="40">
        <v>36616</v>
      </c>
      <c r="G2397" s="39">
        <v>7599.39</v>
      </c>
      <c r="H2397" s="39">
        <f t="shared" si="239"/>
        <v>5</v>
      </c>
      <c r="I2397" s="39">
        <f t="shared" si="240"/>
        <v>7599.39</v>
      </c>
      <c r="K2397" s="40"/>
      <c r="Q2397" s="40">
        <v>36616</v>
      </c>
      <c r="R2397" s="39">
        <v>7599.39</v>
      </c>
      <c r="S2397" s="39">
        <f t="shared" si="241"/>
        <v>3</v>
      </c>
      <c r="T2397" s="39">
        <f t="shared" si="242"/>
        <v>7599.39</v>
      </c>
      <c r="U2397" s="39">
        <f t="shared" si="243"/>
        <v>7599.39</v>
      </c>
      <c r="V2397" s="40"/>
    </row>
    <row r="2398" spans="2:22" x14ac:dyDescent="0.35">
      <c r="B2398" s="40">
        <v>36619</v>
      </c>
      <c r="C2398" s="39">
        <v>7429.22</v>
      </c>
      <c r="D2398" s="219">
        <f t="shared" si="244"/>
        <v>-2.2647107505804006E-2</v>
      </c>
      <c r="F2398" s="40">
        <v>36619</v>
      </c>
      <c r="G2398" s="39">
        <v>7429.22</v>
      </c>
      <c r="H2398" s="39">
        <f t="shared" si="239"/>
        <v>1</v>
      </c>
      <c r="I2398" s="39">
        <f t="shared" si="240"/>
        <v>0</v>
      </c>
      <c r="K2398" s="40"/>
      <c r="Q2398" s="40">
        <v>36619</v>
      </c>
      <c r="R2398" s="39">
        <v>7429.22</v>
      </c>
      <c r="S2398" s="39">
        <f t="shared" si="241"/>
        <v>4</v>
      </c>
      <c r="T2398" s="39">
        <f t="shared" si="242"/>
        <v>0</v>
      </c>
      <c r="U2398" s="39">
        <f t="shared" si="243"/>
        <v>0</v>
      </c>
      <c r="V2398" s="40"/>
    </row>
    <row r="2399" spans="2:22" x14ac:dyDescent="0.35">
      <c r="B2399" s="40">
        <v>36620</v>
      </c>
      <c r="C2399" s="39">
        <v>7522.8</v>
      </c>
      <c r="D2399" s="219">
        <f t="shared" si="244"/>
        <v>1.2517535678459139E-2</v>
      </c>
      <c r="F2399" s="40">
        <v>36620</v>
      </c>
      <c r="G2399" s="39">
        <v>7522.8</v>
      </c>
      <c r="H2399" s="39">
        <f t="shared" si="239"/>
        <v>2</v>
      </c>
      <c r="I2399" s="39">
        <f t="shared" si="240"/>
        <v>0</v>
      </c>
      <c r="K2399" s="40"/>
      <c r="Q2399" s="40">
        <v>36620</v>
      </c>
      <c r="R2399" s="39">
        <v>7522.8</v>
      </c>
      <c r="S2399" s="39">
        <f t="shared" si="241"/>
        <v>4</v>
      </c>
      <c r="T2399" s="39">
        <f t="shared" si="242"/>
        <v>0</v>
      </c>
      <c r="U2399" s="39">
        <f t="shared" si="243"/>
        <v>0</v>
      </c>
      <c r="V2399" s="40"/>
    </row>
    <row r="2400" spans="2:22" x14ac:dyDescent="0.35">
      <c r="B2400" s="40">
        <v>36621</v>
      </c>
      <c r="C2400" s="39">
        <v>7330.77</v>
      </c>
      <c r="D2400" s="219">
        <f t="shared" si="244"/>
        <v>-2.5857850955377577E-2</v>
      </c>
      <c r="F2400" s="40">
        <v>36621</v>
      </c>
      <c r="G2400" s="39">
        <v>7330.77</v>
      </c>
      <c r="H2400" s="39">
        <f t="shared" si="239"/>
        <v>3</v>
      </c>
      <c r="I2400" s="39">
        <f t="shared" si="240"/>
        <v>0</v>
      </c>
      <c r="K2400" s="40"/>
      <c r="Q2400" s="40">
        <v>36621</v>
      </c>
      <c r="R2400" s="39">
        <v>7330.77</v>
      </c>
      <c r="S2400" s="39">
        <f t="shared" si="241"/>
        <v>4</v>
      </c>
      <c r="T2400" s="39">
        <f t="shared" si="242"/>
        <v>0</v>
      </c>
      <c r="U2400" s="39">
        <f t="shared" si="243"/>
        <v>0</v>
      </c>
      <c r="V2400" s="40"/>
    </row>
    <row r="2401" spans="2:22" x14ac:dyDescent="0.35">
      <c r="B2401" s="40">
        <v>36622</v>
      </c>
      <c r="C2401" s="39">
        <v>7446.21</v>
      </c>
      <c r="D2401" s="219">
        <f t="shared" si="244"/>
        <v>1.5624619984464454E-2</v>
      </c>
      <c r="F2401" s="40">
        <v>36622</v>
      </c>
      <c r="G2401" s="39">
        <v>7446.21</v>
      </c>
      <c r="H2401" s="39">
        <f t="shared" si="239"/>
        <v>4</v>
      </c>
      <c r="I2401" s="39">
        <f t="shared" si="240"/>
        <v>0</v>
      </c>
      <c r="K2401" s="40"/>
      <c r="Q2401" s="40">
        <v>36622</v>
      </c>
      <c r="R2401" s="39">
        <v>7446.21</v>
      </c>
      <c r="S2401" s="39">
        <f t="shared" si="241"/>
        <v>4</v>
      </c>
      <c r="T2401" s="39">
        <f t="shared" si="242"/>
        <v>0</v>
      </c>
      <c r="U2401" s="39">
        <f t="shared" si="243"/>
        <v>0</v>
      </c>
      <c r="V2401" s="40"/>
    </row>
    <row r="2402" spans="2:22" x14ac:dyDescent="0.35">
      <c r="B2402" s="40">
        <v>36623</v>
      </c>
      <c r="C2402" s="39">
        <v>7522.2</v>
      </c>
      <c r="D2402" s="219">
        <f t="shared" si="244"/>
        <v>1.0153470253024321E-2</v>
      </c>
      <c r="F2402" s="40">
        <v>36623</v>
      </c>
      <c r="G2402" s="39">
        <v>7522.2</v>
      </c>
      <c r="H2402" s="39">
        <f t="shared" si="239"/>
        <v>5</v>
      </c>
      <c r="I2402" s="39">
        <f t="shared" si="240"/>
        <v>7522.2</v>
      </c>
      <c r="K2402" s="40"/>
      <c r="Q2402" s="40">
        <v>36623</v>
      </c>
      <c r="R2402" s="39">
        <v>7522.2</v>
      </c>
      <c r="S2402" s="39">
        <f t="shared" si="241"/>
        <v>4</v>
      </c>
      <c r="T2402" s="39">
        <f t="shared" si="242"/>
        <v>0</v>
      </c>
      <c r="U2402" s="39">
        <f t="shared" si="243"/>
        <v>0</v>
      </c>
      <c r="V2402" s="40"/>
    </row>
    <row r="2403" spans="2:22" x14ac:dyDescent="0.35">
      <c r="B2403" s="40">
        <v>36626</v>
      </c>
      <c r="C2403" s="39">
        <v>7516.95</v>
      </c>
      <c r="D2403" s="219">
        <f t="shared" si="244"/>
        <v>-6.9817778441734609E-4</v>
      </c>
      <c r="F2403" s="40">
        <v>36626</v>
      </c>
      <c r="G2403" s="39">
        <v>7516.95</v>
      </c>
      <c r="H2403" s="39">
        <f t="shared" si="239"/>
        <v>1</v>
      </c>
      <c r="I2403" s="39">
        <f t="shared" si="240"/>
        <v>0</v>
      </c>
      <c r="K2403" s="40"/>
      <c r="Q2403" s="40">
        <v>36626</v>
      </c>
      <c r="R2403" s="39">
        <v>7516.95</v>
      </c>
      <c r="S2403" s="39">
        <f t="shared" si="241"/>
        <v>4</v>
      </c>
      <c r="T2403" s="39">
        <f t="shared" si="242"/>
        <v>0</v>
      </c>
      <c r="U2403" s="39">
        <f t="shared" si="243"/>
        <v>0</v>
      </c>
      <c r="V2403" s="40"/>
    </row>
    <row r="2404" spans="2:22" x14ac:dyDescent="0.35">
      <c r="B2404" s="40">
        <v>36627</v>
      </c>
      <c r="C2404" s="39">
        <v>7442.66</v>
      </c>
      <c r="D2404" s="219">
        <f t="shared" si="244"/>
        <v>-9.9321587542649577E-3</v>
      </c>
      <c r="F2404" s="40">
        <v>36627</v>
      </c>
      <c r="G2404" s="39">
        <v>7442.66</v>
      </c>
      <c r="H2404" s="39">
        <f t="shared" si="239"/>
        <v>2</v>
      </c>
      <c r="I2404" s="39">
        <f t="shared" si="240"/>
        <v>0</v>
      </c>
      <c r="K2404" s="40"/>
      <c r="Q2404" s="40">
        <v>36627</v>
      </c>
      <c r="R2404" s="39">
        <v>7442.66</v>
      </c>
      <c r="S2404" s="39">
        <f t="shared" si="241"/>
        <v>4</v>
      </c>
      <c r="T2404" s="39">
        <f t="shared" si="242"/>
        <v>0</v>
      </c>
      <c r="U2404" s="39">
        <f t="shared" si="243"/>
        <v>0</v>
      </c>
      <c r="V2404" s="40"/>
    </row>
    <row r="2405" spans="2:22" x14ac:dyDescent="0.35">
      <c r="B2405" s="40">
        <v>36628</v>
      </c>
      <c r="C2405" s="39">
        <v>7443.07</v>
      </c>
      <c r="D2405" s="219">
        <f t="shared" si="244"/>
        <v>5.5086314222231812E-5</v>
      </c>
      <c r="F2405" s="40">
        <v>36628</v>
      </c>
      <c r="G2405" s="39">
        <v>7443.07</v>
      </c>
      <c r="H2405" s="39">
        <f t="shared" si="239"/>
        <v>3</v>
      </c>
      <c r="I2405" s="39">
        <f t="shared" si="240"/>
        <v>0</v>
      </c>
      <c r="K2405" s="40"/>
      <c r="Q2405" s="40">
        <v>36628</v>
      </c>
      <c r="R2405" s="39">
        <v>7443.07</v>
      </c>
      <c r="S2405" s="39">
        <f t="shared" si="241"/>
        <v>4</v>
      </c>
      <c r="T2405" s="39">
        <f t="shared" si="242"/>
        <v>0</v>
      </c>
      <c r="U2405" s="39">
        <f t="shared" si="243"/>
        <v>0</v>
      </c>
      <c r="V2405" s="40"/>
    </row>
    <row r="2406" spans="2:22" x14ac:dyDescent="0.35">
      <c r="B2406" s="40">
        <v>36629</v>
      </c>
      <c r="C2406" s="39">
        <v>7449.06</v>
      </c>
      <c r="D2406" s="219">
        <f t="shared" si="244"/>
        <v>8.0445179071540654E-4</v>
      </c>
      <c r="F2406" s="40">
        <v>36629</v>
      </c>
      <c r="G2406" s="39">
        <v>7449.06</v>
      </c>
      <c r="H2406" s="39">
        <f t="shared" si="239"/>
        <v>4</v>
      </c>
      <c r="I2406" s="39">
        <f t="shared" si="240"/>
        <v>0</v>
      </c>
      <c r="K2406" s="40"/>
      <c r="Q2406" s="40">
        <v>36629</v>
      </c>
      <c r="R2406" s="39">
        <v>7449.06</v>
      </c>
      <c r="S2406" s="39">
        <f t="shared" si="241"/>
        <v>4</v>
      </c>
      <c r="T2406" s="39">
        <f t="shared" si="242"/>
        <v>0</v>
      </c>
      <c r="U2406" s="39">
        <f t="shared" si="243"/>
        <v>0</v>
      </c>
      <c r="V2406" s="40"/>
    </row>
    <row r="2407" spans="2:22" x14ac:dyDescent="0.35">
      <c r="B2407" s="40">
        <v>36630</v>
      </c>
      <c r="C2407" s="39">
        <v>7214.83</v>
      </c>
      <c r="D2407" s="219">
        <f t="shared" si="244"/>
        <v>-3.194922000946912E-2</v>
      </c>
      <c r="F2407" s="40">
        <v>36630</v>
      </c>
      <c r="G2407" s="39">
        <v>7214.83</v>
      </c>
      <c r="H2407" s="39">
        <f t="shared" si="239"/>
        <v>5</v>
      </c>
      <c r="I2407" s="39">
        <f t="shared" si="240"/>
        <v>7214.83</v>
      </c>
      <c r="K2407" s="40"/>
      <c r="Q2407" s="40">
        <v>36630</v>
      </c>
      <c r="R2407" s="39">
        <v>7214.83</v>
      </c>
      <c r="S2407" s="39">
        <f t="shared" si="241"/>
        <v>4</v>
      </c>
      <c r="T2407" s="39">
        <f t="shared" si="242"/>
        <v>0</v>
      </c>
      <c r="U2407" s="39">
        <f t="shared" si="243"/>
        <v>0</v>
      </c>
      <c r="V2407" s="40"/>
    </row>
    <row r="2408" spans="2:22" x14ac:dyDescent="0.35">
      <c r="B2408" s="40">
        <v>36633</v>
      </c>
      <c r="C2408" s="39">
        <v>7187.14</v>
      </c>
      <c r="D2408" s="219">
        <f t="shared" si="244"/>
        <v>-3.8453120121297291E-3</v>
      </c>
      <c r="F2408" s="40">
        <v>36633</v>
      </c>
      <c r="G2408" s="39">
        <v>7187.14</v>
      </c>
      <c r="H2408" s="39">
        <f t="shared" si="239"/>
        <v>1</v>
      </c>
      <c r="I2408" s="39">
        <f t="shared" si="240"/>
        <v>0</v>
      </c>
      <c r="K2408" s="40"/>
      <c r="Q2408" s="40">
        <v>36633</v>
      </c>
      <c r="R2408" s="39">
        <v>7187.14</v>
      </c>
      <c r="S2408" s="39">
        <f t="shared" si="241"/>
        <v>4</v>
      </c>
      <c r="T2408" s="39">
        <f t="shared" si="242"/>
        <v>0</v>
      </c>
      <c r="U2408" s="39">
        <f t="shared" si="243"/>
        <v>0</v>
      </c>
      <c r="V2408" s="40"/>
    </row>
    <row r="2409" spans="2:22" x14ac:dyDescent="0.35">
      <c r="B2409" s="40">
        <v>36634</v>
      </c>
      <c r="C2409" s="39">
        <v>7196.49</v>
      </c>
      <c r="D2409" s="219">
        <f t="shared" si="244"/>
        <v>1.3000892426976677E-3</v>
      </c>
      <c r="F2409" s="40">
        <v>36634</v>
      </c>
      <c r="G2409" s="39">
        <v>7196.49</v>
      </c>
      <c r="H2409" s="39">
        <f t="shared" si="239"/>
        <v>2</v>
      </c>
      <c r="I2409" s="39">
        <f t="shared" si="240"/>
        <v>0</v>
      </c>
      <c r="K2409" s="40"/>
      <c r="Q2409" s="40">
        <v>36634</v>
      </c>
      <c r="R2409" s="39">
        <v>7196.49</v>
      </c>
      <c r="S2409" s="39">
        <f t="shared" si="241"/>
        <v>4</v>
      </c>
      <c r="T2409" s="39">
        <f t="shared" si="242"/>
        <v>0</v>
      </c>
      <c r="U2409" s="39">
        <f t="shared" si="243"/>
        <v>0</v>
      </c>
      <c r="V2409" s="40"/>
    </row>
    <row r="2410" spans="2:22" x14ac:dyDescent="0.35">
      <c r="B2410" s="40">
        <v>36635</v>
      </c>
      <c r="C2410" s="39">
        <v>7216.71</v>
      </c>
      <c r="D2410" s="219">
        <f t="shared" si="244"/>
        <v>2.8057632260477181E-3</v>
      </c>
      <c r="F2410" s="40">
        <v>36635</v>
      </c>
      <c r="G2410" s="39">
        <v>7216.71</v>
      </c>
      <c r="H2410" s="39">
        <f t="shared" si="239"/>
        <v>3</v>
      </c>
      <c r="I2410" s="39">
        <f t="shared" si="240"/>
        <v>0</v>
      </c>
      <c r="K2410" s="40"/>
      <c r="Q2410" s="40">
        <v>36635</v>
      </c>
      <c r="R2410" s="39">
        <v>7216.71</v>
      </c>
      <c r="S2410" s="39">
        <f t="shared" si="241"/>
        <v>4</v>
      </c>
      <c r="T2410" s="39">
        <f t="shared" si="242"/>
        <v>0</v>
      </c>
      <c r="U2410" s="39">
        <f t="shared" si="243"/>
        <v>0</v>
      </c>
      <c r="V2410" s="40"/>
    </row>
    <row r="2411" spans="2:22" x14ac:dyDescent="0.35">
      <c r="B2411" s="40">
        <v>36636</v>
      </c>
      <c r="C2411" s="39">
        <v>7157.95</v>
      </c>
      <c r="D2411" s="219">
        <f t="shared" si="244"/>
        <v>-8.1755432532558889E-3</v>
      </c>
      <c r="F2411" s="40">
        <v>36636</v>
      </c>
      <c r="G2411" s="39">
        <v>7157.95</v>
      </c>
      <c r="H2411" s="39">
        <f t="shared" si="239"/>
        <v>4</v>
      </c>
      <c r="I2411" s="39">
        <f t="shared" si="240"/>
        <v>7157.95</v>
      </c>
      <c r="K2411" s="40"/>
      <c r="Q2411" s="40">
        <v>36636</v>
      </c>
      <c r="R2411" s="39">
        <v>7157.95</v>
      </c>
      <c r="S2411" s="39">
        <f t="shared" si="241"/>
        <v>4</v>
      </c>
      <c r="T2411" s="39">
        <f t="shared" si="242"/>
        <v>0</v>
      </c>
      <c r="U2411" s="39">
        <f t="shared" si="243"/>
        <v>0</v>
      </c>
      <c r="V2411" s="40"/>
    </row>
    <row r="2412" spans="2:22" x14ac:dyDescent="0.35">
      <c r="B2412" s="40">
        <v>36641</v>
      </c>
      <c r="C2412" s="39">
        <v>7280.51</v>
      </c>
      <c r="D2412" s="219">
        <f t="shared" si="244"/>
        <v>1.6977287571873351E-2</v>
      </c>
      <c r="F2412" s="40">
        <v>36641</v>
      </c>
      <c r="G2412" s="39">
        <v>7280.51</v>
      </c>
      <c r="H2412" s="39">
        <f t="shared" si="239"/>
        <v>2</v>
      </c>
      <c r="I2412" s="39">
        <f t="shared" si="240"/>
        <v>0</v>
      </c>
      <c r="K2412" s="40"/>
      <c r="Q2412" s="40">
        <v>36641</v>
      </c>
      <c r="R2412" s="39">
        <v>7280.51</v>
      </c>
      <c r="S2412" s="39">
        <f t="shared" si="241"/>
        <v>4</v>
      </c>
      <c r="T2412" s="39">
        <f t="shared" si="242"/>
        <v>0</v>
      </c>
      <c r="U2412" s="39">
        <f t="shared" si="243"/>
        <v>0</v>
      </c>
      <c r="V2412" s="40"/>
    </row>
    <row r="2413" spans="2:22" x14ac:dyDescent="0.35">
      <c r="B2413" s="40">
        <v>36642</v>
      </c>
      <c r="C2413" s="39">
        <v>7388.55</v>
      </c>
      <c r="D2413" s="219">
        <f t="shared" si="244"/>
        <v>1.4730589912202666E-2</v>
      </c>
      <c r="F2413" s="40">
        <v>36642</v>
      </c>
      <c r="G2413" s="39">
        <v>7388.55</v>
      </c>
      <c r="H2413" s="39">
        <f t="shared" si="239"/>
        <v>3</v>
      </c>
      <c r="I2413" s="39">
        <f t="shared" si="240"/>
        <v>0</v>
      </c>
      <c r="K2413" s="40"/>
      <c r="Q2413" s="40">
        <v>36642</v>
      </c>
      <c r="R2413" s="39">
        <v>7388.55</v>
      </c>
      <c r="S2413" s="39">
        <f t="shared" si="241"/>
        <v>4</v>
      </c>
      <c r="T2413" s="39">
        <f t="shared" si="242"/>
        <v>0</v>
      </c>
      <c r="U2413" s="39">
        <f t="shared" si="243"/>
        <v>0</v>
      </c>
      <c r="V2413" s="40"/>
    </row>
    <row r="2414" spans="2:22" x14ac:dyDescent="0.35">
      <c r="B2414" s="40">
        <v>36643</v>
      </c>
      <c r="C2414" s="39">
        <v>7221.74</v>
      </c>
      <c r="D2414" s="219">
        <f t="shared" si="244"/>
        <v>-2.2835583512635014E-2</v>
      </c>
      <c r="F2414" s="40">
        <v>36643</v>
      </c>
      <c r="G2414" s="39">
        <v>7221.74</v>
      </c>
      <c r="H2414" s="39">
        <f t="shared" si="239"/>
        <v>4</v>
      </c>
      <c r="I2414" s="39">
        <f t="shared" si="240"/>
        <v>0</v>
      </c>
      <c r="K2414" s="40"/>
      <c r="Q2414" s="40">
        <v>36643</v>
      </c>
      <c r="R2414" s="39">
        <v>7221.74</v>
      </c>
      <c r="S2414" s="39">
        <f t="shared" si="241"/>
        <v>4</v>
      </c>
      <c r="T2414" s="39">
        <f t="shared" si="242"/>
        <v>0</v>
      </c>
      <c r="U2414" s="39">
        <f t="shared" si="243"/>
        <v>0</v>
      </c>
      <c r="V2414" s="40"/>
    </row>
    <row r="2415" spans="2:22" x14ac:dyDescent="0.35">
      <c r="B2415" s="40">
        <v>36644</v>
      </c>
      <c r="C2415" s="39">
        <v>7414.68</v>
      </c>
      <c r="D2415" s="219">
        <f t="shared" si="244"/>
        <v>2.6365897793833911E-2</v>
      </c>
      <c r="F2415" s="40">
        <v>36644</v>
      </c>
      <c r="G2415" s="39">
        <v>7414.68</v>
      </c>
      <c r="H2415" s="39">
        <f t="shared" si="239"/>
        <v>5</v>
      </c>
      <c r="I2415" s="39">
        <f t="shared" si="240"/>
        <v>7414.68</v>
      </c>
      <c r="K2415" s="40"/>
      <c r="Q2415" s="40">
        <v>36644</v>
      </c>
      <c r="R2415" s="39">
        <v>7414.68</v>
      </c>
      <c r="S2415" s="39">
        <f t="shared" si="241"/>
        <v>4</v>
      </c>
      <c r="T2415" s="39">
        <f t="shared" si="242"/>
        <v>7414.68</v>
      </c>
      <c r="U2415" s="39">
        <f t="shared" si="243"/>
        <v>7414.68</v>
      </c>
      <c r="V2415" s="40"/>
    </row>
    <row r="2416" spans="2:22" x14ac:dyDescent="0.35">
      <c r="B2416" s="40">
        <v>36648</v>
      </c>
      <c r="C2416" s="39">
        <v>7555.92</v>
      </c>
      <c r="D2416" s="219">
        <f t="shared" si="244"/>
        <v>1.8869543077402538E-2</v>
      </c>
      <c r="F2416" s="40">
        <v>36648</v>
      </c>
      <c r="G2416" s="39">
        <v>7555.92</v>
      </c>
      <c r="H2416" s="39">
        <f t="shared" si="239"/>
        <v>2</v>
      </c>
      <c r="I2416" s="39">
        <f t="shared" si="240"/>
        <v>0</v>
      </c>
      <c r="K2416" s="40"/>
      <c r="Q2416" s="40">
        <v>36648</v>
      </c>
      <c r="R2416" s="39">
        <v>7555.92</v>
      </c>
      <c r="S2416" s="39">
        <f t="shared" si="241"/>
        <v>5</v>
      </c>
      <c r="T2416" s="39">
        <f t="shared" si="242"/>
        <v>0</v>
      </c>
      <c r="U2416" s="39">
        <f t="shared" si="243"/>
        <v>0</v>
      </c>
      <c r="V2416" s="40"/>
    </row>
    <row r="2417" spans="2:22" x14ac:dyDescent="0.35">
      <c r="B2417" s="40">
        <v>36649</v>
      </c>
      <c r="C2417" s="39">
        <v>7376.93</v>
      </c>
      <c r="D2417" s="219">
        <f t="shared" si="244"/>
        <v>-2.397379906572434E-2</v>
      </c>
      <c r="F2417" s="40">
        <v>36649</v>
      </c>
      <c r="G2417" s="39">
        <v>7376.93</v>
      </c>
      <c r="H2417" s="39">
        <f t="shared" si="239"/>
        <v>3</v>
      </c>
      <c r="I2417" s="39">
        <f t="shared" si="240"/>
        <v>0</v>
      </c>
      <c r="K2417" s="40"/>
      <c r="Q2417" s="40">
        <v>36649</v>
      </c>
      <c r="R2417" s="39">
        <v>7376.93</v>
      </c>
      <c r="S2417" s="39">
        <f t="shared" si="241"/>
        <v>5</v>
      </c>
      <c r="T2417" s="39">
        <f t="shared" si="242"/>
        <v>0</v>
      </c>
      <c r="U2417" s="39">
        <f t="shared" si="243"/>
        <v>0</v>
      </c>
      <c r="V2417" s="40"/>
    </row>
    <row r="2418" spans="2:22" x14ac:dyDescent="0.35">
      <c r="B2418" s="40">
        <v>36650</v>
      </c>
      <c r="C2418" s="39">
        <v>7386.71</v>
      </c>
      <c r="D2418" s="219">
        <f t="shared" si="244"/>
        <v>1.3248767147624938E-3</v>
      </c>
      <c r="F2418" s="40">
        <v>36650</v>
      </c>
      <c r="G2418" s="39">
        <v>7386.71</v>
      </c>
      <c r="H2418" s="39">
        <f t="shared" si="239"/>
        <v>4</v>
      </c>
      <c r="I2418" s="39">
        <f t="shared" si="240"/>
        <v>0</v>
      </c>
      <c r="K2418" s="40"/>
      <c r="Q2418" s="40">
        <v>36650</v>
      </c>
      <c r="R2418" s="39">
        <v>7386.71</v>
      </c>
      <c r="S2418" s="39">
        <f t="shared" si="241"/>
        <v>5</v>
      </c>
      <c r="T2418" s="39">
        <f t="shared" si="242"/>
        <v>0</v>
      </c>
      <c r="U2418" s="39">
        <f t="shared" si="243"/>
        <v>0</v>
      </c>
      <c r="V2418" s="40"/>
    </row>
    <row r="2419" spans="2:22" x14ac:dyDescent="0.35">
      <c r="B2419" s="40">
        <v>36651</v>
      </c>
      <c r="C2419" s="39">
        <v>7530.82</v>
      </c>
      <c r="D2419" s="219">
        <f t="shared" si="244"/>
        <v>1.9321494005478605E-2</v>
      </c>
      <c r="F2419" s="40">
        <v>36651</v>
      </c>
      <c r="G2419" s="39">
        <v>7530.82</v>
      </c>
      <c r="H2419" s="39">
        <f t="shared" si="239"/>
        <v>5</v>
      </c>
      <c r="I2419" s="39">
        <f t="shared" si="240"/>
        <v>7530.82</v>
      </c>
      <c r="K2419" s="40"/>
      <c r="Q2419" s="40">
        <v>36651</v>
      </c>
      <c r="R2419" s="39">
        <v>7530.82</v>
      </c>
      <c r="S2419" s="39">
        <f t="shared" si="241"/>
        <v>5</v>
      </c>
      <c r="T2419" s="39">
        <f t="shared" si="242"/>
        <v>0</v>
      </c>
      <c r="U2419" s="39">
        <f t="shared" si="243"/>
        <v>0</v>
      </c>
      <c r="V2419" s="40"/>
    </row>
    <row r="2420" spans="2:22" x14ac:dyDescent="0.35">
      <c r="B2420" s="40">
        <v>36654</v>
      </c>
      <c r="C2420" s="39">
        <v>7408.09</v>
      </c>
      <c r="D2420" s="219">
        <f t="shared" si="244"/>
        <v>-1.6431287327080192E-2</v>
      </c>
      <c r="F2420" s="40">
        <v>36654</v>
      </c>
      <c r="G2420" s="39">
        <v>7408.09</v>
      </c>
      <c r="H2420" s="39">
        <f t="shared" si="239"/>
        <v>1</v>
      </c>
      <c r="I2420" s="39">
        <f t="shared" si="240"/>
        <v>0</v>
      </c>
      <c r="K2420" s="40"/>
      <c r="Q2420" s="40">
        <v>36654</v>
      </c>
      <c r="R2420" s="39">
        <v>7408.09</v>
      </c>
      <c r="S2420" s="39">
        <f t="shared" si="241"/>
        <v>5</v>
      </c>
      <c r="T2420" s="39">
        <f t="shared" si="242"/>
        <v>0</v>
      </c>
      <c r="U2420" s="39">
        <f t="shared" si="243"/>
        <v>0</v>
      </c>
      <c r="V2420" s="40"/>
    </row>
    <row r="2421" spans="2:22" x14ac:dyDescent="0.35">
      <c r="B2421" s="40">
        <v>36655</v>
      </c>
      <c r="C2421" s="39">
        <v>7280.54</v>
      </c>
      <c r="D2421" s="219">
        <f t="shared" si="244"/>
        <v>-1.736761101627721E-2</v>
      </c>
      <c r="F2421" s="40">
        <v>36655</v>
      </c>
      <c r="G2421" s="39">
        <v>7280.54</v>
      </c>
      <c r="H2421" s="39">
        <f t="shared" si="239"/>
        <v>2</v>
      </c>
      <c r="I2421" s="39">
        <f t="shared" si="240"/>
        <v>0</v>
      </c>
      <c r="K2421" s="40"/>
      <c r="Q2421" s="40">
        <v>36655</v>
      </c>
      <c r="R2421" s="39">
        <v>7280.54</v>
      </c>
      <c r="S2421" s="39">
        <f t="shared" si="241"/>
        <v>5</v>
      </c>
      <c r="T2421" s="39">
        <f t="shared" si="242"/>
        <v>0</v>
      </c>
      <c r="U2421" s="39">
        <f t="shared" si="243"/>
        <v>0</v>
      </c>
      <c r="V2421" s="40"/>
    </row>
    <row r="2422" spans="2:22" x14ac:dyDescent="0.35">
      <c r="B2422" s="40">
        <v>36656</v>
      </c>
      <c r="C2422" s="39">
        <v>7120.86</v>
      </c>
      <c r="D2422" s="219">
        <f t="shared" si="244"/>
        <v>-2.2176530635245703E-2</v>
      </c>
      <c r="F2422" s="40">
        <v>36656</v>
      </c>
      <c r="G2422" s="39">
        <v>7120.86</v>
      </c>
      <c r="H2422" s="39">
        <f t="shared" si="239"/>
        <v>3</v>
      </c>
      <c r="I2422" s="39">
        <f t="shared" si="240"/>
        <v>0</v>
      </c>
      <c r="K2422" s="40"/>
      <c r="Q2422" s="40">
        <v>36656</v>
      </c>
      <c r="R2422" s="39">
        <v>7120.86</v>
      </c>
      <c r="S2422" s="39">
        <f t="shared" si="241"/>
        <v>5</v>
      </c>
      <c r="T2422" s="39">
        <f t="shared" si="242"/>
        <v>0</v>
      </c>
      <c r="U2422" s="39">
        <f t="shared" si="243"/>
        <v>0</v>
      </c>
      <c r="V2422" s="40"/>
    </row>
    <row r="2423" spans="2:22" x14ac:dyDescent="0.35">
      <c r="B2423" s="40">
        <v>36657</v>
      </c>
      <c r="C2423" s="39">
        <v>7259.48</v>
      </c>
      <c r="D2423" s="219">
        <f t="shared" si="244"/>
        <v>1.9279696280500275E-2</v>
      </c>
      <c r="F2423" s="40">
        <v>36657</v>
      </c>
      <c r="G2423" s="39">
        <v>7259.48</v>
      </c>
      <c r="H2423" s="39">
        <f t="shared" ref="H2423:H2486" si="245">WEEKDAY(F2423,2)</f>
        <v>4</v>
      </c>
      <c r="I2423" s="39">
        <f t="shared" ref="I2423:I2486" si="246">IF(H2423&gt;H2424,G2423,0)</f>
        <v>0</v>
      </c>
      <c r="K2423" s="40"/>
      <c r="Q2423" s="40">
        <v>36657</v>
      </c>
      <c r="R2423" s="39">
        <v>7259.48</v>
      </c>
      <c r="S2423" s="39">
        <f t="shared" ref="S2423:S2486" si="247">MONTH(Q2423)</f>
        <v>5</v>
      </c>
      <c r="T2423" s="39">
        <f t="shared" ref="T2423:T2486" si="248">IF(S2424&lt;&gt;S2423,R2423,0)</f>
        <v>0</v>
      </c>
      <c r="U2423" s="39">
        <f t="shared" ref="U2423:U2486" si="249">IF(S2424=S2423,0,R2423)</f>
        <v>0</v>
      </c>
      <c r="V2423" s="40"/>
    </row>
    <row r="2424" spans="2:22" x14ac:dyDescent="0.35">
      <c r="B2424" s="40">
        <v>36658</v>
      </c>
      <c r="C2424" s="39">
        <v>7269.28</v>
      </c>
      <c r="D2424" s="219">
        <f t="shared" ref="D2424:D2487" si="250">LN(C2424/C2423)</f>
        <v>1.3490485748650952E-3</v>
      </c>
      <c r="F2424" s="40">
        <v>36658</v>
      </c>
      <c r="G2424" s="39">
        <v>7269.28</v>
      </c>
      <c r="H2424" s="39">
        <f t="shared" si="245"/>
        <v>5</v>
      </c>
      <c r="I2424" s="39">
        <f t="shared" si="246"/>
        <v>7269.28</v>
      </c>
      <c r="K2424" s="40"/>
      <c r="Q2424" s="40">
        <v>36658</v>
      </c>
      <c r="R2424" s="39">
        <v>7269.28</v>
      </c>
      <c r="S2424" s="39">
        <f t="shared" si="247"/>
        <v>5</v>
      </c>
      <c r="T2424" s="39">
        <f t="shared" si="248"/>
        <v>0</v>
      </c>
      <c r="U2424" s="39">
        <f t="shared" si="249"/>
        <v>0</v>
      </c>
      <c r="V2424" s="40"/>
    </row>
    <row r="2425" spans="2:22" x14ac:dyDescent="0.35">
      <c r="B2425" s="40">
        <v>36661</v>
      </c>
      <c r="C2425" s="39">
        <v>7195.15</v>
      </c>
      <c r="D2425" s="219">
        <f t="shared" si="250"/>
        <v>-1.025006156900128E-2</v>
      </c>
      <c r="F2425" s="40">
        <v>36661</v>
      </c>
      <c r="G2425" s="39">
        <v>7195.15</v>
      </c>
      <c r="H2425" s="39">
        <f t="shared" si="245"/>
        <v>1</v>
      </c>
      <c r="I2425" s="39">
        <f t="shared" si="246"/>
        <v>0</v>
      </c>
      <c r="K2425" s="40"/>
      <c r="Q2425" s="40">
        <v>36661</v>
      </c>
      <c r="R2425" s="39">
        <v>7195.15</v>
      </c>
      <c r="S2425" s="39">
        <f t="shared" si="247"/>
        <v>5</v>
      </c>
      <c r="T2425" s="39">
        <f t="shared" si="248"/>
        <v>0</v>
      </c>
      <c r="U2425" s="39">
        <f t="shared" si="249"/>
        <v>0</v>
      </c>
      <c r="V2425" s="40"/>
    </row>
    <row r="2426" spans="2:22" x14ac:dyDescent="0.35">
      <c r="B2426" s="40">
        <v>36662</v>
      </c>
      <c r="C2426" s="39">
        <v>7371.06</v>
      </c>
      <c r="D2426" s="219">
        <f t="shared" si="250"/>
        <v>2.4154334249163693E-2</v>
      </c>
      <c r="F2426" s="40">
        <v>36662</v>
      </c>
      <c r="G2426" s="39">
        <v>7371.06</v>
      </c>
      <c r="H2426" s="39">
        <f t="shared" si="245"/>
        <v>2</v>
      </c>
      <c r="I2426" s="39">
        <f t="shared" si="246"/>
        <v>0</v>
      </c>
      <c r="K2426" s="40"/>
      <c r="Q2426" s="40">
        <v>36662</v>
      </c>
      <c r="R2426" s="39">
        <v>7371.06</v>
      </c>
      <c r="S2426" s="39">
        <f t="shared" si="247"/>
        <v>5</v>
      </c>
      <c r="T2426" s="39">
        <f t="shared" si="248"/>
        <v>0</v>
      </c>
      <c r="U2426" s="39">
        <f t="shared" si="249"/>
        <v>0</v>
      </c>
      <c r="V2426" s="40"/>
    </row>
    <row r="2427" spans="2:22" x14ac:dyDescent="0.35">
      <c r="B2427" s="40">
        <v>36663</v>
      </c>
      <c r="C2427" s="39">
        <v>7211.51</v>
      </c>
      <c r="D2427" s="219">
        <f t="shared" si="250"/>
        <v>-2.188316146763342E-2</v>
      </c>
      <c r="F2427" s="40">
        <v>36663</v>
      </c>
      <c r="G2427" s="39">
        <v>7211.51</v>
      </c>
      <c r="H2427" s="39">
        <f t="shared" si="245"/>
        <v>3</v>
      </c>
      <c r="I2427" s="39">
        <f t="shared" si="246"/>
        <v>0</v>
      </c>
      <c r="K2427" s="40"/>
      <c r="Q2427" s="40">
        <v>36663</v>
      </c>
      <c r="R2427" s="39">
        <v>7211.51</v>
      </c>
      <c r="S2427" s="39">
        <f t="shared" si="247"/>
        <v>5</v>
      </c>
      <c r="T2427" s="39">
        <f t="shared" si="248"/>
        <v>0</v>
      </c>
      <c r="U2427" s="39">
        <f t="shared" si="249"/>
        <v>0</v>
      </c>
      <c r="V2427" s="40"/>
    </row>
    <row r="2428" spans="2:22" x14ac:dyDescent="0.35">
      <c r="B2428" s="40">
        <v>36664</v>
      </c>
      <c r="C2428" s="39">
        <v>7181.58</v>
      </c>
      <c r="D2428" s="219">
        <f t="shared" si="250"/>
        <v>-4.1589461527958924E-3</v>
      </c>
      <c r="F2428" s="40">
        <v>36664</v>
      </c>
      <c r="G2428" s="39">
        <v>7181.58</v>
      </c>
      <c r="H2428" s="39">
        <f t="shared" si="245"/>
        <v>4</v>
      </c>
      <c r="I2428" s="39">
        <f t="shared" si="246"/>
        <v>0</v>
      </c>
      <c r="K2428" s="40"/>
      <c r="Q2428" s="40">
        <v>36664</v>
      </c>
      <c r="R2428" s="39">
        <v>7181.58</v>
      </c>
      <c r="S2428" s="39">
        <f t="shared" si="247"/>
        <v>5</v>
      </c>
      <c r="T2428" s="39">
        <f t="shared" si="248"/>
        <v>0</v>
      </c>
      <c r="U2428" s="39">
        <f t="shared" si="249"/>
        <v>0</v>
      </c>
      <c r="V2428" s="40"/>
    </row>
    <row r="2429" spans="2:22" x14ac:dyDescent="0.35">
      <c r="B2429" s="40">
        <v>36665</v>
      </c>
      <c r="C2429" s="39">
        <v>6989.03</v>
      </c>
      <c r="D2429" s="219">
        <f t="shared" si="250"/>
        <v>-2.7177637616374092E-2</v>
      </c>
      <c r="F2429" s="40">
        <v>36665</v>
      </c>
      <c r="G2429" s="39">
        <v>6989.03</v>
      </c>
      <c r="H2429" s="39">
        <f t="shared" si="245"/>
        <v>5</v>
      </c>
      <c r="I2429" s="39">
        <f t="shared" si="246"/>
        <v>6989.03</v>
      </c>
      <c r="K2429" s="40"/>
      <c r="Q2429" s="40">
        <v>36665</v>
      </c>
      <c r="R2429" s="39">
        <v>6989.03</v>
      </c>
      <c r="S2429" s="39">
        <f t="shared" si="247"/>
        <v>5</v>
      </c>
      <c r="T2429" s="39">
        <f t="shared" si="248"/>
        <v>0</v>
      </c>
      <c r="U2429" s="39">
        <f t="shared" si="249"/>
        <v>0</v>
      </c>
      <c r="V2429" s="40"/>
    </row>
    <row r="2430" spans="2:22" x14ac:dyDescent="0.35">
      <c r="B2430" s="40">
        <v>36668</v>
      </c>
      <c r="C2430" s="39">
        <v>6912.96</v>
      </c>
      <c r="D2430" s="219">
        <f t="shared" si="250"/>
        <v>-1.0943866198884065E-2</v>
      </c>
      <c r="F2430" s="40">
        <v>36668</v>
      </c>
      <c r="G2430" s="39">
        <v>6912.96</v>
      </c>
      <c r="H2430" s="39">
        <f t="shared" si="245"/>
        <v>1</v>
      </c>
      <c r="I2430" s="39">
        <f t="shared" si="246"/>
        <v>0</v>
      </c>
      <c r="K2430" s="40"/>
      <c r="Q2430" s="40">
        <v>36668</v>
      </c>
      <c r="R2430" s="39">
        <v>6912.96</v>
      </c>
      <c r="S2430" s="39">
        <f t="shared" si="247"/>
        <v>5</v>
      </c>
      <c r="T2430" s="39">
        <f t="shared" si="248"/>
        <v>0</v>
      </c>
      <c r="U2430" s="39">
        <f t="shared" si="249"/>
        <v>0</v>
      </c>
      <c r="V2430" s="40"/>
    </row>
    <row r="2431" spans="2:22" x14ac:dyDescent="0.35">
      <c r="B2431" s="40">
        <v>36669</v>
      </c>
      <c r="C2431" s="39">
        <v>6927.69</v>
      </c>
      <c r="D2431" s="219">
        <f t="shared" si="250"/>
        <v>2.1285135540994407E-3</v>
      </c>
      <c r="F2431" s="40">
        <v>36669</v>
      </c>
      <c r="G2431" s="39">
        <v>6927.69</v>
      </c>
      <c r="H2431" s="39">
        <f t="shared" si="245"/>
        <v>2</v>
      </c>
      <c r="I2431" s="39">
        <f t="shared" si="246"/>
        <v>0</v>
      </c>
      <c r="K2431" s="40"/>
      <c r="Q2431" s="40">
        <v>36669</v>
      </c>
      <c r="R2431" s="39">
        <v>6927.69</v>
      </c>
      <c r="S2431" s="39">
        <f t="shared" si="247"/>
        <v>5</v>
      </c>
      <c r="T2431" s="39">
        <f t="shared" si="248"/>
        <v>0</v>
      </c>
      <c r="U2431" s="39">
        <f t="shared" si="249"/>
        <v>0</v>
      </c>
      <c r="V2431" s="40"/>
    </row>
    <row r="2432" spans="2:22" x14ac:dyDescent="0.35">
      <c r="B2432" s="40">
        <v>36670</v>
      </c>
      <c r="C2432" s="39">
        <v>6834.88</v>
      </c>
      <c r="D2432" s="219">
        <f t="shared" si="250"/>
        <v>-1.3487510972271232E-2</v>
      </c>
      <c r="F2432" s="40">
        <v>36670</v>
      </c>
      <c r="G2432" s="39">
        <v>6834.88</v>
      </c>
      <c r="H2432" s="39">
        <f t="shared" si="245"/>
        <v>3</v>
      </c>
      <c r="I2432" s="39">
        <f t="shared" si="246"/>
        <v>0</v>
      </c>
      <c r="K2432" s="40"/>
      <c r="Q2432" s="40">
        <v>36670</v>
      </c>
      <c r="R2432" s="39">
        <v>6834.88</v>
      </c>
      <c r="S2432" s="39">
        <f t="shared" si="247"/>
        <v>5</v>
      </c>
      <c r="T2432" s="39">
        <f t="shared" si="248"/>
        <v>0</v>
      </c>
      <c r="U2432" s="39">
        <f t="shared" si="249"/>
        <v>0</v>
      </c>
      <c r="V2432" s="40"/>
    </row>
    <row r="2433" spans="2:22" x14ac:dyDescent="0.35">
      <c r="B2433" s="40">
        <v>36671</v>
      </c>
      <c r="C2433" s="39">
        <v>6978.87</v>
      </c>
      <c r="D2433" s="219">
        <f t="shared" si="250"/>
        <v>2.0848099222718231E-2</v>
      </c>
      <c r="F2433" s="40">
        <v>36671</v>
      </c>
      <c r="G2433" s="39">
        <v>6978.87</v>
      </c>
      <c r="H2433" s="39">
        <f t="shared" si="245"/>
        <v>4</v>
      </c>
      <c r="I2433" s="39">
        <f t="shared" si="246"/>
        <v>0</v>
      </c>
      <c r="K2433" s="40"/>
      <c r="Q2433" s="40">
        <v>36671</v>
      </c>
      <c r="R2433" s="39">
        <v>6978.87</v>
      </c>
      <c r="S2433" s="39">
        <f t="shared" si="247"/>
        <v>5</v>
      </c>
      <c r="T2433" s="39">
        <f t="shared" si="248"/>
        <v>0</v>
      </c>
      <c r="U2433" s="39">
        <f t="shared" si="249"/>
        <v>0</v>
      </c>
      <c r="V2433" s="40"/>
    </row>
    <row r="2434" spans="2:22" x14ac:dyDescent="0.35">
      <c r="B2434" s="40">
        <v>36672</v>
      </c>
      <c r="C2434" s="39">
        <v>6839.33</v>
      </c>
      <c r="D2434" s="219">
        <f t="shared" si="250"/>
        <v>-2.0197238930665936E-2</v>
      </c>
      <c r="F2434" s="40">
        <v>36672</v>
      </c>
      <c r="G2434" s="39">
        <v>6839.33</v>
      </c>
      <c r="H2434" s="39">
        <f t="shared" si="245"/>
        <v>5</v>
      </c>
      <c r="I2434" s="39">
        <f t="shared" si="246"/>
        <v>6839.33</v>
      </c>
      <c r="K2434" s="40"/>
      <c r="Q2434" s="40">
        <v>36672</v>
      </c>
      <c r="R2434" s="39">
        <v>6839.33</v>
      </c>
      <c r="S2434" s="39">
        <f t="shared" si="247"/>
        <v>5</v>
      </c>
      <c r="T2434" s="39">
        <f t="shared" si="248"/>
        <v>0</v>
      </c>
      <c r="U2434" s="39">
        <f t="shared" si="249"/>
        <v>0</v>
      </c>
      <c r="V2434" s="40"/>
    </row>
    <row r="2435" spans="2:22" x14ac:dyDescent="0.35">
      <c r="B2435" s="40">
        <v>36675</v>
      </c>
      <c r="C2435" s="39">
        <v>7016.66</v>
      </c>
      <c r="D2435" s="219">
        <f t="shared" si="250"/>
        <v>2.5597547720709334E-2</v>
      </c>
      <c r="F2435" s="40">
        <v>36675</v>
      </c>
      <c r="G2435" s="39">
        <v>7016.66</v>
      </c>
      <c r="H2435" s="39">
        <f t="shared" si="245"/>
        <v>1</v>
      </c>
      <c r="I2435" s="39">
        <f t="shared" si="246"/>
        <v>0</v>
      </c>
      <c r="K2435" s="40"/>
      <c r="Q2435" s="40">
        <v>36675</v>
      </c>
      <c r="R2435" s="39">
        <v>7016.66</v>
      </c>
      <c r="S2435" s="39">
        <f t="shared" si="247"/>
        <v>5</v>
      </c>
      <c r="T2435" s="39">
        <f t="shared" si="248"/>
        <v>0</v>
      </c>
      <c r="U2435" s="39">
        <f t="shared" si="249"/>
        <v>0</v>
      </c>
      <c r="V2435" s="40"/>
    </row>
    <row r="2436" spans="2:22" x14ac:dyDescent="0.35">
      <c r="B2436" s="40">
        <v>36676</v>
      </c>
      <c r="C2436" s="39">
        <v>7119.26</v>
      </c>
      <c r="D2436" s="219">
        <f t="shared" si="250"/>
        <v>1.4516466097184887E-2</v>
      </c>
      <c r="F2436" s="40">
        <v>36676</v>
      </c>
      <c r="G2436" s="39">
        <v>7119.26</v>
      </c>
      <c r="H2436" s="39">
        <f t="shared" si="245"/>
        <v>2</v>
      </c>
      <c r="I2436" s="39">
        <f t="shared" si="246"/>
        <v>0</v>
      </c>
      <c r="K2436" s="40"/>
      <c r="Q2436" s="40">
        <v>36676</v>
      </c>
      <c r="R2436" s="39">
        <v>7119.26</v>
      </c>
      <c r="S2436" s="39">
        <f t="shared" si="247"/>
        <v>5</v>
      </c>
      <c r="T2436" s="39">
        <f t="shared" si="248"/>
        <v>0</v>
      </c>
      <c r="U2436" s="39">
        <f t="shared" si="249"/>
        <v>0</v>
      </c>
      <c r="V2436" s="40"/>
    </row>
    <row r="2437" spans="2:22" x14ac:dyDescent="0.35">
      <c r="B2437" s="40">
        <v>36677</v>
      </c>
      <c r="C2437" s="39">
        <v>7109.67</v>
      </c>
      <c r="D2437" s="219">
        <f t="shared" si="250"/>
        <v>-1.3479582023495473E-3</v>
      </c>
      <c r="F2437" s="40">
        <v>36677</v>
      </c>
      <c r="G2437" s="39">
        <v>7109.67</v>
      </c>
      <c r="H2437" s="39">
        <f t="shared" si="245"/>
        <v>3</v>
      </c>
      <c r="I2437" s="39">
        <f t="shared" si="246"/>
        <v>0</v>
      </c>
      <c r="K2437" s="40"/>
      <c r="Q2437" s="40">
        <v>36677</v>
      </c>
      <c r="R2437" s="39">
        <v>7109.67</v>
      </c>
      <c r="S2437" s="39">
        <f t="shared" si="247"/>
        <v>5</v>
      </c>
      <c r="T2437" s="39">
        <f t="shared" si="248"/>
        <v>7109.67</v>
      </c>
      <c r="U2437" s="39">
        <f t="shared" si="249"/>
        <v>7109.67</v>
      </c>
      <c r="V2437" s="40"/>
    </row>
    <row r="2438" spans="2:22" x14ac:dyDescent="0.35">
      <c r="B2438" s="40">
        <v>36678</v>
      </c>
      <c r="C2438" s="39">
        <v>7272.76</v>
      </c>
      <c r="D2438" s="219">
        <f t="shared" si="250"/>
        <v>2.2680032629486261E-2</v>
      </c>
      <c r="F2438" s="40">
        <v>36678</v>
      </c>
      <c r="G2438" s="39">
        <v>7272.76</v>
      </c>
      <c r="H2438" s="39">
        <f t="shared" si="245"/>
        <v>4</v>
      </c>
      <c r="I2438" s="39">
        <f t="shared" si="246"/>
        <v>0</v>
      </c>
      <c r="K2438" s="40"/>
      <c r="Q2438" s="40">
        <v>36678</v>
      </c>
      <c r="R2438" s="39">
        <v>7272.76</v>
      </c>
      <c r="S2438" s="39">
        <f t="shared" si="247"/>
        <v>6</v>
      </c>
      <c r="T2438" s="39">
        <f t="shared" si="248"/>
        <v>0</v>
      </c>
      <c r="U2438" s="39">
        <f t="shared" si="249"/>
        <v>0</v>
      </c>
      <c r="V2438" s="40"/>
    </row>
    <row r="2439" spans="2:22" x14ac:dyDescent="0.35">
      <c r="B2439" s="40">
        <v>36679</v>
      </c>
      <c r="C2439" s="39">
        <v>7438.95</v>
      </c>
      <c r="D2439" s="219">
        <f t="shared" si="250"/>
        <v>2.2593847987717294E-2</v>
      </c>
      <c r="F2439" s="40">
        <v>36679</v>
      </c>
      <c r="G2439" s="39">
        <v>7438.95</v>
      </c>
      <c r="H2439" s="39">
        <f t="shared" si="245"/>
        <v>5</v>
      </c>
      <c r="I2439" s="39">
        <f t="shared" si="246"/>
        <v>7438.95</v>
      </c>
      <c r="K2439" s="40"/>
      <c r="Q2439" s="40">
        <v>36679</v>
      </c>
      <c r="R2439" s="39">
        <v>7438.95</v>
      </c>
      <c r="S2439" s="39">
        <f t="shared" si="247"/>
        <v>6</v>
      </c>
      <c r="T2439" s="39">
        <f t="shared" si="248"/>
        <v>0</v>
      </c>
      <c r="U2439" s="39">
        <f t="shared" si="249"/>
        <v>0</v>
      </c>
      <c r="V2439" s="40"/>
    </row>
    <row r="2440" spans="2:22" x14ac:dyDescent="0.35">
      <c r="B2440" s="40">
        <v>36682</v>
      </c>
      <c r="C2440" s="39">
        <v>7408.02</v>
      </c>
      <c r="D2440" s="219">
        <f t="shared" si="250"/>
        <v>-4.1665127288522561E-3</v>
      </c>
      <c r="F2440" s="40">
        <v>36682</v>
      </c>
      <c r="G2440" s="39">
        <v>7408.02</v>
      </c>
      <c r="H2440" s="39">
        <f t="shared" si="245"/>
        <v>1</v>
      </c>
      <c r="I2440" s="39">
        <f t="shared" si="246"/>
        <v>0</v>
      </c>
      <c r="K2440" s="40"/>
      <c r="Q2440" s="40">
        <v>36682</v>
      </c>
      <c r="R2440" s="39">
        <v>7408.02</v>
      </c>
      <c r="S2440" s="39">
        <f t="shared" si="247"/>
        <v>6</v>
      </c>
      <c r="T2440" s="39">
        <f t="shared" si="248"/>
        <v>0</v>
      </c>
      <c r="U2440" s="39">
        <f t="shared" si="249"/>
        <v>0</v>
      </c>
      <c r="V2440" s="40"/>
    </row>
    <row r="2441" spans="2:22" x14ac:dyDescent="0.35">
      <c r="B2441" s="40">
        <v>36683</v>
      </c>
      <c r="C2441" s="39">
        <v>7359.8</v>
      </c>
      <c r="D2441" s="219">
        <f t="shared" si="250"/>
        <v>-6.5304386657272255E-3</v>
      </c>
      <c r="F2441" s="40">
        <v>36683</v>
      </c>
      <c r="G2441" s="39">
        <v>7359.8</v>
      </c>
      <c r="H2441" s="39">
        <f t="shared" si="245"/>
        <v>2</v>
      </c>
      <c r="I2441" s="39">
        <f t="shared" si="246"/>
        <v>0</v>
      </c>
      <c r="K2441" s="40"/>
      <c r="Q2441" s="40">
        <v>36683</v>
      </c>
      <c r="R2441" s="39">
        <v>7359.8</v>
      </c>
      <c r="S2441" s="39">
        <f t="shared" si="247"/>
        <v>6</v>
      </c>
      <c r="T2441" s="39">
        <f t="shared" si="248"/>
        <v>0</v>
      </c>
      <c r="U2441" s="39">
        <f t="shared" si="249"/>
        <v>0</v>
      </c>
      <c r="V2441" s="40"/>
    </row>
    <row r="2442" spans="2:22" x14ac:dyDescent="0.35">
      <c r="B2442" s="40">
        <v>36684</v>
      </c>
      <c r="C2442" s="39">
        <v>7285.93</v>
      </c>
      <c r="D2442" s="219">
        <f t="shared" si="250"/>
        <v>-1.0087667384677755E-2</v>
      </c>
      <c r="F2442" s="40">
        <v>36684</v>
      </c>
      <c r="G2442" s="39">
        <v>7285.93</v>
      </c>
      <c r="H2442" s="39">
        <f t="shared" si="245"/>
        <v>3</v>
      </c>
      <c r="I2442" s="39">
        <f t="shared" si="246"/>
        <v>0</v>
      </c>
      <c r="K2442" s="40"/>
      <c r="Q2442" s="40">
        <v>36684</v>
      </c>
      <c r="R2442" s="39">
        <v>7285.93</v>
      </c>
      <c r="S2442" s="39">
        <f t="shared" si="247"/>
        <v>6</v>
      </c>
      <c r="T2442" s="39">
        <f t="shared" si="248"/>
        <v>0</v>
      </c>
      <c r="U2442" s="39">
        <f t="shared" si="249"/>
        <v>0</v>
      </c>
      <c r="V2442" s="40"/>
    </row>
    <row r="2443" spans="2:22" x14ac:dyDescent="0.35">
      <c r="B2443" s="40">
        <v>36685</v>
      </c>
      <c r="C2443" s="39">
        <v>7253.46</v>
      </c>
      <c r="D2443" s="219">
        <f t="shared" si="250"/>
        <v>-4.4664946714003837E-3</v>
      </c>
      <c r="F2443" s="40">
        <v>36685</v>
      </c>
      <c r="G2443" s="39">
        <v>7253.46</v>
      </c>
      <c r="H2443" s="39">
        <f t="shared" si="245"/>
        <v>4</v>
      </c>
      <c r="I2443" s="39">
        <f t="shared" si="246"/>
        <v>0</v>
      </c>
      <c r="K2443" s="40"/>
      <c r="Q2443" s="40">
        <v>36685</v>
      </c>
      <c r="R2443" s="39">
        <v>7253.46</v>
      </c>
      <c r="S2443" s="39">
        <f t="shared" si="247"/>
        <v>6</v>
      </c>
      <c r="T2443" s="39">
        <f t="shared" si="248"/>
        <v>0</v>
      </c>
      <c r="U2443" s="39">
        <f t="shared" si="249"/>
        <v>0</v>
      </c>
      <c r="V2443" s="40"/>
    </row>
    <row r="2444" spans="2:22" x14ac:dyDescent="0.35">
      <c r="B2444" s="40">
        <v>36686</v>
      </c>
      <c r="C2444" s="39">
        <v>7246.79</v>
      </c>
      <c r="D2444" s="219">
        <f t="shared" si="250"/>
        <v>-9.1998420309184845E-4</v>
      </c>
      <c r="F2444" s="40">
        <v>36686</v>
      </c>
      <c r="G2444" s="39">
        <v>7246.79</v>
      </c>
      <c r="H2444" s="39">
        <f t="shared" si="245"/>
        <v>5</v>
      </c>
      <c r="I2444" s="39">
        <f t="shared" si="246"/>
        <v>7246.79</v>
      </c>
      <c r="K2444" s="40"/>
      <c r="Q2444" s="40">
        <v>36686</v>
      </c>
      <c r="R2444" s="39">
        <v>7246.79</v>
      </c>
      <c r="S2444" s="39">
        <f t="shared" si="247"/>
        <v>6</v>
      </c>
      <c r="T2444" s="39">
        <f t="shared" si="248"/>
        <v>0</v>
      </c>
      <c r="U2444" s="39">
        <f t="shared" si="249"/>
        <v>0</v>
      </c>
      <c r="V2444" s="40"/>
    </row>
    <row r="2445" spans="2:22" x14ac:dyDescent="0.35">
      <c r="B2445" s="40">
        <v>36689</v>
      </c>
      <c r="C2445" s="39">
        <v>7240.1</v>
      </c>
      <c r="D2445" s="219">
        <f t="shared" si="250"/>
        <v>-9.2359374241974602E-4</v>
      </c>
      <c r="F2445" s="40">
        <v>36689</v>
      </c>
      <c r="G2445" s="39">
        <v>7240.1</v>
      </c>
      <c r="H2445" s="39">
        <f t="shared" si="245"/>
        <v>1</v>
      </c>
      <c r="I2445" s="39">
        <f t="shared" si="246"/>
        <v>0</v>
      </c>
      <c r="K2445" s="40"/>
      <c r="Q2445" s="40">
        <v>36689</v>
      </c>
      <c r="R2445" s="39">
        <v>7240.1</v>
      </c>
      <c r="S2445" s="39">
        <f t="shared" si="247"/>
        <v>6</v>
      </c>
      <c r="T2445" s="39">
        <f t="shared" si="248"/>
        <v>0</v>
      </c>
      <c r="U2445" s="39">
        <f t="shared" si="249"/>
        <v>0</v>
      </c>
      <c r="V2445" s="40"/>
    </row>
    <row r="2446" spans="2:22" x14ac:dyDescent="0.35">
      <c r="B2446" s="40">
        <v>36690</v>
      </c>
      <c r="C2446" s="39">
        <v>7268.91</v>
      </c>
      <c r="D2446" s="219">
        <f t="shared" si="250"/>
        <v>3.9713306234750679E-3</v>
      </c>
      <c r="F2446" s="40">
        <v>36690</v>
      </c>
      <c r="G2446" s="39">
        <v>7268.91</v>
      </c>
      <c r="H2446" s="39">
        <f t="shared" si="245"/>
        <v>2</v>
      </c>
      <c r="I2446" s="39">
        <f t="shared" si="246"/>
        <v>0</v>
      </c>
      <c r="K2446" s="40"/>
      <c r="Q2446" s="40">
        <v>36690</v>
      </c>
      <c r="R2446" s="39">
        <v>7268.91</v>
      </c>
      <c r="S2446" s="39">
        <f t="shared" si="247"/>
        <v>6</v>
      </c>
      <c r="T2446" s="39">
        <f t="shared" si="248"/>
        <v>0</v>
      </c>
      <c r="U2446" s="39">
        <f t="shared" si="249"/>
        <v>0</v>
      </c>
      <c r="V2446" s="40"/>
    </row>
    <row r="2447" spans="2:22" x14ac:dyDescent="0.35">
      <c r="B2447" s="40">
        <v>36691</v>
      </c>
      <c r="C2447" s="39">
        <v>7350.94</v>
      </c>
      <c r="D2447" s="219">
        <f t="shared" si="250"/>
        <v>1.1221847123421665E-2</v>
      </c>
      <c r="F2447" s="40">
        <v>36691</v>
      </c>
      <c r="G2447" s="39">
        <v>7350.94</v>
      </c>
      <c r="H2447" s="39">
        <f t="shared" si="245"/>
        <v>3</v>
      </c>
      <c r="I2447" s="39">
        <f t="shared" si="246"/>
        <v>0</v>
      </c>
      <c r="K2447" s="40"/>
      <c r="Q2447" s="40">
        <v>36691</v>
      </c>
      <c r="R2447" s="39">
        <v>7350.94</v>
      </c>
      <c r="S2447" s="39">
        <f t="shared" si="247"/>
        <v>6</v>
      </c>
      <c r="T2447" s="39">
        <f t="shared" si="248"/>
        <v>0</v>
      </c>
      <c r="U2447" s="39">
        <f t="shared" si="249"/>
        <v>0</v>
      </c>
      <c r="V2447" s="40"/>
    </row>
    <row r="2448" spans="2:22" x14ac:dyDescent="0.35">
      <c r="B2448" s="40">
        <v>36692</v>
      </c>
      <c r="C2448" s="39">
        <v>7328.62</v>
      </c>
      <c r="D2448" s="219">
        <f t="shared" si="250"/>
        <v>-3.0409654240716156E-3</v>
      </c>
      <c r="F2448" s="40">
        <v>36692</v>
      </c>
      <c r="G2448" s="39">
        <v>7328.62</v>
      </c>
      <c r="H2448" s="39">
        <f t="shared" si="245"/>
        <v>4</v>
      </c>
      <c r="I2448" s="39">
        <f t="shared" si="246"/>
        <v>0</v>
      </c>
      <c r="K2448" s="40"/>
      <c r="Q2448" s="40">
        <v>36692</v>
      </c>
      <c r="R2448" s="39">
        <v>7328.62</v>
      </c>
      <c r="S2448" s="39">
        <f t="shared" si="247"/>
        <v>6</v>
      </c>
      <c r="T2448" s="39">
        <f t="shared" si="248"/>
        <v>0</v>
      </c>
      <c r="U2448" s="39">
        <f t="shared" si="249"/>
        <v>0</v>
      </c>
      <c r="V2448" s="40"/>
    </row>
    <row r="2449" spans="2:22" x14ac:dyDescent="0.35">
      <c r="B2449" s="40">
        <v>36693</v>
      </c>
      <c r="C2449" s="39">
        <v>7252.58</v>
      </c>
      <c r="D2449" s="219">
        <f t="shared" si="250"/>
        <v>-1.0429963148098778E-2</v>
      </c>
      <c r="F2449" s="40">
        <v>36693</v>
      </c>
      <c r="G2449" s="39">
        <v>7252.58</v>
      </c>
      <c r="H2449" s="39">
        <f t="shared" si="245"/>
        <v>5</v>
      </c>
      <c r="I2449" s="39">
        <f t="shared" si="246"/>
        <v>7252.58</v>
      </c>
      <c r="K2449" s="40"/>
      <c r="Q2449" s="40">
        <v>36693</v>
      </c>
      <c r="R2449" s="39">
        <v>7252.58</v>
      </c>
      <c r="S2449" s="39">
        <f t="shared" si="247"/>
        <v>6</v>
      </c>
      <c r="T2449" s="39">
        <f t="shared" si="248"/>
        <v>0</v>
      </c>
      <c r="U2449" s="39">
        <f t="shared" si="249"/>
        <v>0</v>
      </c>
      <c r="V2449" s="40"/>
    </row>
    <row r="2450" spans="2:22" x14ac:dyDescent="0.35">
      <c r="B2450" s="40">
        <v>36696</v>
      </c>
      <c r="C2450" s="39">
        <v>7198.8</v>
      </c>
      <c r="D2450" s="219">
        <f t="shared" si="250"/>
        <v>-7.4429221667500489E-3</v>
      </c>
      <c r="F2450" s="40">
        <v>36696</v>
      </c>
      <c r="G2450" s="39">
        <v>7198.8</v>
      </c>
      <c r="H2450" s="39">
        <f t="shared" si="245"/>
        <v>1</v>
      </c>
      <c r="I2450" s="39">
        <f t="shared" si="246"/>
        <v>0</v>
      </c>
      <c r="K2450" s="40"/>
      <c r="Q2450" s="40">
        <v>36696</v>
      </c>
      <c r="R2450" s="39">
        <v>7198.8</v>
      </c>
      <c r="S2450" s="39">
        <f t="shared" si="247"/>
        <v>6</v>
      </c>
      <c r="T2450" s="39">
        <f t="shared" si="248"/>
        <v>0</v>
      </c>
      <c r="U2450" s="39">
        <f t="shared" si="249"/>
        <v>0</v>
      </c>
      <c r="V2450" s="40"/>
    </row>
    <row r="2451" spans="2:22" x14ac:dyDescent="0.35">
      <c r="B2451" s="40">
        <v>36697</v>
      </c>
      <c r="C2451" s="39">
        <v>7227.27</v>
      </c>
      <c r="D2451" s="219">
        <f t="shared" si="250"/>
        <v>3.9470260384432531E-3</v>
      </c>
      <c r="F2451" s="40">
        <v>36697</v>
      </c>
      <c r="G2451" s="39">
        <v>7227.27</v>
      </c>
      <c r="H2451" s="39">
        <f t="shared" si="245"/>
        <v>2</v>
      </c>
      <c r="I2451" s="39">
        <f t="shared" si="246"/>
        <v>0</v>
      </c>
      <c r="K2451" s="40"/>
      <c r="Q2451" s="40">
        <v>36697</v>
      </c>
      <c r="R2451" s="39">
        <v>7227.27</v>
      </c>
      <c r="S2451" s="39">
        <f t="shared" si="247"/>
        <v>6</v>
      </c>
      <c r="T2451" s="39">
        <f t="shared" si="248"/>
        <v>0</v>
      </c>
      <c r="U2451" s="39">
        <f t="shared" si="249"/>
        <v>0</v>
      </c>
      <c r="V2451" s="40"/>
    </row>
    <row r="2452" spans="2:22" x14ac:dyDescent="0.35">
      <c r="B2452" s="40">
        <v>36698</v>
      </c>
      <c r="C2452" s="39">
        <v>7100.09</v>
      </c>
      <c r="D2452" s="219">
        <f t="shared" si="250"/>
        <v>-1.77539114800867E-2</v>
      </c>
      <c r="F2452" s="40">
        <v>36698</v>
      </c>
      <c r="G2452" s="39">
        <v>7100.09</v>
      </c>
      <c r="H2452" s="39">
        <f t="shared" si="245"/>
        <v>3</v>
      </c>
      <c r="I2452" s="39">
        <f t="shared" si="246"/>
        <v>0</v>
      </c>
      <c r="K2452" s="40"/>
      <c r="Q2452" s="40">
        <v>36698</v>
      </c>
      <c r="R2452" s="39">
        <v>7100.09</v>
      </c>
      <c r="S2452" s="39">
        <f t="shared" si="247"/>
        <v>6</v>
      </c>
      <c r="T2452" s="39">
        <f t="shared" si="248"/>
        <v>0</v>
      </c>
      <c r="U2452" s="39">
        <f t="shared" si="249"/>
        <v>0</v>
      </c>
      <c r="V2452" s="40"/>
    </row>
    <row r="2453" spans="2:22" x14ac:dyDescent="0.35">
      <c r="B2453" s="40">
        <v>36699</v>
      </c>
      <c r="C2453" s="39">
        <v>7064.73</v>
      </c>
      <c r="D2453" s="219">
        <f t="shared" si="250"/>
        <v>-4.9926611775575214E-3</v>
      </c>
      <c r="F2453" s="40">
        <v>36699</v>
      </c>
      <c r="G2453" s="39">
        <v>7064.73</v>
      </c>
      <c r="H2453" s="39">
        <f t="shared" si="245"/>
        <v>4</v>
      </c>
      <c r="I2453" s="39">
        <f t="shared" si="246"/>
        <v>0</v>
      </c>
      <c r="K2453" s="40"/>
      <c r="Q2453" s="40">
        <v>36699</v>
      </c>
      <c r="R2453" s="39">
        <v>7064.73</v>
      </c>
      <c r="S2453" s="39">
        <f t="shared" si="247"/>
        <v>6</v>
      </c>
      <c r="T2453" s="39">
        <f t="shared" si="248"/>
        <v>0</v>
      </c>
      <c r="U2453" s="39">
        <f t="shared" si="249"/>
        <v>0</v>
      </c>
      <c r="V2453" s="40"/>
    </row>
    <row r="2454" spans="2:22" x14ac:dyDescent="0.35">
      <c r="B2454" s="40">
        <v>36700</v>
      </c>
      <c r="C2454" s="39">
        <v>6980.41</v>
      </c>
      <c r="D2454" s="219">
        <f t="shared" si="250"/>
        <v>-1.2007144541496899E-2</v>
      </c>
      <c r="F2454" s="40">
        <v>36700</v>
      </c>
      <c r="G2454" s="39">
        <v>6980.41</v>
      </c>
      <c r="H2454" s="39">
        <f t="shared" si="245"/>
        <v>5</v>
      </c>
      <c r="I2454" s="39">
        <f t="shared" si="246"/>
        <v>6980.41</v>
      </c>
      <c r="K2454" s="40"/>
      <c r="Q2454" s="40">
        <v>36700</v>
      </c>
      <c r="R2454" s="39">
        <v>6980.41</v>
      </c>
      <c r="S2454" s="39">
        <f t="shared" si="247"/>
        <v>6</v>
      </c>
      <c r="T2454" s="39">
        <f t="shared" si="248"/>
        <v>0</v>
      </c>
      <c r="U2454" s="39">
        <f t="shared" si="249"/>
        <v>0</v>
      </c>
      <c r="V2454" s="40"/>
    </row>
    <row r="2455" spans="2:22" x14ac:dyDescent="0.35">
      <c r="B2455" s="40">
        <v>36703</v>
      </c>
      <c r="C2455" s="39">
        <v>7027.19</v>
      </c>
      <c r="D2455" s="219">
        <f t="shared" si="250"/>
        <v>6.6792561058453019E-3</v>
      </c>
      <c r="F2455" s="40">
        <v>36703</v>
      </c>
      <c r="G2455" s="39">
        <v>7027.19</v>
      </c>
      <c r="H2455" s="39">
        <f t="shared" si="245"/>
        <v>1</v>
      </c>
      <c r="I2455" s="39">
        <f t="shared" si="246"/>
        <v>0</v>
      </c>
      <c r="K2455" s="40"/>
      <c r="Q2455" s="40">
        <v>36703</v>
      </c>
      <c r="R2455" s="39">
        <v>7027.19</v>
      </c>
      <c r="S2455" s="39">
        <f t="shared" si="247"/>
        <v>6</v>
      </c>
      <c r="T2455" s="39">
        <f t="shared" si="248"/>
        <v>0</v>
      </c>
      <c r="U2455" s="39">
        <f t="shared" si="249"/>
        <v>0</v>
      </c>
      <c r="V2455" s="40"/>
    </row>
    <row r="2456" spans="2:22" x14ac:dyDescent="0.35">
      <c r="B2456" s="40">
        <v>36704</v>
      </c>
      <c r="C2456" s="39">
        <v>7048.96</v>
      </c>
      <c r="D2456" s="219">
        <f t="shared" si="250"/>
        <v>3.0931778018121825E-3</v>
      </c>
      <c r="F2456" s="40">
        <v>36704</v>
      </c>
      <c r="G2456" s="39">
        <v>7048.96</v>
      </c>
      <c r="H2456" s="39">
        <f t="shared" si="245"/>
        <v>2</v>
      </c>
      <c r="I2456" s="39">
        <f t="shared" si="246"/>
        <v>0</v>
      </c>
      <c r="K2456" s="40"/>
      <c r="Q2456" s="40">
        <v>36704</v>
      </c>
      <c r="R2456" s="39">
        <v>7048.96</v>
      </c>
      <c r="S2456" s="39">
        <f t="shared" si="247"/>
        <v>6</v>
      </c>
      <c r="T2456" s="39">
        <f t="shared" si="248"/>
        <v>0</v>
      </c>
      <c r="U2456" s="39">
        <f t="shared" si="249"/>
        <v>0</v>
      </c>
      <c r="V2456" s="40"/>
    </row>
    <row r="2457" spans="2:22" x14ac:dyDescent="0.35">
      <c r="B2457" s="40">
        <v>36705</v>
      </c>
      <c r="C2457" s="39">
        <v>7054.3</v>
      </c>
      <c r="D2457" s="219">
        <f t="shared" si="250"/>
        <v>7.572717591805561E-4</v>
      </c>
      <c r="F2457" s="40">
        <v>36705</v>
      </c>
      <c r="G2457" s="39">
        <v>7054.3</v>
      </c>
      <c r="H2457" s="39">
        <f t="shared" si="245"/>
        <v>3</v>
      </c>
      <c r="I2457" s="39">
        <f t="shared" si="246"/>
        <v>0</v>
      </c>
      <c r="K2457" s="40"/>
      <c r="Q2457" s="40">
        <v>36705</v>
      </c>
      <c r="R2457" s="39">
        <v>7054.3</v>
      </c>
      <c r="S2457" s="39">
        <f t="shared" si="247"/>
        <v>6</v>
      </c>
      <c r="T2457" s="39">
        <f t="shared" si="248"/>
        <v>0</v>
      </c>
      <c r="U2457" s="39">
        <f t="shared" si="249"/>
        <v>0</v>
      </c>
      <c r="V2457" s="40"/>
    </row>
    <row r="2458" spans="2:22" x14ac:dyDescent="0.35">
      <c r="B2458" s="40">
        <v>36706</v>
      </c>
      <c r="C2458" s="39">
        <v>6881.94</v>
      </c>
      <c r="D2458" s="219">
        <f t="shared" si="250"/>
        <v>-2.4736771029582806E-2</v>
      </c>
      <c r="F2458" s="40">
        <v>36706</v>
      </c>
      <c r="G2458" s="39">
        <v>6881.94</v>
      </c>
      <c r="H2458" s="39">
        <f t="shared" si="245"/>
        <v>4</v>
      </c>
      <c r="I2458" s="39">
        <f t="shared" si="246"/>
        <v>0</v>
      </c>
      <c r="K2458" s="40"/>
      <c r="Q2458" s="40">
        <v>36706</v>
      </c>
      <c r="R2458" s="39">
        <v>6881.94</v>
      </c>
      <c r="S2458" s="39">
        <f t="shared" si="247"/>
        <v>6</v>
      </c>
      <c r="T2458" s="39">
        <f t="shared" si="248"/>
        <v>0</v>
      </c>
      <c r="U2458" s="39">
        <f t="shared" si="249"/>
        <v>0</v>
      </c>
      <c r="V2458" s="40"/>
    </row>
    <row r="2459" spans="2:22" x14ac:dyDescent="0.35">
      <c r="B2459" s="40">
        <v>36707</v>
      </c>
      <c r="C2459" s="39">
        <v>6882.44</v>
      </c>
      <c r="D2459" s="219">
        <f t="shared" si="250"/>
        <v>7.2651292716300966E-5</v>
      </c>
      <c r="F2459" s="40">
        <v>36707</v>
      </c>
      <c r="G2459" s="39">
        <v>6882.44</v>
      </c>
      <c r="H2459" s="39">
        <f t="shared" si="245"/>
        <v>5</v>
      </c>
      <c r="I2459" s="39">
        <f t="shared" si="246"/>
        <v>6882.44</v>
      </c>
      <c r="K2459" s="40"/>
      <c r="Q2459" s="40">
        <v>36707</v>
      </c>
      <c r="R2459" s="39">
        <v>6882.44</v>
      </c>
      <c r="S2459" s="39">
        <f t="shared" si="247"/>
        <v>6</v>
      </c>
      <c r="T2459" s="39">
        <f t="shared" si="248"/>
        <v>6882.44</v>
      </c>
      <c r="U2459" s="39">
        <f t="shared" si="249"/>
        <v>6882.44</v>
      </c>
      <c r="V2459" s="40"/>
    </row>
    <row r="2460" spans="2:22" x14ac:dyDescent="0.35">
      <c r="B2460" s="40">
        <v>36710</v>
      </c>
      <c r="C2460" s="39">
        <v>6962.02</v>
      </c>
      <c r="D2460" s="219">
        <f t="shared" si="250"/>
        <v>1.1496421888655513E-2</v>
      </c>
      <c r="F2460" s="40">
        <v>36710</v>
      </c>
      <c r="G2460" s="39">
        <v>6962.02</v>
      </c>
      <c r="H2460" s="39">
        <f t="shared" si="245"/>
        <v>1</v>
      </c>
      <c r="I2460" s="39">
        <f t="shared" si="246"/>
        <v>0</v>
      </c>
      <c r="K2460" s="40"/>
      <c r="Q2460" s="40">
        <v>36710</v>
      </c>
      <c r="R2460" s="39">
        <v>6962.02</v>
      </c>
      <c r="S2460" s="39">
        <f t="shared" si="247"/>
        <v>7</v>
      </c>
      <c r="T2460" s="39">
        <f t="shared" si="248"/>
        <v>0</v>
      </c>
      <c r="U2460" s="39">
        <f t="shared" si="249"/>
        <v>0</v>
      </c>
      <c r="V2460" s="40"/>
    </row>
    <row r="2461" spans="2:22" x14ac:dyDescent="0.35">
      <c r="B2461" s="40">
        <v>36711</v>
      </c>
      <c r="C2461" s="39">
        <v>6944.36</v>
      </c>
      <c r="D2461" s="219">
        <f t="shared" si="250"/>
        <v>-2.5398427906370025E-3</v>
      </c>
      <c r="F2461" s="40">
        <v>36711</v>
      </c>
      <c r="G2461" s="39">
        <v>6944.36</v>
      </c>
      <c r="H2461" s="39">
        <f t="shared" si="245"/>
        <v>2</v>
      </c>
      <c r="I2461" s="39">
        <f t="shared" si="246"/>
        <v>0</v>
      </c>
      <c r="K2461" s="40"/>
      <c r="Q2461" s="40">
        <v>36711</v>
      </c>
      <c r="R2461" s="39">
        <v>6944.36</v>
      </c>
      <c r="S2461" s="39">
        <f t="shared" si="247"/>
        <v>7</v>
      </c>
      <c r="T2461" s="39">
        <f t="shared" si="248"/>
        <v>0</v>
      </c>
      <c r="U2461" s="39">
        <f t="shared" si="249"/>
        <v>0</v>
      </c>
      <c r="V2461" s="40"/>
    </row>
    <row r="2462" spans="2:22" x14ac:dyDescent="0.35">
      <c r="B2462" s="40">
        <v>36712</v>
      </c>
      <c r="C2462" s="39">
        <v>6961.73</v>
      </c>
      <c r="D2462" s="219">
        <f t="shared" si="250"/>
        <v>2.4981873457973194E-3</v>
      </c>
      <c r="F2462" s="40">
        <v>36712</v>
      </c>
      <c r="G2462" s="39">
        <v>6961.73</v>
      </c>
      <c r="H2462" s="39">
        <f t="shared" si="245"/>
        <v>3</v>
      </c>
      <c r="I2462" s="39">
        <f t="shared" si="246"/>
        <v>0</v>
      </c>
      <c r="K2462" s="40"/>
      <c r="Q2462" s="40">
        <v>36712</v>
      </c>
      <c r="R2462" s="39">
        <v>6961.73</v>
      </c>
      <c r="S2462" s="39">
        <f t="shared" si="247"/>
        <v>7</v>
      </c>
      <c r="T2462" s="39">
        <f t="shared" si="248"/>
        <v>0</v>
      </c>
      <c r="U2462" s="39">
        <f t="shared" si="249"/>
        <v>0</v>
      </c>
      <c r="V2462" s="40"/>
    </row>
    <row r="2463" spans="2:22" x14ac:dyDescent="0.35">
      <c r="B2463" s="40">
        <v>36713</v>
      </c>
      <c r="C2463" s="39">
        <v>6972.8</v>
      </c>
      <c r="D2463" s="219">
        <f t="shared" si="250"/>
        <v>1.5888590901633509E-3</v>
      </c>
      <c r="F2463" s="40">
        <v>36713</v>
      </c>
      <c r="G2463" s="39">
        <v>6972.8</v>
      </c>
      <c r="H2463" s="39">
        <f t="shared" si="245"/>
        <v>4</v>
      </c>
      <c r="I2463" s="39">
        <f t="shared" si="246"/>
        <v>0</v>
      </c>
      <c r="K2463" s="40"/>
      <c r="Q2463" s="40">
        <v>36713</v>
      </c>
      <c r="R2463" s="39">
        <v>6972.8</v>
      </c>
      <c r="S2463" s="39">
        <f t="shared" si="247"/>
        <v>7</v>
      </c>
      <c r="T2463" s="39">
        <f t="shared" si="248"/>
        <v>0</v>
      </c>
      <c r="U2463" s="39">
        <f t="shared" si="249"/>
        <v>0</v>
      </c>
      <c r="V2463" s="40"/>
    </row>
    <row r="2464" spans="2:22" x14ac:dyDescent="0.35">
      <c r="B2464" s="40">
        <v>36714</v>
      </c>
      <c r="C2464" s="39">
        <v>7044.77</v>
      </c>
      <c r="D2464" s="219">
        <f t="shared" si="250"/>
        <v>1.0268631781980541E-2</v>
      </c>
      <c r="F2464" s="40">
        <v>36714</v>
      </c>
      <c r="G2464" s="39">
        <v>7044.77</v>
      </c>
      <c r="H2464" s="39">
        <f t="shared" si="245"/>
        <v>5</v>
      </c>
      <c r="I2464" s="39">
        <f t="shared" si="246"/>
        <v>7044.77</v>
      </c>
      <c r="K2464" s="40"/>
      <c r="Q2464" s="40">
        <v>36714</v>
      </c>
      <c r="R2464" s="39">
        <v>7044.77</v>
      </c>
      <c r="S2464" s="39">
        <f t="shared" si="247"/>
        <v>7</v>
      </c>
      <c r="T2464" s="39">
        <f t="shared" si="248"/>
        <v>0</v>
      </c>
      <c r="U2464" s="39">
        <f t="shared" si="249"/>
        <v>0</v>
      </c>
      <c r="V2464" s="40"/>
    </row>
    <row r="2465" spans="2:22" x14ac:dyDescent="0.35">
      <c r="B2465" s="40">
        <v>36717</v>
      </c>
      <c r="C2465" s="39">
        <v>7066.22</v>
      </c>
      <c r="D2465" s="219">
        <f t="shared" si="250"/>
        <v>3.0401859148618446E-3</v>
      </c>
      <c r="F2465" s="40">
        <v>36717</v>
      </c>
      <c r="G2465" s="39">
        <v>7066.22</v>
      </c>
      <c r="H2465" s="39">
        <f t="shared" si="245"/>
        <v>1</v>
      </c>
      <c r="I2465" s="39">
        <f t="shared" si="246"/>
        <v>0</v>
      </c>
      <c r="K2465" s="40"/>
      <c r="Q2465" s="40">
        <v>36717</v>
      </c>
      <c r="R2465" s="39">
        <v>7066.22</v>
      </c>
      <c r="S2465" s="39">
        <f t="shared" si="247"/>
        <v>7</v>
      </c>
      <c r="T2465" s="39">
        <f t="shared" si="248"/>
        <v>0</v>
      </c>
      <c r="U2465" s="39">
        <f t="shared" si="249"/>
        <v>0</v>
      </c>
      <c r="V2465" s="40"/>
    </row>
    <row r="2466" spans="2:22" x14ac:dyDescent="0.35">
      <c r="B2466" s="40">
        <v>36718</v>
      </c>
      <c r="C2466" s="39">
        <v>7006.05</v>
      </c>
      <c r="D2466" s="219">
        <f t="shared" si="250"/>
        <v>-8.5516219752402554E-3</v>
      </c>
      <c r="F2466" s="40">
        <v>36718</v>
      </c>
      <c r="G2466" s="39">
        <v>7006.05</v>
      </c>
      <c r="H2466" s="39">
        <f t="shared" si="245"/>
        <v>2</v>
      </c>
      <c r="I2466" s="39">
        <f t="shared" si="246"/>
        <v>0</v>
      </c>
      <c r="K2466" s="40"/>
      <c r="Q2466" s="40">
        <v>36718</v>
      </c>
      <c r="R2466" s="39">
        <v>7006.05</v>
      </c>
      <c r="S2466" s="39">
        <f t="shared" si="247"/>
        <v>7</v>
      </c>
      <c r="T2466" s="39">
        <f t="shared" si="248"/>
        <v>0</v>
      </c>
      <c r="U2466" s="39">
        <f t="shared" si="249"/>
        <v>0</v>
      </c>
      <c r="V2466" s="40"/>
    </row>
    <row r="2467" spans="2:22" x14ac:dyDescent="0.35">
      <c r="B2467" s="40">
        <v>36719</v>
      </c>
      <c r="C2467" s="39">
        <v>7065.97</v>
      </c>
      <c r="D2467" s="219">
        <f t="shared" si="250"/>
        <v>8.5162417546196644E-3</v>
      </c>
      <c r="F2467" s="40">
        <v>36719</v>
      </c>
      <c r="G2467" s="39">
        <v>7065.97</v>
      </c>
      <c r="H2467" s="39">
        <f t="shared" si="245"/>
        <v>3</v>
      </c>
      <c r="I2467" s="39">
        <f t="shared" si="246"/>
        <v>0</v>
      </c>
      <c r="K2467" s="40"/>
      <c r="Q2467" s="40">
        <v>36719</v>
      </c>
      <c r="R2467" s="39">
        <v>7065.97</v>
      </c>
      <c r="S2467" s="39">
        <f t="shared" si="247"/>
        <v>7</v>
      </c>
      <c r="T2467" s="39">
        <f t="shared" si="248"/>
        <v>0</v>
      </c>
      <c r="U2467" s="39">
        <f t="shared" si="249"/>
        <v>0</v>
      </c>
      <c r="V2467" s="40"/>
    </row>
    <row r="2468" spans="2:22" x14ac:dyDescent="0.35">
      <c r="B2468" s="40">
        <v>36720</v>
      </c>
      <c r="C2468" s="39">
        <v>7166.51</v>
      </c>
      <c r="D2468" s="219">
        <f t="shared" si="250"/>
        <v>1.4128482517062111E-2</v>
      </c>
      <c r="F2468" s="40">
        <v>36720</v>
      </c>
      <c r="G2468" s="39">
        <v>7166.51</v>
      </c>
      <c r="H2468" s="39">
        <f t="shared" si="245"/>
        <v>4</v>
      </c>
      <c r="I2468" s="39">
        <f t="shared" si="246"/>
        <v>0</v>
      </c>
      <c r="K2468" s="40"/>
      <c r="Q2468" s="40">
        <v>36720</v>
      </c>
      <c r="R2468" s="39">
        <v>7166.51</v>
      </c>
      <c r="S2468" s="39">
        <f t="shared" si="247"/>
        <v>7</v>
      </c>
      <c r="T2468" s="39">
        <f t="shared" si="248"/>
        <v>0</v>
      </c>
      <c r="U2468" s="39">
        <f t="shared" si="249"/>
        <v>0</v>
      </c>
      <c r="V2468" s="40"/>
    </row>
    <row r="2469" spans="2:22" x14ac:dyDescent="0.35">
      <c r="B2469" s="40">
        <v>36721</v>
      </c>
      <c r="C2469" s="39">
        <v>7321.94</v>
      </c>
      <c r="D2469" s="219">
        <f t="shared" si="250"/>
        <v>2.1456534420639918E-2</v>
      </c>
      <c r="F2469" s="40">
        <v>36721</v>
      </c>
      <c r="G2469" s="39">
        <v>7321.94</v>
      </c>
      <c r="H2469" s="39">
        <f t="shared" si="245"/>
        <v>5</v>
      </c>
      <c r="I2469" s="39">
        <f t="shared" si="246"/>
        <v>7321.94</v>
      </c>
      <c r="K2469" s="40"/>
      <c r="Q2469" s="40">
        <v>36721</v>
      </c>
      <c r="R2469" s="39">
        <v>7321.94</v>
      </c>
      <c r="S2469" s="39">
        <f t="shared" si="247"/>
        <v>7</v>
      </c>
      <c r="T2469" s="39">
        <f t="shared" si="248"/>
        <v>0</v>
      </c>
      <c r="U2469" s="39">
        <f t="shared" si="249"/>
        <v>0</v>
      </c>
      <c r="V2469" s="40"/>
    </row>
    <row r="2470" spans="2:22" x14ac:dyDescent="0.35">
      <c r="B2470" s="40">
        <v>36724</v>
      </c>
      <c r="C2470" s="39">
        <v>7430.7</v>
      </c>
      <c r="D2470" s="219">
        <f t="shared" si="250"/>
        <v>1.4744746761260212E-2</v>
      </c>
      <c r="F2470" s="40">
        <v>36724</v>
      </c>
      <c r="G2470" s="39">
        <v>7430.7</v>
      </c>
      <c r="H2470" s="39">
        <f t="shared" si="245"/>
        <v>1</v>
      </c>
      <c r="I2470" s="39">
        <f t="shared" si="246"/>
        <v>0</v>
      </c>
      <c r="K2470" s="40"/>
      <c r="Q2470" s="40">
        <v>36724</v>
      </c>
      <c r="R2470" s="39">
        <v>7430.7</v>
      </c>
      <c r="S2470" s="39">
        <f t="shared" si="247"/>
        <v>7</v>
      </c>
      <c r="T2470" s="39">
        <f t="shared" si="248"/>
        <v>0</v>
      </c>
      <c r="U2470" s="39">
        <f t="shared" si="249"/>
        <v>0</v>
      </c>
      <c r="V2470" s="40"/>
    </row>
    <row r="2471" spans="2:22" x14ac:dyDescent="0.35">
      <c r="B2471" s="40">
        <v>36725</v>
      </c>
      <c r="C2471" s="39">
        <v>7406.91</v>
      </c>
      <c r="D2471" s="219">
        <f t="shared" si="250"/>
        <v>-3.2067186543024715E-3</v>
      </c>
      <c r="F2471" s="40">
        <v>36725</v>
      </c>
      <c r="G2471" s="39">
        <v>7406.91</v>
      </c>
      <c r="H2471" s="39">
        <f t="shared" si="245"/>
        <v>2</v>
      </c>
      <c r="I2471" s="39">
        <f t="shared" si="246"/>
        <v>0</v>
      </c>
      <c r="K2471" s="40"/>
      <c r="Q2471" s="40">
        <v>36725</v>
      </c>
      <c r="R2471" s="39">
        <v>7406.91</v>
      </c>
      <c r="S2471" s="39">
        <f t="shared" si="247"/>
        <v>7</v>
      </c>
      <c r="T2471" s="39">
        <f t="shared" si="248"/>
        <v>0</v>
      </c>
      <c r="U2471" s="39">
        <f t="shared" si="249"/>
        <v>0</v>
      </c>
      <c r="V2471" s="40"/>
    </row>
    <row r="2472" spans="2:22" x14ac:dyDescent="0.35">
      <c r="B2472" s="40">
        <v>36726</v>
      </c>
      <c r="C2472" s="39">
        <v>7366.57</v>
      </c>
      <c r="D2472" s="219">
        <f t="shared" si="250"/>
        <v>-5.4611506914901443E-3</v>
      </c>
      <c r="F2472" s="40">
        <v>36726</v>
      </c>
      <c r="G2472" s="39">
        <v>7366.57</v>
      </c>
      <c r="H2472" s="39">
        <f t="shared" si="245"/>
        <v>3</v>
      </c>
      <c r="I2472" s="39">
        <f t="shared" si="246"/>
        <v>0</v>
      </c>
      <c r="K2472" s="40"/>
      <c r="Q2472" s="40">
        <v>36726</v>
      </c>
      <c r="R2472" s="39">
        <v>7366.57</v>
      </c>
      <c r="S2472" s="39">
        <f t="shared" si="247"/>
        <v>7</v>
      </c>
      <c r="T2472" s="39">
        <f t="shared" si="248"/>
        <v>0</v>
      </c>
      <c r="U2472" s="39">
        <f t="shared" si="249"/>
        <v>0</v>
      </c>
      <c r="V2472" s="40"/>
    </row>
    <row r="2473" spans="2:22" x14ac:dyDescent="0.35">
      <c r="B2473" s="40">
        <v>36727</v>
      </c>
      <c r="C2473" s="39">
        <v>7480.14</v>
      </c>
      <c r="D2473" s="219">
        <f t="shared" si="250"/>
        <v>1.529931079121789E-2</v>
      </c>
      <c r="F2473" s="40">
        <v>36727</v>
      </c>
      <c r="G2473" s="39">
        <v>7480.14</v>
      </c>
      <c r="H2473" s="39">
        <f t="shared" si="245"/>
        <v>4</v>
      </c>
      <c r="I2473" s="39">
        <f t="shared" si="246"/>
        <v>0</v>
      </c>
      <c r="K2473" s="40"/>
      <c r="Q2473" s="40">
        <v>36727</v>
      </c>
      <c r="R2473" s="39">
        <v>7480.14</v>
      </c>
      <c r="S2473" s="39">
        <f t="shared" si="247"/>
        <v>7</v>
      </c>
      <c r="T2473" s="39">
        <f t="shared" si="248"/>
        <v>0</v>
      </c>
      <c r="U2473" s="39">
        <f t="shared" si="249"/>
        <v>0</v>
      </c>
      <c r="V2473" s="40"/>
    </row>
    <row r="2474" spans="2:22" x14ac:dyDescent="0.35">
      <c r="B2474" s="40">
        <v>36728</v>
      </c>
      <c r="C2474" s="39">
        <v>7378.86</v>
      </c>
      <c r="D2474" s="219">
        <f t="shared" si="250"/>
        <v>-1.363235325306531E-2</v>
      </c>
      <c r="F2474" s="40">
        <v>36728</v>
      </c>
      <c r="G2474" s="39">
        <v>7378.86</v>
      </c>
      <c r="H2474" s="39">
        <f t="shared" si="245"/>
        <v>5</v>
      </c>
      <c r="I2474" s="39">
        <f t="shared" si="246"/>
        <v>7378.86</v>
      </c>
      <c r="K2474" s="40"/>
      <c r="Q2474" s="40">
        <v>36728</v>
      </c>
      <c r="R2474" s="39">
        <v>7378.86</v>
      </c>
      <c r="S2474" s="39">
        <f t="shared" si="247"/>
        <v>7</v>
      </c>
      <c r="T2474" s="39">
        <f t="shared" si="248"/>
        <v>0</v>
      </c>
      <c r="U2474" s="39">
        <f t="shared" si="249"/>
        <v>0</v>
      </c>
      <c r="V2474" s="40"/>
    </row>
    <row r="2475" spans="2:22" x14ac:dyDescent="0.35">
      <c r="B2475" s="40">
        <v>36731</v>
      </c>
      <c r="C2475" s="39">
        <v>7314.2</v>
      </c>
      <c r="D2475" s="219">
        <f t="shared" si="250"/>
        <v>-8.8014909642241141E-3</v>
      </c>
      <c r="F2475" s="40">
        <v>36731</v>
      </c>
      <c r="G2475" s="39">
        <v>7314.2</v>
      </c>
      <c r="H2475" s="39">
        <f t="shared" si="245"/>
        <v>1</v>
      </c>
      <c r="I2475" s="39">
        <f t="shared" si="246"/>
        <v>0</v>
      </c>
      <c r="K2475" s="40"/>
      <c r="Q2475" s="40">
        <v>36731</v>
      </c>
      <c r="R2475" s="39">
        <v>7314.2</v>
      </c>
      <c r="S2475" s="39">
        <f t="shared" si="247"/>
        <v>7</v>
      </c>
      <c r="T2475" s="39">
        <f t="shared" si="248"/>
        <v>0</v>
      </c>
      <c r="U2475" s="39">
        <f t="shared" si="249"/>
        <v>0</v>
      </c>
      <c r="V2475" s="40"/>
    </row>
    <row r="2476" spans="2:22" x14ac:dyDescent="0.35">
      <c r="B2476" s="40">
        <v>36732</v>
      </c>
      <c r="C2476" s="39">
        <v>7329.46</v>
      </c>
      <c r="D2476" s="219">
        <f t="shared" si="250"/>
        <v>2.084179163388059E-3</v>
      </c>
      <c r="F2476" s="40">
        <v>36732</v>
      </c>
      <c r="G2476" s="39">
        <v>7329.46</v>
      </c>
      <c r="H2476" s="39">
        <f t="shared" si="245"/>
        <v>2</v>
      </c>
      <c r="I2476" s="39">
        <f t="shared" si="246"/>
        <v>0</v>
      </c>
      <c r="K2476" s="40"/>
      <c r="Q2476" s="40">
        <v>36732</v>
      </c>
      <c r="R2476" s="39">
        <v>7329.46</v>
      </c>
      <c r="S2476" s="39">
        <f t="shared" si="247"/>
        <v>7</v>
      </c>
      <c r="T2476" s="39">
        <f t="shared" si="248"/>
        <v>0</v>
      </c>
      <c r="U2476" s="39">
        <f t="shared" si="249"/>
        <v>0</v>
      </c>
      <c r="V2476" s="40"/>
    </row>
    <row r="2477" spans="2:22" x14ac:dyDescent="0.35">
      <c r="B2477" s="40">
        <v>36733</v>
      </c>
      <c r="C2477" s="39">
        <v>7268</v>
      </c>
      <c r="D2477" s="219">
        <f t="shared" si="250"/>
        <v>-8.4206928009469013E-3</v>
      </c>
      <c r="F2477" s="40">
        <v>36733</v>
      </c>
      <c r="G2477" s="39">
        <v>7268</v>
      </c>
      <c r="H2477" s="39">
        <f t="shared" si="245"/>
        <v>3</v>
      </c>
      <c r="I2477" s="39">
        <f t="shared" si="246"/>
        <v>0</v>
      </c>
      <c r="K2477" s="40"/>
      <c r="Q2477" s="40">
        <v>36733</v>
      </c>
      <c r="R2477" s="39">
        <v>7268</v>
      </c>
      <c r="S2477" s="39">
        <f t="shared" si="247"/>
        <v>7</v>
      </c>
      <c r="T2477" s="39">
        <f t="shared" si="248"/>
        <v>0</v>
      </c>
      <c r="U2477" s="39">
        <f t="shared" si="249"/>
        <v>0</v>
      </c>
      <c r="V2477" s="40"/>
    </row>
    <row r="2478" spans="2:22" x14ac:dyDescent="0.35">
      <c r="B2478" s="40">
        <v>36734</v>
      </c>
      <c r="C2478" s="39">
        <v>7183.44</v>
      </c>
      <c r="D2478" s="219">
        <f t="shared" si="250"/>
        <v>-1.1702773574590755E-2</v>
      </c>
      <c r="F2478" s="40">
        <v>36734</v>
      </c>
      <c r="G2478" s="39">
        <v>7183.44</v>
      </c>
      <c r="H2478" s="39">
        <f t="shared" si="245"/>
        <v>4</v>
      </c>
      <c r="I2478" s="39">
        <f t="shared" si="246"/>
        <v>0</v>
      </c>
      <c r="K2478" s="40"/>
      <c r="Q2478" s="40">
        <v>36734</v>
      </c>
      <c r="R2478" s="39">
        <v>7183.44</v>
      </c>
      <c r="S2478" s="39">
        <f t="shared" si="247"/>
        <v>7</v>
      </c>
      <c r="T2478" s="39">
        <f t="shared" si="248"/>
        <v>0</v>
      </c>
      <c r="U2478" s="39">
        <f t="shared" si="249"/>
        <v>0</v>
      </c>
      <c r="V2478" s="40"/>
    </row>
    <row r="2479" spans="2:22" x14ac:dyDescent="0.35">
      <c r="B2479" s="40">
        <v>36735</v>
      </c>
      <c r="C2479" s="39">
        <v>7128.3</v>
      </c>
      <c r="D2479" s="219">
        <f t="shared" si="250"/>
        <v>-7.7056001343940063E-3</v>
      </c>
      <c r="F2479" s="40">
        <v>36735</v>
      </c>
      <c r="G2479" s="39">
        <v>7128.3</v>
      </c>
      <c r="H2479" s="39">
        <f t="shared" si="245"/>
        <v>5</v>
      </c>
      <c r="I2479" s="39">
        <f t="shared" si="246"/>
        <v>7128.3</v>
      </c>
      <c r="K2479" s="40"/>
      <c r="Q2479" s="40">
        <v>36735</v>
      </c>
      <c r="R2479" s="39">
        <v>7128.3</v>
      </c>
      <c r="S2479" s="39">
        <f t="shared" si="247"/>
        <v>7</v>
      </c>
      <c r="T2479" s="39">
        <f t="shared" si="248"/>
        <v>0</v>
      </c>
      <c r="U2479" s="39">
        <f t="shared" si="249"/>
        <v>0</v>
      </c>
      <c r="V2479" s="40"/>
    </row>
    <row r="2480" spans="2:22" x14ac:dyDescent="0.35">
      <c r="B2480" s="40">
        <v>36738</v>
      </c>
      <c r="C2480" s="39">
        <v>7190.37</v>
      </c>
      <c r="D2480" s="219">
        <f t="shared" si="250"/>
        <v>8.6698539455895996E-3</v>
      </c>
      <c r="F2480" s="40">
        <v>36738</v>
      </c>
      <c r="G2480" s="39">
        <v>7190.37</v>
      </c>
      <c r="H2480" s="39">
        <f t="shared" si="245"/>
        <v>1</v>
      </c>
      <c r="I2480" s="39">
        <f t="shared" si="246"/>
        <v>0</v>
      </c>
      <c r="K2480" s="40"/>
      <c r="Q2480" s="40">
        <v>36738</v>
      </c>
      <c r="R2480" s="39">
        <v>7190.37</v>
      </c>
      <c r="S2480" s="39">
        <f t="shared" si="247"/>
        <v>7</v>
      </c>
      <c r="T2480" s="39">
        <f t="shared" si="248"/>
        <v>7190.37</v>
      </c>
      <c r="U2480" s="39">
        <f t="shared" si="249"/>
        <v>7190.37</v>
      </c>
      <c r="V2480" s="40"/>
    </row>
    <row r="2481" spans="2:22" x14ac:dyDescent="0.35">
      <c r="B2481" s="40">
        <v>36739</v>
      </c>
      <c r="C2481" s="39">
        <v>7145.53</v>
      </c>
      <c r="D2481" s="219">
        <f t="shared" si="250"/>
        <v>-6.2556443930559614E-3</v>
      </c>
      <c r="F2481" s="40">
        <v>36739</v>
      </c>
      <c r="G2481" s="39">
        <v>7145.53</v>
      </c>
      <c r="H2481" s="39">
        <f t="shared" si="245"/>
        <v>2</v>
      </c>
      <c r="I2481" s="39">
        <f t="shared" si="246"/>
        <v>0</v>
      </c>
      <c r="K2481" s="40"/>
      <c r="Q2481" s="40">
        <v>36739</v>
      </c>
      <c r="R2481" s="39">
        <v>7145.53</v>
      </c>
      <c r="S2481" s="39">
        <f t="shared" si="247"/>
        <v>8</v>
      </c>
      <c r="T2481" s="39">
        <f t="shared" si="248"/>
        <v>0</v>
      </c>
      <c r="U2481" s="39">
        <f t="shared" si="249"/>
        <v>0</v>
      </c>
      <c r="V2481" s="40"/>
    </row>
    <row r="2482" spans="2:22" x14ac:dyDescent="0.35">
      <c r="B2482" s="40">
        <v>36740</v>
      </c>
      <c r="C2482" s="39">
        <v>7112.45</v>
      </c>
      <c r="D2482" s="219">
        <f t="shared" si="250"/>
        <v>-4.640216826711248E-3</v>
      </c>
      <c r="F2482" s="40">
        <v>36740</v>
      </c>
      <c r="G2482" s="39">
        <v>7112.45</v>
      </c>
      <c r="H2482" s="39">
        <f t="shared" si="245"/>
        <v>3</v>
      </c>
      <c r="I2482" s="39">
        <f t="shared" si="246"/>
        <v>0</v>
      </c>
      <c r="K2482" s="40"/>
      <c r="Q2482" s="40">
        <v>36740</v>
      </c>
      <c r="R2482" s="39">
        <v>7112.45</v>
      </c>
      <c r="S2482" s="39">
        <f t="shared" si="247"/>
        <v>8</v>
      </c>
      <c r="T2482" s="39">
        <f t="shared" si="248"/>
        <v>0</v>
      </c>
      <c r="U2482" s="39">
        <f t="shared" si="249"/>
        <v>0</v>
      </c>
      <c r="V2482" s="40"/>
    </row>
    <row r="2483" spans="2:22" x14ac:dyDescent="0.35">
      <c r="B2483" s="40">
        <v>36741</v>
      </c>
      <c r="C2483" s="39">
        <v>7011.74</v>
      </c>
      <c r="D2483" s="219">
        <f t="shared" si="250"/>
        <v>-1.4260882471869513E-2</v>
      </c>
      <c r="F2483" s="40">
        <v>36741</v>
      </c>
      <c r="G2483" s="39">
        <v>7011.74</v>
      </c>
      <c r="H2483" s="39">
        <f t="shared" si="245"/>
        <v>4</v>
      </c>
      <c r="I2483" s="39">
        <f t="shared" si="246"/>
        <v>0</v>
      </c>
      <c r="K2483" s="40"/>
      <c r="Q2483" s="40">
        <v>36741</v>
      </c>
      <c r="R2483" s="39">
        <v>7011.74</v>
      </c>
      <c r="S2483" s="39">
        <f t="shared" si="247"/>
        <v>8</v>
      </c>
      <c r="T2483" s="39">
        <f t="shared" si="248"/>
        <v>0</v>
      </c>
      <c r="U2483" s="39">
        <f t="shared" si="249"/>
        <v>0</v>
      </c>
      <c r="V2483" s="40"/>
    </row>
    <row r="2484" spans="2:22" x14ac:dyDescent="0.35">
      <c r="B2484" s="40">
        <v>36742</v>
      </c>
      <c r="C2484" s="39">
        <v>7016.59</v>
      </c>
      <c r="D2484" s="219">
        <f t="shared" si="250"/>
        <v>6.9145795589894542E-4</v>
      </c>
      <c r="F2484" s="40">
        <v>36742</v>
      </c>
      <c r="G2484" s="39">
        <v>7016.59</v>
      </c>
      <c r="H2484" s="39">
        <f t="shared" si="245"/>
        <v>5</v>
      </c>
      <c r="I2484" s="39">
        <f t="shared" si="246"/>
        <v>7016.59</v>
      </c>
      <c r="K2484" s="40"/>
      <c r="Q2484" s="40">
        <v>36742</v>
      </c>
      <c r="R2484" s="39">
        <v>7016.59</v>
      </c>
      <c r="S2484" s="39">
        <f t="shared" si="247"/>
        <v>8</v>
      </c>
      <c r="T2484" s="39">
        <f t="shared" si="248"/>
        <v>0</v>
      </c>
      <c r="U2484" s="39">
        <f t="shared" si="249"/>
        <v>0</v>
      </c>
      <c r="V2484" s="40"/>
    </row>
    <row r="2485" spans="2:22" x14ac:dyDescent="0.35">
      <c r="B2485" s="40">
        <v>36745</v>
      </c>
      <c r="C2485" s="39">
        <v>7113.22</v>
      </c>
      <c r="D2485" s="219">
        <f t="shared" si="250"/>
        <v>1.3677679522694702E-2</v>
      </c>
      <c r="F2485" s="40">
        <v>36745</v>
      </c>
      <c r="G2485" s="39">
        <v>7113.22</v>
      </c>
      <c r="H2485" s="39">
        <f t="shared" si="245"/>
        <v>1</v>
      </c>
      <c r="I2485" s="39">
        <f t="shared" si="246"/>
        <v>0</v>
      </c>
      <c r="K2485" s="40"/>
      <c r="Q2485" s="40">
        <v>36745</v>
      </c>
      <c r="R2485" s="39">
        <v>7113.22</v>
      </c>
      <c r="S2485" s="39">
        <f t="shared" si="247"/>
        <v>8</v>
      </c>
      <c r="T2485" s="39">
        <f t="shared" si="248"/>
        <v>0</v>
      </c>
      <c r="U2485" s="39">
        <f t="shared" si="249"/>
        <v>0</v>
      </c>
      <c r="V2485" s="40"/>
    </row>
    <row r="2486" spans="2:22" x14ac:dyDescent="0.35">
      <c r="B2486" s="40">
        <v>36746</v>
      </c>
      <c r="C2486" s="39">
        <v>7143.96</v>
      </c>
      <c r="D2486" s="219">
        <f t="shared" si="250"/>
        <v>4.3122198968930242E-3</v>
      </c>
      <c r="F2486" s="40">
        <v>36746</v>
      </c>
      <c r="G2486" s="39">
        <v>7143.96</v>
      </c>
      <c r="H2486" s="39">
        <f t="shared" si="245"/>
        <v>2</v>
      </c>
      <c r="I2486" s="39">
        <f t="shared" si="246"/>
        <v>0</v>
      </c>
      <c r="K2486" s="40"/>
      <c r="Q2486" s="40">
        <v>36746</v>
      </c>
      <c r="R2486" s="39">
        <v>7143.96</v>
      </c>
      <c r="S2486" s="39">
        <f t="shared" si="247"/>
        <v>8</v>
      </c>
      <c r="T2486" s="39">
        <f t="shared" si="248"/>
        <v>0</v>
      </c>
      <c r="U2486" s="39">
        <f t="shared" si="249"/>
        <v>0</v>
      </c>
      <c r="V2486" s="40"/>
    </row>
    <row r="2487" spans="2:22" x14ac:dyDescent="0.35">
      <c r="B2487" s="40">
        <v>36747</v>
      </c>
      <c r="C2487" s="39">
        <v>7226.71</v>
      </c>
      <c r="D2487" s="219">
        <f t="shared" si="250"/>
        <v>1.1516639740941553E-2</v>
      </c>
      <c r="F2487" s="40">
        <v>36747</v>
      </c>
      <c r="G2487" s="39">
        <v>7226.71</v>
      </c>
      <c r="H2487" s="39">
        <f t="shared" ref="H2487:H2550" si="251">WEEKDAY(F2487,2)</f>
        <v>3</v>
      </c>
      <c r="I2487" s="39">
        <f t="shared" ref="I2487:I2550" si="252">IF(H2487&gt;H2488,G2487,0)</f>
        <v>0</v>
      </c>
      <c r="K2487" s="40"/>
      <c r="Q2487" s="40">
        <v>36747</v>
      </c>
      <c r="R2487" s="39">
        <v>7226.71</v>
      </c>
      <c r="S2487" s="39">
        <f t="shared" ref="S2487:S2550" si="253">MONTH(Q2487)</f>
        <v>8</v>
      </c>
      <c r="T2487" s="39">
        <f t="shared" ref="T2487:T2550" si="254">IF(S2488&lt;&gt;S2487,R2487,0)</f>
        <v>0</v>
      </c>
      <c r="U2487" s="39">
        <f t="shared" ref="U2487:U2550" si="255">IF(S2488=S2487,0,R2487)</f>
        <v>0</v>
      </c>
      <c r="V2487" s="40"/>
    </row>
    <row r="2488" spans="2:22" x14ac:dyDescent="0.35">
      <c r="B2488" s="40">
        <v>36748</v>
      </c>
      <c r="C2488" s="39">
        <v>7280.97</v>
      </c>
      <c r="D2488" s="219">
        <f t="shared" ref="D2488:D2551" si="256">LN(C2488/C2487)</f>
        <v>7.4802108956206498E-3</v>
      </c>
      <c r="F2488" s="40">
        <v>36748</v>
      </c>
      <c r="G2488" s="39">
        <v>7280.97</v>
      </c>
      <c r="H2488" s="39">
        <f t="shared" si="251"/>
        <v>4</v>
      </c>
      <c r="I2488" s="39">
        <f t="shared" si="252"/>
        <v>0</v>
      </c>
      <c r="K2488" s="40"/>
      <c r="Q2488" s="40">
        <v>36748</v>
      </c>
      <c r="R2488" s="39">
        <v>7280.97</v>
      </c>
      <c r="S2488" s="39">
        <f t="shared" si="253"/>
        <v>8</v>
      </c>
      <c r="T2488" s="39">
        <f t="shared" si="254"/>
        <v>0</v>
      </c>
      <c r="U2488" s="39">
        <f t="shared" si="255"/>
        <v>0</v>
      </c>
      <c r="V2488" s="40"/>
    </row>
    <row r="2489" spans="2:22" x14ac:dyDescent="0.35">
      <c r="B2489" s="40">
        <v>36749</v>
      </c>
      <c r="C2489" s="39">
        <v>7322.98</v>
      </c>
      <c r="D2489" s="219">
        <f t="shared" si="256"/>
        <v>5.753253863136262E-3</v>
      </c>
      <c r="F2489" s="40">
        <v>36749</v>
      </c>
      <c r="G2489" s="39">
        <v>7322.98</v>
      </c>
      <c r="H2489" s="39">
        <f t="shared" si="251"/>
        <v>5</v>
      </c>
      <c r="I2489" s="39">
        <f t="shared" si="252"/>
        <v>7322.98</v>
      </c>
      <c r="K2489" s="40"/>
      <c r="Q2489" s="40">
        <v>36749</v>
      </c>
      <c r="R2489" s="39">
        <v>7322.98</v>
      </c>
      <c r="S2489" s="39">
        <f t="shared" si="253"/>
        <v>8</v>
      </c>
      <c r="T2489" s="39">
        <f t="shared" si="254"/>
        <v>0</v>
      </c>
      <c r="U2489" s="39">
        <f t="shared" si="255"/>
        <v>0</v>
      </c>
      <c r="V2489" s="40"/>
    </row>
    <row r="2490" spans="2:22" x14ac:dyDescent="0.35">
      <c r="B2490" s="40">
        <v>36752</v>
      </c>
      <c r="C2490" s="39">
        <v>7331.67</v>
      </c>
      <c r="D2490" s="219">
        <f t="shared" si="256"/>
        <v>1.1859718271758485E-3</v>
      </c>
      <c r="F2490" s="40">
        <v>36752</v>
      </c>
      <c r="G2490" s="39">
        <v>7331.67</v>
      </c>
      <c r="H2490" s="39">
        <f t="shared" si="251"/>
        <v>1</v>
      </c>
      <c r="I2490" s="39">
        <f t="shared" si="252"/>
        <v>0</v>
      </c>
      <c r="K2490" s="40"/>
      <c r="Q2490" s="40">
        <v>36752</v>
      </c>
      <c r="R2490" s="39">
        <v>7331.67</v>
      </c>
      <c r="S2490" s="39">
        <f t="shared" si="253"/>
        <v>8</v>
      </c>
      <c r="T2490" s="39">
        <f t="shared" si="254"/>
        <v>0</v>
      </c>
      <c r="U2490" s="39">
        <f t="shared" si="255"/>
        <v>0</v>
      </c>
      <c r="V2490" s="40"/>
    </row>
    <row r="2491" spans="2:22" x14ac:dyDescent="0.35">
      <c r="B2491" s="40">
        <v>36753</v>
      </c>
      <c r="C2491" s="39">
        <v>7307.43</v>
      </c>
      <c r="D2491" s="219">
        <f t="shared" si="256"/>
        <v>-3.3116820233233214E-3</v>
      </c>
      <c r="F2491" s="40">
        <v>36753</v>
      </c>
      <c r="G2491" s="39">
        <v>7307.43</v>
      </c>
      <c r="H2491" s="39">
        <f t="shared" si="251"/>
        <v>2</v>
      </c>
      <c r="I2491" s="39">
        <f t="shared" si="252"/>
        <v>0</v>
      </c>
      <c r="K2491" s="40"/>
      <c r="Q2491" s="40">
        <v>36753</v>
      </c>
      <c r="R2491" s="39">
        <v>7307.43</v>
      </c>
      <c r="S2491" s="39">
        <f t="shared" si="253"/>
        <v>8</v>
      </c>
      <c r="T2491" s="39">
        <f t="shared" si="254"/>
        <v>0</v>
      </c>
      <c r="U2491" s="39">
        <f t="shared" si="255"/>
        <v>0</v>
      </c>
      <c r="V2491" s="40"/>
    </row>
    <row r="2492" spans="2:22" x14ac:dyDescent="0.35">
      <c r="B2492" s="40">
        <v>36754</v>
      </c>
      <c r="C2492" s="39">
        <v>7315.27</v>
      </c>
      <c r="D2492" s="219">
        <f t="shared" si="256"/>
        <v>1.0723054909459882E-3</v>
      </c>
      <c r="F2492" s="40">
        <v>36754</v>
      </c>
      <c r="G2492" s="39">
        <v>7315.27</v>
      </c>
      <c r="H2492" s="39">
        <f t="shared" si="251"/>
        <v>3</v>
      </c>
      <c r="I2492" s="39">
        <f t="shared" si="252"/>
        <v>0</v>
      </c>
      <c r="K2492" s="40"/>
      <c r="Q2492" s="40">
        <v>36754</v>
      </c>
      <c r="R2492" s="39">
        <v>7315.27</v>
      </c>
      <c r="S2492" s="39">
        <f t="shared" si="253"/>
        <v>8</v>
      </c>
      <c r="T2492" s="39">
        <f t="shared" si="254"/>
        <v>0</v>
      </c>
      <c r="U2492" s="39">
        <f t="shared" si="255"/>
        <v>0</v>
      </c>
      <c r="V2492" s="40"/>
    </row>
    <row r="2493" spans="2:22" x14ac:dyDescent="0.35">
      <c r="B2493" s="40">
        <v>36755</v>
      </c>
      <c r="C2493" s="39">
        <v>7278.43</v>
      </c>
      <c r="D2493" s="219">
        <f t="shared" si="256"/>
        <v>-5.0487646387608236E-3</v>
      </c>
      <c r="F2493" s="40">
        <v>36755</v>
      </c>
      <c r="G2493" s="39">
        <v>7278.43</v>
      </c>
      <c r="H2493" s="39">
        <f t="shared" si="251"/>
        <v>4</v>
      </c>
      <c r="I2493" s="39">
        <f t="shared" si="252"/>
        <v>0</v>
      </c>
      <c r="K2493" s="40"/>
      <c r="Q2493" s="40">
        <v>36755</v>
      </c>
      <c r="R2493" s="39">
        <v>7278.43</v>
      </c>
      <c r="S2493" s="39">
        <f t="shared" si="253"/>
        <v>8</v>
      </c>
      <c r="T2493" s="39">
        <f t="shared" si="254"/>
        <v>0</v>
      </c>
      <c r="U2493" s="39">
        <f t="shared" si="255"/>
        <v>0</v>
      </c>
      <c r="V2493" s="40"/>
    </row>
    <row r="2494" spans="2:22" x14ac:dyDescent="0.35">
      <c r="B2494" s="40">
        <v>36756</v>
      </c>
      <c r="C2494" s="39">
        <v>7232.42</v>
      </c>
      <c r="D2494" s="219">
        <f t="shared" si="256"/>
        <v>-6.3414829853018096E-3</v>
      </c>
      <c r="F2494" s="40">
        <v>36756</v>
      </c>
      <c r="G2494" s="39">
        <v>7232.42</v>
      </c>
      <c r="H2494" s="39">
        <f t="shared" si="251"/>
        <v>5</v>
      </c>
      <c r="I2494" s="39">
        <f t="shared" si="252"/>
        <v>7232.42</v>
      </c>
      <c r="K2494" s="40"/>
      <c r="Q2494" s="40">
        <v>36756</v>
      </c>
      <c r="R2494" s="39">
        <v>7232.42</v>
      </c>
      <c r="S2494" s="39">
        <f t="shared" si="253"/>
        <v>8</v>
      </c>
      <c r="T2494" s="39">
        <f t="shared" si="254"/>
        <v>0</v>
      </c>
      <c r="U2494" s="39">
        <f t="shared" si="255"/>
        <v>0</v>
      </c>
      <c r="V2494" s="40"/>
    </row>
    <row r="2495" spans="2:22" x14ac:dyDescent="0.35">
      <c r="B2495" s="40">
        <v>36759</v>
      </c>
      <c r="C2495" s="39">
        <v>7199.34</v>
      </c>
      <c r="D2495" s="219">
        <f t="shared" si="256"/>
        <v>-4.5843414711166028E-3</v>
      </c>
      <c r="F2495" s="40">
        <v>36759</v>
      </c>
      <c r="G2495" s="39">
        <v>7199.34</v>
      </c>
      <c r="H2495" s="39">
        <f t="shared" si="251"/>
        <v>1</v>
      </c>
      <c r="I2495" s="39">
        <f t="shared" si="252"/>
        <v>0</v>
      </c>
      <c r="K2495" s="40"/>
      <c r="Q2495" s="40">
        <v>36759</v>
      </c>
      <c r="R2495" s="39">
        <v>7199.34</v>
      </c>
      <c r="S2495" s="39">
        <f t="shared" si="253"/>
        <v>8</v>
      </c>
      <c r="T2495" s="39">
        <f t="shared" si="254"/>
        <v>0</v>
      </c>
      <c r="U2495" s="39">
        <f t="shared" si="255"/>
        <v>0</v>
      </c>
      <c r="V2495" s="40"/>
    </row>
    <row r="2496" spans="2:22" x14ac:dyDescent="0.35">
      <c r="B2496" s="40">
        <v>36760</v>
      </c>
      <c r="C2496" s="39">
        <v>7249.2</v>
      </c>
      <c r="D2496" s="219">
        <f t="shared" si="256"/>
        <v>6.901762796861481E-3</v>
      </c>
      <c r="F2496" s="40">
        <v>36760</v>
      </c>
      <c r="G2496" s="39">
        <v>7249.2</v>
      </c>
      <c r="H2496" s="39">
        <f t="shared" si="251"/>
        <v>2</v>
      </c>
      <c r="I2496" s="39">
        <f t="shared" si="252"/>
        <v>0</v>
      </c>
      <c r="K2496" s="40"/>
      <c r="Q2496" s="40">
        <v>36760</v>
      </c>
      <c r="R2496" s="39">
        <v>7249.2</v>
      </c>
      <c r="S2496" s="39">
        <f t="shared" si="253"/>
        <v>8</v>
      </c>
      <c r="T2496" s="39">
        <f t="shared" si="254"/>
        <v>0</v>
      </c>
      <c r="U2496" s="39">
        <f t="shared" si="255"/>
        <v>0</v>
      </c>
      <c r="V2496" s="40"/>
    </row>
    <row r="2497" spans="2:22" x14ac:dyDescent="0.35">
      <c r="B2497" s="40">
        <v>36761</v>
      </c>
      <c r="C2497" s="39">
        <v>7232.78</v>
      </c>
      <c r="D2497" s="219">
        <f t="shared" si="256"/>
        <v>-2.2676466942051633E-3</v>
      </c>
      <c r="F2497" s="40">
        <v>36761</v>
      </c>
      <c r="G2497" s="39">
        <v>7232.78</v>
      </c>
      <c r="H2497" s="39">
        <f t="shared" si="251"/>
        <v>3</v>
      </c>
      <c r="I2497" s="39">
        <f t="shared" si="252"/>
        <v>0</v>
      </c>
      <c r="K2497" s="40"/>
      <c r="Q2497" s="40">
        <v>36761</v>
      </c>
      <c r="R2497" s="39">
        <v>7232.78</v>
      </c>
      <c r="S2497" s="39">
        <f t="shared" si="253"/>
        <v>8</v>
      </c>
      <c r="T2497" s="39">
        <f t="shared" si="254"/>
        <v>0</v>
      </c>
      <c r="U2497" s="39">
        <f t="shared" si="255"/>
        <v>0</v>
      </c>
      <c r="V2497" s="40"/>
    </row>
    <row r="2498" spans="2:22" x14ac:dyDescent="0.35">
      <c r="B2498" s="40">
        <v>36762</v>
      </c>
      <c r="C2498" s="39">
        <v>7230.26</v>
      </c>
      <c r="D2498" s="219">
        <f t="shared" si="256"/>
        <v>-3.4847445979551182E-4</v>
      </c>
      <c r="F2498" s="40">
        <v>36762</v>
      </c>
      <c r="G2498" s="39">
        <v>7230.26</v>
      </c>
      <c r="H2498" s="39">
        <f t="shared" si="251"/>
        <v>4</v>
      </c>
      <c r="I2498" s="39">
        <f t="shared" si="252"/>
        <v>0</v>
      </c>
      <c r="K2498" s="40"/>
      <c r="Q2498" s="40">
        <v>36762</v>
      </c>
      <c r="R2498" s="39">
        <v>7230.26</v>
      </c>
      <c r="S2498" s="39">
        <f t="shared" si="253"/>
        <v>8</v>
      </c>
      <c r="T2498" s="39">
        <f t="shared" si="254"/>
        <v>0</v>
      </c>
      <c r="U2498" s="39">
        <f t="shared" si="255"/>
        <v>0</v>
      </c>
      <c r="V2498" s="40"/>
    </row>
    <row r="2499" spans="2:22" x14ac:dyDescent="0.35">
      <c r="B2499" s="40">
        <v>36763</v>
      </c>
      <c r="C2499" s="39">
        <v>7307.17</v>
      </c>
      <c r="D2499" s="219">
        <f t="shared" si="256"/>
        <v>1.0581061103869985E-2</v>
      </c>
      <c r="F2499" s="40">
        <v>36763</v>
      </c>
      <c r="G2499" s="39">
        <v>7307.17</v>
      </c>
      <c r="H2499" s="39">
        <f t="shared" si="251"/>
        <v>5</v>
      </c>
      <c r="I2499" s="39">
        <f t="shared" si="252"/>
        <v>7307.17</v>
      </c>
      <c r="K2499" s="40"/>
      <c r="Q2499" s="40">
        <v>36763</v>
      </c>
      <c r="R2499" s="39">
        <v>7307.17</v>
      </c>
      <c r="S2499" s="39">
        <f t="shared" si="253"/>
        <v>8</v>
      </c>
      <c r="T2499" s="39">
        <f t="shared" si="254"/>
        <v>0</v>
      </c>
      <c r="U2499" s="39">
        <f t="shared" si="255"/>
        <v>0</v>
      </c>
      <c r="V2499" s="40"/>
    </row>
    <row r="2500" spans="2:22" x14ac:dyDescent="0.35">
      <c r="B2500" s="40">
        <v>36766</v>
      </c>
      <c r="C2500" s="39">
        <v>7339.22</v>
      </c>
      <c r="D2500" s="219">
        <f t="shared" si="256"/>
        <v>4.3765120492824617E-3</v>
      </c>
      <c r="F2500" s="40">
        <v>36766</v>
      </c>
      <c r="G2500" s="39">
        <v>7339.22</v>
      </c>
      <c r="H2500" s="39">
        <f t="shared" si="251"/>
        <v>1</v>
      </c>
      <c r="I2500" s="39">
        <f t="shared" si="252"/>
        <v>0</v>
      </c>
      <c r="K2500" s="40"/>
      <c r="Q2500" s="40">
        <v>36766</v>
      </c>
      <c r="R2500" s="39">
        <v>7339.22</v>
      </c>
      <c r="S2500" s="39">
        <f t="shared" si="253"/>
        <v>8</v>
      </c>
      <c r="T2500" s="39">
        <f t="shared" si="254"/>
        <v>0</v>
      </c>
      <c r="U2500" s="39">
        <f t="shared" si="255"/>
        <v>0</v>
      </c>
      <c r="V2500" s="40"/>
    </row>
    <row r="2501" spans="2:22" x14ac:dyDescent="0.35">
      <c r="B2501" s="40">
        <v>36767</v>
      </c>
      <c r="C2501" s="39">
        <v>7294.4</v>
      </c>
      <c r="D2501" s="219">
        <f t="shared" si="256"/>
        <v>-6.1256394726707268E-3</v>
      </c>
      <c r="F2501" s="40">
        <v>36767</v>
      </c>
      <c r="G2501" s="39">
        <v>7294.4</v>
      </c>
      <c r="H2501" s="39">
        <f t="shared" si="251"/>
        <v>2</v>
      </c>
      <c r="I2501" s="39">
        <f t="shared" si="252"/>
        <v>0</v>
      </c>
      <c r="K2501" s="40"/>
      <c r="Q2501" s="40">
        <v>36767</v>
      </c>
      <c r="R2501" s="39">
        <v>7294.4</v>
      </c>
      <c r="S2501" s="39">
        <f t="shared" si="253"/>
        <v>8</v>
      </c>
      <c r="T2501" s="39">
        <f t="shared" si="254"/>
        <v>0</v>
      </c>
      <c r="U2501" s="39">
        <f t="shared" si="255"/>
        <v>0</v>
      </c>
      <c r="V2501" s="40"/>
    </row>
    <row r="2502" spans="2:22" x14ac:dyDescent="0.35">
      <c r="B2502" s="40">
        <v>36768</v>
      </c>
      <c r="C2502" s="39">
        <v>7192.69</v>
      </c>
      <c r="D2502" s="219">
        <f t="shared" si="256"/>
        <v>-1.4041697976402629E-2</v>
      </c>
      <c r="F2502" s="40">
        <v>36768</v>
      </c>
      <c r="G2502" s="39">
        <v>7192.69</v>
      </c>
      <c r="H2502" s="39">
        <f t="shared" si="251"/>
        <v>3</v>
      </c>
      <c r="I2502" s="39">
        <f t="shared" si="252"/>
        <v>0</v>
      </c>
      <c r="K2502" s="40"/>
      <c r="Q2502" s="40">
        <v>36768</v>
      </c>
      <c r="R2502" s="39">
        <v>7192.69</v>
      </c>
      <c r="S2502" s="39">
        <f t="shared" si="253"/>
        <v>8</v>
      </c>
      <c r="T2502" s="39">
        <f t="shared" si="254"/>
        <v>0</v>
      </c>
      <c r="U2502" s="39">
        <f t="shared" si="255"/>
        <v>0</v>
      </c>
      <c r="V2502" s="40"/>
    </row>
    <row r="2503" spans="2:22" x14ac:dyDescent="0.35">
      <c r="B2503" s="40">
        <v>36769</v>
      </c>
      <c r="C2503" s="39">
        <v>7244.79</v>
      </c>
      <c r="D2503" s="219">
        <f t="shared" si="256"/>
        <v>7.2173573446741935E-3</v>
      </c>
      <c r="F2503" s="40">
        <v>36769</v>
      </c>
      <c r="G2503" s="39">
        <v>7244.79</v>
      </c>
      <c r="H2503" s="39">
        <f t="shared" si="251"/>
        <v>4</v>
      </c>
      <c r="I2503" s="39">
        <f t="shared" si="252"/>
        <v>0</v>
      </c>
      <c r="K2503" s="40"/>
      <c r="Q2503" s="40">
        <v>36769</v>
      </c>
      <c r="R2503" s="39">
        <v>7244.79</v>
      </c>
      <c r="S2503" s="39">
        <f t="shared" si="253"/>
        <v>8</v>
      </c>
      <c r="T2503" s="39">
        <f t="shared" si="254"/>
        <v>7244.79</v>
      </c>
      <c r="U2503" s="39">
        <f t="shared" si="255"/>
        <v>7244.79</v>
      </c>
      <c r="V2503" s="40"/>
    </row>
    <row r="2504" spans="2:22" x14ac:dyDescent="0.35">
      <c r="B2504" s="40">
        <v>36770</v>
      </c>
      <c r="C2504" s="39">
        <v>7344.67</v>
      </c>
      <c r="D2504" s="219">
        <f t="shared" si="256"/>
        <v>1.3692290248408331E-2</v>
      </c>
      <c r="F2504" s="40">
        <v>36770</v>
      </c>
      <c r="G2504" s="39">
        <v>7344.67</v>
      </c>
      <c r="H2504" s="39">
        <f t="shared" si="251"/>
        <v>5</v>
      </c>
      <c r="I2504" s="39">
        <f t="shared" si="252"/>
        <v>7344.67</v>
      </c>
      <c r="K2504" s="40"/>
      <c r="Q2504" s="40">
        <v>36770</v>
      </c>
      <c r="R2504" s="39">
        <v>7344.67</v>
      </c>
      <c r="S2504" s="39">
        <f t="shared" si="253"/>
        <v>9</v>
      </c>
      <c r="T2504" s="39">
        <f t="shared" si="254"/>
        <v>0</v>
      </c>
      <c r="U2504" s="39">
        <f t="shared" si="255"/>
        <v>0</v>
      </c>
      <c r="V2504" s="40"/>
    </row>
    <row r="2505" spans="2:22" x14ac:dyDescent="0.35">
      <c r="B2505" s="40">
        <v>36773</v>
      </c>
      <c r="C2505" s="39">
        <v>7445.56</v>
      </c>
      <c r="D2505" s="219">
        <f t="shared" si="256"/>
        <v>1.3643001480794222E-2</v>
      </c>
      <c r="F2505" s="40">
        <v>36773</v>
      </c>
      <c r="G2505" s="39">
        <v>7445.56</v>
      </c>
      <c r="H2505" s="39">
        <f t="shared" si="251"/>
        <v>1</v>
      </c>
      <c r="I2505" s="39">
        <f t="shared" si="252"/>
        <v>0</v>
      </c>
      <c r="K2505" s="40"/>
      <c r="Q2505" s="40">
        <v>36773</v>
      </c>
      <c r="R2505" s="39">
        <v>7445.56</v>
      </c>
      <c r="S2505" s="39">
        <f t="shared" si="253"/>
        <v>9</v>
      </c>
      <c r="T2505" s="39">
        <f t="shared" si="254"/>
        <v>0</v>
      </c>
      <c r="U2505" s="39">
        <f t="shared" si="255"/>
        <v>0</v>
      </c>
      <c r="V2505" s="40"/>
    </row>
    <row r="2506" spans="2:22" x14ac:dyDescent="0.35">
      <c r="B2506" s="40">
        <v>36774</v>
      </c>
      <c r="C2506" s="39">
        <v>7391.27</v>
      </c>
      <c r="D2506" s="219">
        <f t="shared" si="256"/>
        <v>-7.3183075230228694E-3</v>
      </c>
      <c r="F2506" s="40">
        <v>36774</v>
      </c>
      <c r="G2506" s="39">
        <v>7391.27</v>
      </c>
      <c r="H2506" s="39">
        <f t="shared" si="251"/>
        <v>2</v>
      </c>
      <c r="I2506" s="39">
        <f t="shared" si="252"/>
        <v>0</v>
      </c>
      <c r="K2506" s="40"/>
      <c r="Q2506" s="40">
        <v>36774</v>
      </c>
      <c r="R2506" s="39">
        <v>7391.27</v>
      </c>
      <c r="S2506" s="39">
        <f t="shared" si="253"/>
        <v>9</v>
      </c>
      <c r="T2506" s="39">
        <f t="shared" si="254"/>
        <v>0</v>
      </c>
      <c r="U2506" s="39">
        <f t="shared" si="255"/>
        <v>0</v>
      </c>
      <c r="V2506" s="40"/>
    </row>
    <row r="2507" spans="2:22" x14ac:dyDescent="0.35">
      <c r="B2507" s="40">
        <v>36775</v>
      </c>
      <c r="C2507" s="39">
        <v>7329.9</v>
      </c>
      <c r="D2507" s="219">
        <f t="shared" si="256"/>
        <v>-8.3377008107937307E-3</v>
      </c>
      <c r="F2507" s="40">
        <v>36775</v>
      </c>
      <c r="G2507" s="39">
        <v>7329.9</v>
      </c>
      <c r="H2507" s="39">
        <f t="shared" si="251"/>
        <v>3</v>
      </c>
      <c r="I2507" s="39">
        <f t="shared" si="252"/>
        <v>0</v>
      </c>
      <c r="K2507" s="40"/>
      <c r="Q2507" s="40">
        <v>36775</v>
      </c>
      <c r="R2507" s="39">
        <v>7329.9</v>
      </c>
      <c r="S2507" s="39">
        <f t="shared" si="253"/>
        <v>9</v>
      </c>
      <c r="T2507" s="39">
        <f t="shared" si="254"/>
        <v>0</v>
      </c>
      <c r="U2507" s="39">
        <f t="shared" si="255"/>
        <v>0</v>
      </c>
      <c r="V2507" s="40"/>
    </row>
    <row r="2508" spans="2:22" x14ac:dyDescent="0.35">
      <c r="B2508" s="40">
        <v>36776</v>
      </c>
      <c r="C2508" s="39">
        <v>7373.34</v>
      </c>
      <c r="D2508" s="219">
        <f t="shared" si="256"/>
        <v>5.9089189040504361E-3</v>
      </c>
      <c r="F2508" s="40">
        <v>36776</v>
      </c>
      <c r="G2508" s="39">
        <v>7373.34</v>
      </c>
      <c r="H2508" s="39">
        <f t="shared" si="251"/>
        <v>4</v>
      </c>
      <c r="I2508" s="39">
        <f t="shared" si="252"/>
        <v>0</v>
      </c>
      <c r="K2508" s="40"/>
      <c r="Q2508" s="40">
        <v>36776</v>
      </c>
      <c r="R2508" s="39">
        <v>7373.34</v>
      </c>
      <c r="S2508" s="39">
        <f t="shared" si="253"/>
        <v>9</v>
      </c>
      <c r="T2508" s="39">
        <f t="shared" si="254"/>
        <v>0</v>
      </c>
      <c r="U2508" s="39">
        <f t="shared" si="255"/>
        <v>0</v>
      </c>
      <c r="V2508" s="40"/>
    </row>
    <row r="2509" spans="2:22" x14ac:dyDescent="0.35">
      <c r="B2509" s="40">
        <v>36777</v>
      </c>
      <c r="C2509" s="39">
        <v>7261.04</v>
      </c>
      <c r="D2509" s="219">
        <f t="shared" si="256"/>
        <v>-1.5347722878737813E-2</v>
      </c>
      <c r="F2509" s="40">
        <v>36777</v>
      </c>
      <c r="G2509" s="39">
        <v>7261.04</v>
      </c>
      <c r="H2509" s="39">
        <f t="shared" si="251"/>
        <v>5</v>
      </c>
      <c r="I2509" s="39">
        <f t="shared" si="252"/>
        <v>7261.04</v>
      </c>
      <c r="K2509" s="40"/>
      <c r="Q2509" s="40">
        <v>36777</v>
      </c>
      <c r="R2509" s="39">
        <v>7261.04</v>
      </c>
      <c r="S2509" s="39">
        <f t="shared" si="253"/>
        <v>9</v>
      </c>
      <c r="T2509" s="39">
        <f t="shared" si="254"/>
        <v>0</v>
      </c>
      <c r="U2509" s="39">
        <f t="shared" si="255"/>
        <v>0</v>
      </c>
      <c r="V2509" s="40"/>
    </row>
    <row r="2510" spans="2:22" x14ac:dyDescent="0.35">
      <c r="B2510" s="40">
        <v>36780</v>
      </c>
      <c r="C2510" s="39">
        <v>7214.45</v>
      </c>
      <c r="D2510" s="219">
        <f t="shared" si="256"/>
        <v>-6.4371100220655996E-3</v>
      </c>
      <c r="F2510" s="40">
        <v>36780</v>
      </c>
      <c r="G2510" s="39">
        <v>7214.45</v>
      </c>
      <c r="H2510" s="39">
        <f t="shared" si="251"/>
        <v>1</v>
      </c>
      <c r="I2510" s="39">
        <f t="shared" si="252"/>
        <v>0</v>
      </c>
      <c r="K2510" s="40"/>
      <c r="Q2510" s="40">
        <v>36780</v>
      </c>
      <c r="R2510" s="39">
        <v>7214.45</v>
      </c>
      <c r="S2510" s="39">
        <f t="shared" si="253"/>
        <v>9</v>
      </c>
      <c r="T2510" s="39">
        <f t="shared" si="254"/>
        <v>0</v>
      </c>
      <c r="U2510" s="39">
        <f t="shared" si="255"/>
        <v>0</v>
      </c>
      <c r="V2510" s="40"/>
    </row>
    <row r="2511" spans="2:22" x14ac:dyDescent="0.35">
      <c r="B2511" s="40">
        <v>36781</v>
      </c>
      <c r="C2511" s="39">
        <v>7135.75</v>
      </c>
      <c r="D2511" s="219">
        <f t="shared" si="256"/>
        <v>-1.0968598212214912E-2</v>
      </c>
      <c r="F2511" s="40">
        <v>36781</v>
      </c>
      <c r="G2511" s="39">
        <v>7135.75</v>
      </c>
      <c r="H2511" s="39">
        <f t="shared" si="251"/>
        <v>2</v>
      </c>
      <c r="I2511" s="39">
        <f t="shared" si="252"/>
        <v>0</v>
      </c>
      <c r="K2511" s="40"/>
      <c r="Q2511" s="40">
        <v>36781</v>
      </c>
      <c r="R2511" s="39">
        <v>7135.75</v>
      </c>
      <c r="S2511" s="39">
        <f t="shared" si="253"/>
        <v>9</v>
      </c>
      <c r="T2511" s="39">
        <f t="shared" si="254"/>
        <v>0</v>
      </c>
      <c r="U2511" s="39">
        <f t="shared" si="255"/>
        <v>0</v>
      </c>
      <c r="V2511" s="40"/>
    </row>
    <row r="2512" spans="2:22" x14ac:dyDescent="0.35">
      <c r="B2512" s="40">
        <v>36782</v>
      </c>
      <c r="C2512" s="39">
        <v>7006.26</v>
      </c>
      <c r="D2512" s="219">
        <f t="shared" si="256"/>
        <v>-1.8313325897358571E-2</v>
      </c>
      <c r="F2512" s="40">
        <v>36782</v>
      </c>
      <c r="G2512" s="39">
        <v>7006.26</v>
      </c>
      <c r="H2512" s="39">
        <f t="shared" si="251"/>
        <v>3</v>
      </c>
      <c r="I2512" s="39">
        <f t="shared" si="252"/>
        <v>0</v>
      </c>
      <c r="K2512" s="40"/>
      <c r="Q2512" s="40">
        <v>36782</v>
      </c>
      <c r="R2512" s="39">
        <v>7006.26</v>
      </c>
      <c r="S2512" s="39">
        <f t="shared" si="253"/>
        <v>9</v>
      </c>
      <c r="T2512" s="39">
        <f t="shared" si="254"/>
        <v>0</v>
      </c>
      <c r="U2512" s="39">
        <f t="shared" si="255"/>
        <v>0</v>
      </c>
      <c r="V2512" s="40"/>
    </row>
    <row r="2513" spans="2:22" x14ac:dyDescent="0.35">
      <c r="B2513" s="40">
        <v>36783</v>
      </c>
      <c r="C2513" s="39">
        <v>7049.82</v>
      </c>
      <c r="D2513" s="219">
        <f t="shared" si="256"/>
        <v>6.19804944896805E-3</v>
      </c>
      <c r="F2513" s="40">
        <v>36783</v>
      </c>
      <c r="G2513" s="39">
        <v>7049.82</v>
      </c>
      <c r="H2513" s="39">
        <f t="shared" si="251"/>
        <v>4</v>
      </c>
      <c r="I2513" s="39">
        <f t="shared" si="252"/>
        <v>0</v>
      </c>
      <c r="K2513" s="40"/>
      <c r="Q2513" s="40">
        <v>36783</v>
      </c>
      <c r="R2513" s="39">
        <v>7049.82</v>
      </c>
      <c r="S2513" s="39">
        <f t="shared" si="253"/>
        <v>9</v>
      </c>
      <c r="T2513" s="39">
        <f t="shared" si="254"/>
        <v>0</v>
      </c>
      <c r="U2513" s="39">
        <f t="shared" si="255"/>
        <v>0</v>
      </c>
      <c r="V2513" s="40"/>
    </row>
    <row r="2514" spans="2:22" x14ac:dyDescent="0.35">
      <c r="B2514" s="40">
        <v>36784</v>
      </c>
      <c r="C2514" s="39">
        <v>6999.54</v>
      </c>
      <c r="D2514" s="219">
        <f t="shared" si="256"/>
        <v>-7.1576519730179467E-3</v>
      </c>
      <c r="F2514" s="40">
        <v>36784</v>
      </c>
      <c r="G2514" s="39">
        <v>6999.54</v>
      </c>
      <c r="H2514" s="39">
        <f t="shared" si="251"/>
        <v>5</v>
      </c>
      <c r="I2514" s="39">
        <f t="shared" si="252"/>
        <v>6999.54</v>
      </c>
      <c r="K2514" s="40"/>
      <c r="Q2514" s="40">
        <v>36784</v>
      </c>
      <c r="R2514" s="39">
        <v>6999.54</v>
      </c>
      <c r="S2514" s="39">
        <f t="shared" si="253"/>
        <v>9</v>
      </c>
      <c r="T2514" s="39">
        <f t="shared" si="254"/>
        <v>0</v>
      </c>
      <c r="U2514" s="39">
        <f t="shared" si="255"/>
        <v>0</v>
      </c>
      <c r="V2514" s="40"/>
    </row>
    <row r="2515" spans="2:22" x14ac:dyDescent="0.35">
      <c r="B2515" s="40">
        <v>36787</v>
      </c>
      <c r="C2515" s="39">
        <v>6891.69</v>
      </c>
      <c r="D2515" s="219">
        <f t="shared" si="256"/>
        <v>-1.5528094642847186E-2</v>
      </c>
      <c r="F2515" s="40">
        <v>36787</v>
      </c>
      <c r="G2515" s="39">
        <v>6891.69</v>
      </c>
      <c r="H2515" s="39">
        <f t="shared" si="251"/>
        <v>1</v>
      </c>
      <c r="I2515" s="39">
        <f t="shared" si="252"/>
        <v>0</v>
      </c>
      <c r="K2515" s="40"/>
      <c r="Q2515" s="40">
        <v>36787</v>
      </c>
      <c r="R2515" s="39">
        <v>6891.69</v>
      </c>
      <c r="S2515" s="39">
        <f t="shared" si="253"/>
        <v>9</v>
      </c>
      <c r="T2515" s="39">
        <f t="shared" si="254"/>
        <v>0</v>
      </c>
      <c r="U2515" s="39">
        <f t="shared" si="255"/>
        <v>0</v>
      </c>
      <c r="V2515" s="40"/>
    </row>
    <row r="2516" spans="2:22" x14ac:dyDescent="0.35">
      <c r="B2516" s="40">
        <v>36788</v>
      </c>
      <c r="C2516" s="39">
        <v>6915.49</v>
      </c>
      <c r="D2516" s="219">
        <f t="shared" si="256"/>
        <v>3.4474850870658104E-3</v>
      </c>
      <c r="F2516" s="40">
        <v>36788</v>
      </c>
      <c r="G2516" s="39">
        <v>6915.49</v>
      </c>
      <c r="H2516" s="39">
        <f t="shared" si="251"/>
        <v>2</v>
      </c>
      <c r="I2516" s="39">
        <f t="shared" si="252"/>
        <v>0</v>
      </c>
      <c r="K2516" s="40"/>
      <c r="Q2516" s="40">
        <v>36788</v>
      </c>
      <c r="R2516" s="39">
        <v>6915.49</v>
      </c>
      <c r="S2516" s="39">
        <f t="shared" si="253"/>
        <v>9</v>
      </c>
      <c r="T2516" s="39">
        <f t="shared" si="254"/>
        <v>0</v>
      </c>
      <c r="U2516" s="39">
        <f t="shared" si="255"/>
        <v>0</v>
      </c>
      <c r="V2516" s="40"/>
    </row>
    <row r="2517" spans="2:22" x14ac:dyDescent="0.35">
      <c r="B2517" s="40">
        <v>36789</v>
      </c>
      <c r="C2517" s="39">
        <v>6765.23</v>
      </c>
      <c r="D2517" s="219">
        <f t="shared" si="256"/>
        <v>-2.1967563487921265E-2</v>
      </c>
      <c r="F2517" s="40">
        <v>36789</v>
      </c>
      <c r="G2517" s="39">
        <v>6765.23</v>
      </c>
      <c r="H2517" s="39">
        <f t="shared" si="251"/>
        <v>3</v>
      </c>
      <c r="I2517" s="39">
        <f t="shared" si="252"/>
        <v>0</v>
      </c>
      <c r="K2517" s="40"/>
      <c r="Q2517" s="40">
        <v>36789</v>
      </c>
      <c r="R2517" s="39">
        <v>6765.23</v>
      </c>
      <c r="S2517" s="39">
        <f t="shared" si="253"/>
        <v>9</v>
      </c>
      <c r="T2517" s="39">
        <f t="shared" si="254"/>
        <v>0</v>
      </c>
      <c r="U2517" s="39">
        <f t="shared" si="255"/>
        <v>0</v>
      </c>
      <c r="V2517" s="40"/>
    </row>
    <row r="2518" spans="2:22" x14ac:dyDescent="0.35">
      <c r="B2518" s="40">
        <v>36790</v>
      </c>
      <c r="C2518" s="39">
        <v>6682.92</v>
      </c>
      <c r="D2518" s="219">
        <f t="shared" si="256"/>
        <v>-1.2241241781188014E-2</v>
      </c>
      <c r="F2518" s="40">
        <v>36790</v>
      </c>
      <c r="G2518" s="39">
        <v>6682.92</v>
      </c>
      <c r="H2518" s="39">
        <f t="shared" si="251"/>
        <v>4</v>
      </c>
      <c r="I2518" s="39">
        <f t="shared" si="252"/>
        <v>0</v>
      </c>
      <c r="K2518" s="40"/>
      <c r="Q2518" s="40">
        <v>36790</v>
      </c>
      <c r="R2518" s="39">
        <v>6682.92</v>
      </c>
      <c r="S2518" s="39">
        <f t="shared" si="253"/>
        <v>9</v>
      </c>
      <c r="T2518" s="39">
        <f t="shared" si="254"/>
        <v>0</v>
      </c>
      <c r="U2518" s="39">
        <f t="shared" si="255"/>
        <v>0</v>
      </c>
      <c r="V2518" s="40"/>
    </row>
    <row r="2519" spans="2:22" x14ac:dyDescent="0.35">
      <c r="B2519" s="40">
        <v>36791</v>
      </c>
      <c r="C2519" s="39">
        <v>6740.25</v>
      </c>
      <c r="D2519" s="219">
        <f t="shared" si="256"/>
        <v>8.5419984390254049E-3</v>
      </c>
      <c r="F2519" s="40">
        <v>36791</v>
      </c>
      <c r="G2519" s="39">
        <v>6740.25</v>
      </c>
      <c r="H2519" s="39">
        <f t="shared" si="251"/>
        <v>5</v>
      </c>
      <c r="I2519" s="39">
        <f t="shared" si="252"/>
        <v>6740.25</v>
      </c>
      <c r="K2519" s="40"/>
      <c r="Q2519" s="40">
        <v>36791</v>
      </c>
      <c r="R2519" s="39">
        <v>6740.25</v>
      </c>
      <c r="S2519" s="39">
        <f t="shared" si="253"/>
        <v>9</v>
      </c>
      <c r="T2519" s="39">
        <f t="shared" si="254"/>
        <v>0</v>
      </c>
      <c r="U2519" s="39">
        <f t="shared" si="255"/>
        <v>0</v>
      </c>
      <c r="V2519" s="40"/>
    </row>
    <row r="2520" spans="2:22" x14ac:dyDescent="0.35">
      <c r="B2520" s="40">
        <v>36794</v>
      </c>
      <c r="C2520" s="39">
        <v>6788.69</v>
      </c>
      <c r="D2520" s="219">
        <f t="shared" si="256"/>
        <v>7.1609759520524967E-3</v>
      </c>
      <c r="F2520" s="40">
        <v>36794</v>
      </c>
      <c r="G2520" s="39">
        <v>6788.69</v>
      </c>
      <c r="H2520" s="39">
        <f t="shared" si="251"/>
        <v>1</v>
      </c>
      <c r="I2520" s="39">
        <f t="shared" si="252"/>
        <v>0</v>
      </c>
      <c r="K2520" s="40"/>
      <c r="Q2520" s="40">
        <v>36794</v>
      </c>
      <c r="R2520" s="39">
        <v>6788.69</v>
      </c>
      <c r="S2520" s="39">
        <f t="shared" si="253"/>
        <v>9</v>
      </c>
      <c r="T2520" s="39">
        <f t="shared" si="254"/>
        <v>0</v>
      </c>
      <c r="U2520" s="39">
        <f t="shared" si="255"/>
        <v>0</v>
      </c>
      <c r="V2520" s="40"/>
    </row>
    <row r="2521" spans="2:22" x14ac:dyDescent="0.35">
      <c r="B2521" s="40">
        <v>36795</v>
      </c>
      <c r="C2521" s="39">
        <v>6765.04</v>
      </c>
      <c r="D2521" s="219">
        <f t="shared" si="256"/>
        <v>-3.4898177848363397E-3</v>
      </c>
      <c r="F2521" s="40">
        <v>36795</v>
      </c>
      <c r="G2521" s="39">
        <v>6765.04</v>
      </c>
      <c r="H2521" s="39">
        <f t="shared" si="251"/>
        <v>2</v>
      </c>
      <c r="I2521" s="39">
        <f t="shared" si="252"/>
        <v>0</v>
      </c>
      <c r="K2521" s="40"/>
      <c r="Q2521" s="40">
        <v>36795</v>
      </c>
      <c r="R2521" s="39">
        <v>6765.04</v>
      </c>
      <c r="S2521" s="39">
        <f t="shared" si="253"/>
        <v>9</v>
      </c>
      <c r="T2521" s="39">
        <f t="shared" si="254"/>
        <v>0</v>
      </c>
      <c r="U2521" s="39">
        <f t="shared" si="255"/>
        <v>0</v>
      </c>
      <c r="V2521" s="40"/>
    </row>
    <row r="2522" spans="2:22" x14ac:dyDescent="0.35">
      <c r="B2522" s="40">
        <v>36796</v>
      </c>
      <c r="C2522" s="39">
        <v>6814.06</v>
      </c>
      <c r="D2522" s="219">
        <f t="shared" si="256"/>
        <v>7.2199502089818216E-3</v>
      </c>
      <c r="F2522" s="40">
        <v>36796</v>
      </c>
      <c r="G2522" s="39">
        <v>6814.06</v>
      </c>
      <c r="H2522" s="39">
        <f t="shared" si="251"/>
        <v>3</v>
      </c>
      <c r="I2522" s="39">
        <f t="shared" si="252"/>
        <v>0</v>
      </c>
      <c r="K2522" s="40"/>
      <c r="Q2522" s="40">
        <v>36796</v>
      </c>
      <c r="R2522" s="39">
        <v>6814.06</v>
      </c>
      <c r="S2522" s="39">
        <f t="shared" si="253"/>
        <v>9</v>
      </c>
      <c r="T2522" s="39">
        <f t="shared" si="254"/>
        <v>0</v>
      </c>
      <c r="U2522" s="39">
        <f t="shared" si="255"/>
        <v>0</v>
      </c>
      <c r="V2522" s="40"/>
    </row>
    <row r="2523" spans="2:22" x14ac:dyDescent="0.35">
      <c r="B2523" s="40">
        <v>36797</v>
      </c>
      <c r="C2523" s="39">
        <v>6832.76</v>
      </c>
      <c r="D2523" s="219">
        <f t="shared" si="256"/>
        <v>2.7405669165687062E-3</v>
      </c>
      <c r="F2523" s="40">
        <v>36797</v>
      </c>
      <c r="G2523" s="39">
        <v>6832.76</v>
      </c>
      <c r="H2523" s="39">
        <f t="shared" si="251"/>
        <v>4</v>
      </c>
      <c r="I2523" s="39">
        <f t="shared" si="252"/>
        <v>0</v>
      </c>
      <c r="K2523" s="40"/>
      <c r="Q2523" s="40">
        <v>36797</v>
      </c>
      <c r="R2523" s="39">
        <v>6832.76</v>
      </c>
      <c r="S2523" s="39">
        <f t="shared" si="253"/>
        <v>9</v>
      </c>
      <c r="T2523" s="39">
        <f t="shared" si="254"/>
        <v>0</v>
      </c>
      <c r="U2523" s="39">
        <f t="shared" si="255"/>
        <v>0</v>
      </c>
      <c r="V2523" s="40"/>
    </row>
    <row r="2524" spans="2:22" x14ac:dyDescent="0.35">
      <c r="B2524" s="40">
        <v>36798</v>
      </c>
      <c r="C2524" s="39">
        <v>6798.12</v>
      </c>
      <c r="D2524" s="219">
        <f t="shared" si="256"/>
        <v>-5.082588148434891E-3</v>
      </c>
      <c r="F2524" s="40">
        <v>36798</v>
      </c>
      <c r="G2524" s="39">
        <v>6798.12</v>
      </c>
      <c r="H2524" s="39">
        <f t="shared" si="251"/>
        <v>5</v>
      </c>
      <c r="I2524" s="39">
        <f t="shared" si="252"/>
        <v>6798.12</v>
      </c>
      <c r="K2524" s="40"/>
      <c r="Q2524" s="40">
        <v>36798</v>
      </c>
      <c r="R2524" s="39">
        <v>6798.12</v>
      </c>
      <c r="S2524" s="39">
        <f t="shared" si="253"/>
        <v>9</v>
      </c>
      <c r="T2524" s="39">
        <f t="shared" si="254"/>
        <v>6798.12</v>
      </c>
      <c r="U2524" s="39">
        <f t="shared" si="255"/>
        <v>6798.12</v>
      </c>
      <c r="V2524" s="40"/>
    </row>
    <row r="2525" spans="2:22" x14ac:dyDescent="0.35">
      <c r="B2525" s="40">
        <v>36801</v>
      </c>
      <c r="C2525" s="39">
        <v>6862.26</v>
      </c>
      <c r="D2525" s="219">
        <f t="shared" si="256"/>
        <v>9.3907301777079663E-3</v>
      </c>
      <c r="F2525" s="40">
        <v>36801</v>
      </c>
      <c r="G2525" s="39">
        <v>6862.26</v>
      </c>
      <c r="H2525" s="39">
        <f t="shared" si="251"/>
        <v>1</v>
      </c>
      <c r="I2525" s="39">
        <f t="shared" si="252"/>
        <v>0</v>
      </c>
      <c r="K2525" s="40"/>
      <c r="Q2525" s="40">
        <v>36801</v>
      </c>
      <c r="R2525" s="39">
        <v>6862.26</v>
      </c>
      <c r="S2525" s="39">
        <f t="shared" si="253"/>
        <v>10</v>
      </c>
      <c r="T2525" s="39">
        <f t="shared" si="254"/>
        <v>0</v>
      </c>
      <c r="U2525" s="39">
        <f t="shared" si="255"/>
        <v>0</v>
      </c>
      <c r="V2525" s="40"/>
    </row>
    <row r="2526" spans="2:22" x14ac:dyDescent="0.35">
      <c r="B2526" s="40">
        <v>36803</v>
      </c>
      <c r="C2526" s="39">
        <v>6823.43</v>
      </c>
      <c r="D2526" s="219">
        <f t="shared" si="256"/>
        <v>-5.6745555679920913E-3</v>
      </c>
      <c r="F2526" s="40">
        <v>36803</v>
      </c>
      <c r="G2526" s="39">
        <v>6823.43</v>
      </c>
      <c r="H2526" s="39">
        <f t="shared" si="251"/>
        <v>3</v>
      </c>
      <c r="I2526" s="39">
        <f t="shared" si="252"/>
        <v>0</v>
      </c>
      <c r="K2526" s="40"/>
      <c r="Q2526" s="40">
        <v>36803</v>
      </c>
      <c r="R2526" s="39">
        <v>6823.43</v>
      </c>
      <c r="S2526" s="39">
        <f t="shared" si="253"/>
        <v>10</v>
      </c>
      <c r="T2526" s="39">
        <f t="shared" si="254"/>
        <v>0</v>
      </c>
      <c r="U2526" s="39">
        <f t="shared" si="255"/>
        <v>0</v>
      </c>
      <c r="V2526" s="40"/>
    </row>
    <row r="2527" spans="2:22" x14ac:dyDescent="0.35">
      <c r="B2527" s="40">
        <v>36804</v>
      </c>
      <c r="C2527" s="39">
        <v>6892.49</v>
      </c>
      <c r="D2527" s="219">
        <f t="shared" si="256"/>
        <v>1.0070135083883562E-2</v>
      </c>
      <c r="F2527" s="40">
        <v>36804</v>
      </c>
      <c r="G2527" s="39">
        <v>6892.49</v>
      </c>
      <c r="H2527" s="39">
        <f t="shared" si="251"/>
        <v>4</v>
      </c>
      <c r="I2527" s="39">
        <f t="shared" si="252"/>
        <v>0</v>
      </c>
      <c r="K2527" s="40"/>
      <c r="Q2527" s="40">
        <v>36804</v>
      </c>
      <c r="R2527" s="39">
        <v>6892.49</v>
      </c>
      <c r="S2527" s="39">
        <f t="shared" si="253"/>
        <v>10</v>
      </c>
      <c r="T2527" s="39">
        <f t="shared" si="254"/>
        <v>0</v>
      </c>
      <c r="U2527" s="39">
        <f t="shared" si="255"/>
        <v>0</v>
      </c>
      <c r="V2527" s="40"/>
    </row>
    <row r="2528" spans="2:22" x14ac:dyDescent="0.35">
      <c r="B2528" s="40">
        <v>36805</v>
      </c>
      <c r="C2528" s="39">
        <v>6776.39</v>
      </c>
      <c r="D2528" s="219">
        <f t="shared" si="256"/>
        <v>-1.6987901288637454E-2</v>
      </c>
      <c r="F2528" s="40">
        <v>36805</v>
      </c>
      <c r="G2528" s="39">
        <v>6776.39</v>
      </c>
      <c r="H2528" s="39">
        <f t="shared" si="251"/>
        <v>5</v>
      </c>
      <c r="I2528" s="39">
        <f t="shared" si="252"/>
        <v>6776.39</v>
      </c>
      <c r="K2528" s="40"/>
      <c r="Q2528" s="40">
        <v>36805</v>
      </c>
      <c r="R2528" s="39">
        <v>6776.39</v>
      </c>
      <c r="S2528" s="39">
        <f t="shared" si="253"/>
        <v>10</v>
      </c>
      <c r="T2528" s="39">
        <f t="shared" si="254"/>
        <v>0</v>
      </c>
      <c r="U2528" s="39">
        <f t="shared" si="255"/>
        <v>0</v>
      </c>
      <c r="V2528" s="40"/>
    </row>
    <row r="2529" spans="2:22" x14ac:dyDescent="0.35">
      <c r="B2529" s="40">
        <v>36808</v>
      </c>
      <c r="C2529" s="39">
        <v>6680.78</v>
      </c>
      <c r="D2529" s="219">
        <f t="shared" si="256"/>
        <v>-1.4209764574802174E-2</v>
      </c>
      <c r="F2529" s="40">
        <v>36808</v>
      </c>
      <c r="G2529" s="39">
        <v>6680.78</v>
      </c>
      <c r="H2529" s="39">
        <f t="shared" si="251"/>
        <v>1</v>
      </c>
      <c r="I2529" s="39">
        <f t="shared" si="252"/>
        <v>0</v>
      </c>
      <c r="K2529" s="40"/>
      <c r="Q2529" s="40">
        <v>36808</v>
      </c>
      <c r="R2529" s="39">
        <v>6680.78</v>
      </c>
      <c r="S2529" s="39">
        <f t="shared" si="253"/>
        <v>10</v>
      </c>
      <c r="T2529" s="39">
        <f t="shared" si="254"/>
        <v>0</v>
      </c>
      <c r="U2529" s="39">
        <f t="shared" si="255"/>
        <v>0</v>
      </c>
      <c r="V2529" s="40"/>
    </row>
    <row r="2530" spans="2:22" x14ac:dyDescent="0.35">
      <c r="B2530" s="40">
        <v>36809</v>
      </c>
      <c r="C2530" s="39">
        <v>6673.15</v>
      </c>
      <c r="D2530" s="219">
        <f t="shared" si="256"/>
        <v>-1.1427348848314747E-3</v>
      </c>
      <c r="F2530" s="40">
        <v>36809</v>
      </c>
      <c r="G2530" s="39">
        <v>6673.15</v>
      </c>
      <c r="H2530" s="39">
        <f t="shared" si="251"/>
        <v>2</v>
      </c>
      <c r="I2530" s="39">
        <f t="shared" si="252"/>
        <v>0</v>
      </c>
      <c r="K2530" s="40"/>
      <c r="Q2530" s="40">
        <v>36809</v>
      </c>
      <c r="R2530" s="39">
        <v>6673.15</v>
      </c>
      <c r="S2530" s="39">
        <f t="shared" si="253"/>
        <v>10</v>
      </c>
      <c r="T2530" s="39">
        <f t="shared" si="254"/>
        <v>0</v>
      </c>
      <c r="U2530" s="39">
        <f t="shared" si="255"/>
        <v>0</v>
      </c>
      <c r="V2530" s="40"/>
    </row>
    <row r="2531" spans="2:22" x14ac:dyDescent="0.35">
      <c r="B2531" s="40">
        <v>36810</v>
      </c>
      <c r="C2531" s="39">
        <v>6554.14</v>
      </c>
      <c r="D2531" s="219">
        <f t="shared" si="256"/>
        <v>-1.7995101264720006E-2</v>
      </c>
      <c r="F2531" s="40">
        <v>36810</v>
      </c>
      <c r="G2531" s="39">
        <v>6554.14</v>
      </c>
      <c r="H2531" s="39">
        <f t="shared" si="251"/>
        <v>3</v>
      </c>
      <c r="I2531" s="39">
        <f t="shared" si="252"/>
        <v>0</v>
      </c>
      <c r="K2531" s="40"/>
      <c r="Q2531" s="40">
        <v>36810</v>
      </c>
      <c r="R2531" s="39">
        <v>6554.14</v>
      </c>
      <c r="S2531" s="39">
        <f t="shared" si="253"/>
        <v>10</v>
      </c>
      <c r="T2531" s="39">
        <f t="shared" si="254"/>
        <v>0</v>
      </c>
      <c r="U2531" s="39">
        <f t="shared" si="255"/>
        <v>0</v>
      </c>
      <c r="V2531" s="40"/>
    </row>
    <row r="2532" spans="2:22" x14ac:dyDescent="0.35">
      <c r="B2532" s="40">
        <v>36811</v>
      </c>
      <c r="C2532" s="39">
        <v>6465.26</v>
      </c>
      <c r="D2532" s="219">
        <f t="shared" si="256"/>
        <v>-1.3653683083580967E-2</v>
      </c>
      <c r="F2532" s="40">
        <v>36811</v>
      </c>
      <c r="G2532" s="39">
        <v>6465.26</v>
      </c>
      <c r="H2532" s="39">
        <f t="shared" si="251"/>
        <v>4</v>
      </c>
      <c r="I2532" s="39">
        <f t="shared" si="252"/>
        <v>0</v>
      </c>
      <c r="K2532" s="40"/>
      <c r="Q2532" s="40">
        <v>36811</v>
      </c>
      <c r="R2532" s="39">
        <v>6465.26</v>
      </c>
      <c r="S2532" s="39">
        <f t="shared" si="253"/>
        <v>10</v>
      </c>
      <c r="T2532" s="39">
        <f t="shared" si="254"/>
        <v>0</v>
      </c>
      <c r="U2532" s="39">
        <f t="shared" si="255"/>
        <v>0</v>
      </c>
      <c r="V2532" s="40"/>
    </row>
    <row r="2533" spans="2:22" x14ac:dyDescent="0.35">
      <c r="B2533" s="40">
        <v>36812</v>
      </c>
      <c r="C2533" s="39">
        <v>6661.3</v>
      </c>
      <c r="D2533" s="219">
        <f t="shared" si="256"/>
        <v>2.9871432733575086E-2</v>
      </c>
      <c r="F2533" s="40">
        <v>36812</v>
      </c>
      <c r="G2533" s="39">
        <v>6661.3</v>
      </c>
      <c r="H2533" s="39">
        <f t="shared" si="251"/>
        <v>5</v>
      </c>
      <c r="I2533" s="39">
        <f t="shared" si="252"/>
        <v>6661.3</v>
      </c>
      <c r="K2533" s="40"/>
      <c r="Q2533" s="40">
        <v>36812</v>
      </c>
      <c r="R2533" s="39">
        <v>6661.3</v>
      </c>
      <c r="S2533" s="39">
        <f t="shared" si="253"/>
        <v>10</v>
      </c>
      <c r="T2533" s="39">
        <f t="shared" si="254"/>
        <v>0</v>
      </c>
      <c r="U2533" s="39">
        <f t="shared" si="255"/>
        <v>0</v>
      </c>
      <c r="V2533" s="40"/>
    </row>
    <row r="2534" spans="2:22" x14ac:dyDescent="0.35">
      <c r="B2534" s="40">
        <v>36815</v>
      </c>
      <c r="C2534" s="39">
        <v>6627.25</v>
      </c>
      <c r="D2534" s="219">
        <f t="shared" si="256"/>
        <v>-5.1247238443091281E-3</v>
      </c>
      <c r="F2534" s="40">
        <v>36815</v>
      </c>
      <c r="G2534" s="39">
        <v>6627.25</v>
      </c>
      <c r="H2534" s="39">
        <f t="shared" si="251"/>
        <v>1</v>
      </c>
      <c r="I2534" s="39">
        <f t="shared" si="252"/>
        <v>0</v>
      </c>
      <c r="K2534" s="40"/>
      <c r="Q2534" s="40">
        <v>36815</v>
      </c>
      <c r="R2534" s="39">
        <v>6627.25</v>
      </c>
      <c r="S2534" s="39">
        <f t="shared" si="253"/>
        <v>10</v>
      </c>
      <c r="T2534" s="39">
        <f t="shared" si="254"/>
        <v>0</v>
      </c>
      <c r="U2534" s="39">
        <f t="shared" si="255"/>
        <v>0</v>
      </c>
      <c r="V2534" s="40"/>
    </row>
    <row r="2535" spans="2:22" x14ac:dyDescent="0.35">
      <c r="B2535" s="40">
        <v>36816</v>
      </c>
      <c r="C2535" s="39">
        <v>6531.71</v>
      </c>
      <c r="D2535" s="219">
        <f t="shared" si="256"/>
        <v>-1.452115954810628E-2</v>
      </c>
      <c r="F2535" s="40">
        <v>36816</v>
      </c>
      <c r="G2535" s="39">
        <v>6531.71</v>
      </c>
      <c r="H2535" s="39">
        <f t="shared" si="251"/>
        <v>2</v>
      </c>
      <c r="I2535" s="39">
        <f t="shared" si="252"/>
        <v>0</v>
      </c>
      <c r="K2535" s="40"/>
      <c r="Q2535" s="40">
        <v>36816</v>
      </c>
      <c r="R2535" s="39">
        <v>6531.71</v>
      </c>
      <c r="S2535" s="39">
        <f t="shared" si="253"/>
        <v>10</v>
      </c>
      <c r="T2535" s="39">
        <f t="shared" si="254"/>
        <v>0</v>
      </c>
      <c r="U2535" s="39">
        <f t="shared" si="255"/>
        <v>0</v>
      </c>
      <c r="V2535" s="40"/>
    </row>
    <row r="2536" spans="2:22" x14ac:dyDescent="0.35">
      <c r="B2536" s="40">
        <v>36817</v>
      </c>
      <c r="C2536" s="39">
        <v>6470.06</v>
      </c>
      <c r="D2536" s="219">
        <f t="shared" si="256"/>
        <v>-9.4833952668396827E-3</v>
      </c>
      <c r="F2536" s="40">
        <v>36817</v>
      </c>
      <c r="G2536" s="39">
        <v>6470.06</v>
      </c>
      <c r="H2536" s="39">
        <f t="shared" si="251"/>
        <v>3</v>
      </c>
      <c r="I2536" s="39">
        <f t="shared" si="252"/>
        <v>0</v>
      </c>
      <c r="K2536" s="40"/>
      <c r="Q2536" s="40">
        <v>36817</v>
      </c>
      <c r="R2536" s="39">
        <v>6470.06</v>
      </c>
      <c r="S2536" s="39">
        <f t="shared" si="253"/>
        <v>10</v>
      </c>
      <c r="T2536" s="39">
        <f t="shared" si="254"/>
        <v>0</v>
      </c>
      <c r="U2536" s="39">
        <f t="shared" si="255"/>
        <v>0</v>
      </c>
      <c r="V2536" s="40"/>
    </row>
    <row r="2537" spans="2:22" x14ac:dyDescent="0.35">
      <c r="B2537" s="40">
        <v>36818</v>
      </c>
      <c r="C2537" s="39">
        <v>6619.43</v>
      </c>
      <c r="D2537" s="219">
        <f t="shared" si="256"/>
        <v>2.2823881482697192E-2</v>
      </c>
      <c r="F2537" s="40">
        <v>36818</v>
      </c>
      <c r="G2537" s="39">
        <v>6619.43</v>
      </c>
      <c r="H2537" s="39">
        <f t="shared" si="251"/>
        <v>4</v>
      </c>
      <c r="I2537" s="39">
        <f t="shared" si="252"/>
        <v>0</v>
      </c>
      <c r="K2537" s="40"/>
      <c r="Q2537" s="40">
        <v>36818</v>
      </c>
      <c r="R2537" s="39">
        <v>6619.43</v>
      </c>
      <c r="S2537" s="39">
        <f t="shared" si="253"/>
        <v>10</v>
      </c>
      <c r="T2537" s="39">
        <f t="shared" si="254"/>
        <v>0</v>
      </c>
      <c r="U2537" s="39">
        <f t="shared" si="255"/>
        <v>0</v>
      </c>
      <c r="V2537" s="40"/>
    </row>
    <row r="2538" spans="2:22" x14ac:dyDescent="0.35">
      <c r="B2538" s="40">
        <v>36819</v>
      </c>
      <c r="C2538" s="39">
        <v>6615.9</v>
      </c>
      <c r="D2538" s="219">
        <f t="shared" si="256"/>
        <v>-5.334207887075274E-4</v>
      </c>
      <c r="F2538" s="40">
        <v>36819</v>
      </c>
      <c r="G2538" s="39">
        <v>6615.9</v>
      </c>
      <c r="H2538" s="39">
        <f t="shared" si="251"/>
        <v>5</v>
      </c>
      <c r="I2538" s="39">
        <f t="shared" si="252"/>
        <v>6615.9</v>
      </c>
      <c r="K2538" s="40"/>
      <c r="Q2538" s="40">
        <v>36819</v>
      </c>
      <c r="R2538" s="39">
        <v>6615.9</v>
      </c>
      <c r="S2538" s="39">
        <f t="shared" si="253"/>
        <v>10</v>
      </c>
      <c r="T2538" s="39">
        <f t="shared" si="254"/>
        <v>0</v>
      </c>
      <c r="U2538" s="39">
        <f t="shared" si="255"/>
        <v>0</v>
      </c>
      <c r="V2538" s="40"/>
    </row>
    <row r="2539" spans="2:22" x14ac:dyDescent="0.35">
      <c r="B2539" s="40">
        <v>36822</v>
      </c>
      <c r="C2539" s="39">
        <v>6620.87</v>
      </c>
      <c r="D2539" s="219">
        <f t="shared" si="256"/>
        <v>7.5093851952589055E-4</v>
      </c>
      <c r="F2539" s="40">
        <v>36822</v>
      </c>
      <c r="G2539" s="39">
        <v>6620.87</v>
      </c>
      <c r="H2539" s="39">
        <f t="shared" si="251"/>
        <v>1</v>
      </c>
      <c r="I2539" s="39">
        <f t="shared" si="252"/>
        <v>0</v>
      </c>
      <c r="K2539" s="40"/>
      <c r="Q2539" s="40">
        <v>36822</v>
      </c>
      <c r="R2539" s="39">
        <v>6620.87</v>
      </c>
      <c r="S2539" s="39">
        <f t="shared" si="253"/>
        <v>10</v>
      </c>
      <c r="T2539" s="39">
        <f t="shared" si="254"/>
        <v>0</v>
      </c>
      <c r="U2539" s="39">
        <f t="shared" si="255"/>
        <v>0</v>
      </c>
      <c r="V2539" s="40"/>
    </row>
    <row r="2540" spans="2:22" x14ac:dyDescent="0.35">
      <c r="B2540" s="40">
        <v>36823</v>
      </c>
      <c r="C2540" s="39">
        <v>6802.81</v>
      </c>
      <c r="D2540" s="219">
        <f t="shared" si="256"/>
        <v>2.7108980864339018E-2</v>
      </c>
      <c r="F2540" s="40">
        <v>36823</v>
      </c>
      <c r="G2540" s="39">
        <v>6802.81</v>
      </c>
      <c r="H2540" s="39">
        <f t="shared" si="251"/>
        <v>2</v>
      </c>
      <c r="I2540" s="39">
        <f t="shared" si="252"/>
        <v>0</v>
      </c>
      <c r="K2540" s="40"/>
      <c r="Q2540" s="40">
        <v>36823</v>
      </c>
      <c r="R2540" s="39">
        <v>6802.81</v>
      </c>
      <c r="S2540" s="39">
        <f t="shared" si="253"/>
        <v>10</v>
      </c>
      <c r="T2540" s="39">
        <f t="shared" si="254"/>
        <v>0</v>
      </c>
      <c r="U2540" s="39">
        <f t="shared" si="255"/>
        <v>0</v>
      </c>
      <c r="V2540" s="40"/>
    </row>
    <row r="2541" spans="2:22" x14ac:dyDescent="0.35">
      <c r="B2541" s="40">
        <v>36824</v>
      </c>
      <c r="C2541" s="39">
        <v>6748.22</v>
      </c>
      <c r="D2541" s="219">
        <f t="shared" si="256"/>
        <v>-8.0569957131898101E-3</v>
      </c>
      <c r="F2541" s="40">
        <v>36824</v>
      </c>
      <c r="G2541" s="39">
        <v>6748.22</v>
      </c>
      <c r="H2541" s="39">
        <f t="shared" si="251"/>
        <v>3</v>
      </c>
      <c r="I2541" s="39">
        <f t="shared" si="252"/>
        <v>0</v>
      </c>
      <c r="K2541" s="40"/>
      <c r="Q2541" s="40">
        <v>36824</v>
      </c>
      <c r="R2541" s="39">
        <v>6748.22</v>
      </c>
      <c r="S2541" s="39">
        <f t="shared" si="253"/>
        <v>10</v>
      </c>
      <c r="T2541" s="39">
        <f t="shared" si="254"/>
        <v>0</v>
      </c>
      <c r="U2541" s="39">
        <f t="shared" si="255"/>
        <v>0</v>
      </c>
      <c r="V2541" s="40"/>
    </row>
    <row r="2542" spans="2:22" x14ac:dyDescent="0.35">
      <c r="B2542" s="40">
        <v>36825</v>
      </c>
      <c r="C2542" s="39">
        <v>6767.9</v>
      </c>
      <c r="D2542" s="219">
        <f t="shared" si="256"/>
        <v>2.9120803762538372E-3</v>
      </c>
      <c r="F2542" s="40">
        <v>36825</v>
      </c>
      <c r="G2542" s="39">
        <v>6767.9</v>
      </c>
      <c r="H2542" s="39">
        <f t="shared" si="251"/>
        <v>4</v>
      </c>
      <c r="I2542" s="39">
        <f t="shared" si="252"/>
        <v>0</v>
      </c>
      <c r="K2542" s="40"/>
      <c r="Q2542" s="40">
        <v>36825</v>
      </c>
      <c r="R2542" s="39">
        <v>6767.9</v>
      </c>
      <c r="S2542" s="39">
        <f t="shared" si="253"/>
        <v>10</v>
      </c>
      <c r="T2542" s="39">
        <f t="shared" si="254"/>
        <v>0</v>
      </c>
      <c r="U2542" s="39">
        <f t="shared" si="255"/>
        <v>0</v>
      </c>
      <c r="V2542" s="40"/>
    </row>
    <row r="2543" spans="2:22" x14ac:dyDescent="0.35">
      <c r="B2543" s="40">
        <v>36826</v>
      </c>
      <c r="C2543" s="39">
        <v>6924.68</v>
      </c>
      <c r="D2543" s="219">
        <f t="shared" si="256"/>
        <v>2.2900994838381115E-2</v>
      </c>
      <c r="F2543" s="40">
        <v>36826</v>
      </c>
      <c r="G2543" s="39">
        <v>6924.68</v>
      </c>
      <c r="H2543" s="39">
        <f t="shared" si="251"/>
        <v>5</v>
      </c>
      <c r="I2543" s="39">
        <f t="shared" si="252"/>
        <v>6924.68</v>
      </c>
      <c r="K2543" s="40"/>
      <c r="Q2543" s="40">
        <v>36826</v>
      </c>
      <c r="R2543" s="39">
        <v>6924.68</v>
      </c>
      <c r="S2543" s="39">
        <f t="shared" si="253"/>
        <v>10</v>
      </c>
      <c r="T2543" s="39">
        <f t="shared" si="254"/>
        <v>0</v>
      </c>
      <c r="U2543" s="39">
        <f t="shared" si="255"/>
        <v>0</v>
      </c>
      <c r="V2543" s="40"/>
    </row>
    <row r="2544" spans="2:22" x14ac:dyDescent="0.35">
      <c r="B2544" s="40">
        <v>36829</v>
      </c>
      <c r="C2544" s="39">
        <v>6926.57</v>
      </c>
      <c r="D2544" s="219">
        <f t="shared" si="256"/>
        <v>2.7289955949530361E-4</v>
      </c>
      <c r="F2544" s="40">
        <v>36829</v>
      </c>
      <c r="G2544" s="39">
        <v>6926.57</v>
      </c>
      <c r="H2544" s="39">
        <f t="shared" si="251"/>
        <v>1</v>
      </c>
      <c r="I2544" s="39">
        <f t="shared" si="252"/>
        <v>0</v>
      </c>
      <c r="K2544" s="40"/>
      <c r="Q2544" s="40">
        <v>36829</v>
      </c>
      <c r="R2544" s="39">
        <v>6926.57</v>
      </c>
      <c r="S2544" s="39">
        <f t="shared" si="253"/>
        <v>10</v>
      </c>
      <c r="T2544" s="39">
        <f t="shared" si="254"/>
        <v>0</v>
      </c>
      <c r="U2544" s="39">
        <f t="shared" si="255"/>
        <v>0</v>
      </c>
      <c r="V2544" s="40"/>
    </row>
    <row r="2545" spans="2:22" x14ac:dyDescent="0.35">
      <c r="B2545" s="40">
        <v>36830</v>
      </c>
      <c r="C2545" s="39">
        <v>7077.44</v>
      </c>
      <c r="D2545" s="219">
        <f t="shared" si="256"/>
        <v>2.1547519219290087E-2</v>
      </c>
      <c r="F2545" s="40">
        <v>36830</v>
      </c>
      <c r="G2545" s="39">
        <v>7077.44</v>
      </c>
      <c r="H2545" s="39">
        <f t="shared" si="251"/>
        <v>2</v>
      </c>
      <c r="I2545" s="39">
        <f t="shared" si="252"/>
        <v>0</v>
      </c>
      <c r="K2545" s="40"/>
      <c r="Q2545" s="40">
        <v>36830</v>
      </c>
      <c r="R2545" s="39">
        <v>7077.44</v>
      </c>
      <c r="S2545" s="39">
        <f t="shared" si="253"/>
        <v>10</v>
      </c>
      <c r="T2545" s="39">
        <f t="shared" si="254"/>
        <v>7077.44</v>
      </c>
      <c r="U2545" s="39">
        <f t="shared" si="255"/>
        <v>7077.44</v>
      </c>
      <c r="V2545" s="40"/>
    </row>
    <row r="2546" spans="2:22" x14ac:dyDescent="0.35">
      <c r="B2546" s="40">
        <v>36831</v>
      </c>
      <c r="C2546" s="39">
        <v>7059.07</v>
      </c>
      <c r="D2546" s="219">
        <f t="shared" si="256"/>
        <v>-2.5989456152955325E-3</v>
      </c>
      <c r="F2546" s="40">
        <v>36831</v>
      </c>
      <c r="G2546" s="39">
        <v>7059.07</v>
      </c>
      <c r="H2546" s="39">
        <f t="shared" si="251"/>
        <v>3</v>
      </c>
      <c r="I2546" s="39">
        <f t="shared" si="252"/>
        <v>0</v>
      </c>
      <c r="K2546" s="40"/>
      <c r="Q2546" s="40">
        <v>36831</v>
      </c>
      <c r="R2546" s="39">
        <v>7059.07</v>
      </c>
      <c r="S2546" s="39">
        <f t="shared" si="253"/>
        <v>11</v>
      </c>
      <c r="T2546" s="39">
        <f t="shared" si="254"/>
        <v>0</v>
      </c>
      <c r="U2546" s="39">
        <f t="shared" si="255"/>
        <v>0</v>
      </c>
      <c r="V2546" s="40"/>
    </row>
    <row r="2547" spans="2:22" x14ac:dyDescent="0.35">
      <c r="B2547" s="40">
        <v>36832</v>
      </c>
      <c r="C2547" s="39">
        <v>7088.64</v>
      </c>
      <c r="D2547" s="219">
        <f t="shared" si="256"/>
        <v>4.1801878973719382E-3</v>
      </c>
      <c r="F2547" s="40">
        <v>36832</v>
      </c>
      <c r="G2547" s="39">
        <v>7088.64</v>
      </c>
      <c r="H2547" s="39">
        <f t="shared" si="251"/>
        <v>4</v>
      </c>
      <c r="I2547" s="39">
        <f t="shared" si="252"/>
        <v>0</v>
      </c>
      <c r="K2547" s="40"/>
      <c r="Q2547" s="40">
        <v>36832</v>
      </c>
      <c r="R2547" s="39">
        <v>7088.64</v>
      </c>
      <c r="S2547" s="39">
        <f t="shared" si="253"/>
        <v>11</v>
      </c>
      <c r="T2547" s="39">
        <f t="shared" si="254"/>
        <v>0</v>
      </c>
      <c r="U2547" s="39">
        <f t="shared" si="255"/>
        <v>0</v>
      </c>
      <c r="V2547" s="40"/>
    </row>
    <row r="2548" spans="2:22" x14ac:dyDescent="0.35">
      <c r="B2548" s="40">
        <v>36833</v>
      </c>
      <c r="C2548" s="39">
        <v>7128.27</v>
      </c>
      <c r="D2548" s="219">
        <f t="shared" si="256"/>
        <v>5.5750655587079321E-3</v>
      </c>
      <c r="F2548" s="40">
        <v>36833</v>
      </c>
      <c r="G2548" s="39">
        <v>7128.27</v>
      </c>
      <c r="H2548" s="39">
        <f t="shared" si="251"/>
        <v>5</v>
      </c>
      <c r="I2548" s="39">
        <f t="shared" si="252"/>
        <v>7128.27</v>
      </c>
      <c r="K2548" s="40"/>
      <c r="Q2548" s="40">
        <v>36833</v>
      </c>
      <c r="R2548" s="39">
        <v>7128.27</v>
      </c>
      <c r="S2548" s="39">
        <f t="shared" si="253"/>
        <v>11</v>
      </c>
      <c r="T2548" s="39">
        <f t="shared" si="254"/>
        <v>0</v>
      </c>
      <c r="U2548" s="39">
        <f t="shared" si="255"/>
        <v>0</v>
      </c>
      <c r="V2548" s="40"/>
    </row>
    <row r="2549" spans="2:22" x14ac:dyDescent="0.35">
      <c r="B2549" s="40">
        <v>36836</v>
      </c>
      <c r="C2549" s="39">
        <v>7136.3</v>
      </c>
      <c r="D2549" s="219">
        <f t="shared" si="256"/>
        <v>1.1258665137776063E-3</v>
      </c>
      <c r="F2549" s="40">
        <v>36836</v>
      </c>
      <c r="G2549" s="39">
        <v>7136.3</v>
      </c>
      <c r="H2549" s="39">
        <f t="shared" si="251"/>
        <v>1</v>
      </c>
      <c r="I2549" s="39">
        <f t="shared" si="252"/>
        <v>0</v>
      </c>
      <c r="K2549" s="40"/>
      <c r="Q2549" s="40">
        <v>36836</v>
      </c>
      <c r="R2549" s="39">
        <v>7136.3</v>
      </c>
      <c r="S2549" s="39">
        <f t="shared" si="253"/>
        <v>11</v>
      </c>
      <c r="T2549" s="39">
        <f t="shared" si="254"/>
        <v>0</v>
      </c>
      <c r="U2549" s="39">
        <f t="shared" si="255"/>
        <v>0</v>
      </c>
      <c r="V2549" s="40"/>
    </row>
    <row r="2550" spans="2:22" x14ac:dyDescent="0.35">
      <c r="B2550" s="40">
        <v>36837</v>
      </c>
      <c r="C2550" s="39">
        <v>7083.7</v>
      </c>
      <c r="D2550" s="219">
        <f t="shared" si="256"/>
        <v>-7.3980646843292176E-3</v>
      </c>
      <c r="F2550" s="40">
        <v>36837</v>
      </c>
      <c r="G2550" s="39">
        <v>7083.7</v>
      </c>
      <c r="H2550" s="39">
        <f t="shared" si="251"/>
        <v>2</v>
      </c>
      <c r="I2550" s="39">
        <f t="shared" si="252"/>
        <v>0</v>
      </c>
      <c r="K2550" s="40"/>
      <c r="Q2550" s="40">
        <v>36837</v>
      </c>
      <c r="R2550" s="39">
        <v>7083.7</v>
      </c>
      <c r="S2550" s="39">
        <f t="shared" si="253"/>
        <v>11</v>
      </c>
      <c r="T2550" s="39">
        <f t="shared" si="254"/>
        <v>0</v>
      </c>
      <c r="U2550" s="39">
        <f t="shared" si="255"/>
        <v>0</v>
      </c>
      <c r="V2550" s="40"/>
    </row>
    <row r="2551" spans="2:22" x14ac:dyDescent="0.35">
      <c r="B2551" s="40">
        <v>36838</v>
      </c>
      <c r="C2551" s="39">
        <v>7010.2</v>
      </c>
      <c r="D2551" s="219">
        <f t="shared" si="256"/>
        <v>-1.043013875847465E-2</v>
      </c>
      <c r="F2551" s="40">
        <v>36838</v>
      </c>
      <c r="G2551" s="39">
        <v>7010.2</v>
      </c>
      <c r="H2551" s="39">
        <f t="shared" ref="H2551:H2614" si="257">WEEKDAY(F2551,2)</f>
        <v>3</v>
      </c>
      <c r="I2551" s="39">
        <f t="shared" ref="I2551:I2614" si="258">IF(H2551&gt;H2552,G2551,0)</f>
        <v>0</v>
      </c>
      <c r="K2551" s="40"/>
      <c r="Q2551" s="40">
        <v>36838</v>
      </c>
      <c r="R2551" s="39">
        <v>7010.2</v>
      </c>
      <c r="S2551" s="39">
        <f t="shared" ref="S2551:S2614" si="259">MONTH(Q2551)</f>
        <v>11</v>
      </c>
      <c r="T2551" s="39">
        <f t="shared" ref="T2551:T2614" si="260">IF(S2552&lt;&gt;S2551,R2551,0)</f>
        <v>0</v>
      </c>
      <c r="U2551" s="39">
        <f t="shared" ref="U2551:U2614" si="261">IF(S2552=S2551,0,R2551)</f>
        <v>0</v>
      </c>
      <c r="V2551" s="40"/>
    </row>
    <row r="2552" spans="2:22" x14ac:dyDescent="0.35">
      <c r="B2552" s="40">
        <v>36839</v>
      </c>
      <c r="C2552" s="39">
        <v>6959.5</v>
      </c>
      <c r="D2552" s="219">
        <f t="shared" ref="D2552:D2615" si="262">LN(C2552/C2551)</f>
        <v>-7.2585986246594906E-3</v>
      </c>
      <c r="F2552" s="40">
        <v>36839</v>
      </c>
      <c r="G2552" s="39">
        <v>6959.5</v>
      </c>
      <c r="H2552" s="39">
        <f t="shared" si="257"/>
        <v>4</v>
      </c>
      <c r="I2552" s="39">
        <f t="shared" si="258"/>
        <v>0</v>
      </c>
      <c r="K2552" s="40"/>
      <c r="Q2552" s="40">
        <v>36839</v>
      </c>
      <c r="R2552" s="39">
        <v>6959.5</v>
      </c>
      <c r="S2552" s="39">
        <f t="shared" si="259"/>
        <v>11</v>
      </c>
      <c r="T2552" s="39">
        <f t="shared" si="260"/>
        <v>0</v>
      </c>
      <c r="U2552" s="39">
        <f t="shared" si="261"/>
        <v>0</v>
      </c>
      <c r="V2552" s="40"/>
    </row>
    <row r="2553" spans="2:22" x14ac:dyDescent="0.35">
      <c r="B2553" s="40">
        <v>36840</v>
      </c>
      <c r="C2553" s="39">
        <v>6851.69</v>
      </c>
      <c r="D2553" s="219">
        <f t="shared" si="262"/>
        <v>-1.561229551193904E-2</v>
      </c>
      <c r="F2553" s="40">
        <v>36840</v>
      </c>
      <c r="G2553" s="39">
        <v>6851.69</v>
      </c>
      <c r="H2553" s="39">
        <f t="shared" si="257"/>
        <v>5</v>
      </c>
      <c r="I2553" s="39">
        <f t="shared" si="258"/>
        <v>6851.69</v>
      </c>
      <c r="K2553" s="40"/>
      <c r="Q2553" s="40">
        <v>36840</v>
      </c>
      <c r="R2553" s="39">
        <v>6851.69</v>
      </c>
      <c r="S2553" s="39">
        <f t="shared" si="259"/>
        <v>11</v>
      </c>
      <c r="T2553" s="39">
        <f t="shared" si="260"/>
        <v>0</v>
      </c>
      <c r="U2553" s="39">
        <f t="shared" si="261"/>
        <v>0</v>
      </c>
      <c r="V2553" s="40"/>
    </row>
    <row r="2554" spans="2:22" x14ac:dyDescent="0.35">
      <c r="B2554" s="40">
        <v>36843</v>
      </c>
      <c r="C2554" s="39">
        <v>6742.1</v>
      </c>
      <c r="D2554" s="219">
        <f t="shared" si="262"/>
        <v>-1.6123888077560582E-2</v>
      </c>
      <c r="F2554" s="40">
        <v>36843</v>
      </c>
      <c r="G2554" s="39">
        <v>6742.1</v>
      </c>
      <c r="H2554" s="39">
        <f t="shared" si="257"/>
        <v>1</v>
      </c>
      <c r="I2554" s="39">
        <f t="shared" si="258"/>
        <v>0</v>
      </c>
      <c r="K2554" s="40"/>
      <c r="Q2554" s="40">
        <v>36843</v>
      </c>
      <c r="R2554" s="39">
        <v>6742.1</v>
      </c>
      <c r="S2554" s="39">
        <f t="shared" si="259"/>
        <v>11</v>
      </c>
      <c r="T2554" s="39">
        <f t="shared" si="260"/>
        <v>0</v>
      </c>
      <c r="U2554" s="39">
        <f t="shared" si="261"/>
        <v>0</v>
      </c>
      <c r="V2554" s="40"/>
    </row>
    <row r="2555" spans="2:22" x14ac:dyDescent="0.35">
      <c r="B2555" s="40">
        <v>36844</v>
      </c>
      <c r="C2555" s="39">
        <v>6966.65</v>
      </c>
      <c r="D2555" s="219">
        <f t="shared" si="262"/>
        <v>3.2763028859477669E-2</v>
      </c>
      <c r="F2555" s="40">
        <v>36844</v>
      </c>
      <c r="G2555" s="39">
        <v>6966.65</v>
      </c>
      <c r="H2555" s="39">
        <f t="shared" si="257"/>
        <v>2</v>
      </c>
      <c r="I2555" s="39">
        <f t="shared" si="258"/>
        <v>0</v>
      </c>
      <c r="K2555" s="40"/>
      <c r="Q2555" s="40">
        <v>36844</v>
      </c>
      <c r="R2555" s="39">
        <v>6966.65</v>
      </c>
      <c r="S2555" s="39">
        <f t="shared" si="259"/>
        <v>11</v>
      </c>
      <c r="T2555" s="39">
        <f t="shared" si="260"/>
        <v>0</v>
      </c>
      <c r="U2555" s="39">
        <f t="shared" si="261"/>
        <v>0</v>
      </c>
      <c r="V2555" s="40"/>
    </row>
    <row r="2556" spans="2:22" x14ac:dyDescent="0.35">
      <c r="B2556" s="40">
        <v>36845</v>
      </c>
      <c r="C2556" s="39">
        <v>6961.09</v>
      </c>
      <c r="D2556" s="219">
        <f t="shared" si="262"/>
        <v>-7.9840667550559361E-4</v>
      </c>
      <c r="F2556" s="40">
        <v>36845</v>
      </c>
      <c r="G2556" s="39">
        <v>6961.09</v>
      </c>
      <c r="H2556" s="39">
        <f t="shared" si="257"/>
        <v>3</v>
      </c>
      <c r="I2556" s="39">
        <f t="shared" si="258"/>
        <v>0</v>
      </c>
      <c r="K2556" s="40"/>
      <c r="Q2556" s="40">
        <v>36845</v>
      </c>
      <c r="R2556" s="39">
        <v>6961.09</v>
      </c>
      <c r="S2556" s="39">
        <f t="shared" si="259"/>
        <v>11</v>
      </c>
      <c r="T2556" s="39">
        <f t="shared" si="260"/>
        <v>0</v>
      </c>
      <c r="U2556" s="39">
        <f t="shared" si="261"/>
        <v>0</v>
      </c>
      <c r="V2556" s="40"/>
    </row>
    <row r="2557" spans="2:22" x14ac:dyDescent="0.35">
      <c r="B2557" s="40">
        <v>36846</v>
      </c>
      <c r="C2557" s="39">
        <v>6811.49</v>
      </c>
      <c r="D2557" s="219">
        <f t="shared" si="262"/>
        <v>-2.1725179162300004E-2</v>
      </c>
      <c r="F2557" s="40">
        <v>36846</v>
      </c>
      <c r="G2557" s="39">
        <v>6811.49</v>
      </c>
      <c r="H2557" s="39">
        <f t="shared" si="257"/>
        <v>4</v>
      </c>
      <c r="I2557" s="39">
        <f t="shared" si="258"/>
        <v>0</v>
      </c>
      <c r="K2557" s="40"/>
      <c r="Q2557" s="40">
        <v>36846</v>
      </c>
      <c r="R2557" s="39">
        <v>6811.49</v>
      </c>
      <c r="S2557" s="39">
        <f t="shared" si="259"/>
        <v>11</v>
      </c>
      <c r="T2557" s="39">
        <f t="shared" si="260"/>
        <v>0</v>
      </c>
      <c r="U2557" s="39">
        <f t="shared" si="261"/>
        <v>0</v>
      </c>
      <c r="V2557" s="40"/>
    </row>
    <row r="2558" spans="2:22" x14ac:dyDescent="0.35">
      <c r="B2558" s="40">
        <v>36847</v>
      </c>
      <c r="C2558" s="39">
        <v>6752.29</v>
      </c>
      <c r="D2558" s="219">
        <f t="shared" si="262"/>
        <v>-8.7291855092029875E-3</v>
      </c>
      <c r="F2558" s="40">
        <v>36847</v>
      </c>
      <c r="G2558" s="39">
        <v>6752.29</v>
      </c>
      <c r="H2558" s="39">
        <f t="shared" si="257"/>
        <v>5</v>
      </c>
      <c r="I2558" s="39">
        <f t="shared" si="258"/>
        <v>6752.29</v>
      </c>
      <c r="K2558" s="40"/>
      <c r="Q2558" s="40">
        <v>36847</v>
      </c>
      <c r="R2558" s="39">
        <v>6752.29</v>
      </c>
      <c r="S2558" s="39">
        <f t="shared" si="259"/>
        <v>11</v>
      </c>
      <c r="T2558" s="39">
        <f t="shared" si="260"/>
        <v>0</v>
      </c>
      <c r="U2558" s="39">
        <f t="shared" si="261"/>
        <v>0</v>
      </c>
      <c r="V2558" s="40"/>
    </row>
    <row r="2559" spans="2:22" x14ac:dyDescent="0.35">
      <c r="B2559" s="40">
        <v>36850</v>
      </c>
      <c r="C2559" s="39">
        <v>6605.53</v>
      </c>
      <c r="D2559" s="219">
        <f t="shared" si="262"/>
        <v>-2.1974529612508818E-2</v>
      </c>
      <c r="F2559" s="40">
        <v>36850</v>
      </c>
      <c r="G2559" s="39">
        <v>6605.53</v>
      </c>
      <c r="H2559" s="39">
        <f t="shared" si="257"/>
        <v>1</v>
      </c>
      <c r="I2559" s="39">
        <f t="shared" si="258"/>
        <v>0</v>
      </c>
      <c r="K2559" s="40"/>
      <c r="Q2559" s="40">
        <v>36850</v>
      </c>
      <c r="R2559" s="39">
        <v>6605.53</v>
      </c>
      <c r="S2559" s="39">
        <f t="shared" si="259"/>
        <v>11</v>
      </c>
      <c r="T2559" s="39">
        <f t="shared" si="260"/>
        <v>0</v>
      </c>
      <c r="U2559" s="39">
        <f t="shared" si="261"/>
        <v>0</v>
      </c>
      <c r="V2559" s="40"/>
    </row>
    <row r="2560" spans="2:22" x14ac:dyDescent="0.35">
      <c r="B2560" s="40">
        <v>36851</v>
      </c>
      <c r="C2560" s="39">
        <v>6666.06</v>
      </c>
      <c r="D2560" s="219">
        <f t="shared" si="262"/>
        <v>9.1218037493512975E-3</v>
      </c>
      <c r="F2560" s="40">
        <v>36851</v>
      </c>
      <c r="G2560" s="39">
        <v>6666.06</v>
      </c>
      <c r="H2560" s="39">
        <f t="shared" si="257"/>
        <v>2</v>
      </c>
      <c r="I2560" s="39">
        <f t="shared" si="258"/>
        <v>0</v>
      </c>
      <c r="K2560" s="40"/>
      <c r="Q2560" s="40">
        <v>36851</v>
      </c>
      <c r="R2560" s="39">
        <v>6666.06</v>
      </c>
      <c r="S2560" s="39">
        <f t="shared" si="259"/>
        <v>11</v>
      </c>
      <c r="T2560" s="39">
        <f t="shared" si="260"/>
        <v>0</v>
      </c>
      <c r="U2560" s="39">
        <f t="shared" si="261"/>
        <v>0</v>
      </c>
      <c r="V2560" s="40"/>
    </row>
    <row r="2561" spans="2:22" x14ac:dyDescent="0.35">
      <c r="B2561" s="40">
        <v>36852</v>
      </c>
      <c r="C2561" s="39">
        <v>6510.54</v>
      </c>
      <c r="D2561" s="219">
        <f t="shared" si="262"/>
        <v>-2.360657865600025E-2</v>
      </c>
      <c r="F2561" s="40">
        <v>36852</v>
      </c>
      <c r="G2561" s="39">
        <v>6510.54</v>
      </c>
      <c r="H2561" s="39">
        <f t="shared" si="257"/>
        <v>3</v>
      </c>
      <c r="I2561" s="39">
        <f t="shared" si="258"/>
        <v>0</v>
      </c>
      <c r="K2561" s="40"/>
      <c r="Q2561" s="40">
        <v>36852</v>
      </c>
      <c r="R2561" s="39">
        <v>6510.54</v>
      </c>
      <c r="S2561" s="39">
        <f t="shared" si="259"/>
        <v>11</v>
      </c>
      <c r="T2561" s="39">
        <f t="shared" si="260"/>
        <v>0</v>
      </c>
      <c r="U2561" s="39">
        <f t="shared" si="261"/>
        <v>0</v>
      </c>
      <c r="V2561" s="40"/>
    </row>
    <row r="2562" spans="2:22" x14ac:dyDescent="0.35">
      <c r="B2562" s="40">
        <v>36853</v>
      </c>
      <c r="C2562" s="39">
        <v>6596.93</v>
      </c>
      <c r="D2562" s="219">
        <f t="shared" si="262"/>
        <v>1.3181987211572963E-2</v>
      </c>
      <c r="F2562" s="40">
        <v>36853</v>
      </c>
      <c r="G2562" s="39">
        <v>6596.93</v>
      </c>
      <c r="H2562" s="39">
        <f t="shared" si="257"/>
        <v>4</v>
      </c>
      <c r="I2562" s="39">
        <f t="shared" si="258"/>
        <v>0</v>
      </c>
      <c r="K2562" s="40"/>
      <c r="Q2562" s="40">
        <v>36853</v>
      </c>
      <c r="R2562" s="39">
        <v>6596.93</v>
      </c>
      <c r="S2562" s="39">
        <f t="shared" si="259"/>
        <v>11</v>
      </c>
      <c r="T2562" s="39">
        <f t="shared" si="260"/>
        <v>0</v>
      </c>
      <c r="U2562" s="39">
        <f t="shared" si="261"/>
        <v>0</v>
      </c>
      <c r="V2562" s="40"/>
    </row>
    <row r="2563" spans="2:22" x14ac:dyDescent="0.35">
      <c r="B2563" s="40">
        <v>36854</v>
      </c>
      <c r="C2563" s="39">
        <v>6664.18</v>
      </c>
      <c r="D2563" s="219">
        <f t="shared" si="262"/>
        <v>1.0142526003375056E-2</v>
      </c>
      <c r="F2563" s="40">
        <v>36854</v>
      </c>
      <c r="G2563" s="39">
        <v>6664.18</v>
      </c>
      <c r="H2563" s="39">
        <f t="shared" si="257"/>
        <v>5</v>
      </c>
      <c r="I2563" s="39">
        <f t="shared" si="258"/>
        <v>6664.18</v>
      </c>
      <c r="K2563" s="40"/>
      <c r="Q2563" s="40">
        <v>36854</v>
      </c>
      <c r="R2563" s="39">
        <v>6664.18</v>
      </c>
      <c r="S2563" s="39">
        <f t="shared" si="259"/>
        <v>11</v>
      </c>
      <c r="T2563" s="39">
        <f t="shared" si="260"/>
        <v>0</v>
      </c>
      <c r="U2563" s="39">
        <f t="shared" si="261"/>
        <v>0</v>
      </c>
      <c r="V2563" s="40"/>
    </row>
    <row r="2564" spans="2:22" x14ac:dyDescent="0.35">
      <c r="B2564" s="40">
        <v>36857</v>
      </c>
      <c r="C2564" s="39">
        <v>6696.91</v>
      </c>
      <c r="D2564" s="219">
        <f t="shared" si="262"/>
        <v>4.8993106803148882E-3</v>
      </c>
      <c r="F2564" s="40">
        <v>36857</v>
      </c>
      <c r="G2564" s="39">
        <v>6696.91</v>
      </c>
      <c r="H2564" s="39">
        <f t="shared" si="257"/>
        <v>1</v>
      </c>
      <c r="I2564" s="39">
        <f t="shared" si="258"/>
        <v>0</v>
      </c>
      <c r="K2564" s="40"/>
      <c r="Q2564" s="40">
        <v>36857</v>
      </c>
      <c r="R2564" s="39">
        <v>6696.91</v>
      </c>
      <c r="S2564" s="39">
        <f t="shared" si="259"/>
        <v>11</v>
      </c>
      <c r="T2564" s="39">
        <f t="shared" si="260"/>
        <v>0</v>
      </c>
      <c r="U2564" s="39">
        <f t="shared" si="261"/>
        <v>0</v>
      </c>
      <c r="V2564" s="40"/>
    </row>
    <row r="2565" spans="2:22" x14ac:dyDescent="0.35">
      <c r="B2565" s="40">
        <v>36858</v>
      </c>
      <c r="C2565" s="39">
        <v>6625.56</v>
      </c>
      <c r="D2565" s="219">
        <f t="shared" si="262"/>
        <v>-1.0711329382535885E-2</v>
      </c>
      <c r="F2565" s="40">
        <v>36858</v>
      </c>
      <c r="G2565" s="39">
        <v>6625.56</v>
      </c>
      <c r="H2565" s="39">
        <f t="shared" si="257"/>
        <v>2</v>
      </c>
      <c r="I2565" s="39">
        <f t="shared" si="258"/>
        <v>0</v>
      </c>
      <c r="K2565" s="40"/>
      <c r="Q2565" s="40">
        <v>36858</v>
      </c>
      <c r="R2565" s="39">
        <v>6625.56</v>
      </c>
      <c r="S2565" s="39">
        <f t="shared" si="259"/>
        <v>11</v>
      </c>
      <c r="T2565" s="39">
        <f t="shared" si="260"/>
        <v>0</v>
      </c>
      <c r="U2565" s="39">
        <f t="shared" si="261"/>
        <v>0</v>
      </c>
      <c r="V2565" s="40"/>
    </row>
    <row r="2566" spans="2:22" x14ac:dyDescent="0.35">
      <c r="B2566" s="40">
        <v>36859</v>
      </c>
      <c r="C2566" s="39">
        <v>6598.32</v>
      </c>
      <c r="D2566" s="219">
        <f t="shared" si="262"/>
        <v>-4.1198254262157187E-3</v>
      </c>
      <c r="F2566" s="40">
        <v>36859</v>
      </c>
      <c r="G2566" s="39">
        <v>6598.32</v>
      </c>
      <c r="H2566" s="39">
        <f t="shared" si="257"/>
        <v>3</v>
      </c>
      <c r="I2566" s="39">
        <f t="shared" si="258"/>
        <v>0</v>
      </c>
      <c r="K2566" s="40"/>
      <c r="Q2566" s="40">
        <v>36859</v>
      </c>
      <c r="R2566" s="39">
        <v>6598.32</v>
      </c>
      <c r="S2566" s="39">
        <f t="shared" si="259"/>
        <v>11</v>
      </c>
      <c r="T2566" s="39">
        <f t="shared" si="260"/>
        <v>0</v>
      </c>
      <c r="U2566" s="39">
        <f t="shared" si="261"/>
        <v>0</v>
      </c>
      <c r="V2566" s="40"/>
    </row>
    <row r="2567" spans="2:22" x14ac:dyDescent="0.35">
      <c r="B2567" s="40">
        <v>36860</v>
      </c>
      <c r="C2567" s="39">
        <v>6372.33</v>
      </c>
      <c r="D2567" s="219">
        <f t="shared" si="262"/>
        <v>-3.4849891391634594E-2</v>
      </c>
      <c r="F2567" s="40">
        <v>36860</v>
      </c>
      <c r="G2567" s="39">
        <v>6372.33</v>
      </c>
      <c r="H2567" s="39">
        <f t="shared" si="257"/>
        <v>4</v>
      </c>
      <c r="I2567" s="39">
        <f t="shared" si="258"/>
        <v>0</v>
      </c>
      <c r="K2567" s="40"/>
      <c r="Q2567" s="40">
        <v>36860</v>
      </c>
      <c r="R2567" s="39">
        <v>6372.33</v>
      </c>
      <c r="S2567" s="39">
        <f t="shared" si="259"/>
        <v>11</v>
      </c>
      <c r="T2567" s="39">
        <f t="shared" si="260"/>
        <v>6372.33</v>
      </c>
      <c r="U2567" s="39">
        <f t="shared" si="261"/>
        <v>6372.33</v>
      </c>
      <c r="V2567" s="40"/>
    </row>
    <row r="2568" spans="2:22" x14ac:dyDescent="0.35">
      <c r="B2568" s="40">
        <v>36861</v>
      </c>
      <c r="C2568" s="39">
        <v>6512.91</v>
      </c>
      <c r="D2568" s="219">
        <f t="shared" si="262"/>
        <v>2.1821181167968443E-2</v>
      </c>
      <c r="F2568" s="40">
        <v>36861</v>
      </c>
      <c r="G2568" s="39">
        <v>6512.91</v>
      </c>
      <c r="H2568" s="39">
        <f t="shared" si="257"/>
        <v>5</v>
      </c>
      <c r="I2568" s="39">
        <f t="shared" si="258"/>
        <v>6512.91</v>
      </c>
      <c r="K2568" s="40"/>
      <c r="Q2568" s="40">
        <v>36861</v>
      </c>
      <c r="R2568" s="39">
        <v>6512.91</v>
      </c>
      <c r="S2568" s="39">
        <f t="shared" si="259"/>
        <v>12</v>
      </c>
      <c r="T2568" s="39">
        <f t="shared" si="260"/>
        <v>0</v>
      </c>
      <c r="U2568" s="39">
        <f t="shared" si="261"/>
        <v>0</v>
      </c>
      <c r="V2568" s="40"/>
    </row>
    <row r="2569" spans="2:22" x14ac:dyDescent="0.35">
      <c r="B2569" s="40">
        <v>36864</v>
      </c>
      <c r="C2569" s="39">
        <v>6408.1</v>
      </c>
      <c r="D2569" s="219">
        <f t="shared" si="262"/>
        <v>-1.6223545814548043E-2</v>
      </c>
      <c r="F2569" s="40">
        <v>36864</v>
      </c>
      <c r="G2569" s="39">
        <v>6408.1</v>
      </c>
      <c r="H2569" s="39">
        <f t="shared" si="257"/>
        <v>1</v>
      </c>
      <c r="I2569" s="39">
        <f t="shared" si="258"/>
        <v>0</v>
      </c>
      <c r="K2569" s="40"/>
      <c r="Q2569" s="40">
        <v>36864</v>
      </c>
      <c r="R2569" s="39">
        <v>6408.1</v>
      </c>
      <c r="S2569" s="39">
        <f t="shared" si="259"/>
        <v>12</v>
      </c>
      <c r="T2569" s="39">
        <f t="shared" si="260"/>
        <v>0</v>
      </c>
      <c r="U2569" s="39">
        <f t="shared" si="261"/>
        <v>0</v>
      </c>
      <c r="V2569" s="40"/>
    </row>
    <row r="2570" spans="2:22" x14ac:dyDescent="0.35">
      <c r="B2570" s="40">
        <v>36865</v>
      </c>
      <c r="C2570" s="39">
        <v>6637.09</v>
      </c>
      <c r="D2570" s="219">
        <f t="shared" si="262"/>
        <v>3.5110799277948732E-2</v>
      </c>
      <c r="F2570" s="40">
        <v>36865</v>
      </c>
      <c r="G2570" s="39">
        <v>6637.09</v>
      </c>
      <c r="H2570" s="39">
        <f t="shared" si="257"/>
        <v>2</v>
      </c>
      <c r="I2570" s="39">
        <f t="shared" si="258"/>
        <v>0</v>
      </c>
      <c r="K2570" s="40"/>
      <c r="Q2570" s="40">
        <v>36865</v>
      </c>
      <c r="R2570" s="39">
        <v>6637.09</v>
      </c>
      <c r="S2570" s="39">
        <f t="shared" si="259"/>
        <v>12</v>
      </c>
      <c r="T2570" s="39">
        <f t="shared" si="260"/>
        <v>0</v>
      </c>
      <c r="U2570" s="39">
        <f t="shared" si="261"/>
        <v>0</v>
      </c>
      <c r="V2570" s="40"/>
    </row>
    <row r="2571" spans="2:22" x14ac:dyDescent="0.35">
      <c r="B2571" s="40">
        <v>36866</v>
      </c>
      <c r="C2571" s="39">
        <v>6622.25</v>
      </c>
      <c r="D2571" s="219">
        <f t="shared" si="262"/>
        <v>-2.2384230582162433E-3</v>
      </c>
      <c r="F2571" s="40">
        <v>36866</v>
      </c>
      <c r="G2571" s="39">
        <v>6622.25</v>
      </c>
      <c r="H2571" s="39">
        <f t="shared" si="257"/>
        <v>3</v>
      </c>
      <c r="I2571" s="39">
        <f t="shared" si="258"/>
        <v>0</v>
      </c>
      <c r="K2571" s="40"/>
      <c r="Q2571" s="40">
        <v>36866</v>
      </c>
      <c r="R2571" s="39">
        <v>6622.25</v>
      </c>
      <c r="S2571" s="39">
        <f t="shared" si="259"/>
        <v>12</v>
      </c>
      <c r="T2571" s="39">
        <f t="shared" si="260"/>
        <v>0</v>
      </c>
      <c r="U2571" s="39">
        <f t="shared" si="261"/>
        <v>0</v>
      </c>
      <c r="V2571" s="40"/>
    </row>
    <row r="2572" spans="2:22" x14ac:dyDescent="0.35">
      <c r="B2572" s="40">
        <v>36867</v>
      </c>
      <c r="C2572" s="39">
        <v>6583.13</v>
      </c>
      <c r="D2572" s="219">
        <f t="shared" si="262"/>
        <v>-5.924875231072553E-3</v>
      </c>
      <c r="F2572" s="40">
        <v>36867</v>
      </c>
      <c r="G2572" s="39">
        <v>6583.13</v>
      </c>
      <c r="H2572" s="39">
        <f t="shared" si="257"/>
        <v>4</v>
      </c>
      <c r="I2572" s="39">
        <f t="shared" si="258"/>
        <v>0</v>
      </c>
      <c r="K2572" s="40"/>
      <c r="Q2572" s="40">
        <v>36867</v>
      </c>
      <c r="R2572" s="39">
        <v>6583.13</v>
      </c>
      <c r="S2572" s="39">
        <f t="shared" si="259"/>
        <v>12</v>
      </c>
      <c r="T2572" s="39">
        <f t="shared" si="260"/>
        <v>0</v>
      </c>
      <c r="U2572" s="39">
        <f t="shared" si="261"/>
        <v>0</v>
      </c>
      <c r="V2572" s="40"/>
    </row>
    <row r="2573" spans="2:22" x14ac:dyDescent="0.35">
      <c r="B2573" s="40">
        <v>36868</v>
      </c>
      <c r="C2573" s="39">
        <v>6691.25</v>
      </c>
      <c r="D2573" s="219">
        <f t="shared" si="262"/>
        <v>1.6290386599366838E-2</v>
      </c>
      <c r="F2573" s="40">
        <v>36868</v>
      </c>
      <c r="G2573" s="39">
        <v>6691.25</v>
      </c>
      <c r="H2573" s="39">
        <f t="shared" si="257"/>
        <v>5</v>
      </c>
      <c r="I2573" s="39">
        <f t="shared" si="258"/>
        <v>6691.25</v>
      </c>
      <c r="K2573" s="40"/>
      <c r="Q2573" s="40">
        <v>36868</v>
      </c>
      <c r="R2573" s="39">
        <v>6691.25</v>
      </c>
      <c r="S2573" s="39">
        <f t="shared" si="259"/>
        <v>12</v>
      </c>
      <c r="T2573" s="39">
        <f t="shared" si="260"/>
        <v>0</v>
      </c>
      <c r="U2573" s="39">
        <f t="shared" si="261"/>
        <v>0</v>
      </c>
      <c r="V2573" s="40"/>
    </row>
    <row r="2574" spans="2:22" x14ac:dyDescent="0.35">
      <c r="B2574" s="40">
        <v>36871</v>
      </c>
      <c r="C2574" s="39">
        <v>6782.52</v>
      </c>
      <c r="D2574" s="219">
        <f t="shared" si="262"/>
        <v>1.3548011586352731E-2</v>
      </c>
      <c r="F2574" s="40">
        <v>36871</v>
      </c>
      <c r="G2574" s="39">
        <v>6782.52</v>
      </c>
      <c r="H2574" s="39">
        <f t="shared" si="257"/>
        <v>1</v>
      </c>
      <c r="I2574" s="39">
        <f t="shared" si="258"/>
        <v>0</v>
      </c>
      <c r="K2574" s="40"/>
      <c r="Q2574" s="40">
        <v>36871</v>
      </c>
      <c r="R2574" s="39">
        <v>6782.52</v>
      </c>
      <c r="S2574" s="39">
        <f t="shared" si="259"/>
        <v>12</v>
      </c>
      <c r="T2574" s="39">
        <f t="shared" si="260"/>
        <v>0</v>
      </c>
      <c r="U2574" s="39">
        <f t="shared" si="261"/>
        <v>0</v>
      </c>
      <c r="V2574" s="40"/>
    </row>
    <row r="2575" spans="2:22" x14ac:dyDescent="0.35">
      <c r="B2575" s="40">
        <v>36872</v>
      </c>
      <c r="C2575" s="39">
        <v>6733.59</v>
      </c>
      <c r="D2575" s="219">
        <f t="shared" si="262"/>
        <v>-7.2402804873796722E-3</v>
      </c>
      <c r="F2575" s="40">
        <v>36872</v>
      </c>
      <c r="G2575" s="39">
        <v>6733.59</v>
      </c>
      <c r="H2575" s="39">
        <f t="shared" si="257"/>
        <v>2</v>
      </c>
      <c r="I2575" s="39">
        <f t="shared" si="258"/>
        <v>0</v>
      </c>
      <c r="K2575" s="40"/>
      <c r="Q2575" s="40">
        <v>36872</v>
      </c>
      <c r="R2575" s="39">
        <v>6733.59</v>
      </c>
      <c r="S2575" s="39">
        <f t="shared" si="259"/>
        <v>12</v>
      </c>
      <c r="T2575" s="39">
        <f t="shared" si="260"/>
        <v>0</v>
      </c>
      <c r="U2575" s="39">
        <f t="shared" si="261"/>
        <v>0</v>
      </c>
      <c r="V2575" s="40"/>
    </row>
    <row r="2576" spans="2:22" x14ac:dyDescent="0.35">
      <c r="B2576" s="40">
        <v>36873</v>
      </c>
      <c r="C2576" s="39">
        <v>6620.21</v>
      </c>
      <c r="D2576" s="219">
        <f t="shared" si="262"/>
        <v>-1.6981342324263404E-2</v>
      </c>
      <c r="F2576" s="40">
        <v>36873</v>
      </c>
      <c r="G2576" s="39">
        <v>6620.21</v>
      </c>
      <c r="H2576" s="39">
        <f t="shared" si="257"/>
        <v>3</v>
      </c>
      <c r="I2576" s="39">
        <f t="shared" si="258"/>
        <v>0</v>
      </c>
      <c r="K2576" s="40"/>
      <c r="Q2576" s="40">
        <v>36873</v>
      </c>
      <c r="R2576" s="39">
        <v>6620.21</v>
      </c>
      <c r="S2576" s="39">
        <f t="shared" si="259"/>
        <v>12</v>
      </c>
      <c r="T2576" s="39">
        <f t="shared" si="260"/>
        <v>0</v>
      </c>
      <c r="U2576" s="39">
        <f t="shared" si="261"/>
        <v>0</v>
      </c>
      <c r="V2576" s="40"/>
    </row>
    <row r="2577" spans="2:22" x14ac:dyDescent="0.35">
      <c r="B2577" s="40">
        <v>36874</v>
      </c>
      <c r="C2577" s="39">
        <v>6475.84</v>
      </c>
      <c r="D2577" s="219">
        <f t="shared" si="262"/>
        <v>-2.204876259900624E-2</v>
      </c>
      <c r="F2577" s="40">
        <v>36874</v>
      </c>
      <c r="G2577" s="39">
        <v>6475.84</v>
      </c>
      <c r="H2577" s="39">
        <f t="shared" si="257"/>
        <v>4</v>
      </c>
      <c r="I2577" s="39">
        <f t="shared" si="258"/>
        <v>0</v>
      </c>
      <c r="K2577" s="40"/>
      <c r="Q2577" s="40">
        <v>36874</v>
      </c>
      <c r="R2577" s="39">
        <v>6475.84</v>
      </c>
      <c r="S2577" s="39">
        <f t="shared" si="259"/>
        <v>12</v>
      </c>
      <c r="T2577" s="39">
        <f t="shared" si="260"/>
        <v>0</v>
      </c>
      <c r="U2577" s="39">
        <f t="shared" si="261"/>
        <v>0</v>
      </c>
      <c r="V2577" s="40"/>
    </row>
    <row r="2578" spans="2:22" x14ac:dyDescent="0.35">
      <c r="B2578" s="40">
        <v>36875</v>
      </c>
      <c r="C2578" s="39">
        <v>6331.3</v>
      </c>
      <c r="D2578" s="219">
        <f t="shared" si="262"/>
        <v>-2.257274258283521E-2</v>
      </c>
      <c r="F2578" s="40">
        <v>36875</v>
      </c>
      <c r="G2578" s="39">
        <v>6331.3</v>
      </c>
      <c r="H2578" s="39">
        <f t="shared" si="257"/>
        <v>5</v>
      </c>
      <c r="I2578" s="39">
        <f t="shared" si="258"/>
        <v>6331.3</v>
      </c>
      <c r="K2578" s="40"/>
      <c r="Q2578" s="40">
        <v>36875</v>
      </c>
      <c r="R2578" s="39">
        <v>6331.3</v>
      </c>
      <c r="S2578" s="39">
        <f t="shared" si="259"/>
        <v>12</v>
      </c>
      <c r="T2578" s="39">
        <f t="shared" si="260"/>
        <v>0</v>
      </c>
      <c r="U2578" s="39">
        <f t="shared" si="261"/>
        <v>0</v>
      </c>
      <c r="V2578" s="40"/>
    </row>
    <row r="2579" spans="2:22" x14ac:dyDescent="0.35">
      <c r="B2579" s="40">
        <v>36878</v>
      </c>
      <c r="C2579" s="39">
        <v>6390.25</v>
      </c>
      <c r="D2579" s="219">
        <f t="shared" si="262"/>
        <v>9.2678049364848612E-3</v>
      </c>
      <c r="F2579" s="40">
        <v>36878</v>
      </c>
      <c r="G2579" s="39">
        <v>6390.25</v>
      </c>
      <c r="H2579" s="39">
        <f t="shared" si="257"/>
        <v>1</v>
      </c>
      <c r="I2579" s="39">
        <f t="shared" si="258"/>
        <v>0</v>
      </c>
      <c r="K2579" s="40"/>
      <c r="Q2579" s="40">
        <v>36878</v>
      </c>
      <c r="R2579" s="39">
        <v>6390.25</v>
      </c>
      <c r="S2579" s="39">
        <f t="shared" si="259"/>
        <v>12</v>
      </c>
      <c r="T2579" s="39">
        <f t="shared" si="260"/>
        <v>0</v>
      </c>
      <c r="U2579" s="39">
        <f t="shared" si="261"/>
        <v>0</v>
      </c>
      <c r="V2579" s="40"/>
    </row>
    <row r="2580" spans="2:22" x14ac:dyDescent="0.35">
      <c r="B2580" s="40">
        <v>36879</v>
      </c>
      <c r="C2580" s="39">
        <v>6479.28</v>
      </c>
      <c r="D2580" s="219">
        <f t="shared" si="262"/>
        <v>1.3836001824968389E-2</v>
      </c>
      <c r="F2580" s="40">
        <v>36879</v>
      </c>
      <c r="G2580" s="39">
        <v>6479.28</v>
      </c>
      <c r="H2580" s="39">
        <f t="shared" si="257"/>
        <v>2</v>
      </c>
      <c r="I2580" s="39">
        <f t="shared" si="258"/>
        <v>0</v>
      </c>
      <c r="K2580" s="40"/>
      <c r="Q2580" s="40">
        <v>36879</v>
      </c>
      <c r="R2580" s="39">
        <v>6479.28</v>
      </c>
      <c r="S2580" s="39">
        <f t="shared" si="259"/>
        <v>12</v>
      </c>
      <c r="T2580" s="39">
        <f t="shared" si="260"/>
        <v>0</v>
      </c>
      <c r="U2580" s="39">
        <f t="shared" si="261"/>
        <v>0</v>
      </c>
      <c r="V2580" s="40"/>
    </row>
    <row r="2581" spans="2:22" x14ac:dyDescent="0.35">
      <c r="B2581" s="40">
        <v>36880</v>
      </c>
      <c r="C2581" s="39">
        <v>6248.76</v>
      </c>
      <c r="D2581" s="219">
        <f t="shared" si="262"/>
        <v>-3.6226349015348776E-2</v>
      </c>
      <c r="F2581" s="40">
        <v>36880</v>
      </c>
      <c r="G2581" s="39">
        <v>6248.76</v>
      </c>
      <c r="H2581" s="39">
        <f t="shared" si="257"/>
        <v>3</v>
      </c>
      <c r="I2581" s="39">
        <f t="shared" si="258"/>
        <v>0</v>
      </c>
      <c r="K2581" s="40"/>
      <c r="Q2581" s="40">
        <v>36880</v>
      </c>
      <c r="R2581" s="39">
        <v>6248.76</v>
      </c>
      <c r="S2581" s="39">
        <f t="shared" si="259"/>
        <v>12</v>
      </c>
      <c r="T2581" s="39">
        <f t="shared" si="260"/>
        <v>0</v>
      </c>
      <c r="U2581" s="39">
        <f t="shared" si="261"/>
        <v>0</v>
      </c>
      <c r="V2581" s="40"/>
    </row>
    <row r="2582" spans="2:22" x14ac:dyDescent="0.35">
      <c r="B2582" s="40">
        <v>36881</v>
      </c>
      <c r="C2582" s="39">
        <v>6200.71</v>
      </c>
      <c r="D2582" s="219">
        <f t="shared" si="262"/>
        <v>-7.719242440819795E-3</v>
      </c>
      <c r="F2582" s="40">
        <v>36881</v>
      </c>
      <c r="G2582" s="39">
        <v>6200.71</v>
      </c>
      <c r="H2582" s="39">
        <f t="shared" si="257"/>
        <v>4</v>
      </c>
      <c r="I2582" s="39">
        <f t="shared" si="258"/>
        <v>0</v>
      </c>
      <c r="K2582" s="40"/>
      <c r="Q2582" s="40">
        <v>36881</v>
      </c>
      <c r="R2582" s="39">
        <v>6200.71</v>
      </c>
      <c r="S2582" s="39">
        <f t="shared" si="259"/>
        <v>12</v>
      </c>
      <c r="T2582" s="39">
        <f t="shared" si="260"/>
        <v>0</v>
      </c>
      <c r="U2582" s="39">
        <f t="shared" si="261"/>
        <v>0</v>
      </c>
      <c r="V2582" s="40"/>
    </row>
    <row r="2583" spans="2:22" x14ac:dyDescent="0.35">
      <c r="B2583" s="40">
        <v>36882</v>
      </c>
      <c r="C2583" s="39">
        <v>6251.4</v>
      </c>
      <c r="D2583" s="219">
        <f t="shared" si="262"/>
        <v>8.1416370404492396E-3</v>
      </c>
      <c r="F2583" s="40">
        <v>36882</v>
      </c>
      <c r="G2583" s="39">
        <v>6251.4</v>
      </c>
      <c r="H2583" s="39">
        <f t="shared" si="257"/>
        <v>5</v>
      </c>
      <c r="I2583" s="39">
        <f t="shared" si="258"/>
        <v>6251.4</v>
      </c>
      <c r="K2583" s="40"/>
      <c r="Q2583" s="40">
        <v>36882</v>
      </c>
      <c r="R2583" s="39">
        <v>6251.4</v>
      </c>
      <c r="S2583" s="39">
        <f t="shared" si="259"/>
        <v>12</v>
      </c>
      <c r="T2583" s="39">
        <f t="shared" si="260"/>
        <v>0</v>
      </c>
      <c r="U2583" s="39">
        <f t="shared" si="261"/>
        <v>0</v>
      </c>
      <c r="V2583" s="40"/>
    </row>
    <row r="2584" spans="2:22" x14ac:dyDescent="0.35">
      <c r="B2584" s="40">
        <v>36887</v>
      </c>
      <c r="C2584" s="39">
        <v>6328.16</v>
      </c>
      <c r="D2584" s="219">
        <f t="shared" si="262"/>
        <v>1.220407593171364E-2</v>
      </c>
      <c r="F2584" s="40">
        <v>36887</v>
      </c>
      <c r="G2584" s="39">
        <v>6328.16</v>
      </c>
      <c r="H2584" s="39">
        <f t="shared" si="257"/>
        <v>3</v>
      </c>
      <c r="I2584" s="39">
        <f t="shared" si="258"/>
        <v>0</v>
      </c>
      <c r="K2584" s="40"/>
      <c r="Q2584" s="40">
        <v>36887</v>
      </c>
      <c r="R2584" s="39">
        <v>6328.16</v>
      </c>
      <c r="S2584" s="39">
        <f t="shared" si="259"/>
        <v>12</v>
      </c>
      <c r="T2584" s="39">
        <f t="shared" si="260"/>
        <v>0</v>
      </c>
      <c r="U2584" s="39">
        <f t="shared" si="261"/>
        <v>0</v>
      </c>
      <c r="V2584" s="40"/>
    </row>
    <row r="2585" spans="2:22" x14ac:dyDescent="0.35">
      <c r="B2585" s="40">
        <v>36888</v>
      </c>
      <c r="C2585" s="39">
        <v>6371.64</v>
      </c>
      <c r="D2585" s="219">
        <f t="shared" si="262"/>
        <v>6.847378680865818E-3</v>
      </c>
      <c r="F2585" s="40">
        <v>36888</v>
      </c>
      <c r="G2585" s="39">
        <v>6371.64</v>
      </c>
      <c r="H2585" s="39">
        <f t="shared" si="257"/>
        <v>4</v>
      </c>
      <c r="I2585" s="39">
        <f t="shared" si="258"/>
        <v>0</v>
      </c>
      <c r="K2585" s="40"/>
      <c r="Q2585" s="40">
        <v>36888</v>
      </c>
      <c r="R2585" s="39">
        <v>6371.64</v>
      </c>
      <c r="S2585" s="39">
        <f t="shared" si="259"/>
        <v>12</v>
      </c>
      <c r="T2585" s="39">
        <f t="shared" si="260"/>
        <v>0</v>
      </c>
      <c r="U2585" s="39">
        <f t="shared" si="261"/>
        <v>0</v>
      </c>
      <c r="V2585" s="40"/>
    </row>
    <row r="2586" spans="2:22" x14ac:dyDescent="0.35">
      <c r="B2586" s="40">
        <v>36889</v>
      </c>
      <c r="C2586" s="39">
        <v>6433.61</v>
      </c>
      <c r="D2586" s="219">
        <f t="shared" si="262"/>
        <v>9.6789182227455788E-3</v>
      </c>
      <c r="F2586" s="40">
        <v>36889</v>
      </c>
      <c r="G2586" s="39">
        <v>6433.61</v>
      </c>
      <c r="H2586" s="39">
        <f t="shared" si="257"/>
        <v>5</v>
      </c>
      <c r="I2586" s="39">
        <f t="shared" si="258"/>
        <v>6433.61</v>
      </c>
      <c r="K2586" s="40"/>
      <c r="Q2586" s="40">
        <v>36889</v>
      </c>
      <c r="R2586" s="39">
        <v>6433.61</v>
      </c>
      <c r="S2586" s="39">
        <f t="shared" si="259"/>
        <v>12</v>
      </c>
      <c r="T2586" s="39">
        <f t="shared" si="260"/>
        <v>6433.61</v>
      </c>
      <c r="U2586" s="39">
        <f t="shared" si="261"/>
        <v>6433.61</v>
      </c>
      <c r="V2586" s="40"/>
    </row>
    <row r="2587" spans="2:22" x14ac:dyDescent="0.35">
      <c r="B2587" s="40">
        <v>36893</v>
      </c>
      <c r="C2587" s="39">
        <v>6289.82</v>
      </c>
      <c r="D2587" s="219">
        <f t="shared" si="262"/>
        <v>-2.260335804864809E-2</v>
      </c>
      <c r="F2587" s="40">
        <v>36893</v>
      </c>
      <c r="G2587" s="39">
        <v>6289.82</v>
      </c>
      <c r="H2587" s="39">
        <f t="shared" si="257"/>
        <v>2</v>
      </c>
      <c r="I2587" s="39">
        <f t="shared" si="258"/>
        <v>0</v>
      </c>
      <c r="K2587" s="40"/>
      <c r="Q2587" s="40">
        <v>36893</v>
      </c>
      <c r="R2587" s="39">
        <v>6289.82</v>
      </c>
      <c r="S2587" s="39">
        <f t="shared" si="259"/>
        <v>1</v>
      </c>
      <c r="T2587" s="39">
        <f t="shared" si="260"/>
        <v>0</v>
      </c>
      <c r="U2587" s="39">
        <f t="shared" si="261"/>
        <v>0</v>
      </c>
      <c r="V2587" s="40"/>
    </row>
    <row r="2588" spans="2:22" x14ac:dyDescent="0.35">
      <c r="B2588" s="40">
        <v>36894</v>
      </c>
      <c r="C2588" s="39">
        <v>6434.96</v>
      </c>
      <c r="D2588" s="219">
        <f t="shared" si="262"/>
        <v>2.2813171571821542E-2</v>
      </c>
      <c r="F2588" s="40">
        <v>36894</v>
      </c>
      <c r="G2588" s="39">
        <v>6434.96</v>
      </c>
      <c r="H2588" s="39">
        <f t="shared" si="257"/>
        <v>3</v>
      </c>
      <c r="I2588" s="39">
        <f t="shared" si="258"/>
        <v>0</v>
      </c>
      <c r="K2588" s="40"/>
      <c r="Q2588" s="40">
        <v>36894</v>
      </c>
      <c r="R2588" s="39">
        <v>6434.96</v>
      </c>
      <c r="S2588" s="39">
        <f t="shared" si="259"/>
        <v>1</v>
      </c>
      <c r="T2588" s="39">
        <f t="shared" si="260"/>
        <v>0</v>
      </c>
      <c r="U2588" s="39">
        <f t="shared" si="261"/>
        <v>0</v>
      </c>
      <c r="V2588" s="40"/>
    </row>
    <row r="2589" spans="2:22" x14ac:dyDescent="0.35">
      <c r="B2589" s="40">
        <v>36895</v>
      </c>
      <c r="C2589" s="39">
        <v>6376.54</v>
      </c>
      <c r="D2589" s="219">
        <f t="shared" si="262"/>
        <v>-9.1199945236165592E-3</v>
      </c>
      <c r="F2589" s="40">
        <v>36895</v>
      </c>
      <c r="G2589" s="39">
        <v>6376.54</v>
      </c>
      <c r="H2589" s="39">
        <f t="shared" si="257"/>
        <v>4</v>
      </c>
      <c r="I2589" s="39">
        <f t="shared" si="258"/>
        <v>0</v>
      </c>
      <c r="K2589" s="40"/>
      <c r="Q2589" s="40">
        <v>36895</v>
      </c>
      <c r="R2589" s="39">
        <v>6376.54</v>
      </c>
      <c r="S2589" s="39">
        <f t="shared" si="259"/>
        <v>1</v>
      </c>
      <c r="T2589" s="39">
        <f t="shared" si="260"/>
        <v>0</v>
      </c>
      <c r="U2589" s="39">
        <f t="shared" si="261"/>
        <v>0</v>
      </c>
      <c r="V2589" s="40"/>
    </row>
    <row r="2590" spans="2:22" x14ac:dyDescent="0.35">
      <c r="B2590" s="40">
        <v>36896</v>
      </c>
      <c r="C2590" s="39">
        <v>6382.31</v>
      </c>
      <c r="D2590" s="219">
        <f t="shared" si="262"/>
        <v>9.0447029212737599E-4</v>
      </c>
      <c r="F2590" s="40">
        <v>36896</v>
      </c>
      <c r="G2590" s="39">
        <v>6382.31</v>
      </c>
      <c r="H2590" s="39">
        <f t="shared" si="257"/>
        <v>5</v>
      </c>
      <c r="I2590" s="39">
        <f t="shared" si="258"/>
        <v>6382.31</v>
      </c>
      <c r="K2590" s="40"/>
      <c r="Q2590" s="40">
        <v>36896</v>
      </c>
      <c r="R2590" s="39">
        <v>6382.31</v>
      </c>
      <c r="S2590" s="39">
        <f t="shared" si="259"/>
        <v>1</v>
      </c>
      <c r="T2590" s="39">
        <f t="shared" si="260"/>
        <v>0</v>
      </c>
      <c r="U2590" s="39">
        <f t="shared" si="261"/>
        <v>0</v>
      </c>
      <c r="V2590" s="40"/>
    </row>
    <row r="2591" spans="2:22" x14ac:dyDescent="0.35">
      <c r="B2591" s="40">
        <v>36899</v>
      </c>
      <c r="C2591" s="39">
        <v>6392.17</v>
      </c>
      <c r="D2591" s="219">
        <f t="shared" si="262"/>
        <v>1.5437030639286057E-3</v>
      </c>
      <c r="F2591" s="40">
        <v>36899</v>
      </c>
      <c r="G2591" s="39">
        <v>6392.17</v>
      </c>
      <c r="H2591" s="39">
        <f t="shared" si="257"/>
        <v>1</v>
      </c>
      <c r="I2591" s="39">
        <f t="shared" si="258"/>
        <v>0</v>
      </c>
      <c r="K2591" s="40"/>
      <c r="Q2591" s="40">
        <v>36899</v>
      </c>
      <c r="R2591" s="39">
        <v>6392.17</v>
      </c>
      <c r="S2591" s="39">
        <f t="shared" si="259"/>
        <v>1</v>
      </c>
      <c r="T2591" s="39">
        <f t="shared" si="260"/>
        <v>0</v>
      </c>
      <c r="U2591" s="39">
        <f t="shared" si="261"/>
        <v>0</v>
      </c>
      <c r="V2591" s="40"/>
    </row>
    <row r="2592" spans="2:22" x14ac:dyDescent="0.35">
      <c r="B2592" s="40">
        <v>36900</v>
      </c>
      <c r="C2592" s="39">
        <v>6404.52</v>
      </c>
      <c r="D2592" s="219">
        <f t="shared" si="262"/>
        <v>1.9301872334622084E-3</v>
      </c>
      <c r="F2592" s="40">
        <v>36900</v>
      </c>
      <c r="G2592" s="39">
        <v>6404.52</v>
      </c>
      <c r="H2592" s="39">
        <f t="shared" si="257"/>
        <v>2</v>
      </c>
      <c r="I2592" s="39">
        <f t="shared" si="258"/>
        <v>0</v>
      </c>
      <c r="K2592" s="40"/>
      <c r="Q2592" s="40">
        <v>36900</v>
      </c>
      <c r="R2592" s="39">
        <v>6404.52</v>
      </c>
      <c r="S2592" s="39">
        <f t="shared" si="259"/>
        <v>1</v>
      </c>
      <c r="T2592" s="39">
        <f t="shared" si="260"/>
        <v>0</v>
      </c>
      <c r="U2592" s="39">
        <f t="shared" si="261"/>
        <v>0</v>
      </c>
      <c r="V2592" s="40"/>
    </row>
    <row r="2593" spans="2:22" x14ac:dyDescent="0.35">
      <c r="B2593" s="40">
        <v>36901</v>
      </c>
      <c r="C2593" s="39">
        <v>6320.07</v>
      </c>
      <c r="D2593" s="219">
        <f t="shared" si="262"/>
        <v>-1.3273707041660868E-2</v>
      </c>
      <c r="F2593" s="40">
        <v>36901</v>
      </c>
      <c r="G2593" s="39">
        <v>6320.07</v>
      </c>
      <c r="H2593" s="39">
        <f t="shared" si="257"/>
        <v>3</v>
      </c>
      <c r="I2593" s="39">
        <f t="shared" si="258"/>
        <v>0</v>
      </c>
      <c r="K2593" s="40"/>
      <c r="Q2593" s="40">
        <v>36901</v>
      </c>
      <c r="R2593" s="39">
        <v>6320.07</v>
      </c>
      <c r="S2593" s="39">
        <f t="shared" si="259"/>
        <v>1</v>
      </c>
      <c r="T2593" s="39">
        <f t="shared" si="260"/>
        <v>0</v>
      </c>
      <c r="U2593" s="39">
        <f t="shared" si="261"/>
        <v>0</v>
      </c>
      <c r="V2593" s="40"/>
    </row>
    <row r="2594" spans="2:22" x14ac:dyDescent="0.35">
      <c r="B2594" s="40">
        <v>36902</v>
      </c>
      <c r="C2594" s="39">
        <v>6465.21</v>
      </c>
      <c r="D2594" s="219">
        <f t="shared" si="262"/>
        <v>2.270521024808532E-2</v>
      </c>
      <c r="F2594" s="40">
        <v>36902</v>
      </c>
      <c r="G2594" s="39">
        <v>6465.21</v>
      </c>
      <c r="H2594" s="39">
        <f t="shared" si="257"/>
        <v>4</v>
      </c>
      <c r="I2594" s="39">
        <f t="shared" si="258"/>
        <v>0</v>
      </c>
      <c r="K2594" s="40"/>
      <c r="Q2594" s="40">
        <v>36902</v>
      </c>
      <c r="R2594" s="39">
        <v>6465.21</v>
      </c>
      <c r="S2594" s="39">
        <f t="shared" si="259"/>
        <v>1</v>
      </c>
      <c r="T2594" s="39">
        <f t="shared" si="260"/>
        <v>0</v>
      </c>
      <c r="U2594" s="39">
        <f t="shared" si="261"/>
        <v>0</v>
      </c>
      <c r="V2594" s="40"/>
    </row>
    <row r="2595" spans="2:22" x14ac:dyDescent="0.35">
      <c r="B2595" s="40">
        <v>36903</v>
      </c>
      <c r="C2595" s="39">
        <v>6490.03</v>
      </c>
      <c r="D2595" s="219">
        <f t="shared" si="262"/>
        <v>3.8316589065823187E-3</v>
      </c>
      <c r="F2595" s="40">
        <v>36903</v>
      </c>
      <c r="G2595" s="39">
        <v>6490.03</v>
      </c>
      <c r="H2595" s="39">
        <f t="shared" si="257"/>
        <v>5</v>
      </c>
      <c r="I2595" s="39">
        <f t="shared" si="258"/>
        <v>6490.03</v>
      </c>
      <c r="K2595" s="40"/>
      <c r="Q2595" s="40">
        <v>36903</v>
      </c>
      <c r="R2595" s="39">
        <v>6490.03</v>
      </c>
      <c r="S2595" s="39">
        <f t="shared" si="259"/>
        <v>1</v>
      </c>
      <c r="T2595" s="39">
        <f t="shared" si="260"/>
        <v>0</v>
      </c>
      <c r="U2595" s="39">
        <f t="shared" si="261"/>
        <v>0</v>
      </c>
      <c r="V2595" s="40"/>
    </row>
    <row r="2596" spans="2:22" x14ac:dyDescent="0.35">
      <c r="B2596" s="40">
        <v>36906</v>
      </c>
      <c r="C2596" s="39">
        <v>6522.87</v>
      </c>
      <c r="D2596" s="219">
        <f t="shared" si="262"/>
        <v>5.0473099336009698E-3</v>
      </c>
      <c r="F2596" s="40">
        <v>36906</v>
      </c>
      <c r="G2596" s="39">
        <v>6522.87</v>
      </c>
      <c r="H2596" s="39">
        <f t="shared" si="257"/>
        <v>1</v>
      </c>
      <c r="I2596" s="39">
        <f t="shared" si="258"/>
        <v>0</v>
      </c>
      <c r="K2596" s="40"/>
      <c r="Q2596" s="40">
        <v>36906</v>
      </c>
      <c r="R2596" s="39">
        <v>6522.87</v>
      </c>
      <c r="S2596" s="39">
        <f t="shared" si="259"/>
        <v>1</v>
      </c>
      <c r="T2596" s="39">
        <f t="shared" si="260"/>
        <v>0</v>
      </c>
      <c r="U2596" s="39">
        <f t="shared" si="261"/>
        <v>0</v>
      </c>
      <c r="V2596" s="40"/>
    </row>
    <row r="2597" spans="2:22" x14ac:dyDescent="0.35">
      <c r="B2597" s="40">
        <v>36907</v>
      </c>
      <c r="C2597" s="39">
        <v>6502.89</v>
      </c>
      <c r="D2597" s="219">
        <f t="shared" si="262"/>
        <v>-3.0677696609891802E-3</v>
      </c>
      <c r="F2597" s="40">
        <v>36907</v>
      </c>
      <c r="G2597" s="39">
        <v>6502.89</v>
      </c>
      <c r="H2597" s="39">
        <f t="shared" si="257"/>
        <v>2</v>
      </c>
      <c r="I2597" s="39">
        <f t="shared" si="258"/>
        <v>0</v>
      </c>
      <c r="K2597" s="40"/>
      <c r="Q2597" s="40">
        <v>36907</v>
      </c>
      <c r="R2597" s="39">
        <v>6502.89</v>
      </c>
      <c r="S2597" s="39">
        <f t="shared" si="259"/>
        <v>1</v>
      </c>
      <c r="T2597" s="39">
        <f t="shared" si="260"/>
        <v>0</v>
      </c>
      <c r="U2597" s="39">
        <f t="shared" si="261"/>
        <v>0</v>
      </c>
      <c r="V2597" s="40"/>
    </row>
    <row r="2598" spans="2:22" x14ac:dyDescent="0.35">
      <c r="B2598" s="40">
        <v>36908</v>
      </c>
      <c r="C2598" s="39">
        <v>6653.38</v>
      </c>
      <c r="D2598" s="219">
        <f t="shared" si="262"/>
        <v>2.2878302744591617E-2</v>
      </c>
      <c r="F2598" s="40">
        <v>36908</v>
      </c>
      <c r="G2598" s="39">
        <v>6653.38</v>
      </c>
      <c r="H2598" s="39">
        <f t="shared" si="257"/>
        <v>3</v>
      </c>
      <c r="I2598" s="39">
        <f t="shared" si="258"/>
        <v>0</v>
      </c>
      <c r="K2598" s="40"/>
      <c r="Q2598" s="40">
        <v>36908</v>
      </c>
      <c r="R2598" s="39">
        <v>6653.38</v>
      </c>
      <c r="S2598" s="39">
        <f t="shared" si="259"/>
        <v>1</v>
      </c>
      <c r="T2598" s="39">
        <f t="shared" si="260"/>
        <v>0</v>
      </c>
      <c r="U2598" s="39">
        <f t="shared" si="261"/>
        <v>0</v>
      </c>
      <c r="V2598" s="40"/>
    </row>
    <row r="2599" spans="2:22" x14ac:dyDescent="0.35">
      <c r="B2599" s="40">
        <v>36909</v>
      </c>
      <c r="C2599" s="39">
        <v>6635.76</v>
      </c>
      <c r="D2599" s="219">
        <f t="shared" si="262"/>
        <v>-2.6517909097671824E-3</v>
      </c>
      <c r="F2599" s="40">
        <v>36909</v>
      </c>
      <c r="G2599" s="39">
        <v>6635.76</v>
      </c>
      <c r="H2599" s="39">
        <f t="shared" si="257"/>
        <v>4</v>
      </c>
      <c r="I2599" s="39">
        <f t="shared" si="258"/>
        <v>0</v>
      </c>
      <c r="K2599" s="40"/>
      <c r="Q2599" s="40">
        <v>36909</v>
      </c>
      <c r="R2599" s="39">
        <v>6635.76</v>
      </c>
      <c r="S2599" s="39">
        <f t="shared" si="259"/>
        <v>1</v>
      </c>
      <c r="T2599" s="39">
        <f t="shared" si="260"/>
        <v>0</v>
      </c>
      <c r="U2599" s="39">
        <f t="shared" si="261"/>
        <v>0</v>
      </c>
      <c r="V2599" s="40"/>
    </row>
    <row r="2600" spans="2:22" x14ac:dyDescent="0.35">
      <c r="B2600" s="40">
        <v>36910</v>
      </c>
      <c r="C2600" s="39">
        <v>6651.53</v>
      </c>
      <c r="D2600" s="219">
        <f t="shared" si="262"/>
        <v>2.3736980835963937E-3</v>
      </c>
      <c r="F2600" s="40">
        <v>36910</v>
      </c>
      <c r="G2600" s="39">
        <v>6651.53</v>
      </c>
      <c r="H2600" s="39">
        <f t="shared" si="257"/>
        <v>5</v>
      </c>
      <c r="I2600" s="39">
        <f t="shared" si="258"/>
        <v>6651.53</v>
      </c>
      <c r="K2600" s="40"/>
      <c r="Q2600" s="40">
        <v>36910</v>
      </c>
      <c r="R2600" s="39">
        <v>6651.53</v>
      </c>
      <c r="S2600" s="39">
        <f t="shared" si="259"/>
        <v>1</v>
      </c>
      <c r="T2600" s="39">
        <f t="shared" si="260"/>
        <v>0</v>
      </c>
      <c r="U2600" s="39">
        <f t="shared" si="261"/>
        <v>0</v>
      </c>
      <c r="V2600" s="40"/>
    </row>
    <row r="2601" spans="2:22" x14ac:dyDescent="0.35">
      <c r="B2601" s="40">
        <v>36913</v>
      </c>
      <c r="C2601" s="39">
        <v>6675</v>
      </c>
      <c r="D2601" s="219">
        <f t="shared" si="262"/>
        <v>3.5223008938176105E-3</v>
      </c>
      <c r="F2601" s="40">
        <v>36913</v>
      </c>
      <c r="G2601" s="39">
        <v>6675</v>
      </c>
      <c r="H2601" s="39">
        <f t="shared" si="257"/>
        <v>1</v>
      </c>
      <c r="I2601" s="39">
        <f t="shared" si="258"/>
        <v>0</v>
      </c>
      <c r="K2601" s="40"/>
      <c r="Q2601" s="40">
        <v>36913</v>
      </c>
      <c r="R2601" s="39">
        <v>6675</v>
      </c>
      <c r="S2601" s="39">
        <f t="shared" si="259"/>
        <v>1</v>
      </c>
      <c r="T2601" s="39">
        <f t="shared" si="260"/>
        <v>0</v>
      </c>
      <c r="U2601" s="39">
        <f t="shared" si="261"/>
        <v>0</v>
      </c>
      <c r="V2601" s="40"/>
    </row>
    <row r="2602" spans="2:22" x14ac:dyDescent="0.35">
      <c r="B2602" s="40">
        <v>36914</v>
      </c>
      <c r="C2602" s="39">
        <v>6722.41</v>
      </c>
      <c r="D2602" s="219">
        <f t="shared" si="262"/>
        <v>7.0775169084170472E-3</v>
      </c>
      <c r="F2602" s="40">
        <v>36914</v>
      </c>
      <c r="G2602" s="39">
        <v>6722.41</v>
      </c>
      <c r="H2602" s="39">
        <f t="shared" si="257"/>
        <v>2</v>
      </c>
      <c r="I2602" s="39">
        <f t="shared" si="258"/>
        <v>0</v>
      </c>
      <c r="K2602" s="40"/>
      <c r="Q2602" s="40">
        <v>36914</v>
      </c>
      <c r="R2602" s="39">
        <v>6722.41</v>
      </c>
      <c r="S2602" s="39">
        <f t="shared" si="259"/>
        <v>1</v>
      </c>
      <c r="T2602" s="39">
        <f t="shared" si="260"/>
        <v>0</v>
      </c>
      <c r="U2602" s="39">
        <f t="shared" si="261"/>
        <v>0</v>
      </c>
      <c r="V2602" s="40"/>
    </row>
    <row r="2603" spans="2:22" x14ac:dyDescent="0.35">
      <c r="B2603" s="40">
        <v>36915</v>
      </c>
      <c r="C2603" s="39">
        <v>6706.67</v>
      </c>
      <c r="D2603" s="219">
        <f t="shared" si="262"/>
        <v>-2.3441676135322557E-3</v>
      </c>
      <c r="F2603" s="40">
        <v>36915</v>
      </c>
      <c r="G2603" s="39">
        <v>6706.67</v>
      </c>
      <c r="H2603" s="39">
        <f t="shared" si="257"/>
        <v>3</v>
      </c>
      <c r="I2603" s="39">
        <f t="shared" si="258"/>
        <v>0</v>
      </c>
      <c r="K2603" s="40"/>
      <c r="Q2603" s="40">
        <v>36915</v>
      </c>
      <c r="R2603" s="39">
        <v>6706.67</v>
      </c>
      <c r="S2603" s="39">
        <f t="shared" si="259"/>
        <v>1</v>
      </c>
      <c r="T2603" s="39">
        <f t="shared" si="260"/>
        <v>0</v>
      </c>
      <c r="U2603" s="39">
        <f t="shared" si="261"/>
        <v>0</v>
      </c>
      <c r="V2603" s="40"/>
    </row>
    <row r="2604" spans="2:22" x14ac:dyDescent="0.35">
      <c r="B2604" s="40">
        <v>36916</v>
      </c>
      <c r="C2604" s="39">
        <v>6727.49</v>
      </c>
      <c r="D2604" s="219">
        <f t="shared" si="262"/>
        <v>3.099563600352153E-3</v>
      </c>
      <c r="F2604" s="40">
        <v>36916</v>
      </c>
      <c r="G2604" s="39">
        <v>6727.49</v>
      </c>
      <c r="H2604" s="39">
        <f t="shared" si="257"/>
        <v>4</v>
      </c>
      <c r="I2604" s="39">
        <f t="shared" si="258"/>
        <v>0</v>
      </c>
      <c r="K2604" s="40"/>
      <c r="Q2604" s="40">
        <v>36916</v>
      </c>
      <c r="R2604" s="39">
        <v>6727.49</v>
      </c>
      <c r="S2604" s="39">
        <f t="shared" si="259"/>
        <v>1</v>
      </c>
      <c r="T2604" s="39">
        <f t="shared" si="260"/>
        <v>0</v>
      </c>
      <c r="U2604" s="39">
        <f t="shared" si="261"/>
        <v>0</v>
      </c>
      <c r="V2604" s="40"/>
    </row>
    <row r="2605" spans="2:22" x14ac:dyDescent="0.35">
      <c r="B2605" s="40">
        <v>36917</v>
      </c>
      <c r="C2605" s="39">
        <v>6695.2</v>
      </c>
      <c r="D2605" s="219">
        <f t="shared" si="262"/>
        <v>-4.8112654450228063E-3</v>
      </c>
      <c r="F2605" s="40">
        <v>36917</v>
      </c>
      <c r="G2605" s="39">
        <v>6695.2</v>
      </c>
      <c r="H2605" s="39">
        <f t="shared" si="257"/>
        <v>5</v>
      </c>
      <c r="I2605" s="39">
        <f t="shared" si="258"/>
        <v>6695.2</v>
      </c>
      <c r="K2605" s="40"/>
      <c r="Q2605" s="40">
        <v>36917</v>
      </c>
      <c r="R2605" s="39">
        <v>6695.2</v>
      </c>
      <c r="S2605" s="39">
        <f t="shared" si="259"/>
        <v>1</v>
      </c>
      <c r="T2605" s="39">
        <f t="shared" si="260"/>
        <v>0</v>
      </c>
      <c r="U2605" s="39">
        <f t="shared" si="261"/>
        <v>0</v>
      </c>
      <c r="V2605" s="40"/>
    </row>
    <row r="2606" spans="2:22" x14ac:dyDescent="0.35">
      <c r="B2606" s="40">
        <v>36920</v>
      </c>
      <c r="C2606" s="39">
        <v>6750.96</v>
      </c>
      <c r="D2606" s="219">
        <f t="shared" si="262"/>
        <v>8.2938652575120977E-3</v>
      </c>
      <c r="F2606" s="40">
        <v>36920</v>
      </c>
      <c r="G2606" s="39">
        <v>6750.96</v>
      </c>
      <c r="H2606" s="39">
        <f t="shared" si="257"/>
        <v>1</v>
      </c>
      <c r="I2606" s="39">
        <f t="shared" si="258"/>
        <v>0</v>
      </c>
      <c r="K2606" s="40"/>
      <c r="Q2606" s="40">
        <v>36920</v>
      </c>
      <c r="R2606" s="39">
        <v>6750.96</v>
      </c>
      <c r="S2606" s="39">
        <f t="shared" si="259"/>
        <v>1</v>
      </c>
      <c r="T2606" s="39">
        <f t="shared" si="260"/>
        <v>0</v>
      </c>
      <c r="U2606" s="39">
        <f t="shared" si="261"/>
        <v>0</v>
      </c>
      <c r="V2606" s="40"/>
    </row>
    <row r="2607" spans="2:22" x14ac:dyDescent="0.35">
      <c r="B2607" s="40">
        <v>36921</v>
      </c>
      <c r="C2607" s="39">
        <v>6739.3</v>
      </c>
      <c r="D2607" s="219">
        <f t="shared" si="262"/>
        <v>-1.7286550301596677E-3</v>
      </c>
      <c r="F2607" s="40">
        <v>36921</v>
      </c>
      <c r="G2607" s="39">
        <v>6739.3</v>
      </c>
      <c r="H2607" s="39">
        <f t="shared" si="257"/>
        <v>2</v>
      </c>
      <c r="I2607" s="39">
        <f t="shared" si="258"/>
        <v>0</v>
      </c>
      <c r="K2607" s="40"/>
      <c r="Q2607" s="40">
        <v>36921</v>
      </c>
      <c r="R2607" s="39">
        <v>6739.3</v>
      </c>
      <c r="S2607" s="39">
        <f t="shared" si="259"/>
        <v>1</v>
      </c>
      <c r="T2607" s="39">
        <f t="shared" si="260"/>
        <v>0</v>
      </c>
      <c r="U2607" s="39">
        <f t="shared" si="261"/>
        <v>0</v>
      </c>
      <c r="V2607" s="40"/>
    </row>
    <row r="2608" spans="2:22" x14ac:dyDescent="0.35">
      <c r="B2608" s="40">
        <v>36922</v>
      </c>
      <c r="C2608" s="39">
        <v>6795.14</v>
      </c>
      <c r="D2608" s="219">
        <f t="shared" si="262"/>
        <v>8.2515888118223791E-3</v>
      </c>
      <c r="F2608" s="40">
        <v>36922</v>
      </c>
      <c r="G2608" s="39">
        <v>6795.14</v>
      </c>
      <c r="H2608" s="39">
        <f t="shared" si="257"/>
        <v>3</v>
      </c>
      <c r="I2608" s="39">
        <f t="shared" si="258"/>
        <v>0</v>
      </c>
      <c r="K2608" s="40"/>
      <c r="Q2608" s="40">
        <v>36922</v>
      </c>
      <c r="R2608" s="39">
        <v>6795.14</v>
      </c>
      <c r="S2608" s="39">
        <f t="shared" si="259"/>
        <v>1</v>
      </c>
      <c r="T2608" s="39">
        <f t="shared" si="260"/>
        <v>6795.14</v>
      </c>
      <c r="U2608" s="39">
        <f t="shared" si="261"/>
        <v>6795.14</v>
      </c>
      <c r="V2608" s="40"/>
    </row>
    <row r="2609" spans="2:22" x14ac:dyDescent="0.35">
      <c r="B2609" s="40">
        <v>36923</v>
      </c>
      <c r="C2609" s="39">
        <v>6704.68</v>
      </c>
      <c r="D2609" s="219">
        <f t="shared" si="262"/>
        <v>-1.3401860758888719E-2</v>
      </c>
      <c r="F2609" s="40">
        <v>36923</v>
      </c>
      <c r="G2609" s="39">
        <v>6704.68</v>
      </c>
      <c r="H2609" s="39">
        <f t="shared" si="257"/>
        <v>4</v>
      </c>
      <c r="I2609" s="39">
        <f t="shared" si="258"/>
        <v>0</v>
      </c>
      <c r="K2609" s="40"/>
      <c r="Q2609" s="40">
        <v>36923</v>
      </c>
      <c r="R2609" s="39">
        <v>6704.68</v>
      </c>
      <c r="S2609" s="39">
        <f t="shared" si="259"/>
        <v>2</v>
      </c>
      <c r="T2609" s="39">
        <f t="shared" si="260"/>
        <v>0</v>
      </c>
      <c r="U2609" s="39">
        <f t="shared" si="261"/>
        <v>0</v>
      </c>
      <c r="V2609" s="40"/>
    </row>
    <row r="2610" spans="2:22" x14ac:dyDescent="0.35">
      <c r="B2610" s="40">
        <v>36924</v>
      </c>
      <c r="C2610" s="39">
        <v>6638.2</v>
      </c>
      <c r="D2610" s="219">
        <f t="shared" si="262"/>
        <v>-9.9649476158209516E-3</v>
      </c>
      <c r="F2610" s="40">
        <v>36924</v>
      </c>
      <c r="G2610" s="39">
        <v>6638.2</v>
      </c>
      <c r="H2610" s="39">
        <f t="shared" si="257"/>
        <v>5</v>
      </c>
      <c r="I2610" s="39">
        <f t="shared" si="258"/>
        <v>6638.2</v>
      </c>
      <c r="K2610" s="40"/>
      <c r="Q2610" s="40">
        <v>36924</v>
      </c>
      <c r="R2610" s="39">
        <v>6638.2</v>
      </c>
      <c r="S2610" s="39">
        <f t="shared" si="259"/>
        <v>2</v>
      </c>
      <c r="T2610" s="39">
        <f t="shared" si="260"/>
        <v>0</v>
      </c>
      <c r="U2610" s="39">
        <f t="shared" si="261"/>
        <v>0</v>
      </c>
      <c r="V2610" s="40"/>
    </row>
    <row r="2611" spans="2:22" x14ac:dyDescent="0.35">
      <c r="B2611" s="40">
        <v>36927</v>
      </c>
      <c r="C2611" s="39">
        <v>6628.07</v>
      </c>
      <c r="D2611" s="219">
        <f t="shared" si="262"/>
        <v>-1.5271816371649394E-3</v>
      </c>
      <c r="F2611" s="40">
        <v>36927</v>
      </c>
      <c r="G2611" s="39">
        <v>6628.07</v>
      </c>
      <c r="H2611" s="39">
        <f t="shared" si="257"/>
        <v>1</v>
      </c>
      <c r="I2611" s="39">
        <f t="shared" si="258"/>
        <v>0</v>
      </c>
      <c r="K2611" s="40"/>
      <c r="Q2611" s="40">
        <v>36927</v>
      </c>
      <c r="R2611" s="39">
        <v>6628.07</v>
      </c>
      <c r="S2611" s="39">
        <f t="shared" si="259"/>
        <v>2</v>
      </c>
      <c r="T2611" s="39">
        <f t="shared" si="260"/>
        <v>0</v>
      </c>
      <c r="U2611" s="39">
        <f t="shared" si="261"/>
        <v>0</v>
      </c>
      <c r="V2611" s="40"/>
    </row>
    <row r="2612" spans="2:22" x14ac:dyDescent="0.35">
      <c r="B2612" s="40">
        <v>36928</v>
      </c>
      <c r="C2612" s="39">
        <v>6693.03</v>
      </c>
      <c r="D2612" s="219">
        <f t="shared" si="262"/>
        <v>9.7530256395672969E-3</v>
      </c>
      <c r="F2612" s="40">
        <v>36928</v>
      </c>
      <c r="G2612" s="39">
        <v>6693.03</v>
      </c>
      <c r="H2612" s="39">
        <f t="shared" si="257"/>
        <v>2</v>
      </c>
      <c r="I2612" s="39">
        <f t="shared" si="258"/>
        <v>0</v>
      </c>
      <c r="K2612" s="40"/>
      <c r="Q2612" s="40">
        <v>36928</v>
      </c>
      <c r="R2612" s="39">
        <v>6693.03</v>
      </c>
      <c r="S2612" s="39">
        <f t="shared" si="259"/>
        <v>2</v>
      </c>
      <c r="T2612" s="39">
        <f t="shared" si="260"/>
        <v>0</v>
      </c>
      <c r="U2612" s="39">
        <f t="shared" si="261"/>
        <v>0</v>
      </c>
      <c r="V2612" s="40"/>
    </row>
    <row r="2613" spans="2:22" x14ac:dyDescent="0.35">
      <c r="B2613" s="40">
        <v>36929</v>
      </c>
      <c r="C2613" s="39">
        <v>6578.96</v>
      </c>
      <c r="D2613" s="219">
        <f t="shared" si="262"/>
        <v>-1.7190008269377183E-2</v>
      </c>
      <c r="F2613" s="40">
        <v>36929</v>
      </c>
      <c r="G2613" s="39">
        <v>6578.96</v>
      </c>
      <c r="H2613" s="39">
        <f t="shared" si="257"/>
        <v>3</v>
      </c>
      <c r="I2613" s="39">
        <f t="shared" si="258"/>
        <v>0</v>
      </c>
      <c r="K2613" s="40"/>
      <c r="Q2613" s="40">
        <v>36929</v>
      </c>
      <c r="R2613" s="39">
        <v>6578.96</v>
      </c>
      <c r="S2613" s="39">
        <f t="shared" si="259"/>
        <v>2</v>
      </c>
      <c r="T2613" s="39">
        <f t="shared" si="260"/>
        <v>0</v>
      </c>
      <c r="U2613" s="39">
        <f t="shared" si="261"/>
        <v>0</v>
      </c>
      <c r="V2613" s="40"/>
    </row>
    <row r="2614" spans="2:22" x14ac:dyDescent="0.35">
      <c r="B2614" s="40">
        <v>36930</v>
      </c>
      <c r="C2614" s="39">
        <v>6636.81</v>
      </c>
      <c r="D2614" s="219">
        <f t="shared" si="262"/>
        <v>8.7547482281049339E-3</v>
      </c>
      <c r="F2614" s="40">
        <v>36930</v>
      </c>
      <c r="G2614" s="39">
        <v>6636.81</v>
      </c>
      <c r="H2614" s="39">
        <f t="shared" si="257"/>
        <v>4</v>
      </c>
      <c r="I2614" s="39">
        <f t="shared" si="258"/>
        <v>0</v>
      </c>
      <c r="K2614" s="40"/>
      <c r="Q2614" s="40">
        <v>36930</v>
      </c>
      <c r="R2614" s="39">
        <v>6636.81</v>
      </c>
      <c r="S2614" s="39">
        <f t="shared" si="259"/>
        <v>2</v>
      </c>
      <c r="T2614" s="39">
        <f t="shared" si="260"/>
        <v>0</v>
      </c>
      <c r="U2614" s="39">
        <f t="shared" si="261"/>
        <v>0</v>
      </c>
      <c r="V2614" s="40"/>
    </row>
    <row r="2615" spans="2:22" x14ac:dyDescent="0.35">
      <c r="B2615" s="40">
        <v>36931</v>
      </c>
      <c r="C2615" s="39">
        <v>6497.07</v>
      </c>
      <c r="D2615" s="219">
        <f t="shared" si="262"/>
        <v>-2.1280120318291323E-2</v>
      </c>
      <c r="F2615" s="40">
        <v>36931</v>
      </c>
      <c r="G2615" s="39">
        <v>6497.07</v>
      </c>
      <c r="H2615" s="39">
        <f t="shared" ref="H2615:H2678" si="263">WEEKDAY(F2615,2)</f>
        <v>5</v>
      </c>
      <c r="I2615" s="39">
        <f t="shared" ref="I2615:I2678" si="264">IF(H2615&gt;H2616,G2615,0)</f>
        <v>6497.07</v>
      </c>
      <c r="K2615" s="40"/>
      <c r="Q2615" s="40">
        <v>36931</v>
      </c>
      <c r="R2615" s="39">
        <v>6497.07</v>
      </c>
      <c r="S2615" s="39">
        <f t="shared" ref="S2615:S2678" si="265">MONTH(Q2615)</f>
        <v>2</v>
      </c>
      <c r="T2615" s="39">
        <f t="shared" ref="T2615:T2678" si="266">IF(S2616&lt;&gt;S2615,R2615,0)</f>
        <v>0</v>
      </c>
      <c r="U2615" s="39">
        <f t="shared" ref="U2615:U2678" si="267">IF(S2616=S2615,0,R2615)</f>
        <v>0</v>
      </c>
      <c r="V2615" s="40"/>
    </row>
    <row r="2616" spans="2:22" x14ac:dyDescent="0.35">
      <c r="B2616" s="40">
        <v>36934</v>
      </c>
      <c r="C2616" s="39">
        <v>6564.91</v>
      </c>
      <c r="D2616" s="219">
        <f t="shared" ref="D2616:D2679" si="268">LN(C2616/C2615)</f>
        <v>1.0387492553744264E-2</v>
      </c>
      <c r="F2616" s="40">
        <v>36934</v>
      </c>
      <c r="G2616" s="39">
        <v>6564.91</v>
      </c>
      <c r="H2616" s="39">
        <f t="shared" si="263"/>
        <v>1</v>
      </c>
      <c r="I2616" s="39">
        <f t="shared" si="264"/>
        <v>0</v>
      </c>
      <c r="K2616" s="40"/>
      <c r="Q2616" s="40">
        <v>36934</v>
      </c>
      <c r="R2616" s="39">
        <v>6564.91</v>
      </c>
      <c r="S2616" s="39">
        <f t="shared" si="265"/>
        <v>2</v>
      </c>
      <c r="T2616" s="39">
        <f t="shared" si="266"/>
        <v>0</v>
      </c>
      <c r="U2616" s="39">
        <f t="shared" si="267"/>
        <v>0</v>
      </c>
      <c r="V2616" s="40"/>
    </row>
    <row r="2617" spans="2:22" x14ac:dyDescent="0.35">
      <c r="B2617" s="40">
        <v>36935</v>
      </c>
      <c r="C2617" s="39">
        <v>6557.93</v>
      </c>
      <c r="D2617" s="219">
        <f t="shared" si="268"/>
        <v>-1.0637942180576081E-3</v>
      </c>
      <c r="F2617" s="40">
        <v>36935</v>
      </c>
      <c r="G2617" s="39">
        <v>6557.93</v>
      </c>
      <c r="H2617" s="39">
        <f t="shared" si="263"/>
        <v>2</v>
      </c>
      <c r="I2617" s="39">
        <f t="shared" si="264"/>
        <v>0</v>
      </c>
      <c r="K2617" s="40"/>
      <c r="Q2617" s="40">
        <v>36935</v>
      </c>
      <c r="R2617" s="39">
        <v>6557.93</v>
      </c>
      <c r="S2617" s="39">
        <f t="shared" si="265"/>
        <v>2</v>
      </c>
      <c r="T2617" s="39">
        <f t="shared" si="266"/>
        <v>0</v>
      </c>
      <c r="U2617" s="39">
        <f t="shared" si="267"/>
        <v>0</v>
      </c>
      <c r="V2617" s="40"/>
    </row>
    <row r="2618" spans="2:22" x14ac:dyDescent="0.35">
      <c r="B2618" s="40">
        <v>36936</v>
      </c>
      <c r="C2618" s="39">
        <v>6479.87</v>
      </c>
      <c r="D2618" s="219">
        <f t="shared" si="268"/>
        <v>-1.1974555944968799E-2</v>
      </c>
      <c r="F2618" s="40">
        <v>36936</v>
      </c>
      <c r="G2618" s="39">
        <v>6479.87</v>
      </c>
      <c r="H2618" s="39">
        <f t="shared" si="263"/>
        <v>3</v>
      </c>
      <c r="I2618" s="39">
        <f t="shared" si="264"/>
        <v>0</v>
      </c>
      <c r="K2618" s="40"/>
      <c r="Q2618" s="40">
        <v>36936</v>
      </c>
      <c r="R2618" s="39">
        <v>6479.87</v>
      </c>
      <c r="S2618" s="39">
        <f t="shared" si="265"/>
        <v>2</v>
      </c>
      <c r="T2618" s="39">
        <f t="shared" si="266"/>
        <v>0</v>
      </c>
      <c r="U2618" s="39">
        <f t="shared" si="267"/>
        <v>0</v>
      </c>
      <c r="V2618" s="40"/>
    </row>
    <row r="2619" spans="2:22" x14ac:dyDescent="0.35">
      <c r="B2619" s="40">
        <v>36937</v>
      </c>
      <c r="C2619" s="39">
        <v>6591.67</v>
      </c>
      <c r="D2619" s="219">
        <f t="shared" si="268"/>
        <v>1.7106282239932144E-2</v>
      </c>
      <c r="F2619" s="40">
        <v>36937</v>
      </c>
      <c r="G2619" s="39">
        <v>6591.67</v>
      </c>
      <c r="H2619" s="39">
        <f t="shared" si="263"/>
        <v>4</v>
      </c>
      <c r="I2619" s="39">
        <f t="shared" si="264"/>
        <v>0</v>
      </c>
      <c r="K2619" s="40"/>
      <c r="Q2619" s="40">
        <v>36937</v>
      </c>
      <c r="R2619" s="39">
        <v>6591.67</v>
      </c>
      <c r="S2619" s="39">
        <f t="shared" si="265"/>
        <v>2</v>
      </c>
      <c r="T2619" s="39">
        <f t="shared" si="266"/>
        <v>0</v>
      </c>
      <c r="U2619" s="39">
        <f t="shared" si="267"/>
        <v>0</v>
      </c>
      <c r="V2619" s="40"/>
    </row>
    <row r="2620" spans="2:22" x14ac:dyDescent="0.35">
      <c r="B2620" s="40">
        <v>36938</v>
      </c>
      <c r="C2620" s="39">
        <v>6439.26</v>
      </c>
      <c r="D2620" s="219">
        <f t="shared" si="268"/>
        <v>-2.3393103992812924E-2</v>
      </c>
      <c r="F2620" s="40">
        <v>36938</v>
      </c>
      <c r="G2620" s="39">
        <v>6439.26</v>
      </c>
      <c r="H2620" s="39">
        <f t="shared" si="263"/>
        <v>5</v>
      </c>
      <c r="I2620" s="39">
        <f t="shared" si="264"/>
        <v>6439.26</v>
      </c>
      <c r="K2620" s="40"/>
      <c r="Q2620" s="40">
        <v>36938</v>
      </c>
      <c r="R2620" s="39">
        <v>6439.26</v>
      </c>
      <c r="S2620" s="39">
        <f t="shared" si="265"/>
        <v>2</v>
      </c>
      <c r="T2620" s="39">
        <f t="shared" si="266"/>
        <v>0</v>
      </c>
      <c r="U2620" s="39">
        <f t="shared" si="267"/>
        <v>0</v>
      </c>
      <c r="V2620" s="40"/>
    </row>
    <row r="2621" spans="2:22" x14ac:dyDescent="0.35">
      <c r="B2621" s="40">
        <v>36941</v>
      </c>
      <c r="C2621" s="39">
        <v>6472.21</v>
      </c>
      <c r="D2621" s="219">
        <f t="shared" si="268"/>
        <v>5.1040000141220707E-3</v>
      </c>
      <c r="F2621" s="40">
        <v>36941</v>
      </c>
      <c r="G2621" s="39">
        <v>6472.21</v>
      </c>
      <c r="H2621" s="39">
        <f t="shared" si="263"/>
        <v>1</v>
      </c>
      <c r="I2621" s="39">
        <f t="shared" si="264"/>
        <v>0</v>
      </c>
      <c r="K2621" s="40"/>
      <c r="Q2621" s="40">
        <v>36941</v>
      </c>
      <c r="R2621" s="39">
        <v>6472.21</v>
      </c>
      <c r="S2621" s="39">
        <f t="shared" si="265"/>
        <v>2</v>
      </c>
      <c r="T2621" s="39">
        <f t="shared" si="266"/>
        <v>0</v>
      </c>
      <c r="U2621" s="39">
        <f t="shared" si="267"/>
        <v>0</v>
      </c>
      <c r="V2621" s="40"/>
    </row>
    <row r="2622" spans="2:22" x14ac:dyDescent="0.35">
      <c r="B2622" s="40">
        <v>36942</v>
      </c>
      <c r="C2622" s="39">
        <v>6451.57</v>
      </c>
      <c r="D2622" s="219">
        <f t="shared" si="268"/>
        <v>-3.194114655011336E-3</v>
      </c>
      <c r="F2622" s="40">
        <v>36942</v>
      </c>
      <c r="G2622" s="39">
        <v>6451.57</v>
      </c>
      <c r="H2622" s="39">
        <f t="shared" si="263"/>
        <v>2</v>
      </c>
      <c r="I2622" s="39">
        <f t="shared" si="264"/>
        <v>0</v>
      </c>
      <c r="K2622" s="40"/>
      <c r="Q2622" s="40">
        <v>36942</v>
      </c>
      <c r="R2622" s="39">
        <v>6451.57</v>
      </c>
      <c r="S2622" s="39">
        <f t="shared" si="265"/>
        <v>2</v>
      </c>
      <c r="T2622" s="39">
        <f t="shared" si="266"/>
        <v>0</v>
      </c>
      <c r="U2622" s="39">
        <f t="shared" si="267"/>
        <v>0</v>
      </c>
      <c r="V2622" s="40"/>
    </row>
    <row r="2623" spans="2:22" x14ac:dyDescent="0.35">
      <c r="B2623" s="40">
        <v>36943</v>
      </c>
      <c r="C2623" s="39">
        <v>6347.99</v>
      </c>
      <c r="D2623" s="219">
        <f t="shared" si="268"/>
        <v>-1.6185284677164069E-2</v>
      </c>
      <c r="F2623" s="40">
        <v>36943</v>
      </c>
      <c r="G2623" s="39">
        <v>6347.99</v>
      </c>
      <c r="H2623" s="39">
        <f t="shared" si="263"/>
        <v>3</v>
      </c>
      <c r="I2623" s="39">
        <f t="shared" si="264"/>
        <v>0</v>
      </c>
      <c r="K2623" s="40"/>
      <c r="Q2623" s="40">
        <v>36943</v>
      </c>
      <c r="R2623" s="39">
        <v>6347.99</v>
      </c>
      <c r="S2623" s="39">
        <f t="shared" si="265"/>
        <v>2</v>
      </c>
      <c r="T2623" s="39">
        <f t="shared" si="266"/>
        <v>0</v>
      </c>
      <c r="U2623" s="39">
        <f t="shared" si="267"/>
        <v>0</v>
      </c>
      <c r="V2623" s="40"/>
    </row>
    <row r="2624" spans="2:22" x14ac:dyDescent="0.35">
      <c r="B2624" s="40">
        <v>36944</v>
      </c>
      <c r="C2624" s="39">
        <v>6277.99</v>
      </c>
      <c r="D2624" s="219">
        <f t="shared" si="268"/>
        <v>-1.1088361809091198E-2</v>
      </c>
      <c r="F2624" s="40">
        <v>36944</v>
      </c>
      <c r="G2624" s="39">
        <v>6277.99</v>
      </c>
      <c r="H2624" s="39">
        <f t="shared" si="263"/>
        <v>4</v>
      </c>
      <c r="I2624" s="39">
        <f t="shared" si="264"/>
        <v>0</v>
      </c>
      <c r="K2624" s="40"/>
      <c r="Q2624" s="40">
        <v>36944</v>
      </c>
      <c r="R2624" s="39">
        <v>6277.99</v>
      </c>
      <c r="S2624" s="39">
        <f t="shared" si="265"/>
        <v>2</v>
      </c>
      <c r="T2624" s="39">
        <f t="shared" si="266"/>
        <v>0</v>
      </c>
      <c r="U2624" s="39">
        <f t="shared" si="267"/>
        <v>0</v>
      </c>
      <c r="V2624" s="40"/>
    </row>
    <row r="2625" spans="2:22" x14ac:dyDescent="0.35">
      <c r="B2625" s="40">
        <v>36945</v>
      </c>
      <c r="C2625" s="39">
        <v>6075.34</v>
      </c>
      <c r="D2625" s="219">
        <f t="shared" si="268"/>
        <v>-3.2811910815820744E-2</v>
      </c>
      <c r="F2625" s="40">
        <v>36945</v>
      </c>
      <c r="G2625" s="39">
        <v>6075.34</v>
      </c>
      <c r="H2625" s="39">
        <f t="shared" si="263"/>
        <v>5</v>
      </c>
      <c r="I2625" s="39">
        <f t="shared" si="264"/>
        <v>6075.34</v>
      </c>
      <c r="K2625" s="40"/>
      <c r="Q2625" s="40">
        <v>36945</v>
      </c>
      <c r="R2625" s="39">
        <v>6075.34</v>
      </c>
      <c r="S2625" s="39">
        <f t="shared" si="265"/>
        <v>2</v>
      </c>
      <c r="T2625" s="39">
        <f t="shared" si="266"/>
        <v>0</v>
      </c>
      <c r="U2625" s="39">
        <f t="shared" si="267"/>
        <v>0</v>
      </c>
      <c r="V2625" s="40"/>
    </row>
    <row r="2626" spans="2:22" x14ac:dyDescent="0.35">
      <c r="B2626" s="40">
        <v>36948</v>
      </c>
      <c r="C2626" s="39">
        <v>6189.07</v>
      </c>
      <c r="D2626" s="219">
        <f t="shared" si="268"/>
        <v>1.8546878343960103E-2</v>
      </c>
      <c r="F2626" s="40">
        <v>36948</v>
      </c>
      <c r="G2626" s="39">
        <v>6189.07</v>
      </c>
      <c r="H2626" s="39">
        <f t="shared" si="263"/>
        <v>1</v>
      </c>
      <c r="I2626" s="39">
        <f t="shared" si="264"/>
        <v>0</v>
      </c>
      <c r="K2626" s="40"/>
      <c r="Q2626" s="40">
        <v>36948</v>
      </c>
      <c r="R2626" s="39">
        <v>6189.07</v>
      </c>
      <c r="S2626" s="39">
        <f t="shared" si="265"/>
        <v>2</v>
      </c>
      <c r="T2626" s="39">
        <f t="shared" si="266"/>
        <v>0</v>
      </c>
      <c r="U2626" s="39">
        <f t="shared" si="267"/>
        <v>0</v>
      </c>
      <c r="V2626" s="40"/>
    </row>
    <row r="2627" spans="2:22" x14ac:dyDescent="0.35">
      <c r="B2627" s="40">
        <v>36949</v>
      </c>
      <c r="C2627" s="39">
        <v>6220.48</v>
      </c>
      <c r="D2627" s="219">
        <f t="shared" si="268"/>
        <v>5.0622411089478398E-3</v>
      </c>
      <c r="F2627" s="40">
        <v>36949</v>
      </c>
      <c r="G2627" s="39">
        <v>6220.48</v>
      </c>
      <c r="H2627" s="39">
        <f t="shared" si="263"/>
        <v>2</v>
      </c>
      <c r="I2627" s="39">
        <f t="shared" si="264"/>
        <v>0</v>
      </c>
      <c r="K2627" s="40"/>
      <c r="Q2627" s="40">
        <v>36949</v>
      </c>
      <c r="R2627" s="39">
        <v>6220.48</v>
      </c>
      <c r="S2627" s="39">
        <f t="shared" si="265"/>
        <v>2</v>
      </c>
      <c r="T2627" s="39">
        <f t="shared" si="266"/>
        <v>0</v>
      </c>
      <c r="U2627" s="39">
        <f t="shared" si="267"/>
        <v>0</v>
      </c>
      <c r="V2627" s="40"/>
    </row>
    <row r="2628" spans="2:22" x14ac:dyDescent="0.35">
      <c r="B2628" s="40">
        <v>36950</v>
      </c>
      <c r="C2628" s="39">
        <v>6208.24</v>
      </c>
      <c r="D2628" s="219">
        <f t="shared" si="268"/>
        <v>-1.9696322641494812E-3</v>
      </c>
      <c r="F2628" s="40">
        <v>36950</v>
      </c>
      <c r="G2628" s="39">
        <v>6208.24</v>
      </c>
      <c r="H2628" s="39">
        <f t="shared" si="263"/>
        <v>3</v>
      </c>
      <c r="I2628" s="39">
        <f t="shared" si="264"/>
        <v>0</v>
      </c>
      <c r="K2628" s="40"/>
      <c r="Q2628" s="40">
        <v>36950</v>
      </c>
      <c r="R2628" s="39">
        <v>6208.24</v>
      </c>
      <c r="S2628" s="39">
        <f t="shared" si="265"/>
        <v>2</v>
      </c>
      <c r="T2628" s="39">
        <f t="shared" si="266"/>
        <v>6208.24</v>
      </c>
      <c r="U2628" s="39">
        <f t="shared" si="267"/>
        <v>6208.24</v>
      </c>
      <c r="V2628" s="40"/>
    </row>
    <row r="2629" spans="2:22" x14ac:dyDescent="0.35">
      <c r="B2629" s="40">
        <v>36951</v>
      </c>
      <c r="C2629" s="39">
        <v>6123.38</v>
      </c>
      <c r="D2629" s="219">
        <f t="shared" si="268"/>
        <v>-1.3763210276183841E-2</v>
      </c>
      <c r="F2629" s="40">
        <v>36951</v>
      </c>
      <c r="G2629" s="39">
        <v>6123.38</v>
      </c>
      <c r="H2629" s="39">
        <f t="shared" si="263"/>
        <v>4</v>
      </c>
      <c r="I2629" s="39">
        <f t="shared" si="264"/>
        <v>0</v>
      </c>
      <c r="K2629" s="40"/>
      <c r="Q2629" s="40">
        <v>36951</v>
      </c>
      <c r="R2629" s="39">
        <v>6123.38</v>
      </c>
      <c r="S2629" s="39">
        <f t="shared" si="265"/>
        <v>3</v>
      </c>
      <c r="T2629" s="39">
        <f t="shared" si="266"/>
        <v>0</v>
      </c>
      <c r="U2629" s="39">
        <f t="shared" si="267"/>
        <v>0</v>
      </c>
      <c r="V2629" s="40"/>
    </row>
    <row r="2630" spans="2:22" x14ac:dyDescent="0.35">
      <c r="B2630" s="40">
        <v>36952</v>
      </c>
      <c r="C2630" s="39">
        <v>6159.02</v>
      </c>
      <c r="D2630" s="219">
        <f t="shared" si="268"/>
        <v>5.8034423287588628E-3</v>
      </c>
      <c r="F2630" s="40">
        <v>36952</v>
      </c>
      <c r="G2630" s="39">
        <v>6159.02</v>
      </c>
      <c r="H2630" s="39">
        <f t="shared" si="263"/>
        <v>5</v>
      </c>
      <c r="I2630" s="39">
        <f t="shared" si="264"/>
        <v>6159.02</v>
      </c>
      <c r="K2630" s="40"/>
      <c r="Q2630" s="40">
        <v>36952</v>
      </c>
      <c r="R2630" s="39">
        <v>6159.02</v>
      </c>
      <c r="S2630" s="39">
        <f t="shared" si="265"/>
        <v>3</v>
      </c>
      <c r="T2630" s="39">
        <f t="shared" si="266"/>
        <v>0</v>
      </c>
      <c r="U2630" s="39">
        <f t="shared" si="267"/>
        <v>0</v>
      </c>
      <c r="V2630" s="40"/>
    </row>
    <row r="2631" spans="2:22" x14ac:dyDescent="0.35">
      <c r="B2631" s="40">
        <v>36955</v>
      </c>
      <c r="C2631" s="39">
        <v>6216.38</v>
      </c>
      <c r="D2631" s="219">
        <f t="shared" si="268"/>
        <v>9.2700697779235248E-3</v>
      </c>
      <c r="F2631" s="40">
        <v>36955</v>
      </c>
      <c r="G2631" s="39">
        <v>6216.38</v>
      </c>
      <c r="H2631" s="39">
        <f t="shared" si="263"/>
        <v>1</v>
      </c>
      <c r="I2631" s="39">
        <f t="shared" si="264"/>
        <v>0</v>
      </c>
      <c r="K2631" s="40"/>
      <c r="Q2631" s="40">
        <v>36955</v>
      </c>
      <c r="R2631" s="39">
        <v>6216.38</v>
      </c>
      <c r="S2631" s="39">
        <f t="shared" si="265"/>
        <v>3</v>
      </c>
      <c r="T2631" s="39">
        <f t="shared" si="266"/>
        <v>0</v>
      </c>
      <c r="U2631" s="39">
        <f t="shared" si="267"/>
        <v>0</v>
      </c>
      <c r="V2631" s="40"/>
    </row>
    <row r="2632" spans="2:22" x14ac:dyDescent="0.35">
      <c r="B2632" s="40">
        <v>36956</v>
      </c>
      <c r="C2632" s="39">
        <v>6284.06</v>
      </c>
      <c r="D2632" s="219">
        <f t="shared" si="268"/>
        <v>1.0828524648393819E-2</v>
      </c>
      <c r="F2632" s="40">
        <v>36956</v>
      </c>
      <c r="G2632" s="39">
        <v>6284.06</v>
      </c>
      <c r="H2632" s="39">
        <f t="shared" si="263"/>
        <v>2</v>
      </c>
      <c r="I2632" s="39">
        <f t="shared" si="264"/>
        <v>0</v>
      </c>
      <c r="K2632" s="40"/>
      <c r="Q2632" s="40">
        <v>36956</v>
      </c>
      <c r="R2632" s="39">
        <v>6284.06</v>
      </c>
      <c r="S2632" s="39">
        <f t="shared" si="265"/>
        <v>3</v>
      </c>
      <c r="T2632" s="39">
        <f t="shared" si="266"/>
        <v>0</v>
      </c>
      <c r="U2632" s="39">
        <f t="shared" si="267"/>
        <v>0</v>
      </c>
      <c r="V2632" s="40"/>
    </row>
    <row r="2633" spans="2:22" x14ac:dyDescent="0.35">
      <c r="B2633" s="40">
        <v>36957</v>
      </c>
      <c r="C2633" s="39">
        <v>6305.64</v>
      </c>
      <c r="D2633" s="219">
        <f t="shared" si="268"/>
        <v>3.4282025997504585E-3</v>
      </c>
      <c r="F2633" s="40">
        <v>36957</v>
      </c>
      <c r="G2633" s="39">
        <v>6305.64</v>
      </c>
      <c r="H2633" s="39">
        <f t="shared" si="263"/>
        <v>3</v>
      </c>
      <c r="I2633" s="39">
        <f t="shared" si="264"/>
        <v>0</v>
      </c>
      <c r="K2633" s="40"/>
      <c r="Q2633" s="40">
        <v>36957</v>
      </c>
      <c r="R2633" s="39">
        <v>6305.64</v>
      </c>
      <c r="S2633" s="39">
        <f t="shared" si="265"/>
        <v>3</v>
      </c>
      <c r="T2633" s="39">
        <f t="shared" si="266"/>
        <v>0</v>
      </c>
      <c r="U2633" s="39">
        <f t="shared" si="267"/>
        <v>0</v>
      </c>
      <c r="V2633" s="40"/>
    </row>
    <row r="2634" spans="2:22" x14ac:dyDescent="0.35">
      <c r="B2634" s="40">
        <v>36958</v>
      </c>
      <c r="C2634" s="39">
        <v>6267.06</v>
      </c>
      <c r="D2634" s="219">
        <f t="shared" si="268"/>
        <v>-6.1371258505639086E-3</v>
      </c>
      <c r="F2634" s="40">
        <v>36958</v>
      </c>
      <c r="G2634" s="39">
        <v>6267.06</v>
      </c>
      <c r="H2634" s="39">
        <f t="shared" si="263"/>
        <v>4</v>
      </c>
      <c r="I2634" s="39">
        <f t="shared" si="264"/>
        <v>0</v>
      </c>
      <c r="K2634" s="40"/>
      <c r="Q2634" s="40">
        <v>36958</v>
      </c>
      <c r="R2634" s="39">
        <v>6267.06</v>
      </c>
      <c r="S2634" s="39">
        <f t="shared" si="265"/>
        <v>3</v>
      </c>
      <c r="T2634" s="39">
        <f t="shared" si="266"/>
        <v>0</v>
      </c>
      <c r="U2634" s="39">
        <f t="shared" si="267"/>
        <v>0</v>
      </c>
      <c r="V2634" s="40"/>
    </row>
    <row r="2635" spans="2:22" x14ac:dyDescent="0.35">
      <c r="B2635" s="40">
        <v>36959</v>
      </c>
      <c r="C2635" s="39">
        <v>6204.42</v>
      </c>
      <c r="D2635" s="219">
        <f t="shared" si="268"/>
        <v>-1.0045403873484154E-2</v>
      </c>
      <c r="F2635" s="40">
        <v>36959</v>
      </c>
      <c r="G2635" s="39">
        <v>6204.42</v>
      </c>
      <c r="H2635" s="39">
        <f t="shared" si="263"/>
        <v>5</v>
      </c>
      <c r="I2635" s="39">
        <f t="shared" si="264"/>
        <v>6204.42</v>
      </c>
      <c r="K2635" s="40"/>
      <c r="Q2635" s="40">
        <v>36959</v>
      </c>
      <c r="R2635" s="39">
        <v>6204.42</v>
      </c>
      <c r="S2635" s="39">
        <f t="shared" si="265"/>
        <v>3</v>
      </c>
      <c r="T2635" s="39">
        <f t="shared" si="266"/>
        <v>0</v>
      </c>
      <c r="U2635" s="39">
        <f t="shared" si="267"/>
        <v>0</v>
      </c>
      <c r="V2635" s="40"/>
    </row>
    <row r="2636" spans="2:22" x14ac:dyDescent="0.35">
      <c r="B2636" s="40">
        <v>36962</v>
      </c>
      <c r="C2636" s="39">
        <v>6046.56</v>
      </c>
      <c r="D2636" s="219">
        <f t="shared" si="268"/>
        <v>-2.5772425992090758E-2</v>
      </c>
      <c r="F2636" s="40">
        <v>36962</v>
      </c>
      <c r="G2636" s="39">
        <v>6046.56</v>
      </c>
      <c r="H2636" s="39">
        <f t="shared" si="263"/>
        <v>1</v>
      </c>
      <c r="I2636" s="39">
        <f t="shared" si="264"/>
        <v>0</v>
      </c>
      <c r="K2636" s="40"/>
      <c r="Q2636" s="40">
        <v>36962</v>
      </c>
      <c r="R2636" s="39">
        <v>6046.56</v>
      </c>
      <c r="S2636" s="39">
        <f t="shared" si="265"/>
        <v>3</v>
      </c>
      <c r="T2636" s="39">
        <f t="shared" si="266"/>
        <v>0</v>
      </c>
      <c r="U2636" s="39">
        <f t="shared" si="267"/>
        <v>0</v>
      </c>
      <c r="V2636" s="40"/>
    </row>
    <row r="2637" spans="2:22" x14ac:dyDescent="0.35">
      <c r="B2637" s="40">
        <v>36963</v>
      </c>
      <c r="C2637" s="39">
        <v>5962.93</v>
      </c>
      <c r="D2637" s="219">
        <f t="shared" si="268"/>
        <v>-1.3927544275421297E-2</v>
      </c>
      <c r="F2637" s="40">
        <v>36963</v>
      </c>
      <c r="G2637" s="39">
        <v>5962.93</v>
      </c>
      <c r="H2637" s="39">
        <f t="shared" si="263"/>
        <v>2</v>
      </c>
      <c r="I2637" s="39">
        <f t="shared" si="264"/>
        <v>0</v>
      </c>
      <c r="K2637" s="40"/>
      <c r="Q2637" s="40">
        <v>36963</v>
      </c>
      <c r="R2637" s="39">
        <v>5962.93</v>
      </c>
      <c r="S2637" s="39">
        <f t="shared" si="265"/>
        <v>3</v>
      </c>
      <c r="T2637" s="39">
        <f t="shared" si="266"/>
        <v>0</v>
      </c>
      <c r="U2637" s="39">
        <f t="shared" si="267"/>
        <v>0</v>
      </c>
      <c r="V2637" s="40"/>
    </row>
    <row r="2638" spans="2:22" x14ac:dyDescent="0.35">
      <c r="B2638" s="40">
        <v>36964</v>
      </c>
      <c r="C2638" s="39">
        <v>5794.12</v>
      </c>
      <c r="D2638" s="219">
        <f t="shared" si="268"/>
        <v>-2.8718360801428987E-2</v>
      </c>
      <c r="F2638" s="40">
        <v>36964</v>
      </c>
      <c r="G2638" s="39">
        <v>5794.12</v>
      </c>
      <c r="H2638" s="39">
        <f t="shared" si="263"/>
        <v>3</v>
      </c>
      <c r="I2638" s="39">
        <f t="shared" si="264"/>
        <v>0</v>
      </c>
      <c r="K2638" s="40"/>
      <c r="Q2638" s="40">
        <v>36964</v>
      </c>
      <c r="R2638" s="39">
        <v>5794.12</v>
      </c>
      <c r="S2638" s="39">
        <f t="shared" si="265"/>
        <v>3</v>
      </c>
      <c r="T2638" s="39">
        <f t="shared" si="266"/>
        <v>0</v>
      </c>
      <c r="U2638" s="39">
        <f t="shared" si="267"/>
        <v>0</v>
      </c>
      <c r="V2638" s="40"/>
    </row>
    <row r="2639" spans="2:22" x14ac:dyDescent="0.35">
      <c r="B2639" s="40">
        <v>36965</v>
      </c>
      <c r="C2639" s="39">
        <v>5889.95</v>
      </c>
      <c r="D2639" s="219">
        <f t="shared" si="268"/>
        <v>1.6403898450002327E-2</v>
      </c>
      <c r="F2639" s="40">
        <v>36965</v>
      </c>
      <c r="G2639" s="39">
        <v>5889.95</v>
      </c>
      <c r="H2639" s="39">
        <f t="shared" si="263"/>
        <v>4</v>
      </c>
      <c r="I2639" s="39">
        <f t="shared" si="264"/>
        <v>0</v>
      </c>
      <c r="K2639" s="40"/>
      <c r="Q2639" s="40">
        <v>36965</v>
      </c>
      <c r="R2639" s="39">
        <v>5889.95</v>
      </c>
      <c r="S2639" s="39">
        <f t="shared" si="265"/>
        <v>3</v>
      </c>
      <c r="T2639" s="39">
        <f t="shared" si="266"/>
        <v>0</v>
      </c>
      <c r="U2639" s="39">
        <f t="shared" si="267"/>
        <v>0</v>
      </c>
      <c r="V2639" s="40"/>
    </row>
    <row r="2640" spans="2:22" x14ac:dyDescent="0.35">
      <c r="B2640" s="40">
        <v>36966</v>
      </c>
      <c r="C2640" s="39">
        <v>5734.49</v>
      </c>
      <c r="D2640" s="219">
        <f t="shared" si="268"/>
        <v>-2.6748689673395016E-2</v>
      </c>
      <c r="F2640" s="40">
        <v>36966</v>
      </c>
      <c r="G2640" s="39">
        <v>5734.49</v>
      </c>
      <c r="H2640" s="39">
        <f t="shared" si="263"/>
        <v>5</v>
      </c>
      <c r="I2640" s="39">
        <f t="shared" si="264"/>
        <v>5734.49</v>
      </c>
      <c r="K2640" s="40"/>
      <c r="Q2640" s="40">
        <v>36966</v>
      </c>
      <c r="R2640" s="39">
        <v>5734.49</v>
      </c>
      <c r="S2640" s="39">
        <f t="shared" si="265"/>
        <v>3</v>
      </c>
      <c r="T2640" s="39">
        <f t="shared" si="266"/>
        <v>0</v>
      </c>
      <c r="U2640" s="39">
        <f t="shared" si="267"/>
        <v>0</v>
      </c>
      <c r="V2640" s="40"/>
    </row>
    <row r="2641" spans="2:22" x14ac:dyDescent="0.35">
      <c r="B2641" s="40">
        <v>36969</v>
      </c>
      <c r="C2641" s="39">
        <v>5657.29</v>
      </c>
      <c r="D2641" s="219">
        <f t="shared" si="268"/>
        <v>-1.3553840021847625E-2</v>
      </c>
      <c r="F2641" s="40">
        <v>36969</v>
      </c>
      <c r="G2641" s="39">
        <v>5657.29</v>
      </c>
      <c r="H2641" s="39">
        <f t="shared" si="263"/>
        <v>1</v>
      </c>
      <c r="I2641" s="39">
        <f t="shared" si="264"/>
        <v>0</v>
      </c>
      <c r="K2641" s="40"/>
      <c r="Q2641" s="40">
        <v>36969</v>
      </c>
      <c r="R2641" s="39">
        <v>5657.29</v>
      </c>
      <c r="S2641" s="39">
        <f t="shared" si="265"/>
        <v>3</v>
      </c>
      <c r="T2641" s="39">
        <f t="shared" si="266"/>
        <v>0</v>
      </c>
      <c r="U2641" s="39">
        <f t="shared" si="267"/>
        <v>0</v>
      </c>
      <c r="V2641" s="40"/>
    </row>
    <row r="2642" spans="2:22" x14ac:dyDescent="0.35">
      <c r="B2642" s="40">
        <v>36970</v>
      </c>
      <c r="C2642" s="39">
        <v>5782.16</v>
      </c>
      <c r="D2642" s="219">
        <f t="shared" si="268"/>
        <v>2.1832336329197784E-2</v>
      </c>
      <c r="F2642" s="40">
        <v>36970</v>
      </c>
      <c r="G2642" s="39">
        <v>5782.16</v>
      </c>
      <c r="H2642" s="39">
        <f t="shared" si="263"/>
        <v>2</v>
      </c>
      <c r="I2642" s="39">
        <f t="shared" si="264"/>
        <v>0</v>
      </c>
      <c r="K2642" s="40"/>
      <c r="Q2642" s="40">
        <v>36970</v>
      </c>
      <c r="R2642" s="39">
        <v>5782.16</v>
      </c>
      <c r="S2642" s="39">
        <f t="shared" si="265"/>
        <v>3</v>
      </c>
      <c r="T2642" s="39">
        <f t="shared" si="266"/>
        <v>0</v>
      </c>
      <c r="U2642" s="39">
        <f t="shared" si="267"/>
        <v>0</v>
      </c>
      <c r="V2642" s="40"/>
    </row>
    <row r="2643" spans="2:22" x14ac:dyDescent="0.35">
      <c r="B2643" s="40">
        <v>36971</v>
      </c>
      <c r="C2643" s="39">
        <v>5622.09</v>
      </c>
      <c r="D2643" s="219">
        <f t="shared" si="268"/>
        <v>-2.8073834402980884E-2</v>
      </c>
      <c r="F2643" s="40">
        <v>36971</v>
      </c>
      <c r="G2643" s="39">
        <v>5622.09</v>
      </c>
      <c r="H2643" s="39">
        <f t="shared" si="263"/>
        <v>3</v>
      </c>
      <c r="I2643" s="39">
        <f t="shared" si="264"/>
        <v>0</v>
      </c>
      <c r="K2643" s="40"/>
      <c r="Q2643" s="40">
        <v>36971</v>
      </c>
      <c r="R2643" s="39">
        <v>5622.09</v>
      </c>
      <c r="S2643" s="39">
        <f t="shared" si="265"/>
        <v>3</v>
      </c>
      <c r="T2643" s="39">
        <f t="shared" si="266"/>
        <v>0</v>
      </c>
      <c r="U2643" s="39">
        <f t="shared" si="267"/>
        <v>0</v>
      </c>
      <c r="V2643" s="40"/>
    </row>
    <row r="2644" spans="2:22" x14ac:dyDescent="0.35">
      <c r="B2644" s="40">
        <v>36972</v>
      </c>
      <c r="C2644" s="39">
        <v>5388.02</v>
      </c>
      <c r="D2644" s="219">
        <f t="shared" si="268"/>
        <v>-4.2525510400376429E-2</v>
      </c>
      <c r="F2644" s="40">
        <v>36972</v>
      </c>
      <c r="G2644" s="39">
        <v>5388.02</v>
      </c>
      <c r="H2644" s="39">
        <f t="shared" si="263"/>
        <v>4</v>
      </c>
      <c r="I2644" s="39">
        <f t="shared" si="264"/>
        <v>0</v>
      </c>
      <c r="K2644" s="40"/>
      <c r="Q2644" s="40">
        <v>36972</v>
      </c>
      <c r="R2644" s="39">
        <v>5388.02</v>
      </c>
      <c r="S2644" s="39">
        <f t="shared" si="265"/>
        <v>3</v>
      </c>
      <c r="T2644" s="39">
        <f t="shared" si="266"/>
        <v>0</v>
      </c>
      <c r="U2644" s="39">
        <f t="shared" si="267"/>
        <v>0</v>
      </c>
      <c r="V2644" s="40"/>
    </row>
    <row r="2645" spans="2:22" x14ac:dyDescent="0.35">
      <c r="B2645" s="40">
        <v>36973</v>
      </c>
      <c r="C2645" s="39">
        <v>5544.67</v>
      </c>
      <c r="D2645" s="219">
        <f t="shared" si="268"/>
        <v>2.8659135462799402E-2</v>
      </c>
      <c r="F2645" s="40">
        <v>36973</v>
      </c>
      <c r="G2645" s="39">
        <v>5544.67</v>
      </c>
      <c r="H2645" s="39">
        <f t="shared" si="263"/>
        <v>5</v>
      </c>
      <c r="I2645" s="39">
        <f t="shared" si="264"/>
        <v>5544.67</v>
      </c>
      <c r="K2645" s="40"/>
      <c r="Q2645" s="40">
        <v>36973</v>
      </c>
      <c r="R2645" s="39">
        <v>5544.67</v>
      </c>
      <c r="S2645" s="39">
        <f t="shared" si="265"/>
        <v>3</v>
      </c>
      <c r="T2645" s="39">
        <f t="shared" si="266"/>
        <v>0</v>
      </c>
      <c r="U2645" s="39">
        <f t="shared" si="267"/>
        <v>0</v>
      </c>
      <c r="V2645" s="40"/>
    </row>
    <row r="2646" spans="2:22" x14ac:dyDescent="0.35">
      <c r="B2646" s="40">
        <v>36976</v>
      </c>
      <c r="C2646" s="39">
        <v>5726.97</v>
      </c>
      <c r="D2646" s="219">
        <f t="shared" si="268"/>
        <v>3.2349489096802249E-2</v>
      </c>
      <c r="F2646" s="40">
        <v>36976</v>
      </c>
      <c r="G2646" s="39">
        <v>5726.97</v>
      </c>
      <c r="H2646" s="39">
        <f t="shared" si="263"/>
        <v>1</v>
      </c>
      <c r="I2646" s="39">
        <f t="shared" si="264"/>
        <v>0</v>
      </c>
      <c r="K2646" s="40"/>
      <c r="Q2646" s="40">
        <v>36976</v>
      </c>
      <c r="R2646" s="39">
        <v>5726.97</v>
      </c>
      <c r="S2646" s="39">
        <f t="shared" si="265"/>
        <v>3</v>
      </c>
      <c r="T2646" s="39">
        <f t="shared" si="266"/>
        <v>0</v>
      </c>
      <c r="U2646" s="39">
        <f t="shared" si="267"/>
        <v>0</v>
      </c>
      <c r="V2646" s="40"/>
    </row>
    <row r="2647" spans="2:22" x14ac:dyDescent="0.35">
      <c r="B2647" s="40">
        <v>36977</v>
      </c>
      <c r="C2647" s="39">
        <v>5938.21</v>
      </c>
      <c r="D2647" s="219">
        <f t="shared" si="268"/>
        <v>3.6221146105818655E-2</v>
      </c>
      <c r="F2647" s="40">
        <v>36977</v>
      </c>
      <c r="G2647" s="39">
        <v>5938.21</v>
      </c>
      <c r="H2647" s="39">
        <f t="shared" si="263"/>
        <v>2</v>
      </c>
      <c r="I2647" s="39">
        <f t="shared" si="264"/>
        <v>0</v>
      </c>
      <c r="K2647" s="40"/>
      <c r="Q2647" s="40">
        <v>36977</v>
      </c>
      <c r="R2647" s="39">
        <v>5938.21</v>
      </c>
      <c r="S2647" s="39">
        <f t="shared" si="265"/>
        <v>3</v>
      </c>
      <c r="T2647" s="39">
        <f t="shared" si="266"/>
        <v>0</v>
      </c>
      <c r="U2647" s="39">
        <f t="shared" si="267"/>
        <v>0</v>
      </c>
      <c r="V2647" s="40"/>
    </row>
    <row r="2648" spans="2:22" x14ac:dyDescent="0.35">
      <c r="B2648" s="40">
        <v>36978</v>
      </c>
      <c r="C2648" s="39">
        <v>5817.52</v>
      </c>
      <c r="D2648" s="219">
        <f t="shared" si="268"/>
        <v>-2.0533687067856073E-2</v>
      </c>
      <c r="F2648" s="40">
        <v>36978</v>
      </c>
      <c r="G2648" s="39">
        <v>5817.52</v>
      </c>
      <c r="H2648" s="39">
        <f t="shared" si="263"/>
        <v>3</v>
      </c>
      <c r="I2648" s="39">
        <f t="shared" si="264"/>
        <v>0</v>
      </c>
      <c r="K2648" s="40"/>
      <c r="Q2648" s="40">
        <v>36978</v>
      </c>
      <c r="R2648" s="39">
        <v>5817.52</v>
      </c>
      <c r="S2648" s="39">
        <f t="shared" si="265"/>
        <v>3</v>
      </c>
      <c r="T2648" s="39">
        <f t="shared" si="266"/>
        <v>0</v>
      </c>
      <c r="U2648" s="39">
        <f t="shared" si="267"/>
        <v>0</v>
      </c>
      <c r="V2648" s="40"/>
    </row>
    <row r="2649" spans="2:22" x14ac:dyDescent="0.35">
      <c r="B2649" s="40">
        <v>36979</v>
      </c>
      <c r="C2649" s="39">
        <v>5879.3</v>
      </c>
      <c r="D2649" s="219">
        <f t="shared" si="268"/>
        <v>1.0563653113478261E-2</v>
      </c>
      <c r="F2649" s="40">
        <v>36979</v>
      </c>
      <c r="G2649" s="39">
        <v>5879.3</v>
      </c>
      <c r="H2649" s="39">
        <f t="shared" si="263"/>
        <v>4</v>
      </c>
      <c r="I2649" s="39">
        <f t="shared" si="264"/>
        <v>0</v>
      </c>
      <c r="K2649" s="40"/>
      <c r="Q2649" s="40">
        <v>36979</v>
      </c>
      <c r="R2649" s="39">
        <v>5879.3</v>
      </c>
      <c r="S2649" s="39">
        <f t="shared" si="265"/>
        <v>3</v>
      </c>
      <c r="T2649" s="39">
        <f t="shared" si="266"/>
        <v>0</v>
      </c>
      <c r="U2649" s="39">
        <f t="shared" si="267"/>
        <v>0</v>
      </c>
      <c r="V2649" s="40"/>
    </row>
    <row r="2650" spans="2:22" x14ac:dyDescent="0.35">
      <c r="B2650" s="40">
        <v>36980</v>
      </c>
      <c r="C2650" s="39">
        <v>5829.95</v>
      </c>
      <c r="D2650" s="219">
        <f t="shared" si="268"/>
        <v>-8.4292832084646978E-3</v>
      </c>
      <c r="F2650" s="40">
        <v>36980</v>
      </c>
      <c r="G2650" s="39">
        <v>5829.95</v>
      </c>
      <c r="H2650" s="39">
        <f t="shared" si="263"/>
        <v>5</v>
      </c>
      <c r="I2650" s="39">
        <f t="shared" si="264"/>
        <v>5829.95</v>
      </c>
      <c r="K2650" s="40"/>
      <c r="Q2650" s="40">
        <v>36980</v>
      </c>
      <c r="R2650" s="39">
        <v>5829.95</v>
      </c>
      <c r="S2650" s="39">
        <f t="shared" si="265"/>
        <v>3</v>
      </c>
      <c r="T2650" s="39">
        <f t="shared" si="266"/>
        <v>5829.95</v>
      </c>
      <c r="U2650" s="39">
        <f t="shared" si="267"/>
        <v>5829.95</v>
      </c>
      <c r="V2650" s="40"/>
    </row>
    <row r="2651" spans="2:22" x14ac:dyDescent="0.35">
      <c r="B2651" s="40">
        <v>36983</v>
      </c>
      <c r="C2651" s="39">
        <v>5760.76</v>
      </c>
      <c r="D2651" s="219">
        <f t="shared" si="268"/>
        <v>-1.1939013547951294E-2</v>
      </c>
      <c r="F2651" s="40">
        <v>36983</v>
      </c>
      <c r="G2651" s="39">
        <v>5760.76</v>
      </c>
      <c r="H2651" s="39">
        <f t="shared" si="263"/>
        <v>1</v>
      </c>
      <c r="I2651" s="39">
        <f t="shared" si="264"/>
        <v>0</v>
      </c>
      <c r="K2651" s="40"/>
      <c r="Q2651" s="40">
        <v>36983</v>
      </c>
      <c r="R2651" s="39">
        <v>5760.76</v>
      </c>
      <c r="S2651" s="39">
        <f t="shared" si="265"/>
        <v>4</v>
      </c>
      <c r="T2651" s="39">
        <f t="shared" si="266"/>
        <v>0</v>
      </c>
      <c r="U2651" s="39">
        <f t="shared" si="267"/>
        <v>0</v>
      </c>
      <c r="V2651" s="40"/>
    </row>
    <row r="2652" spans="2:22" x14ac:dyDescent="0.35">
      <c r="B2652" s="40">
        <v>36984</v>
      </c>
      <c r="C2652" s="39">
        <v>5553.46</v>
      </c>
      <c r="D2652" s="219">
        <f t="shared" si="268"/>
        <v>-3.6648253514229498E-2</v>
      </c>
      <c r="F2652" s="40">
        <v>36984</v>
      </c>
      <c r="G2652" s="39">
        <v>5553.46</v>
      </c>
      <c r="H2652" s="39">
        <f t="shared" si="263"/>
        <v>2</v>
      </c>
      <c r="I2652" s="39">
        <f t="shared" si="264"/>
        <v>0</v>
      </c>
      <c r="K2652" s="40"/>
      <c r="Q2652" s="40">
        <v>36984</v>
      </c>
      <c r="R2652" s="39">
        <v>5553.46</v>
      </c>
      <c r="S2652" s="39">
        <f t="shared" si="265"/>
        <v>4</v>
      </c>
      <c r="T2652" s="39">
        <f t="shared" si="266"/>
        <v>0</v>
      </c>
      <c r="U2652" s="39">
        <f t="shared" si="267"/>
        <v>0</v>
      </c>
      <c r="V2652" s="40"/>
    </row>
    <row r="2653" spans="2:22" x14ac:dyDescent="0.35">
      <c r="B2653" s="40">
        <v>36985</v>
      </c>
      <c r="C2653" s="39">
        <v>5597.66</v>
      </c>
      <c r="D2653" s="219">
        <f t="shared" si="268"/>
        <v>7.9274963375106124E-3</v>
      </c>
      <c r="F2653" s="40">
        <v>36985</v>
      </c>
      <c r="G2653" s="39">
        <v>5597.66</v>
      </c>
      <c r="H2653" s="39">
        <f t="shared" si="263"/>
        <v>3</v>
      </c>
      <c r="I2653" s="39">
        <f t="shared" si="264"/>
        <v>0</v>
      </c>
      <c r="K2653" s="40"/>
      <c r="Q2653" s="40">
        <v>36985</v>
      </c>
      <c r="R2653" s="39">
        <v>5597.66</v>
      </c>
      <c r="S2653" s="39">
        <f t="shared" si="265"/>
        <v>4</v>
      </c>
      <c r="T2653" s="39">
        <f t="shared" si="266"/>
        <v>0</v>
      </c>
      <c r="U2653" s="39">
        <f t="shared" si="267"/>
        <v>0</v>
      </c>
      <c r="V2653" s="40"/>
    </row>
    <row r="2654" spans="2:22" x14ac:dyDescent="0.35">
      <c r="B2654" s="40">
        <v>36986</v>
      </c>
      <c r="C2654" s="39">
        <v>5773.34</v>
      </c>
      <c r="D2654" s="219">
        <f t="shared" si="268"/>
        <v>3.0902115928300798E-2</v>
      </c>
      <c r="F2654" s="40">
        <v>36986</v>
      </c>
      <c r="G2654" s="39">
        <v>5773.34</v>
      </c>
      <c r="H2654" s="39">
        <f t="shared" si="263"/>
        <v>4</v>
      </c>
      <c r="I2654" s="39">
        <f t="shared" si="264"/>
        <v>0</v>
      </c>
      <c r="K2654" s="40"/>
      <c r="Q2654" s="40">
        <v>36986</v>
      </c>
      <c r="R2654" s="39">
        <v>5773.34</v>
      </c>
      <c r="S2654" s="39">
        <f t="shared" si="265"/>
        <v>4</v>
      </c>
      <c r="T2654" s="39">
        <f t="shared" si="266"/>
        <v>0</v>
      </c>
      <c r="U2654" s="39">
        <f t="shared" si="267"/>
        <v>0</v>
      </c>
      <c r="V2654" s="40"/>
    </row>
    <row r="2655" spans="2:22" x14ac:dyDescent="0.35">
      <c r="B2655" s="40">
        <v>36987</v>
      </c>
      <c r="C2655" s="39">
        <v>5698.88</v>
      </c>
      <c r="D2655" s="219">
        <f t="shared" si="268"/>
        <v>-1.2981104894419988E-2</v>
      </c>
      <c r="F2655" s="40">
        <v>36987</v>
      </c>
      <c r="G2655" s="39">
        <v>5698.88</v>
      </c>
      <c r="H2655" s="39">
        <f t="shared" si="263"/>
        <v>5</v>
      </c>
      <c r="I2655" s="39">
        <f t="shared" si="264"/>
        <v>5698.88</v>
      </c>
      <c r="K2655" s="40"/>
      <c r="Q2655" s="40">
        <v>36987</v>
      </c>
      <c r="R2655" s="39">
        <v>5698.88</v>
      </c>
      <c r="S2655" s="39">
        <f t="shared" si="265"/>
        <v>4</v>
      </c>
      <c r="T2655" s="39">
        <f t="shared" si="266"/>
        <v>0</v>
      </c>
      <c r="U2655" s="39">
        <f t="shared" si="267"/>
        <v>0</v>
      </c>
      <c r="V2655" s="40"/>
    </row>
    <row r="2656" spans="2:22" x14ac:dyDescent="0.35">
      <c r="B2656" s="40">
        <v>36990</v>
      </c>
      <c r="C2656" s="39">
        <v>5781.01</v>
      </c>
      <c r="D2656" s="219">
        <f t="shared" si="268"/>
        <v>1.43087435978713E-2</v>
      </c>
      <c r="F2656" s="40">
        <v>36990</v>
      </c>
      <c r="G2656" s="39">
        <v>5781.01</v>
      </c>
      <c r="H2656" s="39">
        <f t="shared" si="263"/>
        <v>1</v>
      </c>
      <c r="I2656" s="39">
        <f t="shared" si="264"/>
        <v>0</v>
      </c>
      <c r="K2656" s="40"/>
      <c r="Q2656" s="40">
        <v>36990</v>
      </c>
      <c r="R2656" s="39">
        <v>5781.01</v>
      </c>
      <c r="S2656" s="39">
        <f t="shared" si="265"/>
        <v>4</v>
      </c>
      <c r="T2656" s="39">
        <f t="shared" si="266"/>
        <v>0</v>
      </c>
      <c r="U2656" s="39">
        <f t="shared" si="267"/>
        <v>0</v>
      </c>
      <c r="V2656" s="40"/>
    </row>
    <row r="2657" spans="2:22" x14ac:dyDescent="0.35">
      <c r="B2657" s="40">
        <v>36991</v>
      </c>
      <c r="C2657" s="39">
        <v>5913.84</v>
      </c>
      <c r="D2657" s="219">
        <f t="shared" si="268"/>
        <v>2.2716958713857524E-2</v>
      </c>
      <c r="F2657" s="40">
        <v>36991</v>
      </c>
      <c r="G2657" s="39">
        <v>5913.84</v>
      </c>
      <c r="H2657" s="39">
        <f t="shared" si="263"/>
        <v>2</v>
      </c>
      <c r="I2657" s="39">
        <f t="shared" si="264"/>
        <v>0</v>
      </c>
      <c r="K2657" s="40"/>
      <c r="Q2657" s="40">
        <v>36991</v>
      </c>
      <c r="R2657" s="39">
        <v>5913.84</v>
      </c>
      <c r="S2657" s="39">
        <f t="shared" si="265"/>
        <v>4</v>
      </c>
      <c r="T2657" s="39">
        <f t="shared" si="266"/>
        <v>0</v>
      </c>
      <c r="U2657" s="39">
        <f t="shared" si="267"/>
        <v>0</v>
      </c>
      <c r="V2657" s="40"/>
    </row>
    <row r="2658" spans="2:22" x14ac:dyDescent="0.35">
      <c r="B2658" s="40">
        <v>36992</v>
      </c>
      <c r="C2658" s="39">
        <v>5951.16</v>
      </c>
      <c r="D2658" s="219">
        <f t="shared" si="268"/>
        <v>6.2907919216611367E-3</v>
      </c>
      <c r="F2658" s="40">
        <v>36992</v>
      </c>
      <c r="G2658" s="39">
        <v>5951.16</v>
      </c>
      <c r="H2658" s="39">
        <f t="shared" si="263"/>
        <v>3</v>
      </c>
      <c r="I2658" s="39">
        <f t="shared" si="264"/>
        <v>0</v>
      </c>
      <c r="K2658" s="40"/>
      <c r="Q2658" s="40">
        <v>36992</v>
      </c>
      <c r="R2658" s="39">
        <v>5951.16</v>
      </c>
      <c r="S2658" s="39">
        <f t="shared" si="265"/>
        <v>4</v>
      </c>
      <c r="T2658" s="39">
        <f t="shared" si="266"/>
        <v>0</v>
      </c>
      <c r="U2658" s="39">
        <f t="shared" si="267"/>
        <v>0</v>
      </c>
      <c r="V2658" s="40"/>
    </row>
    <row r="2659" spans="2:22" x14ac:dyDescent="0.35">
      <c r="B2659" s="40">
        <v>36993</v>
      </c>
      <c r="C2659" s="39">
        <v>6002.3</v>
      </c>
      <c r="D2659" s="219">
        <f t="shared" si="268"/>
        <v>8.5565705690433692E-3</v>
      </c>
      <c r="F2659" s="40">
        <v>36993</v>
      </c>
      <c r="G2659" s="39">
        <v>6002.3</v>
      </c>
      <c r="H2659" s="39">
        <f t="shared" si="263"/>
        <v>4</v>
      </c>
      <c r="I2659" s="39">
        <f t="shared" si="264"/>
        <v>6002.3</v>
      </c>
      <c r="K2659" s="40"/>
      <c r="Q2659" s="40">
        <v>36993</v>
      </c>
      <c r="R2659" s="39">
        <v>6002.3</v>
      </c>
      <c r="S2659" s="39">
        <f t="shared" si="265"/>
        <v>4</v>
      </c>
      <c r="T2659" s="39">
        <f t="shared" si="266"/>
        <v>0</v>
      </c>
      <c r="U2659" s="39">
        <f t="shared" si="267"/>
        <v>0</v>
      </c>
      <c r="V2659" s="40"/>
    </row>
    <row r="2660" spans="2:22" x14ac:dyDescent="0.35">
      <c r="B2660" s="40">
        <v>36998</v>
      </c>
      <c r="C2660" s="39">
        <v>5935.58</v>
      </c>
      <c r="D2660" s="219">
        <f t="shared" si="268"/>
        <v>-1.1177980463071863E-2</v>
      </c>
      <c r="F2660" s="40">
        <v>36998</v>
      </c>
      <c r="G2660" s="39">
        <v>5935.58</v>
      </c>
      <c r="H2660" s="39">
        <f t="shared" si="263"/>
        <v>2</v>
      </c>
      <c r="I2660" s="39">
        <f t="shared" si="264"/>
        <v>0</v>
      </c>
      <c r="K2660" s="40"/>
      <c r="Q2660" s="40">
        <v>36998</v>
      </c>
      <c r="R2660" s="39">
        <v>5935.58</v>
      </c>
      <c r="S2660" s="39">
        <f t="shared" si="265"/>
        <v>4</v>
      </c>
      <c r="T2660" s="39">
        <f t="shared" si="266"/>
        <v>0</v>
      </c>
      <c r="U2660" s="39">
        <f t="shared" si="267"/>
        <v>0</v>
      </c>
      <c r="V2660" s="40"/>
    </row>
    <row r="2661" spans="2:22" x14ac:dyDescent="0.35">
      <c r="B2661" s="40">
        <v>36999</v>
      </c>
      <c r="C2661" s="39">
        <v>6164.88</v>
      </c>
      <c r="D2661" s="219">
        <f t="shared" si="268"/>
        <v>3.7903923061807655E-2</v>
      </c>
      <c r="F2661" s="40">
        <v>36999</v>
      </c>
      <c r="G2661" s="39">
        <v>6164.88</v>
      </c>
      <c r="H2661" s="39">
        <f t="shared" si="263"/>
        <v>3</v>
      </c>
      <c r="I2661" s="39">
        <f t="shared" si="264"/>
        <v>0</v>
      </c>
      <c r="K2661" s="40"/>
      <c r="Q2661" s="40">
        <v>36999</v>
      </c>
      <c r="R2661" s="39">
        <v>6164.88</v>
      </c>
      <c r="S2661" s="39">
        <f t="shared" si="265"/>
        <v>4</v>
      </c>
      <c r="T2661" s="39">
        <f t="shared" si="266"/>
        <v>0</v>
      </c>
      <c r="U2661" s="39">
        <f t="shared" si="267"/>
        <v>0</v>
      </c>
      <c r="V2661" s="40"/>
    </row>
    <row r="2662" spans="2:22" x14ac:dyDescent="0.35">
      <c r="B2662" s="40">
        <v>37000</v>
      </c>
      <c r="C2662" s="39">
        <v>6181.91</v>
      </c>
      <c r="D2662" s="219">
        <f t="shared" si="268"/>
        <v>2.7586135019359199E-3</v>
      </c>
      <c r="F2662" s="40">
        <v>37000</v>
      </c>
      <c r="G2662" s="39">
        <v>6181.91</v>
      </c>
      <c r="H2662" s="39">
        <f t="shared" si="263"/>
        <v>4</v>
      </c>
      <c r="I2662" s="39">
        <f t="shared" si="264"/>
        <v>0</v>
      </c>
      <c r="K2662" s="40"/>
      <c r="Q2662" s="40">
        <v>37000</v>
      </c>
      <c r="R2662" s="39">
        <v>6181.91</v>
      </c>
      <c r="S2662" s="39">
        <f t="shared" si="265"/>
        <v>4</v>
      </c>
      <c r="T2662" s="39">
        <f t="shared" si="266"/>
        <v>0</v>
      </c>
      <c r="U2662" s="39">
        <f t="shared" si="267"/>
        <v>0</v>
      </c>
      <c r="V2662" s="40"/>
    </row>
    <row r="2663" spans="2:22" x14ac:dyDescent="0.35">
      <c r="B2663" s="40">
        <v>37001</v>
      </c>
      <c r="C2663" s="39">
        <v>6127.97</v>
      </c>
      <c r="D2663" s="219">
        <f t="shared" si="268"/>
        <v>-8.7637483436595106E-3</v>
      </c>
      <c r="F2663" s="40">
        <v>37001</v>
      </c>
      <c r="G2663" s="39">
        <v>6127.97</v>
      </c>
      <c r="H2663" s="39">
        <f t="shared" si="263"/>
        <v>5</v>
      </c>
      <c r="I2663" s="39">
        <f t="shared" si="264"/>
        <v>6127.97</v>
      </c>
      <c r="K2663" s="40"/>
      <c r="Q2663" s="40">
        <v>37001</v>
      </c>
      <c r="R2663" s="39">
        <v>6127.97</v>
      </c>
      <c r="S2663" s="39">
        <f t="shared" si="265"/>
        <v>4</v>
      </c>
      <c r="T2663" s="39">
        <f t="shared" si="266"/>
        <v>0</v>
      </c>
      <c r="U2663" s="39">
        <f t="shared" si="267"/>
        <v>0</v>
      </c>
      <c r="V2663" s="40"/>
    </row>
    <row r="2664" spans="2:22" x14ac:dyDescent="0.35">
      <c r="B2664" s="40">
        <v>37004</v>
      </c>
      <c r="C2664" s="39">
        <v>6051.48</v>
      </c>
      <c r="D2664" s="219">
        <f t="shared" si="268"/>
        <v>-1.2560666639600187E-2</v>
      </c>
      <c r="F2664" s="40">
        <v>37004</v>
      </c>
      <c r="G2664" s="39">
        <v>6051.48</v>
      </c>
      <c r="H2664" s="39">
        <f t="shared" si="263"/>
        <v>1</v>
      </c>
      <c r="I2664" s="39">
        <f t="shared" si="264"/>
        <v>0</v>
      </c>
      <c r="K2664" s="40"/>
      <c r="Q2664" s="40">
        <v>37004</v>
      </c>
      <c r="R2664" s="39">
        <v>6051.48</v>
      </c>
      <c r="S2664" s="39">
        <f t="shared" si="265"/>
        <v>4</v>
      </c>
      <c r="T2664" s="39">
        <f t="shared" si="266"/>
        <v>0</v>
      </c>
      <c r="U2664" s="39">
        <f t="shared" si="267"/>
        <v>0</v>
      </c>
      <c r="V2664" s="40"/>
    </row>
    <row r="2665" spans="2:22" x14ac:dyDescent="0.35">
      <c r="B2665" s="40">
        <v>37005</v>
      </c>
      <c r="C2665" s="39">
        <v>6124.57</v>
      </c>
      <c r="D2665" s="219">
        <f t="shared" si="268"/>
        <v>1.2005679659387047E-2</v>
      </c>
      <c r="F2665" s="40">
        <v>37005</v>
      </c>
      <c r="G2665" s="39">
        <v>6124.57</v>
      </c>
      <c r="H2665" s="39">
        <f t="shared" si="263"/>
        <v>2</v>
      </c>
      <c r="I2665" s="39">
        <f t="shared" si="264"/>
        <v>0</v>
      </c>
      <c r="K2665" s="40"/>
      <c r="Q2665" s="40">
        <v>37005</v>
      </c>
      <c r="R2665" s="39">
        <v>6124.57</v>
      </c>
      <c r="S2665" s="39">
        <f t="shared" si="265"/>
        <v>4</v>
      </c>
      <c r="T2665" s="39">
        <f t="shared" si="266"/>
        <v>0</v>
      </c>
      <c r="U2665" s="39">
        <f t="shared" si="267"/>
        <v>0</v>
      </c>
      <c r="V2665" s="40"/>
    </row>
    <row r="2666" spans="2:22" x14ac:dyDescent="0.35">
      <c r="B2666" s="40">
        <v>37006</v>
      </c>
      <c r="C2666" s="39">
        <v>6115.19</v>
      </c>
      <c r="D2666" s="219">
        <f t="shared" si="268"/>
        <v>-1.5327100917487549E-3</v>
      </c>
      <c r="F2666" s="40">
        <v>37006</v>
      </c>
      <c r="G2666" s="39">
        <v>6115.19</v>
      </c>
      <c r="H2666" s="39">
        <f t="shared" si="263"/>
        <v>3</v>
      </c>
      <c r="I2666" s="39">
        <f t="shared" si="264"/>
        <v>0</v>
      </c>
      <c r="K2666" s="40"/>
      <c r="Q2666" s="40">
        <v>37006</v>
      </c>
      <c r="R2666" s="39">
        <v>6115.19</v>
      </c>
      <c r="S2666" s="39">
        <f t="shared" si="265"/>
        <v>4</v>
      </c>
      <c r="T2666" s="39">
        <f t="shared" si="266"/>
        <v>0</v>
      </c>
      <c r="U2666" s="39">
        <f t="shared" si="267"/>
        <v>0</v>
      </c>
      <c r="V2666" s="40"/>
    </row>
    <row r="2667" spans="2:22" x14ac:dyDescent="0.35">
      <c r="B2667" s="40">
        <v>37007</v>
      </c>
      <c r="C2667" s="39">
        <v>6123.66</v>
      </c>
      <c r="D2667" s="219">
        <f t="shared" si="268"/>
        <v>1.3841171927463814E-3</v>
      </c>
      <c r="F2667" s="40">
        <v>37007</v>
      </c>
      <c r="G2667" s="39">
        <v>6123.66</v>
      </c>
      <c r="H2667" s="39">
        <f t="shared" si="263"/>
        <v>4</v>
      </c>
      <c r="I2667" s="39">
        <f t="shared" si="264"/>
        <v>0</v>
      </c>
      <c r="K2667" s="40"/>
      <c r="Q2667" s="40">
        <v>37007</v>
      </c>
      <c r="R2667" s="39">
        <v>6123.66</v>
      </c>
      <c r="S2667" s="39">
        <f t="shared" si="265"/>
        <v>4</v>
      </c>
      <c r="T2667" s="39">
        <f t="shared" si="266"/>
        <v>0</v>
      </c>
      <c r="U2667" s="39">
        <f t="shared" si="267"/>
        <v>0</v>
      </c>
      <c r="V2667" s="40"/>
    </row>
    <row r="2668" spans="2:22" x14ac:dyDescent="0.35">
      <c r="B2668" s="40">
        <v>37008</v>
      </c>
      <c r="C2668" s="39">
        <v>6175.24</v>
      </c>
      <c r="D2668" s="219">
        <f t="shared" si="268"/>
        <v>8.3877911697894762E-3</v>
      </c>
      <c r="F2668" s="40">
        <v>37008</v>
      </c>
      <c r="G2668" s="39">
        <v>6175.24</v>
      </c>
      <c r="H2668" s="39">
        <f t="shared" si="263"/>
        <v>5</v>
      </c>
      <c r="I2668" s="39">
        <f t="shared" si="264"/>
        <v>6175.24</v>
      </c>
      <c r="K2668" s="40"/>
      <c r="Q2668" s="40">
        <v>37008</v>
      </c>
      <c r="R2668" s="39">
        <v>6175.24</v>
      </c>
      <c r="S2668" s="39">
        <f t="shared" si="265"/>
        <v>4</v>
      </c>
      <c r="T2668" s="39">
        <f t="shared" si="266"/>
        <v>0</v>
      </c>
      <c r="U2668" s="39">
        <f t="shared" si="267"/>
        <v>0</v>
      </c>
      <c r="V2668" s="40"/>
    </row>
    <row r="2669" spans="2:22" x14ac:dyDescent="0.35">
      <c r="B2669" s="40">
        <v>37011</v>
      </c>
      <c r="C2669" s="39">
        <v>6264.51</v>
      </c>
      <c r="D2669" s="219">
        <f t="shared" si="268"/>
        <v>1.4352624843265114E-2</v>
      </c>
      <c r="F2669" s="40">
        <v>37011</v>
      </c>
      <c r="G2669" s="39">
        <v>6264.51</v>
      </c>
      <c r="H2669" s="39">
        <f t="shared" si="263"/>
        <v>1</v>
      </c>
      <c r="I2669" s="39">
        <f t="shared" si="264"/>
        <v>0</v>
      </c>
      <c r="K2669" s="40"/>
      <c r="Q2669" s="40">
        <v>37011</v>
      </c>
      <c r="R2669" s="39">
        <v>6264.51</v>
      </c>
      <c r="S2669" s="39">
        <f t="shared" si="265"/>
        <v>4</v>
      </c>
      <c r="T2669" s="39">
        <f t="shared" si="266"/>
        <v>6264.51</v>
      </c>
      <c r="U2669" s="39">
        <f t="shared" si="267"/>
        <v>6264.51</v>
      </c>
      <c r="V2669" s="40"/>
    </row>
    <row r="2670" spans="2:22" x14ac:dyDescent="0.35">
      <c r="B2670" s="40">
        <v>37013</v>
      </c>
      <c r="C2670" s="39">
        <v>6213.84</v>
      </c>
      <c r="D2670" s="219">
        <f t="shared" si="268"/>
        <v>-8.1213106696930628E-3</v>
      </c>
      <c r="F2670" s="40">
        <v>37013</v>
      </c>
      <c r="G2670" s="39">
        <v>6213.84</v>
      </c>
      <c r="H2670" s="39">
        <f t="shared" si="263"/>
        <v>3</v>
      </c>
      <c r="I2670" s="39">
        <f t="shared" si="264"/>
        <v>0</v>
      </c>
      <c r="K2670" s="40"/>
      <c r="Q2670" s="40">
        <v>37013</v>
      </c>
      <c r="R2670" s="39">
        <v>6213.84</v>
      </c>
      <c r="S2670" s="39">
        <f t="shared" si="265"/>
        <v>5</v>
      </c>
      <c r="T2670" s="39">
        <f t="shared" si="266"/>
        <v>0</v>
      </c>
      <c r="U2670" s="39">
        <f t="shared" si="267"/>
        <v>0</v>
      </c>
      <c r="V2670" s="40"/>
    </row>
    <row r="2671" spans="2:22" x14ac:dyDescent="0.35">
      <c r="B2671" s="40">
        <v>37014</v>
      </c>
      <c r="C2671" s="39">
        <v>6089.17</v>
      </c>
      <c r="D2671" s="219">
        <f t="shared" si="268"/>
        <v>-2.0267278893836824E-2</v>
      </c>
      <c r="F2671" s="40">
        <v>37014</v>
      </c>
      <c r="G2671" s="39">
        <v>6089.17</v>
      </c>
      <c r="H2671" s="39">
        <f t="shared" si="263"/>
        <v>4</v>
      </c>
      <c r="I2671" s="39">
        <f t="shared" si="264"/>
        <v>0</v>
      </c>
      <c r="K2671" s="40"/>
      <c r="Q2671" s="40">
        <v>37014</v>
      </c>
      <c r="R2671" s="39">
        <v>6089.17</v>
      </c>
      <c r="S2671" s="39">
        <f t="shared" si="265"/>
        <v>5</v>
      </c>
      <c r="T2671" s="39">
        <f t="shared" si="266"/>
        <v>0</v>
      </c>
      <c r="U2671" s="39">
        <f t="shared" si="267"/>
        <v>0</v>
      </c>
      <c r="V2671" s="40"/>
    </row>
    <row r="2672" spans="2:22" x14ac:dyDescent="0.35">
      <c r="B2672" s="40">
        <v>37015</v>
      </c>
      <c r="C2672" s="39">
        <v>6138.28</v>
      </c>
      <c r="D2672" s="219">
        <f t="shared" si="268"/>
        <v>8.0327891868135857E-3</v>
      </c>
      <c r="F2672" s="40">
        <v>37015</v>
      </c>
      <c r="G2672" s="39">
        <v>6138.28</v>
      </c>
      <c r="H2672" s="39">
        <f t="shared" si="263"/>
        <v>5</v>
      </c>
      <c r="I2672" s="39">
        <f t="shared" si="264"/>
        <v>6138.28</v>
      </c>
      <c r="K2672" s="40"/>
      <c r="Q2672" s="40">
        <v>37015</v>
      </c>
      <c r="R2672" s="39">
        <v>6138.28</v>
      </c>
      <c r="S2672" s="39">
        <f t="shared" si="265"/>
        <v>5</v>
      </c>
      <c r="T2672" s="39">
        <f t="shared" si="266"/>
        <v>0</v>
      </c>
      <c r="U2672" s="39">
        <f t="shared" si="267"/>
        <v>0</v>
      </c>
      <c r="V2672" s="40"/>
    </row>
    <row r="2673" spans="2:22" x14ac:dyDescent="0.35">
      <c r="B2673" s="40">
        <v>37018</v>
      </c>
      <c r="C2673" s="39">
        <v>6122.62</v>
      </c>
      <c r="D2673" s="219">
        <f t="shared" si="268"/>
        <v>-2.5544631332923219E-3</v>
      </c>
      <c r="F2673" s="40">
        <v>37018</v>
      </c>
      <c r="G2673" s="39">
        <v>6122.62</v>
      </c>
      <c r="H2673" s="39">
        <f t="shared" si="263"/>
        <v>1</v>
      </c>
      <c r="I2673" s="39">
        <f t="shared" si="264"/>
        <v>0</v>
      </c>
      <c r="K2673" s="40"/>
      <c r="Q2673" s="40">
        <v>37018</v>
      </c>
      <c r="R2673" s="39">
        <v>6122.62</v>
      </c>
      <c r="S2673" s="39">
        <f t="shared" si="265"/>
        <v>5</v>
      </c>
      <c r="T2673" s="39">
        <f t="shared" si="266"/>
        <v>0</v>
      </c>
      <c r="U2673" s="39">
        <f t="shared" si="267"/>
        <v>0</v>
      </c>
      <c r="V2673" s="40"/>
    </row>
    <row r="2674" spans="2:22" x14ac:dyDescent="0.35">
      <c r="B2674" s="40">
        <v>37019</v>
      </c>
      <c r="C2674" s="39">
        <v>6108.72</v>
      </c>
      <c r="D2674" s="219">
        <f t="shared" si="268"/>
        <v>-2.272850886947308E-3</v>
      </c>
      <c r="F2674" s="40">
        <v>37019</v>
      </c>
      <c r="G2674" s="39">
        <v>6108.72</v>
      </c>
      <c r="H2674" s="39">
        <f t="shared" si="263"/>
        <v>2</v>
      </c>
      <c r="I2674" s="39">
        <f t="shared" si="264"/>
        <v>0</v>
      </c>
      <c r="K2674" s="40"/>
      <c r="Q2674" s="40">
        <v>37019</v>
      </c>
      <c r="R2674" s="39">
        <v>6108.72</v>
      </c>
      <c r="S2674" s="39">
        <f t="shared" si="265"/>
        <v>5</v>
      </c>
      <c r="T2674" s="39">
        <f t="shared" si="266"/>
        <v>0</v>
      </c>
      <c r="U2674" s="39">
        <f t="shared" si="267"/>
        <v>0</v>
      </c>
      <c r="V2674" s="40"/>
    </row>
    <row r="2675" spans="2:22" x14ac:dyDescent="0.35">
      <c r="B2675" s="40">
        <v>37020</v>
      </c>
      <c r="C2675" s="39">
        <v>6063.94</v>
      </c>
      <c r="D2675" s="219">
        <f t="shared" si="268"/>
        <v>-7.3575047698151057E-3</v>
      </c>
      <c r="F2675" s="40">
        <v>37020</v>
      </c>
      <c r="G2675" s="39">
        <v>6063.94</v>
      </c>
      <c r="H2675" s="39">
        <f t="shared" si="263"/>
        <v>3</v>
      </c>
      <c r="I2675" s="39">
        <f t="shared" si="264"/>
        <v>0</v>
      </c>
      <c r="K2675" s="40"/>
      <c r="Q2675" s="40">
        <v>37020</v>
      </c>
      <c r="R2675" s="39">
        <v>6063.94</v>
      </c>
      <c r="S2675" s="39">
        <f t="shared" si="265"/>
        <v>5</v>
      </c>
      <c r="T2675" s="39">
        <f t="shared" si="266"/>
        <v>0</v>
      </c>
      <c r="U2675" s="39">
        <f t="shared" si="267"/>
        <v>0</v>
      </c>
      <c r="V2675" s="40"/>
    </row>
    <row r="2676" spans="2:22" x14ac:dyDescent="0.35">
      <c r="B2676" s="40">
        <v>37021</v>
      </c>
      <c r="C2676" s="39">
        <v>6165.18</v>
      </c>
      <c r="D2676" s="219">
        <f t="shared" si="268"/>
        <v>1.655757943835609E-2</v>
      </c>
      <c r="F2676" s="40">
        <v>37021</v>
      </c>
      <c r="G2676" s="39">
        <v>6165.18</v>
      </c>
      <c r="H2676" s="39">
        <f t="shared" si="263"/>
        <v>4</v>
      </c>
      <c r="I2676" s="39">
        <f t="shared" si="264"/>
        <v>0</v>
      </c>
      <c r="K2676" s="40"/>
      <c r="Q2676" s="40">
        <v>37021</v>
      </c>
      <c r="R2676" s="39">
        <v>6165.18</v>
      </c>
      <c r="S2676" s="39">
        <f t="shared" si="265"/>
        <v>5</v>
      </c>
      <c r="T2676" s="39">
        <f t="shared" si="266"/>
        <v>0</v>
      </c>
      <c r="U2676" s="39">
        <f t="shared" si="267"/>
        <v>0</v>
      </c>
      <c r="V2676" s="40"/>
    </row>
    <row r="2677" spans="2:22" x14ac:dyDescent="0.35">
      <c r="B2677" s="40">
        <v>37022</v>
      </c>
      <c r="C2677" s="39">
        <v>6141.02</v>
      </c>
      <c r="D2677" s="219">
        <f t="shared" si="268"/>
        <v>-3.9264811298473064E-3</v>
      </c>
      <c r="F2677" s="40">
        <v>37022</v>
      </c>
      <c r="G2677" s="39">
        <v>6141.02</v>
      </c>
      <c r="H2677" s="39">
        <f t="shared" si="263"/>
        <v>5</v>
      </c>
      <c r="I2677" s="39">
        <f t="shared" si="264"/>
        <v>6141.02</v>
      </c>
      <c r="K2677" s="40"/>
      <c r="Q2677" s="40">
        <v>37022</v>
      </c>
      <c r="R2677" s="39">
        <v>6141.02</v>
      </c>
      <c r="S2677" s="39">
        <f t="shared" si="265"/>
        <v>5</v>
      </c>
      <c r="T2677" s="39">
        <f t="shared" si="266"/>
        <v>0</v>
      </c>
      <c r="U2677" s="39">
        <f t="shared" si="267"/>
        <v>0</v>
      </c>
      <c r="V2677" s="40"/>
    </row>
    <row r="2678" spans="2:22" x14ac:dyDescent="0.35">
      <c r="B2678" s="40">
        <v>37025</v>
      </c>
      <c r="C2678" s="39">
        <v>6064.68</v>
      </c>
      <c r="D2678" s="219">
        <f t="shared" si="268"/>
        <v>-1.250907288419525E-2</v>
      </c>
      <c r="F2678" s="40">
        <v>37025</v>
      </c>
      <c r="G2678" s="39">
        <v>6064.68</v>
      </c>
      <c r="H2678" s="39">
        <f t="shared" si="263"/>
        <v>1</v>
      </c>
      <c r="I2678" s="39">
        <f t="shared" si="264"/>
        <v>0</v>
      </c>
      <c r="K2678" s="40"/>
      <c r="Q2678" s="40">
        <v>37025</v>
      </c>
      <c r="R2678" s="39">
        <v>6064.68</v>
      </c>
      <c r="S2678" s="39">
        <f t="shared" si="265"/>
        <v>5</v>
      </c>
      <c r="T2678" s="39">
        <f t="shared" si="266"/>
        <v>0</v>
      </c>
      <c r="U2678" s="39">
        <f t="shared" si="267"/>
        <v>0</v>
      </c>
      <c r="V2678" s="40"/>
    </row>
    <row r="2679" spans="2:22" x14ac:dyDescent="0.35">
      <c r="B2679" s="40">
        <v>37026</v>
      </c>
      <c r="C2679" s="39">
        <v>6070.38</v>
      </c>
      <c r="D2679" s="219">
        <f t="shared" si="268"/>
        <v>9.3942682099606653E-4</v>
      </c>
      <c r="F2679" s="40">
        <v>37026</v>
      </c>
      <c r="G2679" s="39">
        <v>6070.38</v>
      </c>
      <c r="H2679" s="39">
        <f t="shared" ref="H2679:H2742" si="269">WEEKDAY(F2679,2)</f>
        <v>2</v>
      </c>
      <c r="I2679" s="39">
        <f t="shared" ref="I2679:I2742" si="270">IF(H2679&gt;H2680,G2679,0)</f>
        <v>0</v>
      </c>
      <c r="K2679" s="40"/>
      <c r="Q2679" s="40">
        <v>37026</v>
      </c>
      <c r="R2679" s="39">
        <v>6070.38</v>
      </c>
      <c r="S2679" s="39">
        <f t="shared" ref="S2679:S2742" si="271">MONTH(Q2679)</f>
        <v>5</v>
      </c>
      <c r="T2679" s="39">
        <f t="shared" ref="T2679:T2742" si="272">IF(S2680&lt;&gt;S2679,R2679,0)</f>
        <v>0</v>
      </c>
      <c r="U2679" s="39">
        <f t="shared" ref="U2679:U2742" si="273">IF(S2680=S2679,0,R2679)</f>
        <v>0</v>
      </c>
      <c r="V2679" s="40"/>
    </row>
    <row r="2680" spans="2:22" x14ac:dyDescent="0.35">
      <c r="B2680" s="40">
        <v>37027</v>
      </c>
      <c r="C2680" s="39">
        <v>6148.44</v>
      </c>
      <c r="D2680" s="219">
        <f t="shared" ref="D2680:D2743" si="274">LN(C2680/C2679)</f>
        <v>1.2777185027746489E-2</v>
      </c>
      <c r="F2680" s="40">
        <v>37027</v>
      </c>
      <c r="G2680" s="39">
        <v>6148.44</v>
      </c>
      <c r="H2680" s="39">
        <f t="shared" si="269"/>
        <v>3</v>
      </c>
      <c r="I2680" s="39">
        <f t="shared" si="270"/>
        <v>0</v>
      </c>
      <c r="K2680" s="40"/>
      <c r="Q2680" s="40">
        <v>37027</v>
      </c>
      <c r="R2680" s="39">
        <v>6148.44</v>
      </c>
      <c r="S2680" s="39">
        <f t="shared" si="271"/>
        <v>5</v>
      </c>
      <c r="T2680" s="39">
        <f t="shared" si="272"/>
        <v>0</v>
      </c>
      <c r="U2680" s="39">
        <f t="shared" si="273"/>
        <v>0</v>
      </c>
      <c r="V2680" s="40"/>
    </row>
    <row r="2681" spans="2:22" x14ac:dyDescent="0.35">
      <c r="B2681" s="40">
        <v>37028</v>
      </c>
      <c r="C2681" s="39">
        <v>6173.81</v>
      </c>
      <c r="D2681" s="219">
        <f t="shared" si="274"/>
        <v>4.1177602869110017E-3</v>
      </c>
      <c r="F2681" s="40">
        <v>37028</v>
      </c>
      <c r="G2681" s="39">
        <v>6173.81</v>
      </c>
      <c r="H2681" s="39">
        <f t="shared" si="269"/>
        <v>4</v>
      </c>
      <c r="I2681" s="39">
        <f t="shared" si="270"/>
        <v>0</v>
      </c>
      <c r="K2681" s="40"/>
      <c r="Q2681" s="40">
        <v>37028</v>
      </c>
      <c r="R2681" s="39">
        <v>6173.81</v>
      </c>
      <c r="S2681" s="39">
        <f t="shared" si="271"/>
        <v>5</v>
      </c>
      <c r="T2681" s="39">
        <f t="shared" si="272"/>
        <v>0</v>
      </c>
      <c r="U2681" s="39">
        <f t="shared" si="273"/>
        <v>0</v>
      </c>
      <c r="V2681" s="40"/>
    </row>
    <row r="2682" spans="2:22" x14ac:dyDescent="0.35">
      <c r="B2682" s="40">
        <v>37029</v>
      </c>
      <c r="C2682" s="39">
        <v>6186.87</v>
      </c>
      <c r="D2682" s="219">
        <f t="shared" si="274"/>
        <v>2.1131531371835484E-3</v>
      </c>
      <c r="F2682" s="40">
        <v>37029</v>
      </c>
      <c r="G2682" s="39">
        <v>6186.87</v>
      </c>
      <c r="H2682" s="39">
        <f t="shared" si="269"/>
        <v>5</v>
      </c>
      <c r="I2682" s="39">
        <f t="shared" si="270"/>
        <v>6186.87</v>
      </c>
      <c r="K2682" s="40"/>
      <c r="Q2682" s="40">
        <v>37029</v>
      </c>
      <c r="R2682" s="39">
        <v>6186.87</v>
      </c>
      <c r="S2682" s="39">
        <f t="shared" si="271"/>
        <v>5</v>
      </c>
      <c r="T2682" s="39">
        <f t="shared" si="272"/>
        <v>0</v>
      </c>
      <c r="U2682" s="39">
        <f t="shared" si="273"/>
        <v>0</v>
      </c>
      <c r="V2682" s="40"/>
    </row>
    <row r="2683" spans="2:22" x14ac:dyDescent="0.35">
      <c r="B2683" s="40">
        <v>37032</v>
      </c>
      <c r="C2683" s="39">
        <v>6249.87</v>
      </c>
      <c r="D2683" s="219">
        <f t="shared" si="274"/>
        <v>1.0131359002819546E-2</v>
      </c>
      <c r="F2683" s="40">
        <v>37032</v>
      </c>
      <c r="G2683" s="39">
        <v>6249.87</v>
      </c>
      <c r="H2683" s="39">
        <f t="shared" si="269"/>
        <v>1</v>
      </c>
      <c r="I2683" s="39">
        <f t="shared" si="270"/>
        <v>0</v>
      </c>
      <c r="K2683" s="40"/>
      <c r="Q2683" s="40">
        <v>37032</v>
      </c>
      <c r="R2683" s="39">
        <v>6249.87</v>
      </c>
      <c r="S2683" s="39">
        <f t="shared" si="271"/>
        <v>5</v>
      </c>
      <c r="T2683" s="39">
        <f t="shared" si="272"/>
        <v>0</v>
      </c>
      <c r="U2683" s="39">
        <f t="shared" si="273"/>
        <v>0</v>
      </c>
      <c r="V2683" s="40"/>
    </row>
    <row r="2684" spans="2:22" x14ac:dyDescent="0.35">
      <c r="B2684" s="40">
        <v>37033</v>
      </c>
      <c r="C2684" s="39">
        <v>6270.59</v>
      </c>
      <c r="D2684" s="219">
        <f t="shared" si="274"/>
        <v>3.309785569392593E-3</v>
      </c>
      <c r="F2684" s="40">
        <v>37033</v>
      </c>
      <c r="G2684" s="39">
        <v>6270.59</v>
      </c>
      <c r="H2684" s="39">
        <f t="shared" si="269"/>
        <v>2</v>
      </c>
      <c r="I2684" s="39">
        <f t="shared" si="270"/>
        <v>0</v>
      </c>
      <c r="K2684" s="40"/>
      <c r="Q2684" s="40">
        <v>37033</v>
      </c>
      <c r="R2684" s="39">
        <v>6270.59</v>
      </c>
      <c r="S2684" s="39">
        <f t="shared" si="271"/>
        <v>5</v>
      </c>
      <c r="T2684" s="39">
        <f t="shared" si="272"/>
        <v>0</v>
      </c>
      <c r="U2684" s="39">
        <f t="shared" si="273"/>
        <v>0</v>
      </c>
      <c r="V2684" s="40"/>
    </row>
    <row r="2685" spans="2:22" x14ac:dyDescent="0.35">
      <c r="B2685" s="40">
        <v>37034</v>
      </c>
      <c r="C2685" s="39">
        <v>6215.25</v>
      </c>
      <c r="D2685" s="219">
        <f t="shared" si="274"/>
        <v>-8.864499686255153E-3</v>
      </c>
      <c r="F2685" s="40">
        <v>37034</v>
      </c>
      <c r="G2685" s="39">
        <v>6215.25</v>
      </c>
      <c r="H2685" s="39">
        <f t="shared" si="269"/>
        <v>3</v>
      </c>
      <c r="I2685" s="39">
        <f t="shared" si="270"/>
        <v>0</v>
      </c>
      <c r="K2685" s="40"/>
      <c r="Q2685" s="40">
        <v>37034</v>
      </c>
      <c r="R2685" s="39">
        <v>6215.25</v>
      </c>
      <c r="S2685" s="39">
        <f t="shared" si="271"/>
        <v>5</v>
      </c>
      <c r="T2685" s="39">
        <f t="shared" si="272"/>
        <v>0</v>
      </c>
      <c r="U2685" s="39">
        <f t="shared" si="273"/>
        <v>0</v>
      </c>
      <c r="V2685" s="40"/>
    </row>
    <row r="2686" spans="2:22" x14ac:dyDescent="0.35">
      <c r="B2686" s="40">
        <v>37035</v>
      </c>
      <c r="C2686" s="39">
        <v>6278.9</v>
      </c>
      <c r="D2686" s="219">
        <f t="shared" si="274"/>
        <v>1.0188856487143407E-2</v>
      </c>
      <c r="F2686" s="40">
        <v>37035</v>
      </c>
      <c r="G2686" s="39">
        <v>6278.9</v>
      </c>
      <c r="H2686" s="39">
        <f t="shared" si="269"/>
        <v>4</v>
      </c>
      <c r="I2686" s="39">
        <f t="shared" si="270"/>
        <v>0</v>
      </c>
      <c r="K2686" s="40"/>
      <c r="Q2686" s="40">
        <v>37035</v>
      </c>
      <c r="R2686" s="39">
        <v>6278.9</v>
      </c>
      <c r="S2686" s="39">
        <f t="shared" si="271"/>
        <v>5</v>
      </c>
      <c r="T2686" s="39">
        <f t="shared" si="272"/>
        <v>0</v>
      </c>
      <c r="U2686" s="39">
        <f t="shared" si="273"/>
        <v>0</v>
      </c>
      <c r="V2686" s="40"/>
    </row>
    <row r="2687" spans="2:22" x14ac:dyDescent="0.35">
      <c r="B2687" s="40">
        <v>37036</v>
      </c>
      <c r="C2687" s="39">
        <v>6223.57</v>
      </c>
      <c r="D2687" s="219">
        <f t="shared" si="274"/>
        <v>-8.8511088164210782E-3</v>
      </c>
      <c r="F2687" s="40">
        <v>37036</v>
      </c>
      <c r="G2687" s="39">
        <v>6223.57</v>
      </c>
      <c r="H2687" s="39">
        <f t="shared" si="269"/>
        <v>5</v>
      </c>
      <c r="I2687" s="39">
        <f t="shared" si="270"/>
        <v>6223.57</v>
      </c>
      <c r="K2687" s="40"/>
      <c r="Q2687" s="40">
        <v>37036</v>
      </c>
      <c r="R2687" s="39">
        <v>6223.57</v>
      </c>
      <c r="S2687" s="39">
        <f t="shared" si="271"/>
        <v>5</v>
      </c>
      <c r="T2687" s="39">
        <f t="shared" si="272"/>
        <v>0</v>
      </c>
      <c r="U2687" s="39">
        <f t="shared" si="273"/>
        <v>0</v>
      </c>
      <c r="V2687" s="40"/>
    </row>
    <row r="2688" spans="2:22" x14ac:dyDescent="0.35">
      <c r="B2688" s="40">
        <v>37039</v>
      </c>
      <c r="C2688" s="39">
        <v>6216.83</v>
      </c>
      <c r="D2688" s="219">
        <f t="shared" si="274"/>
        <v>-1.083566550828291E-3</v>
      </c>
      <c r="F2688" s="40">
        <v>37039</v>
      </c>
      <c r="G2688" s="39">
        <v>6216.83</v>
      </c>
      <c r="H2688" s="39">
        <f t="shared" si="269"/>
        <v>1</v>
      </c>
      <c r="I2688" s="39">
        <f t="shared" si="270"/>
        <v>0</v>
      </c>
      <c r="K2688" s="40"/>
      <c r="Q2688" s="40">
        <v>37039</v>
      </c>
      <c r="R2688" s="39">
        <v>6216.83</v>
      </c>
      <c r="S2688" s="39">
        <f t="shared" si="271"/>
        <v>5</v>
      </c>
      <c r="T2688" s="39">
        <f t="shared" si="272"/>
        <v>0</v>
      </c>
      <c r="U2688" s="39">
        <f t="shared" si="273"/>
        <v>0</v>
      </c>
      <c r="V2688" s="40"/>
    </row>
    <row r="2689" spans="2:22" x14ac:dyDescent="0.35">
      <c r="B2689" s="40">
        <v>37040</v>
      </c>
      <c r="C2689" s="39">
        <v>6120.33</v>
      </c>
      <c r="D2689" s="219">
        <f t="shared" si="274"/>
        <v>-1.5644113895871937E-2</v>
      </c>
      <c r="F2689" s="40">
        <v>37040</v>
      </c>
      <c r="G2689" s="39">
        <v>6120.33</v>
      </c>
      <c r="H2689" s="39">
        <f t="shared" si="269"/>
        <v>2</v>
      </c>
      <c r="I2689" s="39">
        <f t="shared" si="270"/>
        <v>0</v>
      </c>
      <c r="K2689" s="40"/>
      <c r="Q2689" s="40">
        <v>37040</v>
      </c>
      <c r="R2689" s="39">
        <v>6120.33</v>
      </c>
      <c r="S2689" s="39">
        <f t="shared" si="271"/>
        <v>5</v>
      </c>
      <c r="T2689" s="39">
        <f t="shared" si="272"/>
        <v>0</v>
      </c>
      <c r="U2689" s="39">
        <f t="shared" si="273"/>
        <v>0</v>
      </c>
      <c r="V2689" s="40"/>
    </row>
    <row r="2690" spans="2:22" x14ac:dyDescent="0.35">
      <c r="B2690" s="40">
        <v>37041</v>
      </c>
      <c r="C2690" s="39">
        <v>6041.22</v>
      </c>
      <c r="D2690" s="219">
        <f t="shared" si="274"/>
        <v>-1.3010038334034239E-2</v>
      </c>
      <c r="F2690" s="40">
        <v>37041</v>
      </c>
      <c r="G2690" s="39">
        <v>6041.22</v>
      </c>
      <c r="H2690" s="39">
        <f t="shared" si="269"/>
        <v>3</v>
      </c>
      <c r="I2690" s="39">
        <f t="shared" si="270"/>
        <v>0</v>
      </c>
      <c r="K2690" s="40"/>
      <c r="Q2690" s="40">
        <v>37041</v>
      </c>
      <c r="R2690" s="39">
        <v>6041.22</v>
      </c>
      <c r="S2690" s="39">
        <f t="shared" si="271"/>
        <v>5</v>
      </c>
      <c r="T2690" s="39">
        <f t="shared" si="272"/>
        <v>0</v>
      </c>
      <c r="U2690" s="39">
        <f t="shared" si="273"/>
        <v>0</v>
      </c>
      <c r="V2690" s="40"/>
    </row>
    <row r="2691" spans="2:22" x14ac:dyDescent="0.35">
      <c r="B2691" s="40">
        <v>37042</v>
      </c>
      <c r="C2691" s="39">
        <v>6123.26</v>
      </c>
      <c r="D2691" s="219">
        <f t="shared" si="274"/>
        <v>1.3488656134194605E-2</v>
      </c>
      <c r="F2691" s="40">
        <v>37042</v>
      </c>
      <c r="G2691" s="39">
        <v>6123.26</v>
      </c>
      <c r="H2691" s="39">
        <f t="shared" si="269"/>
        <v>4</v>
      </c>
      <c r="I2691" s="39">
        <f t="shared" si="270"/>
        <v>0</v>
      </c>
      <c r="K2691" s="40"/>
      <c r="Q2691" s="40">
        <v>37042</v>
      </c>
      <c r="R2691" s="39">
        <v>6123.26</v>
      </c>
      <c r="S2691" s="39">
        <f t="shared" si="271"/>
        <v>5</v>
      </c>
      <c r="T2691" s="39">
        <f t="shared" si="272"/>
        <v>6123.26</v>
      </c>
      <c r="U2691" s="39">
        <f t="shared" si="273"/>
        <v>6123.26</v>
      </c>
      <c r="V2691" s="40"/>
    </row>
    <row r="2692" spans="2:22" x14ac:dyDescent="0.35">
      <c r="B2692" s="40">
        <v>37043</v>
      </c>
      <c r="C2692" s="39">
        <v>6125.17</v>
      </c>
      <c r="D2692" s="219">
        <f t="shared" si="274"/>
        <v>3.1187670835878498E-4</v>
      </c>
      <c r="F2692" s="40">
        <v>37043</v>
      </c>
      <c r="G2692" s="39">
        <v>6125.17</v>
      </c>
      <c r="H2692" s="39">
        <f t="shared" si="269"/>
        <v>5</v>
      </c>
      <c r="I2692" s="39">
        <f t="shared" si="270"/>
        <v>6125.17</v>
      </c>
      <c r="K2692" s="40"/>
      <c r="Q2692" s="40">
        <v>37043</v>
      </c>
      <c r="R2692" s="39">
        <v>6125.17</v>
      </c>
      <c r="S2692" s="39">
        <f t="shared" si="271"/>
        <v>6</v>
      </c>
      <c r="T2692" s="39">
        <f t="shared" si="272"/>
        <v>0</v>
      </c>
      <c r="U2692" s="39">
        <f t="shared" si="273"/>
        <v>0</v>
      </c>
      <c r="V2692" s="40"/>
    </row>
    <row r="2693" spans="2:22" x14ac:dyDescent="0.35">
      <c r="B2693" s="40">
        <v>37046</v>
      </c>
      <c r="C2693" s="39">
        <v>6177.74</v>
      </c>
      <c r="D2693" s="219">
        <f t="shared" si="274"/>
        <v>8.5459976460404794E-3</v>
      </c>
      <c r="F2693" s="40">
        <v>37046</v>
      </c>
      <c r="G2693" s="39">
        <v>6177.74</v>
      </c>
      <c r="H2693" s="39">
        <f t="shared" si="269"/>
        <v>1</v>
      </c>
      <c r="I2693" s="39">
        <f t="shared" si="270"/>
        <v>0</v>
      </c>
      <c r="K2693" s="40"/>
      <c r="Q2693" s="40">
        <v>37046</v>
      </c>
      <c r="R2693" s="39">
        <v>6177.74</v>
      </c>
      <c r="S2693" s="39">
        <f t="shared" si="271"/>
        <v>6</v>
      </c>
      <c r="T2693" s="39">
        <f t="shared" si="272"/>
        <v>0</v>
      </c>
      <c r="U2693" s="39">
        <f t="shared" si="273"/>
        <v>0</v>
      </c>
      <c r="V2693" s="40"/>
    </row>
    <row r="2694" spans="2:22" x14ac:dyDescent="0.35">
      <c r="B2694" s="40">
        <v>37047</v>
      </c>
      <c r="C2694" s="39">
        <v>6242.13</v>
      </c>
      <c r="D2694" s="219">
        <f t="shared" si="274"/>
        <v>1.0368961496132095E-2</v>
      </c>
      <c r="F2694" s="40">
        <v>37047</v>
      </c>
      <c r="G2694" s="39">
        <v>6242.13</v>
      </c>
      <c r="H2694" s="39">
        <f t="shared" si="269"/>
        <v>2</v>
      </c>
      <c r="I2694" s="39">
        <f t="shared" si="270"/>
        <v>0</v>
      </c>
      <c r="K2694" s="40"/>
      <c r="Q2694" s="40">
        <v>37047</v>
      </c>
      <c r="R2694" s="39">
        <v>6242.13</v>
      </c>
      <c r="S2694" s="39">
        <f t="shared" si="271"/>
        <v>6</v>
      </c>
      <c r="T2694" s="39">
        <f t="shared" si="272"/>
        <v>0</v>
      </c>
      <c r="U2694" s="39">
        <f t="shared" si="273"/>
        <v>0</v>
      </c>
      <c r="V2694" s="40"/>
    </row>
    <row r="2695" spans="2:22" x14ac:dyDescent="0.35">
      <c r="B2695" s="40">
        <v>37048</v>
      </c>
      <c r="C2695" s="39">
        <v>6192.44</v>
      </c>
      <c r="D2695" s="219">
        <f t="shared" si="274"/>
        <v>-7.9922770954895528E-3</v>
      </c>
      <c r="F2695" s="40">
        <v>37048</v>
      </c>
      <c r="G2695" s="39">
        <v>6192.44</v>
      </c>
      <c r="H2695" s="39">
        <f t="shared" si="269"/>
        <v>3</v>
      </c>
      <c r="I2695" s="39">
        <f t="shared" si="270"/>
        <v>0</v>
      </c>
      <c r="K2695" s="40"/>
      <c r="Q2695" s="40">
        <v>37048</v>
      </c>
      <c r="R2695" s="39">
        <v>6192.44</v>
      </c>
      <c r="S2695" s="39">
        <f t="shared" si="271"/>
        <v>6</v>
      </c>
      <c r="T2695" s="39">
        <f t="shared" si="272"/>
        <v>0</v>
      </c>
      <c r="U2695" s="39">
        <f t="shared" si="273"/>
        <v>0</v>
      </c>
      <c r="V2695" s="40"/>
    </row>
    <row r="2696" spans="2:22" x14ac:dyDescent="0.35">
      <c r="B2696" s="40">
        <v>37049</v>
      </c>
      <c r="C2696" s="39">
        <v>6184.25</v>
      </c>
      <c r="D2696" s="219">
        <f t="shared" si="274"/>
        <v>-1.3234558182231566E-3</v>
      </c>
      <c r="F2696" s="40">
        <v>37049</v>
      </c>
      <c r="G2696" s="39">
        <v>6184.25</v>
      </c>
      <c r="H2696" s="39">
        <f t="shared" si="269"/>
        <v>4</v>
      </c>
      <c r="I2696" s="39">
        <f t="shared" si="270"/>
        <v>0</v>
      </c>
      <c r="K2696" s="40"/>
      <c r="Q2696" s="40">
        <v>37049</v>
      </c>
      <c r="R2696" s="39">
        <v>6184.25</v>
      </c>
      <c r="S2696" s="39">
        <f t="shared" si="271"/>
        <v>6</v>
      </c>
      <c r="T2696" s="39">
        <f t="shared" si="272"/>
        <v>0</v>
      </c>
      <c r="U2696" s="39">
        <f t="shared" si="273"/>
        <v>0</v>
      </c>
      <c r="V2696" s="40"/>
    </row>
    <row r="2697" spans="2:22" x14ac:dyDescent="0.35">
      <c r="B2697" s="40">
        <v>37050</v>
      </c>
      <c r="C2697" s="39">
        <v>6187.21</v>
      </c>
      <c r="D2697" s="219">
        <f t="shared" si="274"/>
        <v>4.785207334432455E-4</v>
      </c>
      <c r="F2697" s="40">
        <v>37050</v>
      </c>
      <c r="G2697" s="39">
        <v>6187.21</v>
      </c>
      <c r="H2697" s="39">
        <f t="shared" si="269"/>
        <v>5</v>
      </c>
      <c r="I2697" s="39">
        <f t="shared" si="270"/>
        <v>6187.21</v>
      </c>
      <c r="K2697" s="40"/>
      <c r="Q2697" s="40">
        <v>37050</v>
      </c>
      <c r="R2697" s="39">
        <v>6187.21</v>
      </c>
      <c r="S2697" s="39">
        <f t="shared" si="271"/>
        <v>6</v>
      </c>
      <c r="T2697" s="39">
        <f t="shared" si="272"/>
        <v>0</v>
      </c>
      <c r="U2697" s="39">
        <f t="shared" si="273"/>
        <v>0</v>
      </c>
      <c r="V2697" s="40"/>
    </row>
    <row r="2698" spans="2:22" x14ac:dyDescent="0.35">
      <c r="B2698" s="40">
        <v>37053</v>
      </c>
      <c r="C2698" s="39">
        <v>6162.74</v>
      </c>
      <c r="D2698" s="219">
        <f t="shared" si="274"/>
        <v>-3.9627742658404908E-3</v>
      </c>
      <c r="F2698" s="40">
        <v>37053</v>
      </c>
      <c r="G2698" s="39">
        <v>6162.74</v>
      </c>
      <c r="H2698" s="39">
        <f t="shared" si="269"/>
        <v>1</v>
      </c>
      <c r="I2698" s="39">
        <f t="shared" si="270"/>
        <v>0</v>
      </c>
      <c r="K2698" s="40"/>
      <c r="Q2698" s="40">
        <v>37053</v>
      </c>
      <c r="R2698" s="39">
        <v>6162.74</v>
      </c>
      <c r="S2698" s="39">
        <f t="shared" si="271"/>
        <v>6</v>
      </c>
      <c r="T2698" s="39">
        <f t="shared" si="272"/>
        <v>0</v>
      </c>
      <c r="U2698" s="39">
        <f t="shared" si="273"/>
        <v>0</v>
      </c>
      <c r="V2698" s="40"/>
    </row>
    <row r="2699" spans="2:22" x14ac:dyDescent="0.35">
      <c r="B2699" s="40">
        <v>37054</v>
      </c>
      <c r="C2699" s="39">
        <v>6059.15</v>
      </c>
      <c r="D2699" s="219">
        <f t="shared" si="274"/>
        <v>-1.6951957626826362E-2</v>
      </c>
      <c r="F2699" s="40">
        <v>37054</v>
      </c>
      <c r="G2699" s="39">
        <v>6059.15</v>
      </c>
      <c r="H2699" s="39">
        <f t="shared" si="269"/>
        <v>2</v>
      </c>
      <c r="I2699" s="39">
        <f t="shared" si="270"/>
        <v>0</v>
      </c>
      <c r="K2699" s="40"/>
      <c r="Q2699" s="40">
        <v>37054</v>
      </c>
      <c r="R2699" s="39">
        <v>6059.15</v>
      </c>
      <c r="S2699" s="39">
        <f t="shared" si="271"/>
        <v>6</v>
      </c>
      <c r="T2699" s="39">
        <f t="shared" si="272"/>
        <v>0</v>
      </c>
      <c r="U2699" s="39">
        <f t="shared" si="273"/>
        <v>0</v>
      </c>
      <c r="V2699" s="40"/>
    </row>
    <row r="2700" spans="2:22" x14ac:dyDescent="0.35">
      <c r="B2700" s="40">
        <v>37055</v>
      </c>
      <c r="C2700" s="39">
        <v>6111.94</v>
      </c>
      <c r="D2700" s="219">
        <f t="shared" si="274"/>
        <v>8.6747088452060993E-3</v>
      </c>
      <c r="F2700" s="40">
        <v>37055</v>
      </c>
      <c r="G2700" s="39">
        <v>6111.94</v>
      </c>
      <c r="H2700" s="39">
        <f t="shared" si="269"/>
        <v>3</v>
      </c>
      <c r="I2700" s="39">
        <f t="shared" si="270"/>
        <v>0</v>
      </c>
      <c r="K2700" s="40"/>
      <c r="Q2700" s="40">
        <v>37055</v>
      </c>
      <c r="R2700" s="39">
        <v>6111.94</v>
      </c>
      <c r="S2700" s="39">
        <f t="shared" si="271"/>
        <v>6</v>
      </c>
      <c r="T2700" s="39">
        <f t="shared" si="272"/>
        <v>0</v>
      </c>
      <c r="U2700" s="39">
        <f t="shared" si="273"/>
        <v>0</v>
      </c>
      <c r="V2700" s="40"/>
    </row>
    <row r="2701" spans="2:22" x14ac:dyDescent="0.35">
      <c r="B2701" s="40">
        <v>37056</v>
      </c>
      <c r="C2701" s="39">
        <v>6031.27</v>
      </c>
      <c r="D2701" s="219">
        <f t="shared" si="274"/>
        <v>-1.3286632900270863E-2</v>
      </c>
      <c r="F2701" s="40">
        <v>37056</v>
      </c>
      <c r="G2701" s="39">
        <v>6031.27</v>
      </c>
      <c r="H2701" s="39">
        <f t="shared" si="269"/>
        <v>4</v>
      </c>
      <c r="I2701" s="39">
        <f t="shared" si="270"/>
        <v>0</v>
      </c>
      <c r="K2701" s="40"/>
      <c r="Q2701" s="40">
        <v>37056</v>
      </c>
      <c r="R2701" s="39">
        <v>6031.27</v>
      </c>
      <c r="S2701" s="39">
        <f t="shared" si="271"/>
        <v>6</v>
      </c>
      <c r="T2701" s="39">
        <f t="shared" si="272"/>
        <v>0</v>
      </c>
      <c r="U2701" s="39">
        <f t="shared" si="273"/>
        <v>0</v>
      </c>
      <c r="V2701" s="40"/>
    </row>
    <row r="2702" spans="2:22" x14ac:dyDescent="0.35">
      <c r="B2702" s="40">
        <v>37057</v>
      </c>
      <c r="C2702" s="39">
        <v>5915.18</v>
      </c>
      <c r="D2702" s="219">
        <f t="shared" si="274"/>
        <v>-1.9435674087149503E-2</v>
      </c>
      <c r="F2702" s="40">
        <v>37057</v>
      </c>
      <c r="G2702" s="39">
        <v>5915.18</v>
      </c>
      <c r="H2702" s="39">
        <f t="shared" si="269"/>
        <v>5</v>
      </c>
      <c r="I2702" s="39">
        <f t="shared" si="270"/>
        <v>5915.18</v>
      </c>
      <c r="K2702" s="40"/>
      <c r="Q2702" s="40">
        <v>37057</v>
      </c>
      <c r="R2702" s="39">
        <v>5915.18</v>
      </c>
      <c r="S2702" s="39">
        <f t="shared" si="271"/>
        <v>6</v>
      </c>
      <c r="T2702" s="39">
        <f t="shared" si="272"/>
        <v>0</v>
      </c>
      <c r="U2702" s="39">
        <f t="shared" si="273"/>
        <v>0</v>
      </c>
      <c r="V2702" s="40"/>
    </row>
    <row r="2703" spans="2:22" x14ac:dyDescent="0.35">
      <c r="B2703" s="40">
        <v>37060</v>
      </c>
      <c r="C2703" s="39">
        <v>5869.04</v>
      </c>
      <c r="D2703" s="219">
        <f t="shared" si="274"/>
        <v>-7.8308510505959057E-3</v>
      </c>
      <c r="F2703" s="40">
        <v>37060</v>
      </c>
      <c r="G2703" s="39">
        <v>5869.04</v>
      </c>
      <c r="H2703" s="39">
        <f t="shared" si="269"/>
        <v>1</v>
      </c>
      <c r="I2703" s="39">
        <f t="shared" si="270"/>
        <v>0</v>
      </c>
      <c r="K2703" s="40"/>
      <c r="Q2703" s="40">
        <v>37060</v>
      </c>
      <c r="R2703" s="39">
        <v>5869.04</v>
      </c>
      <c r="S2703" s="39">
        <f t="shared" si="271"/>
        <v>6</v>
      </c>
      <c r="T2703" s="39">
        <f t="shared" si="272"/>
        <v>0</v>
      </c>
      <c r="U2703" s="39">
        <f t="shared" si="273"/>
        <v>0</v>
      </c>
      <c r="V2703" s="40"/>
    </row>
    <row r="2704" spans="2:22" x14ac:dyDescent="0.35">
      <c r="B2704" s="40">
        <v>37061</v>
      </c>
      <c r="C2704" s="39">
        <v>5922.53</v>
      </c>
      <c r="D2704" s="219">
        <f t="shared" si="274"/>
        <v>9.0726454423332801E-3</v>
      </c>
      <c r="F2704" s="40">
        <v>37061</v>
      </c>
      <c r="G2704" s="39">
        <v>5922.53</v>
      </c>
      <c r="H2704" s="39">
        <f t="shared" si="269"/>
        <v>2</v>
      </c>
      <c r="I2704" s="39">
        <f t="shared" si="270"/>
        <v>0</v>
      </c>
      <c r="K2704" s="40"/>
      <c r="Q2704" s="40">
        <v>37061</v>
      </c>
      <c r="R2704" s="39">
        <v>5922.53</v>
      </c>
      <c r="S2704" s="39">
        <f t="shared" si="271"/>
        <v>6</v>
      </c>
      <c r="T2704" s="39">
        <f t="shared" si="272"/>
        <v>0</v>
      </c>
      <c r="U2704" s="39">
        <f t="shared" si="273"/>
        <v>0</v>
      </c>
      <c r="V2704" s="40"/>
    </row>
    <row r="2705" spans="2:22" x14ac:dyDescent="0.35">
      <c r="B2705" s="40">
        <v>37062</v>
      </c>
      <c r="C2705" s="39">
        <v>5876.04</v>
      </c>
      <c r="D2705" s="219">
        <f t="shared" si="274"/>
        <v>-7.8806568260239313E-3</v>
      </c>
      <c r="F2705" s="40">
        <v>37062</v>
      </c>
      <c r="G2705" s="39">
        <v>5876.04</v>
      </c>
      <c r="H2705" s="39">
        <f t="shared" si="269"/>
        <v>3</v>
      </c>
      <c r="I2705" s="39">
        <f t="shared" si="270"/>
        <v>0</v>
      </c>
      <c r="K2705" s="40"/>
      <c r="Q2705" s="40">
        <v>37062</v>
      </c>
      <c r="R2705" s="39">
        <v>5876.04</v>
      </c>
      <c r="S2705" s="39">
        <f t="shared" si="271"/>
        <v>6</v>
      </c>
      <c r="T2705" s="39">
        <f t="shared" si="272"/>
        <v>0</v>
      </c>
      <c r="U2705" s="39">
        <f t="shared" si="273"/>
        <v>0</v>
      </c>
      <c r="V2705" s="40"/>
    </row>
    <row r="2706" spans="2:22" x14ac:dyDescent="0.35">
      <c r="B2706" s="40">
        <v>37063</v>
      </c>
      <c r="C2706" s="39">
        <v>5926.38</v>
      </c>
      <c r="D2706" s="219">
        <f t="shared" si="274"/>
        <v>8.5305056535515556E-3</v>
      </c>
      <c r="F2706" s="40">
        <v>37063</v>
      </c>
      <c r="G2706" s="39">
        <v>5926.38</v>
      </c>
      <c r="H2706" s="39">
        <f t="shared" si="269"/>
        <v>4</v>
      </c>
      <c r="I2706" s="39">
        <f t="shared" si="270"/>
        <v>0</v>
      </c>
      <c r="K2706" s="40"/>
      <c r="Q2706" s="40">
        <v>37063</v>
      </c>
      <c r="R2706" s="39">
        <v>5926.38</v>
      </c>
      <c r="S2706" s="39">
        <f t="shared" si="271"/>
        <v>6</v>
      </c>
      <c r="T2706" s="39">
        <f t="shared" si="272"/>
        <v>0</v>
      </c>
      <c r="U2706" s="39">
        <f t="shared" si="273"/>
        <v>0</v>
      </c>
      <c r="V2706" s="40"/>
    </row>
    <row r="2707" spans="2:22" x14ac:dyDescent="0.35">
      <c r="B2707" s="40">
        <v>37064</v>
      </c>
      <c r="C2707" s="39">
        <v>5941.77</v>
      </c>
      <c r="D2707" s="219">
        <f t="shared" si="274"/>
        <v>2.59349749141844E-3</v>
      </c>
      <c r="F2707" s="40">
        <v>37064</v>
      </c>
      <c r="G2707" s="39">
        <v>5941.77</v>
      </c>
      <c r="H2707" s="39">
        <f t="shared" si="269"/>
        <v>5</v>
      </c>
      <c r="I2707" s="39">
        <f t="shared" si="270"/>
        <v>5941.77</v>
      </c>
      <c r="K2707" s="40"/>
      <c r="Q2707" s="40">
        <v>37064</v>
      </c>
      <c r="R2707" s="39">
        <v>5941.77</v>
      </c>
      <c r="S2707" s="39">
        <f t="shared" si="271"/>
        <v>6</v>
      </c>
      <c r="T2707" s="39">
        <f t="shared" si="272"/>
        <v>0</v>
      </c>
      <c r="U2707" s="39">
        <f t="shared" si="273"/>
        <v>0</v>
      </c>
      <c r="V2707" s="40"/>
    </row>
    <row r="2708" spans="2:22" x14ac:dyDescent="0.35">
      <c r="B2708" s="40">
        <v>37067</v>
      </c>
      <c r="C2708" s="39">
        <v>5902.32</v>
      </c>
      <c r="D2708" s="219">
        <f t="shared" si="274"/>
        <v>-6.6615748255707064E-3</v>
      </c>
      <c r="F2708" s="40">
        <v>37067</v>
      </c>
      <c r="G2708" s="39">
        <v>5902.32</v>
      </c>
      <c r="H2708" s="39">
        <f t="shared" si="269"/>
        <v>1</v>
      </c>
      <c r="I2708" s="39">
        <f t="shared" si="270"/>
        <v>0</v>
      </c>
      <c r="K2708" s="40"/>
      <c r="Q2708" s="40">
        <v>37067</v>
      </c>
      <c r="R2708" s="39">
        <v>5902.32</v>
      </c>
      <c r="S2708" s="39">
        <f t="shared" si="271"/>
        <v>6</v>
      </c>
      <c r="T2708" s="39">
        <f t="shared" si="272"/>
        <v>0</v>
      </c>
      <c r="U2708" s="39">
        <f t="shared" si="273"/>
        <v>0</v>
      </c>
      <c r="V2708" s="40"/>
    </row>
    <row r="2709" spans="2:22" x14ac:dyDescent="0.35">
      <c r="B2709" s="40">
        <v>37068</v>
      </c>
      <c r="C2709" s="39">
        <v>5847.79</v>
      </c>
      <c r="D2709" s="219">
        <f t="shared" si="274"/>
        <v>-9.2816818698142605E-3</v>
      </c>
      <c r="F2709" s="40">
        <v>37068</v>
      </c>
      <c r="G2709" s="39">
        <v>5847.79</v>
      </c>
      <c r="H2709" s="39">
        <f t="shared" si="269"/>
        <v>2</v>
      </c>
      <c r="I2709" s="39">
        <f t="shared" si="270"/>
        <v>0</v>
      </c>
      <c r="K2709" s="40"/>
      <c r="Q2709" s="40">
        <v>37068</v>
      </c>
      <c r="R2709" s="39">
        <v>5847.79</v>
      </c>
      <c r="S2709" s="39">
        <f t="shared" si="271"/>
        <v>6</v>
      </c>
      <c r="T2709" s="39">
        <f t="shared" si="272"/>
        <v>0</v>
      </c>
      <c r="U2709" s="39">
        <f t="shared" si="273"/>
        <v>0</v>
      </c>
      <c r="V2709" s="40"/>
    </row>
    <row r="2710" spans="2:22" x14ac:dyDescent="0.35">
      <c r="B2710" s="40">
        <v>37069</v>
      </c>
      <c r="C2710" s="39">
        <v>5833.1</v>
      </c>
      <c r="D2710" s="219">
        <f t="shared" si="274"/>
        <v>-2.5152206286485107E-3</v>
      </c>
      <c r="F2710" s="40">
        <v>37069</v>
      </c>
      <c r="G2710" s="39">
        <v>5833.1</v>
      </c>
      <c r="H2710" s="39">
        <f t="shared" si="269"/>
        <v>3</v>
      </c>
      <c r="I2710" s="39">
        <f t="shared" si="270"/>
        <v>0</v>
      </c>
      <c r="K2710" s="40"/>
      <c r="Q2710" s="40">
        <v>37069</v>
      </c>
      <c r="R2710" s="39">
        <v>5833.1</v>
      </c>
      <c r="S2710" s="39">
        <f t="shared" si="271"/>
        <v>6</v>
      </c>
      <c r="T2710" s="39">
        <f t="shared" si="272"/>
        <v>0</v>
      </c>
      <c r="U2710" s="39">
        <f t="shared" si="273"/>
        <v>0</v>
      </c>
      <c r="V2710" s="40"/>
    </row>
    <row r="2711" spans="2:22" x14ac:dyDescent="0.35">
      <c r="B2711" s="40">
        <v>37070</v>
      </c>
      <c r="C2711" s="39">
        <v>5971.77</v>
      </c>
      <c r="D2711" s="219">
        <f t="shared" si="274"/>
        <v>2.3494774413008471E-2</v>
      </c>
      <c r="F2711" s="40">
        <v>37070</v>
      </c>
      <c r="G2711" s="39">
        <v>5971.77</v>
      </c>
      <c r="H2711" s="39">
        <f t="shared" si="269"/>
        <v>4</v>
      </c>
      <c r="I2711" s="39">
        <f t="shared" si="270"/>
        <v>0</v>
      </c>
      <c r="K2711" s="40"/>
      <c r="Q2711" s="40">
        <v>37070</v>
      </c>
      <c r="R2711" s="39">
        <v>5971.77</v>
      </c>
      <c r="S2711" s="39">
        <f t="shared" si="271"/>
        <v>6</v>
      </c>
      <c r="T2711" s="39">
        <f t="shared" si="272"/>
        <v>0</v>
      </c>
      <c r="U2711" s="39">
        <f t="shared" si="273"/>
        <v>0</v>
      </c>
      <c r="V2711" s="40"/>
    </row>
    <row r="2712" spans="2:22" x14ac:dyDescent="0.35">
      <c r="B2712" s="40">
        <v>37071</v>
      </c>
      <c r="C2712" s="39">
        <v>6058.38</v>
      </c>
      <c r="D2712" s="219">
        <f t="shared" si="274"/>
        <v>1.439907173604346E-2</v>
      </c>
      <c r="F2712" s="40">
        <v>37071</v>
      </c>
      <c r="G2712" s="39">
        <v>6058.38</v>
      </c>
      <c r="H2712" s="39">
        <f t="shared" si="269"/>
        <v>5</v>
      </c>
      <c r="I2712" s="39">
        <f t="shared" si="270"/>
        <v>6058.38</v>
      </c>
      <c r="K2712" s="40"/>
      <c r="Q2712" s="40">
        <v>37071</v>
      </c>
      <c r="R2712" s="39">
        <v>6058.38</v>
      </c>
      <c r="S2712" s="39">
        <f t="shared" si="271"/>
        <v>6</v>
      </c>
      <c r="T2712" s="39">
        <f t="shared" si="272"/>
        <v>6058.38</v>
      </c>
      <c r="U2712" s="39">
        <f t="shared" si="273"/>
        <v>6058.38</v>
      </c>
      <c r="V2712" s="40"/>
    </row>
    <row r="2713" spans="2:22" x14ac:dyDescent="0.35">
      <c r="B2713" s="40">
        <v>37074</v>
      </c>
      <c r="C2713" s="39">
        <v>6109.5</v>
      </c>
      <c r="D2713" s="219">
        <f t="shared" si="274"/>
        <v>8.402499164050484E-3</v>
      </c>
      <c r="F2713" s="40">
        <v>37074</v>
      </c>
      <c r="G2713" s="39">
        <v>6109.5</v>
      </c>
      <c r="H2713" s="39">
        <f t="shared" si="269"/>
        <v>1</v>
      </c>
      <c r="I2713" s="39">
        <f t="shared" si="270"/>
        <v>0</v>
      </c>
      <c r="K2713" s="40"/>
      <c r="Q2713" s="40">
        <v>37074</v>
      </c>
      <c r="R2713" s="39">
        <v>6109.5</v>
      </c>
      <c r="S2713" s="39">
        <f t="shared" si="271"/>
        <v>7</v>
      </c>
      <c r="T2713" s="39">
        <f t="shared" si="272"/>
        <v>0</v>
      </c>
      <c r="U2713" s="39">
        <f t="shared" si="273"/>
        <v>0</v>
      </c>
      <c r="V2713" s="40"/>
    </row>
    <row r="2714" spans="2:22" x14ac:dyDescent="0.35">
      <c r="B2714" s="40">
        <v>37075</v>
      </c>
      <c r="C2714" s="39">
        <v>6056.84</v>
      </c>
      <c r="D2714" s="219">
        <f t="shared" si="274"/>
        <v>-8.6567248418828006E-3</v>
      </c>
      <c r="F2714" s="40">
        <v>37075</v>
      </c>
      <c r="G2714" s="39">
        <v>6056.84</v>
      </c>
      <c r="H2714" s="39">
        <f t="shared" si="269"/>
        <v>2</v>
      </c>
      <c r="I2714" s="39">
        <f t="shared" si="270"/>
        <v>0</v>
      </c>
      <c r="K2714" s="40"/>
      <c r="Q2714" s="40">
        <v>37075</v>
      </c>
      <c r="R2714" s="39">
        <v>6056.84</v>
      </c>
      <c r="S2714" s="39">
        <f t="shared" si="271"/>
        <v>7</v>
      </c>
      <c r="T2714" s="39">
        <f t="shared" si="272"/>
        <v>0</v>
      </c>
      <c r="U2714" s="39">
        <f t="shared" si="273"/>
        <v>0</v>
      </c>
      <c r="V2714" s="40"/>
    </row>
    <row r="2715" spans="2:22" x14ac:dyDescent="0.35">
      <c r="B2715" s="40">
        <v>37076</v>
      </c>
      <c r="C2715" s="39">
        <v>6015.72</v>
      </c>
      <c r="D2715" s="219">
        <f t="shared" si="274"/>
        <v>-6.8121689213481423E-3</v>
      </c>
      <c r="F2715" s="40">
        <v>37076</v>
      </c>
      <c r="G2715" s="39">
        <v>6015.72</v>
      </c>
      <c r="H2715" s="39">
        <f t="shared" si="269"/>
        <v>3</v>
      </c>
      <c r="I2715" s="39">
        <f t="shared" si="270"/>
        <v>0</v>
      </c>
      <c r="K2715" s="40"/>
      <c r="Q2715" s="40">
        <v>37076</v>
      </c>
      <c r="R2715" s="39">
        <v>6015.72</v>
      </c>
      <c r="S2715" s="39">
        <f t="shared" si="271"/>
        <v>7</v>
      </c>
      <c r="T2715" s="39">
        <f t="shared" si="272"/>
        <v>0</v>
      </c>
      <c r="U2715" s="39">
        <f t="shared" si="273"/>
        <v>0</v>
      </c>
      <c r="V2715" s="40"/>
    </row>
    <row r="2716" spans="2:22" x14ac:dyDescent="0.35">
      <c r="B2716" s="40">
        <v>37077</v>
      </c>
      <c r="C2716" s="39">
        <v>5999.19</v>
      </c>
      <c r="D2716" s="219">
        <f t="shared" si="274"/>
        <v>-2.7515828964742805E-3</v>
      </c>
      <c r="F2716" s="40">
        <v>37077</v>
      </c>
      <c r="G2716" s="39">
        <v>5999.19</v>
      </c>
      <c r="H2716" s="39">
        <f t="shared" si="269"/>
        <v>4</v>
      </c>
      <c r="I2716" s="39">
        <f t="shared" si="270"/>
        <v>0</v>
      </c>
      <c r="K2716" s="40"/>
      <c r="Q2716" s="40">
        <v>37077</v>
      </c>
      <c r="R2716" s="39">
        <v>5999.19</v>
      </c>
      <c r="S2716" s="39">
        <f t="shared" si="271"/>
        <v>7</v>
      </c>
      <c r="T2716" s="39">
        <f t="shared" si="272"/>
        <v>0</v>
      </c>
      <c r="U2716" s="39">
        <f t="shared" si="273"/>
        <v>0</v>
      </c>
      <c r="V2716" s="40"/>
    </row>
    <row r="2717" spans="2:22" x14ac:dyDescent="0.35">
      <c r="B2717" s="40">
        <v>37078</v>
      </c>
      <c r="C2717" s="39">
        <v>5862.1</v>
      </c>
      <c r="D2717" s="219">
        <f t="shared" si="274"/>
        <v>-2.311655894731366E-2</v>
      </c>
      <c r="F2717" s="40">
        <v>37078</v>
      </c>
      <c r="G2717" s="39">
        <v>5862.1</v>
      </c>
      <c r="H2717" s="39">
        <f t="shared" si="269"/>
        <v>5</v>
      </c>
      <c r="I2717" s="39">
        <f t="shared" si="270"/>
        <v>5862.1</v>
      </c>
      <c r="K2717" s="40"/>
      <c r="Q2717" s="40">
        <v>37078</v>
      </c>
      <c r="R2717" s="39">
        <v>5862.1</v>
      </c>
      <c r="S2717" s="39">
        <f t="shared" si="271"/>
        <v>7</v>
      </c>
      <c r="T2717" s="39">
        <f t="shared" si="272"/>
        <v>0</v>
      </c>
      <c r="U2717" s="39">
        <f t="shared" si="273"/>
        <v>0</v>
      </c>
      <c r="V2717" s="40"/>
    </row>
    <row r="2718" spans="2:22" x14ac:dyDescent="0.35">
      <c r="B2718" s="40">
        <v>37081</v>
      </c>
      <c r="C2718" s="39">
        <v>5869.86</v>
      </c>
      <c r="D2718" s="219">
        <f t="shared" si="274"/>
        <v>1.3228823029872014E-3</v>
      </c>
      <c r="F2718" s="40">
        <v>37081</v>
      </c>
      <c r="G2718" s="39">
        <v>5869.86</v>
      </c>
      <c r="H2718" s="39">
        <f t="shared" si="269"/>
        <v>1</v>
      </c>
      <c r="I2718" s="39">
        <f t="shared" si="270"/>
        <v>0</v>
      </c>
      <c r="K2718" s="40"/>
      <c r="Q2718" s="40">
        <v>37081</v>
      </c>
      <c r="R2718" s="39">
        <v>5869.86</v>
      </c>
      <c r="S2718" s="39">
        <f t="shared" si="271"/>
        <v>7</v>
      </c>
      <c r="T2718" s="39">
        <f t="shared" si="272"/>
        <v>0</v>
      </c>
      <c r="U2718" s="39">
        <f t="shared" si="273"/>
        <v>0</v>
      </c>
      <c r="V2718" s="40"/>
    </row>
    <row r="2719" spans="2:22" x14ac:dyDescent="0.35">
      <c r="B2719" s="40">
        <v>37082</v>
      </c>
      <c r="C2719" s="39">
        <v>5816.32</v>
      </c>
      <c r="D2719" s="219">
        <f t="shared" si="274"/>
        <v>-9.1630241200323578E-3</v>
      </c>
      <c r="F2719" s="40">
        <v>37082</v>
      </c>
      <c r="G2719" s="39">
        <v>5816.32</v>
      </c>
      <c r="H2719" s="39">
        <f t="shared" si="269"/>
        <v>2</v>
      </c>
      <c r="I2719" s="39">
        <f t="shared" si="270"/>
        <v>0</v>
      </c>
      <c r="K2719" s="40"/>
      <c r="Q2719" s="40">
        <v>37082</v>
      </c>
      <c r="R2719" s="39">
        <v>5816.32</v>
      </c>
      <c r="S2719" s="39">
        <f t="shared" si="271"/>
        <v>7</v>
      </c>
      <c r="T2719" s="39">
        <f t="shared" si="272"/>
        <v>0</v>
      </c>
      <c r="U2719" s="39">
        <f t="shared" si="273"/>
        <v>0</v>
      </c>
      <c r="V2719" s="40"/>
    </row>
    <row r="2720" spans="2:22" x14ac:dyDescent="0.35">
      <c r="B2720" s="40">
        <v>37083</v>
      </c>
      <c r="C2720" s="39">
        <v>5801.8</v>
      </c>
      <c r="D2720" s="219">
        <f t="shared" si="274"/>
        <v>-2.4995451174109323E-3</v>
      </c>
      <c r="F2720" s="40">
        <v>37083</v>
      </c>
      <c r="G2720" s="39">
        <v>5801.8</v>
      </c>
      <c r="H2720" s="39">
        <f t="shared" si="269"/>
        <v>3</v>
      </c>
      <c r="I2720" s="39">
        <f t="shared" si="270"/>
        <v>0</v>
      </c>
      <c r="K2720" s="40"/>
      <c r="Q2720" s="40">
        <v>37083</v>
      </c>
      <c r="R2720" s="39">
        <v>5801.8</v>
      </c>
      <c r="S2720" s="39">
        <f t="shared" si="271"/>
        <v>7</v>
      </c>
      <c r="T2720" s="39">
        <f t="shared" si="272"/>
        <v>0</v>
      </c>
      <c r="U2720" s="39">
        <f t="shared" si="273"/>
        <v>0</v>
      </c>
      <c r="V2720" s="40"/>
    </row>
    <row r="2721" spans="2:22" x14ac:dyDescent="0.35">
      <c r="B2721" s="40">
        <v>37084</v>
      </c>
      <c r="C2721" s="39">
        <v>5889.88</v>
      </c>
      <c r="D2721" s="219">
        <f t="shared" si="274"/>
        <v>1.5067409708556115E-2</v>
      </c>
      <c r="F2721" s="40">
        <v>37084</v>
      </c>
      <c r="G2721" s="39">
        <v>5889.88</v>
      </c>
      <c r="H2721" s="39">
        <f t="shared" si="269"/>
        <v>4</v>
      </c>
      <c r="I2721" s="39">
        <f t="shared" si="270"/>
        <v>0</v>
      </c>
      <c r="K2721" s="40"/>
      <c r="Q2721" s="40">
        <v>37084</v>
      </c>
      <c r="R2721" s="39">
        <v>5889.88</v>
      </c>
      <c r="S2721" s="39">
        <f t="shared" si="271"/>
        <v>7</v>
      </c>
      <c r="T2721" s="39">
        <f t="shared" si="272"/>
        <v>0</v>
      </c>
      <c r="U2721" s="39">
        <f t="shared" si="273"/>
        <v>0</v>
      </c>
      <c r="V2721" s="40"/>
    </row>
    <row r="2722" spans="2:22" x14ac:dyDescent="0.35">
      <c r="B2722" s="40">
        <v>37085</v>
      </c>
      <c r="C2722" s="39">
        <v>5928.01</v>
      </c>
      <c r="D2722" s="219">
        <f t="shared" si="274"/>
        <v>6.4529509604234567E-3</v>
      </c>
      <c r="F2722" s="40">
        <v>37085</v>
      </c>
      <c r="G2722" s="39">
        <v>5928.01</v>
      </c>
      <c r="H2722" s="39">
        <f t="shared" si="269"/>
        <v>5</v>
      </c>
      <c r="I2722" s="39">
        <f t="shared" si="270"/>
        <v>5928.01</v>
      </c>
      <c r="K2722" s="40"/>
      <c r="Q2722" s="40">
        <v>37085</v>
      </c>
      <c r="R2722" s="39">
        <v>5928.01</v>
      </c>
      <c r="S2722" s="39">
        <f t="shared" si="271"/>
        <v>7</v>
      </c>
      <c r="T2722" s="39">
        <f t="shared" si="272"/>
        <v>0</v>
      </c>
      <c r="U2722" s="39">
        <f t="shared" si="273"/>
        <v>0</v>
      </c>
      <c r="V2722" s="40"/>
    </row>
    <row r="2723" spans="2:22" x14ac:dyDescent="0.35">
      <c r="B2723" s="40">
        <v>37088</v>
      </c>
      <c r="C2723" s="39">
        <v>5853.76</v>
      </c>
      <c r="D2723" s="219">
        <f t="shared" si="274"/>
        <v>-1.2604385081148261E-2</v>
      </c>
      <c r="F2723" s="40">
        <v>37088</v>
      </c>
      <c r="G2723" s="39">
        <v>5853.76</v>
      </c>
      <c r="H2723" s="39">
        <f t="shared" si="269"/>
        <v>1</v>
      </c>
      <c r="I2723" s="39">
        <f t="shared" si="270"/>
        <v>0</v>
      </c>
      <c r="K2723" s="40"/>
      <c r="Q2723" s="40">
        <v>37088</v>
      </c>
      <c r="R2723" s="39">
        <v>5853.76</v>
      </c>
      <c r="S2723" s="39">
        <f t="shared" si="271"/>
        <v>7</v>
      </c>
      <c r="T2723" s="39">
        <f t="shared" si="272"/>
        <v>0</v>
      </c>
      <c r="U2723" s="39">
        <f t="shared" si="273"/>
        <v>0</v>
      </c>
      <c r="V2723" s="40"/>
    </row>
    <row r="2724" spans="2:22" x14ac:dyDescent="0.35">
      <c r="B2724" s="40">
        <v>37089</v>
      </c>
      <c r="C2724" s="39">
        <v>5846.66</v>
      </c>
      <c r="D2724" s="219">
        <f t="shared" si="274"/>
        <v>-1.2136317963743436E-3</v>
      </c>
      <c r="F2724" s="40">
        <v>37089</v>
      </c>
      <c r="G2724" s="39">
        <v>5846.66</v>
      </c>
      <c r="H2724" s="39">
        <f t="shared" si="269"/>
        <v>2</v>
      </c>
      <c r="I2724" s="39">
        <f t="shared" si="270"/>
        <v>0</v>
      </c>
      <c r="K2724" s="40"/>
      <c r="Q2724" s="40">
        <v>37089</v>
      </c>
      <c r="R2724" s="39">
        <v>5846.66</v>
      </c>
      <c r="S2724" s="39">
        <f t="shared" si="271"/>
        <v>7</v>
      </c>
      <c r="T2724" s="39">
        <f t="shared" si="272"/>
        <v>0</v>
      </c>
      <c r="U2724" s="39">
        <f t="shared" si="273"/>
        <v>0</v>
      </c>
      <c r="V2724" s="40"/>
    </row>
    <row r="2725" spans="2:22" x14ac:dyDescent="0.35">
      <c r="B2725" s="40">
        <v>37090</v>
      </c>
      <c r="C2725" s="39">
        <v>5728.37</v>
      </c>
      <c r="D2725" s="219">
        <f t="shared" si="274"/>
        <v>-2.0439535480175845E-2</v>
      </c>
      <c r="F2725" s="40">
        <v>37090</v>
      </c>
      <c r="G2725" s="39">
        <v>5728.37</v>
      </c>
      <c r="H2725" s="39">
        <f t="shared" si="269"/>
        <v>3</v>
      </c>
      <c r="I2725" s="39">
        <f t="shared" si="270"/>
        <v>0</v>
      </c>
      <c r="K2725" s="40"/>
      <c r="Q2725" s="40">
        <v>37090</v>
      </c>
      <c r="R2725" s="39">
        <v>5728.37</v>
      </c>
      <c r="S2725" s="39">
        <f t="shared" si="271"/>
        <v>7</v>
      </c>
      <c r="T2725" s="39">
        <f t="shared" si="272"/>
        <v>0</v>
      </c>
      <c r="U2725" s="39">
        <f t="shared" si="273"/>
        <v>0</v>
      </c>
      <c r="V2725" s="40"/>
    </row>
    <row r="2726" spans="2:22" x14ac:dyDescent="0.35">
      <c r="B2726" s="40">
        <v>37091</v>
      </c>
      <c r="C2726" s="39">
        <v>5829.69</v>
      </c>
      <c r="D2726" s="219">
        <f t="shared" si="274"/>
        <v>1.753280316255534E-2</v>
      </c>
      <c r="F2726" s="40">
        <v>37091</v>
      </c>
      <c r="G2726" s="39">
        <v>5829.69</v>
      </c>
      <c r="H2726" s="39">
        <f t="shared" si="269"/>
        <v>4</v>
      </c>
      <c r="I2726" s="39">
        <f t="shared" si="270"/>
        <v>0</v>
      </c>
      <c r="K2726" s="40"/>
      <c r="Q2726" s="40">
        <v>37091</v>
      </c>
      <c r="R2726" s="39">
        <v>5829.69</v>
      </c>
      <c r="S2726" s="39">
        <f t="shared" si="271"/>
        <v>7</v>
      </c>
      <c r="T2726" s="39">
        <f t="shared" si="272"/>
        <v>0</v>
      </c>
      <c r="U2726" s="39">
        <f t="shared" si="273"/>
        <v>0</v>
      </c>
      <c r="V2726" s="40"/>
    </row>
    <row r="2727" spans="2:22" x14ac:dyDescent="0.35">
      <c r="B2727" s="40">
        <v>37092</v>
      </c>
      <c r="C2727" s="39">
        <v>5764.06</v>
      </c>
      <c r="D2727" s="219">
        <f t="shared" si="274"/>
        <v>-1.1321738185813203E-2</v>
      </c>
      <c r="F2727" s="40">
        <v>37092</v>
      </c>
      <c r="G2727" s="39">
        <v>5764.06</v>
      </c>
      <c r="H2727" s="39">
        <f t="shared" si="269"/>
        <v>5</v>
      </c>
      <c r="I2727" s="39">
        <f t="shared" si="270"/>
        <v>5764.06</v>
      </c>
      <c r="K2727" s="40"/>
      <c r="Q2727" s="40">
        <v>37092</v>
      </c>
      <c r="R2727" s="39">
        <v>5764.06</v>
      </c>
      <c r="S2727" s="39">
        <f t="shared" si="271"/>
        <v>7</v>
      </c>
      <c r="T2727" s="39">
        <f t="shared" si="272"/>
        <v>0</v>
      </c>
      <c r="U2727" s="39">
        <f t="shared" si="273"/>
        <v>0</v>
      </c>
      <c r="V2727" s="40"/>
    </row>
    <row r="2728" spans="2:22" x14ac:dyDescent="0.35">
      <c r="B2728" s="40">
        <v>37095</v>
      </c>
      <c r="C2728" s="39">
        <v>5791.73</v>
      </c>
      <c r="D2728" s="219">
        <f t="shared" si="274"/>
        <v>4.7889504537669617E-3</v>
      </c>
      <c r="F2728" s="40">
        <v>37095</v>
      </c>
      <c r="G2728" s="39">
        <v>5791.73</v>
      </c>
      <c r="H2728" s="39">
        <f t="shared" si="269"/>
        <v>1</v>
      </c>
      <c r="I2728" s="39">
        <f t="shared" si="270"/>
        <v>0</v>
      </c>
      <c r="K2728" s="40"/>
      <c r="Q2728" s="40">
        <v>37095</v>
      </c>
      <c r="R2728" s="39">
        <v>5791.73</v>
      </c>
      <c r="S2728" s="39">
        <f t="shared" si="271"/>
        <v>7</v>
      </c>
      <c r="T2728" s="39">
        <f t="shared" si="272"/>
        <v>0</v>
      </c>
      <c r="U2728" s="39">
        <f t="shared" si="273"/>
        <v>0</v>
      </c>
      <c r="V2728" s="40"/>
    </row>
    <row r="2729" spans="2:22" x14ac:dyDescent="0.35">
      <c r="B2729" s="40">
        <v>37096</v>
      </c>
      <c r="C2729" s="39">
        <v>5663.26</v>
      </c>
      <c r="D2729" s="219">
        <f t="shared" si="274"/>
        <v>-2.2431339836268403E-2</v>
      </c>
      <c r="F2729" s="40">
        <v>37096</v>
      </c>
      <c r="G2729" s="39">
        <v>5663.26</v>
      </c>
      <c r="H2729" s="39">
        <f t="shared" si="269"/>
        <v>2</v>
      </c>
      <c r="I2729" s="39">
        <f t="shared" si="270"/>
        <v>0</v>
      </c>
      <c r="K2729" s="40"/>
      <c r="Q2729" s="40">
        <v>37096</v>
      </c>
      <c r="R2729" s="39">
        <v>5663.26</v>
      </c>
      <c r="S2729" s="39">
        <f t="shared" si="271"/>
        <v>7</v>
      </c>
      <c r="T2729" s="39">
        <f t="shared" si="272"/>
        <v>0</v>
      </c>
      <c r="U2729" s="39">
        <f t="shared" si="273"/>
        <v>0</v>
      </c>
      <c r="V2729" s="40"/>
    </row>
    <row r="2730" spans="2:22" x14ac:dyDescent="0.35">
      <c r="B2730" s="40">
        <v>37097</v>
      </c>
      <c r="C2730" s="39">
        <v>5582.76</v>
      </c>
      <c r="D2730" s="219">
        <f t="shared" si="274"/>
        <v>-1.4316420375311608E-2</v>
      </c>
      <c r="F2730" s="40">
        <v>37097</v>
      </c>
      <c r="G2730" s="39">
        <v>5582.76</v>
      </c>
      <c r="H2730" s="39">
        <f t="shared" si="269"/>
        <v>3</v>
      </c>
      <c r="I2730" s="39">
        <f t="shared" si="270"/>
        <v>0</v>
      </c>
      <c r="K2730" s="40"/>
      <c r="Q2730" s="40">
        <v>37097</v>
      </c>
      <c r="R2730" s="39">
        <v>5582.76</v>
      </c>
      <c r="S2730" s="39">
        <f t="shared" si="271"/>
        <v>7</v>
      </c>
      <c r="T2730" s="39">
        <f t="shared" si="272"/>
        <v>0</v>
      </c>
      <c r="U2730" s="39">
        <f t="shared" si="273"/>
        <v>0</v>
      </c>
      <c r="V2730" s="40"/>
    </row>
    <row r="2731" spans="2:22" x14ac:dyDescent="0.35">
      <c r="B2731" s="40">
        <v>37098</v>
      </c>
      <c r="C2731" s="39">
        <v>5675.76</v>
      </c>
      <c r="D2731" s="219">
        <f t="shared" si="274"/>
        <v>1.6521197342559975E-2</v>
      </c>
      <c r="F2731" s="40">
        <v>37098</v>
      </c>
      <c r="G2731" s="39">
        <v>5675.76</v>
      </c>
      <c r="H2731" s="39">
        <f t="shared" si="269"/>
        <v>4</v>
      </c>
      <c r="I2731" s="39">
        <f t="shared" si="270"/>
        <v>0</v>
      </c>
      <c r="K2731" s="40"/>
      <c r="Q2731" s="40">
        <v>37098</v>
      </c>
      <c r="R2731" s="39">
        <v>5675.76</v>
      </c>
      <c r="S2731" s="39">
        <f t="shared" si="271"/>
        <v>7</v>
      </c>
      <c r="T2731" s="39">
        <f t="shared" si="272"/>
        <v>0</v>
      </c>
      <c r="U2731" s="39">
        <f t="shared" si="273"/>
        <v>0</v>
      </c>
      <c r="V2731" s="40"/>
    </row>
    <row r="2732" spans="2:22" x14ac:dyDescent="0.35">
      <c r="B2732" s="40">
        <v>37099</v>
      </c>
      <c r="C2732" s="39">
        <v>5754.86</v>
      </c>
      <c r="D2732" s="219">
        <f t="shared" si="274"/>
        <v>1.3840240099753737E-2</v>
      </c>
      <c r="F2732" s="40">
        <v>37099</v>
      </c>
      <c r="G2732" s="39">
        <v>5754.86</v>
      </c>
      <c r="H2732" s="39">
        <f t="shared" si="269"/>
        <v>5</v>
      </c>
      <c r="I2732" s="39">
        <f t="shared" si="270"/>
        <v>5754.86</v>
      </c>
      <c r="K2732" s="40"/>
      <c r="Q2732" s="40">
        <v>37099</v>
      </c>
      <c r="R2732" s="39">
        <v>5754.86</v>
      </c>
      <c r="S2732" s="39">
        <f t="shared" si="271"/>
        <v>7</v>
      </c>
      <c r="T2732" s="39">
        <f t="shared" si="272"/>
        <v>0</v>
      </c>
      <c r="U2732" s="39">
        <f t="shared" si="273"/>
        <v>0</v>
      </c>
      <c r="V2732" s="40"/>
    </row>
    <row r="2733" spans="2:22" x14ac:dyDescent="0.35">
      <c r="B2733" s="40">
        <v>37102</v>
      </c>
      <c r="C2733" s="39">
        <v>5792.19</v>
      </c>
      <c r="D2733" s="219">
        <f t="shared" si="274"/>
        <v>6.4657432072945231E-3</v>
      </c>
      <c r="F2733" s="40">
        <v>37102</v>
      </c>
      <c r="G2733" s="39">
        <v>5792.19</v>
      </c>
      <c r="H2733" s="39">
        <f t="shared" si="269"/>
        <v>1</v>
      </c>
      <c r="I2733" s="39">
        <f t="shared" si="270"/>
        <v>0</v>
      </c>
      <c r="K2733" s="40"/>
      <c r="Q2733" s="40">
        <v>37102</v>
      </c>
      <c r="R2733" s="39">
        <v>5792.19</v>
      </c>
      <c r="S2733" s="39">
        <f t="shared" si="271"/>
        <v>7</v>
      </c>
      <c r="T2733" s="39">
        <f t="shared" si="272"/>
        <v>0</v>
      </c>
      <c r="U2733" s="39">
        <f t="shared" si="273"/>
        <v>0</v>
      </c>
      <c r="V2733" s="40"/>
    </row>
    <row r="2734" spans="2:22" x14ac:dyDescent="0.35">
      <c r="B2734" s="40">
        <v>37103</v>
      </c>
      <c r="C2734" s="39">
        <v>5861.19</v>
      </c>
      <c r="D2734" s="219">
        <f t="shared" si="274"/>
        <v>1.1842196232231756E-2</v>
      </c>
      <c r="F2734" s="40">
        <v>37103</v>
      </c>
      <c r="G2734" s="39">
        <v>5861.19</v>
      </c>
      <c r="H2734" s="39">
        <f t="shared" si="269"/>
        <v>2</v>
      </c>
      <c r="I2734" s="39">
        <f t="shared" si="270"/>
        <v>0</v>
      </c>
      <c r="K2734" s="40"/>
      <c r="Q2734" s="40">
        <v>37103</v>
      </c>
      <c r="R2734" s="39">
        <v>5861.19</v>
      </c>
      <c r="S2734" s="39">
        <f t="shared" si="271"/>
        <v>7</v>
      </c>
      <c r="T2734" s="39">
        <f t="shared" si="272"/>
        <v>5861.19</v>
      </c>
      <c r="U2734" s="39">
        <f t="shared" si="273"/>
        <v>5861.19</v>
      </c>
      <c r="V2734" s="40"/>
    </row>
    <row r="2735" spans="2:22" x14ac:dyDescent="0.35">
      <c r="B2735" s="40">
        <v>37104</v>
      </c>
      <c r="C2735" s="39">
        <v>5835.23</v>
      </c>
      <c r="D2735" s="219">
        <f t="shared" si="274"/>
        <v>-4.438972373997355E-3</v>
      </c>
      <c r="F2735" s="40">
        <v>37104</v>
      </c>
      <c r="G2735" s="39">
        <v>5835.23</v>
      </c>
      <c r="H2735" s="39">
        <f t="shared" si="269"/>
        <v>3</v>
      </c>
      <c r="I2735" s="39">
        <f t="shared" si="270"/>
        <v>0</v>
      </c>
      <c r="K2735" s="40"/>
      <c r="Q2735" s="40">
        <v>37104</v>
      </c>
      <c r="R2735" s="39">
        <v>5835.23</v>
      </c>
      <c r="S2735" s="39">
        <f t="shared" si="271"/>
        <v>8</v>
      </c>
      <c r="T2735" s="39">
        <f t="shared" si="272"/>
        <v>0</v>
      </c>
      <c r="U2735" s="39">
        <f t="shared" si="273"/>
        <v>0</v>
      </c>
      <c r="V2735" s="40"/>
    </row>
    <row r="2736" spans="2:22" x14ac:dyDescent="0.35">
      <c r="B2736" s="40">
        <v>37105</v>
      </c>
      <c r="C2736" s="39">
        <v>5777.28</v>
      </c>
      <c r="D2736" s="219">
        <f t="shared" si="274"/>
        <v>-9.9806985834194079E-3</v>
      </c>
      <c r="F2736" s="40">
        <v>37105</v>
      </c>
      <c r="G2736" s="39">
        <v>5777.28</v>
      </c>
      <c r="H2736" s="39">
        <f t="shared" si="269"/>
        <v>4</v>
      </c>
      <c r="I2736" s="39">
        <f t="shared" si="270"/>
        <v>0</v>
      </c>
      <c r="K2736" s="40"/>
      <c r="Q2736" s="40">
        <v>37105</v>
      </c>
      <c r="R2736" s="39">
        <v>5777.28</v>
      </c>
      <c r="S2736" s="39">
        <f t="shared" si="271"/>
        <v>8</v>
      </c>
      <c r="T2736" s="39">
        <f t="shared" si="272"/>
        <v>0</v>
      </c>
      <c r="U2736" s="39">
        <f t="shared" si="273"/>
        <v>0</v>
      </c>
      <c r="V2736" s="40"/>
    </row>
    <row r="2737" spans="2:22" x14ac:dyDescent="0.35">
      <c r="B2737" s="40">
        <v>37106</v>
      </c>
      <c r="C2737" s="39">
        <v>5735.88</v>
      </c>
      <c r="D2737" s="219">
        <f t="shared" si="274"/>
        <v>-7.1918011112078201E-3</v>
      </c>
      <c r="F2737" s="40">
        <v>37106</v>
      </c>
      <c r="G2737" s="39">
        <v>5735.88</v>
      </c>
      <c r="H2737" s="39">
        <f t="shared" si="269"/>
        <v>5</v>
      </c>
      <c r="I2737" s="39">
        <f t="shared" si="270"/>
        <v>5735.88</v>
      </c>
      <c r="K2737" s="40"/>
      <c r="Q2737" s="40">
        <v>37106</v>
      </c>
      <c r="R2737" s="39">
        <v>5735.88</v>
      </c>
      <c r="S2737" s="39">
        <f t="shared" si="271"/>
        <v>8</v>
      </c>
      <c r="T2737" s="39">
        <f t="shared" si="272"/>
        <v>0</v>
      </c>
      <c r="U2737" s="39">
        <f t="shared" si="273"/>
        <v>0</v>
      </c>
      <c r="V2737" s="40"/>
    </row>
    <row r="2738" spans="2:22" x14ac:dyDescent="0.35">
      <c r="B2738" s="40">
        <v>37109</v>
      </c>
      <c r="C2738" s="39">
        <v>5746.04</v>
      </c>
      <c r="D2738" s="219">
        <f t="shared" si="274"/>
        <v>1.7697393209044916E-3</v>
      </c>
      <c r="F2738" s="40">
        <v>37109</v>
      </c>
      <c r="G2738" s="39">
        <v>5746.04</v>
      </c>
      <c r="H2738" s="39">
        <f t="shared" si="269"/>
        <v>1</v>
      </c>
      <c r="I2738" s="39">
        <f t="shared" si="270"/>
        <v>0</v>
      </c>
      <c r="K2738" s="40"/>
      <c r="Q2738" s="40">
        <v>37109</v>
      </c>
      <c r="R2738" s="39">
        <v>5746.04</v>
      </c>
      <c r="S2738" s="39">
        <f t="shared" si="271"/>
        <v>8</v>
      </c>
      <c r="T2738" s="39">
        <f t="shared" si="272"/>
        <v>0</v>
      </c>
      <c r="U2738" s="39">
        <f t="shared" si="273"/>
        <v>0</v>
      </c>
      <c r="V2738" s="40"/>
    </row>
    <row r="2739" spans="2:22" x14ac:dyDescent="0.35">
      <c r="B2739" s="40">
        <v>37110</v>
      </c>
      <c r="C2739" s="39">
        <v>5752.51</v>
      </c>
      <c r="D2739" s="219">
        <f t="shared" si="274"/>
        <v>1.1253594031976637E-3</v>
      </c>
      <c r="F2739" s="40">
        <v>37110</v>
      </c>
      <c r="G2739" s="39">
        <v>5752.51</v>
      </c>
      <c r="H2739" s="39">
        <f t="shared" si="269"/>
        <v>2</v>
      </c>
      <c r="I2739" s="39">
        <f t="shared" si="270"/>
        <v>0</v>
      </c>
      <c r="K2739" s="40"/>
      <c r="Q2739" s="40">
        <v>37110</v>
      </c>
      <c r="R2739" s="39">
        <v>5752.51</v>
      </c>
      <c r="S2739" s="39">
        <f t="shared" si="271"/>
        <v>8</v>
      </c>
      <c r="T2739" s="39">
        <f t="shared" si="272"/>
        <v>0</v>
      </c>
      <c r="U2739" s="39">
        <f t="shared" si="273"/>
        <v>0</v>
      </c>
      <c r="V2739" s="40"/>
    </row>
    <row r="2740" spans="2:22" x14ac:dyDescent="0.35">
      <c r="B2740" s="40">
        <v>37111</v>
      </c>
      <c r="C2740" s="39">
        <v>5614.51</v>
      </c>
      <c r="D2740" s="219">
        <f t="shared" si="274"/>
        <v>-2.4281963169120097E-2</v>
      </c>
      <c r="F2740" s="40">
        <v>37111</v>
      </c>
      <c r="G2740" s="39">
        <v>5614.51</v>
      </c>
      <c r="H2740" s="39">
        <f t="shared" si="269"/>
        <v>3</v>
      </c>
      <c r="I2740" s="39">
        <f t="shared" si="270"/>
        <v>0</v>
      </c>
      <c r="K2740" s="40"/>
      <c r="Q2740" s="40">
        <v>37111</v>
      </c>
      <c r="R2740" s="39">
        <v>5614.51</v>
      </c>
      <c r="S2740" s="39">
        <f t="shared" si="271"/>
        <v>8</v>
      </c>
      <c r="T2740" s="39">
        <f t="shared" si="272"/>
        <v>0</v>
      </c>
      <c r="U2740" s="39">
        <f t="shared" si="273"/>
        <v>0</v>
      </c>
      <c r="V2740" s="40"/>
    </row>
    <row r="2741" spans="2:22" x14ac:dyDescent="0.35">
      <c r="B2741" s="40">
        <v>37112</v>
      </c>
      <c r="C2741" s="39">
        <v>5512.28</v>
      </c>
      <c r="D2741" s="219">
        <f t="shared" si="274"/>
        <v>-1.8375987451857603E-2</v>
      </c>
      <c r="F2741" s="40">
        <v>37112</v>
      </c>
      <c r="G2741" s="39">
        <v>5512.28</v>
      </c>
      <c r="H2741" s="39">
        <f t="shared" si="269"/>
        <v>4</v>
      </c>
      <c r="I2741" s="39">
        <f t="shared" si="270"/>
        <v>0</v>
      </c>
      <c r="K2741" s="40"/>
      <c r="Q2741" s="40">
        <v>37112</v>
      </c>
      <c r="R2741" s="39">
        <v>5512.28</v>
      </c>
      <c r="S2741" s="39">
        <f t="shared" si="271"/>
        <v>8</v>
      </c>
      <c r="T2741" s="39">
        <f t="shared" si="272"/>
        <v>0</v>
      </c>
      <c r="U2741" s="39">
        <f t="shared" si="273"/>
        <v>0</v>
      </c>
      <c r="V2741" s="40"/>
    </row>
    <row r="2742" spans="2:22" x14ac:dyDescent="0.35">
      <c r="B2742" s="40">
        <v>37113</v>
      </c>
      <c r="C2742" s="39">
        <v>5433.49</v>
      </c>
      <c r="D2742" s="219">
        <f t="shared" si="274"/>
        <v>-1.4396677594781904E-2</v>
      </c>
      <c r="F2742" s="40">
        <v>37113</v>
      </c>
      <c r="G2742" s="39">
        <v>5433.49</v>
      </c>
      <c r="H2742" s="39">
        <f t="shared" si="269"/>
        <v>5</v>
      </c>
      <c r="I2742" s="39">
        <f t="shared" si="270"/>
        <v>5433.49</v>
      </c>
      <c r="K2742" s="40"/>
      <c r="Q2742" s="40">
        <v>37113</v>
      </c>
      <c r="R2742" s="39">
        <v>5433.49</v>
      </c>
      <c r="S2742" s="39">
        <f t="shared" si="271"/>
        <v>8</v>
      </c>
      <c r="T2742" s="39">
        <f t="shared" si="272"/>
        <v>0</v>
      </c>
      <c r="U2742" s="39">
        <f t="shared" si="273"/>
        <v>0</v>
      </c>
      <c r="V2742" s="40"/>
    </row>
    <row r="2743" spans="2:22" x14ac:dyDescent="0.35">
      <c r="B2743" s="40">
        <v>37116</v>
      </c>
      <c r="C2743" s="39">
        <v>5453.77</v>
      </c>
      <c r="D2743" s="219">
        <f t="shared" si="274"/>
        <v>3.7254595656919013E-3</v>
      </c>
      <c r="F2743" s="40">
        <v>37116</v>
      </c>
      <c r="G2743" s="39">
        <v>5453.77</v>
      </c>
      <c r="H2743" s="39">
        <f t="shared" ref="H2743:H2806" si="275">WEEKDAY(F2743,2)</f>
        <v>1</v>
      </c>
      <c r="I2743" s="39">
        <f t="shared" ref="I2743:I2806" si="276">IF(H2743&gt;H2744,G2743,0)</f>
        <v>0</v>
      </c>
      <c r="K2743" s="40"/>
      <c r="Q2743" s="40">
        <v>37116</v>
      </c>
      <c r="R2743" s="39">
        <v>5453.77</v>
      </c>
      <c r="S2743" s="39">
        <f t="shared" ref="S2743:S2806" si="277">MONTH(Q2743)</f>
        <v>8</v>
      </c>
      <c r="T2743" s="39">
        <f t="shared" ref="T2743:T2806" si="278">IF(S2744&lt;&gt;S2743,R2743,0)</f>
        <v>0</v>
      </c>
      <c r="U2743" s="39">
        <f t="shared" ref="U2743:U2806" si="279">IF(S2744=S2743,0,R2743)</f>
        <v>0</v>
      </c>
      <c r="V2743" s="40"/>
    </row>
    <row r="2744" spans="2:22" x14ac:dyDescent="0.35">
      <c r="B2744" s="40">
        <v>37117</v>
      </c>
      <c r="C2744" s="39">
        <v>5520.71</v>
      </c>
      <c r="D2744" s="219">
        <f t="shared" ref="D2744:D2807" si="280">LN(C2744/C2743)</f>
        <v>1.2199362555731487E-2</v>
      </c>
      <c r="F2744" s="40">
        <v>37117</v>
      </c>
      <c r="G2744" s="39">
        <v>5520.71</v>
      </c>
      <c r="H2744" s="39">
        <f t="shared" si="275"/>
        <v>2</v>
      </c>
      <c r="I2744" s="39">
        <f t="shared" si="276"/>
        <v>0</v>
      </c>
      <c r="K2744" s="40"/>
      <c r="Q2744" s="40">
        <v>37117</v>
      </c>
      <c r="R2744" s="39">
        <v>5520.71</v>
      </c>
      <c r="S2744" s="39">
        <f t="shared" si="277"/>
        <v>8</v>
      </c>
      <c r="T2744" s="39">
        <f t="shared" si="278"/>
        <v>0</v>
      </c>
      <c r="U2744" s="39">
        <f t="shared" si="279"/>
        <v>0</v>
      </c>
      <c r="V2744" s="40"/>
    </row>
    <row r="2745" spans="2:22" x14ac:dyDescent="0.35">
      <c r="B2745" s="40">
        <v>37118</v>
      </c>
      <c r="C2745" s="39">
        <v>5455.44</v>
      </c>
      <c r="D2745" s="219">
        <f t="shared" si="280"/>
        <v>-1.1893199228956456E-2</v>
      </c>
      <c r="F2745" s="40">
        <v>37118</v>
      </c>
      <c r="G2745" s="39">
        <v>5455.44</v>
      </c>
      <c r="H2745" s="39">
        <f t="shared" si="275"/>
        <v>3</v>
      </c>
      <c r="I2745" s="39">
        <f t="shared" si="276"/>
        <v>0</v>
      </c>
      <c r="K2745" s="40"/>
      <c r="Q2745" s="40">
        <v>37118</v>
      </c>
      <c r="R2745" s="39">
        <v>5455.44</v>
      </c>
      <c r="S2745" s="39">
        <f t="shared" si="277"/>
        <v>8</v>
      </c>
      <c r="T2745" s="39">
        <f t="shared" si="278"/>
        <v>0</v>
      </c>
      <c r="U2745" s="39">
        <f t="shared" si="279"/>
        <v>0</v>
      </c>
      <c r="V2745" s="40"/>
    </row>
    <row r="2746" spans="2:22" x14ac:dyDescent="0.35">
      <c r="B2746" s="40">
        <v>37119</v>
      </c>
      <c r="C2746" s="39">
        <v>5361.92</v>
      </c>
      <c r="D2746" s="219">
        <f t="shared" si="280"/>
        <v>-1.7291156080776589E-2</v>
      </c>
      <c r="F2746" s="40">
        <v>37119</v>
      </c>
      <c r="G2746" s="39">
        <v>5361.92</v>
      </c>
      <c r="H2746" s="39">
        <f t="shared" si="275"/>
        <v>4</v>
      </c>
      <c r="I2746" s="39">
        <f t="shared" si="276"/>
        <v>0</v>
      </c>
      <c r="K2746" s="40"/>
      <c r="Q2746" s="40">
        <v>37119</v>
      </c>
      <c r="R2746" s="39">
        <v>5361.92</v>
      </c>
      <c r="S2746" s="39">
        <f t="shared" si="277"/>
        <v>8</v>
      </c>
      <c r="T2746" s="39">
        <f t="shared" si="278"/>
        <v>0</v>
      </c>
      <c r="U2746" s="39">
        <f t="shared" si="279"/>
        <v>0</v>
      </c>
      <c r="V2746" s="40"/>
    </row>
    <row r="2747" spans="2:22" x14ac:dyDescent="0.35">
      <c r="B2747" s="40">
        <v>37120</v>
      </c>
      <c r="C2747" s="39">
        <v>5222.12</v>
      </c>
      <c r="D2747" s="219">
        <f t="shared" si="280"/>
        <v>-2.6418670182251934E-2</v>
      </c>
      <c r="F2747" s="40">
        <v>37120</v>
      </c>
      <c r="G2747" s="39">
        <v>5222.12</v>
      </c>
      <c r="H2747" s="39">
        <f t="shared" si="275"/>
        <v>5</v>
      </c>
      <c r="I2747" s="39">
        <f t="shared" si="276"/>
        <v>5222.12</v>
      </c>
      <c r="K2747" s="40"/>
      <c r="Q2747" s="40">
        <v>37120</v>
      </c>
      <c r="R2747" s="39">
        <v>5222.12</v>
      </c>
      <c r="S2747" s="39">
        <f t="shared" si="277"/>
        <v>8</v>
      </c>
      <c r="T2747" s="39">
        <f t="shared" si="278"/>
        <v>0</v>
      </c>
      <c r="U2747" s="39">
        <f t="shared" si="279"/>
        <v>0</v>
      </c>
      <c r="V2747" s="40"/>
    </row>
    <row r="2748" spans="2:22" x14ac:dyDescent="0.35">
      <c r="B2748" s="40">
        <v>37123</v>
      </c>
      <c r="C2748" s="39">
        <v>5207.83</v>
      </c>
      <c r="D2748" s="219">
        <f t="shared" si="280"/>
        <v>-2.7401874297618254E-3</v>
      </c>
      <c r="F2748" s="40">
        <v>37123</v>
      </c>
      <c r="G2748" s="39">
        <v>5207.83</v>
      </c>
      <c r="H2748" s="39">
        <f t="shared" si="275"/>
        <v>1</v>
      </c>
      <c r="I2748" s="39">
        <f t="shared" si="276"/>
        <v>0</v>
      </c>
      <c r="K2748" s="40"/>
      <c r="Q2748" s="40">
        <v>37123</v>
      </c>
      <c r="R2748" s="39">
        <v>5207.83</v>
      </c>
      <c r="S2748" s="39">
        <f t="shared" si="277"/>
        <v>8</v>
      </c>
      <c r="T2748" s="39">
        <f t="shared" si="278"/>
        <v>0</v>
      </c>
      <c r="U2748" s="39">
        <f t="shared" si="279"/>
        <v>0</v>
      </c>
      <c r="V2748" s="40"/>
    </row>
    <row r="2749" spans="2:22" x14ac:dyDescent="0.35">
      <c r="B2749" s="40">
        <v>37124</v>
      </c>
      <c r="C2749" s="39">
        <v>5216.1099999999997</v>
      </c>
      <c r="D2749" s="219">
        <f t="shared" si="280"/>
        <v>1.5886510746282003E-3</v>
      </c>
      <c r="F2749" s="40">
        <v>37124</v>
      </c>
      <c r="G2749" s="39">
        <v>5216.1099999999997</v>
      </c>
      <c r="H2749" s="39">
        <f t="shared" si="275"/>
        <v>2</v>
      </c>
      <c r="I2749" s="39">
        <f t="shared" si="276"/>
        <v>0</v>
      </c>
      <c r="K2749" s="40"/>
      <c r="Q2749" s="40">
        <v>37124</v>
      </c>
      <c r="R2749" s="39">
        <v>5216.1099999999997</v>
      </c>
      <c r="S2749" s="39">
        <f t="shared" si="277"/>
        <v>8</v>
      </c>
      <c r="T2749" s="39">
        <f t="shared" si="278"/>
        <v>0</v>
      </c>
      <c r="U2749" s="39">
        <f t="shared" si="279"/>
        <v>0</v>
      </c>
      <c r="V2749" s="40"/>
    </row>
    <row r="2750" spans="2:22" x14ac:dyDescent="0.35">
      <c r="B2750" s="40">
        <v>37125</v>
      </c>
      <c r="C2750" s="39">
        <v>5220.21</v>
      </c>
      <c r="D2750" s="219">
        <f t="shared" si="280"/>
        <v>7.8571761136667854E-4</v>
      </c>
      <c r="F2750" s="40">
        <v>37125</v>
      </c>
      <c r="G2750" s="39">
        <v>5220.21</v>
      </c>
      <c r="H2750" s="39">
        <f t="shared" si="275"/>
        <v>3</v>
      </c>
      <c r="I2750" s="39">
        <f t="shared" si="276"/>
        <v>0</v>
      </c>
      <c r="K2750" s="40"/>
      <c r="Q2750" s="40">
        <v>37125</v>
      </c>
      <c r="R2750" s="39">
        <v>5220.21</v>
      </c>
      <c r="S2750" s="39">
        <f t="shared" si="277"/>
        <v>8</v>
      </c>
      <c r="T2750" s="39">
        <f t="shared" si="278"/>
        <v>0</v>
      </c>
      <c r="U2750" s="39">
        <f t="shared" si="279"/>
        <v>0</v>
      </c>
      <c r="V2750" s="40"/>
    </row>
    <row r="2751" spans="2:22" x14ac:dyDescent="0.35">
      <c r="B2751" s="40">
        <v>37126</v>
      </c>
      <c r="C2751" s="39">
        <v>5254.04</v>
      </c>
      <c r="D2751" s="219">
        <f t="shared" si="280"/>
        <v>6.4596735110125638E-3</v>
      </c>
      <c r="F2751" s="40">
        <v>37126</v>
      </c>
      <c r="G2751" s="39">
        <v>5254.04</v>
      </c>
      <c r="H2751" s="39">
        <f t="shared" si="275"/>
        <v>4</v>
      </c>
      <c r="I2751" s="39">
        <f t="shared" si="276"/>
        <v>0</v>
      </c>
      <c r="K2751" s="40"/>
      <c r="Q2751" s="40">
        <v>37126</v>
      </c>
      <c r="R2751" s="39">
        <v>5254.04</v>
      </c>
      <c r="S2751" s="39">
        <f t="shared" si="277"/>
        <v>8</v>
      </c>
      <c r="T2751" s="39">
        <f t="shared" si="278"/>
        <v>0</v>
      </c>
      <c r="U2751" s="39">
        <f t="shared" si="279"/>
        <v>0</v>
      </c>
      <c r="V2751" s="40"/>
    </row>
    <row r="2752" spans="2:22" x14ac:dyDescent="0.35">
      <c r="B2752" s="40">
        <v>37127</v>
      </c>
      <c r="C2752" s="39">
        <v>5387.5</v>
      </c>
      <c r="D2752" s="219">
        <f t="shared" si="280"/>
        <v>2.5084150948448826E-2</v>
      </c>
      <c r="F2752" s="40">
        <v>37127</v>
      </c>
      <c r="G2752" s="39">
        <v>5387.5</v>
      </c>
      <c r="H2752" s="39">
        <f t="shared" si="275"/>
        <v>5</v>
      </c>
      <c r="I2752" s="39">
        <f t="shared" si="276"/>
        <v>5387.5</v>
      </c>
      <c r="K2752" s="40"/>
      <c r="Q2752" s="40">
        <v>37127</v>
      </c>
      <c r="R2752" s="39">
        <v>5387.5</v>
      </c>
      <c r="S2752" s="39">
        <f t="shared" si="277"/>
        <v>8</v>
      </c>
      <c r="T2752" s="39">
        <f t="shared" si="278"/>
        <v>0</v>
      </c>
      <c r="U2752" s="39">
        <f t="shared" si="279"/>
        <v>0</v>
      </c>
      <c r="V2752" s="40"/>
    </row>
    <row r="2753" spans="2:22" x14ac:dyDescent="0.35">
      <c r="B2753" s="40">
        <v>37130</v>
      </c>
      <c r="C2753" s="39">
        <v>5406.47</v>
      </c>
      <c r="D2753" s="219">
        <f t="shared" si="280"/>
        <v>3.5149290818409559E-3</v>
      </c>
      <c r="F2753" s="40">
        <v>37130</v>
      </c>
      <c r="G2753" s="39">
        <v>5406.47</v>
      </c>
      <c r="H2753" s="39">
        <f t="shared" si="275"/>
        <v>1</v>
      </c>
      <c r="I2753" s="39">
        <f t="shared" si="276"/>
        <v>0</v>
      </c>
      <c r="K2753" s="40"/>
      <c r="Q2753" s="40">
        <v>37130</v>
      </c>
      <c r="R2753" s="39">
        <v>5406.47</v>
      </c>
      <c r="S2753" s="39">
        <f t="shared" si="277"/>
        <v>8</v>
      </c>
      <c r="T2753" s="39">
        <f t="shared" si="278"/>
        <v>0</v>
      </c>
      <c r="U2753" s="39">
        <f t="shared" si="279"/>
        <v>0</v>
      </c>
      <c r="V2753" s="40"/>
    </row>
    <row r="2754" spans="2:22" x14ac:dyDescent="0.35">
      <c r="B2754" s="40">
        <v>37131</v>
      </c>
      <c r="C2754" s="39">
        <v>5308.78</v>
      </c>
      <c r="D2754" s="219">
        <f t="shared" si="280"/>
        <v>-1.8234330834532006E-2</v>
      </c>
      <c r="F2754" s="40">
        <v>37131</v>
      </c>
      <c r="G2754" s="39">
        <v>5308.78</v>
      </c>
      <c r="H2754" s="39">
        <f t="shared" si="275"/>
        <v>2</v>
      </c>
      <c r="I2754" s="39">
        <f t="shared" si="276"/>
        <v>0</v>
      </c>
      <c r="K2754" s="40"/>
      <c r="Q2754" s="40">
        <v>37131</v>
      </c>
      <c r="R2754" s="39">
        <v>5308.78</v>
      </c>
      <c r="S2754" s="39">
        <f t="shared" si="277"/>
        <v>8</v>
      </c>
      <c r="T2754" s="39">
        <f t="shared" si="278"/>
        <v>0</v>
      </c>
      <c r="U2754" s="39">
        <f t="shared" si="279"/>
        <v>0</v>
      </c>
      <c r="V2754" s="40"/>
    </row>
    <row r="2755" spans="2:22" x14ac:dyDescent="0.35">
      <c r="B2755" s="40">
        <v>37132</v>
      </c>
      <c r="C2755" s="39">
        <v>5305</v>
      </c>
      <c r="D2755" s="219">
        <f t="shared" si="280"/>
        <v>-7.122816112287184E-4</v>
      </c>
      <c r="F2755" s="40">
        <v>37132</v>
      </c>
      <c r="G2755" s="39">
        <v>5305</v>
      </c>
      <c r="H2755" s="39">
        <f t="shared" si="275"/>
        <v>3</v>
      </c>
      <c r="I2755" s="39">
        <f t="shared" si="276"/>
        <v>0</v>
      </c>
      <c r="K2755" s="40"/>
      <c r="Q2755" s="40">
        <v>37132</v>
      </c>
      <c r="R2755" s="39">
        <v>5305</v>
      </c>
      <c r="S2755" s="39">
        <f t="shared" si="277"/>
        <v>8</v>
      </c>
      <c r="T2755" s="39">
        <f t="shared" si="278"/>
        <v>0</v>
      </c>
      <c r="U2755" s="39">
        <f t="shared" si="279"/>
        <v>0</v>
      </c>
      <c r="V2755" s="40"/>
    </row>
    <row r="2756" spans="2:22" x14ac:dyDescent="0.35">
      <c r="B2756" s="40">
        <v>37133</v>
      </c>
      <c r="C2756" s="39">
        <v>5162.3999999999996</v>
      </c>
      <c r="D2756" s="219">
        <f t="shared" si="280"/>
        <v>-2.7248184426453579E-2</v>
      </c>
      <c r="F2756" s="40">
        <v>37133</v>
      </c>
      <c r="G2756" s="39">
        <v>5162.3999999999996</v>
      </c>
      <c r="H2756" s="39">
        <f t="shared" si="275"/>
        <v>4</v>
      </c>
      <c r="I2756" s="39">
        <f t="shared" si="276"/>
        <v>0</v>
      </c>
      <c r="K2756" s="40"/>
      <c r="Q2756" s="40">
        <v>37133</v>
      </c>
      <c r="R2756" s="39">
        <v>5162.3999999999996</v>
      </c>
      <c r="S2756" s="39">
        <f t="shared" si="277"/>
        <v>8</v>
      </c>
      <c r="T2756" s="39">
        <f t="shared" si="278"/>
        <v>0</v>
      </c>
      <c r="U2756" s="39">
        <f t="shared" si="279"/>
        <v>0</v>
      </c>
      <c r="V2756" s="40"/>
    </row>
    <row r="2757" spans="2:22" x14ac:dyDescent="0.35">
      <c r="B2757" s="40">
        <v>37134</v>
      </c>
      <c r="C2757" s="39">
        <v>5188.17</v>
      </c>
      <c r="D2757" s="219">
        <f t="shared" si="280"/>
        <v>4.9794462038307754E-3</v>
      </c>
      <c r="F2757" s="40">
        <v>37134</v>
      </c>
      <c r="G2757" s="39">
        <v>5188.17</v>
      </c>
      <c r="H2757" s="39">
        <f t="shared" si="275"/>
        <v>5</v>
      </c>
      <c r="I2757" s="39">
        <f t="shared" si="276"/>
        <v>5188.17</v>
      </c>
      <c r="K2757" s="40"/>
      <c r="Q2757" s="40">
        <v>37134</v>
      </c>
      <c r="R2757" s="39">
        <v>5188.17</v>
      </c>
      <c r="S2757" s="39">
        <f t="shared" si="277"/>
        <v>8</v>
      </c>
      <c r="T2757" s="39">
        <f t="shared" si="278"/>
        <v>5188.17</v>
      </c>
      <c r="U2757" s="39">
        <f t="shared" si="279"/>
        <v>5188.17</v>
      </c>
      <c r="V2757" s="40"/>
    </row>
    <row r="2758" spans="2:22" x14ac:dyDescent="0.35">
      <c r="B2758" s="40">
        <v>37137</v>
      </c>
      <c r="C2758" s="39">
        <v>5094.1000000000004</v>
      </c>
      <c r="D2758" s="219">
        <f t="shared" si="280"/>
        <v>-1.8298026540383868E-2</v>
      </c>
      <c r="F2758" s="40">
        <v>37137</v>
      </c>
      <c r="G2758" s="39">
        <v>5094.1000000000004</v>
      </c>
      <c r="H2758" s="39">
        <f t="shared" si="275"/>
        <v>1</v>
      </c>
      <c r="I2758" s="39">
        <f t="shared" si="276"/>
        <v>0</v>
      </c>
      <c r="K2758" s="40"/>
      <c r="Q2758" s="40">
        <v>37137</v>
      </c>
      <c r="R2758" s="39">
        <v>5094.1000000000004</v>
      </c>
      <c r="S2758" s="39">
        <f t="shared" si="277"/>
        <v>9</v>
      </c>
      <c r="T2758" s="39">
        <f t="shared" si="278"/>
        <v>0</v>
      </c>
      <c r="U2758" s="39">
        <f t="shared" si="279"/>
        <v>0</v>
      </c>
      <c r="V2758" s="40"/>
    </row>
    <row r="2759" spans="2:22" x14ac:dyDescent="0.35">
      <c r="B2759" s="40">
        <v>37138</v>
      </c>
      <c r="C2759" s="39">
        <v>5208.1000000000004</v>
      </c>
      <c r="D2759" s="219">
        <f t="shared" si="280"/>
        <v>2.2132098647865847E-2</v>
      </c>
      <c r="F2759" s="40">
        <v>37138</v>
      </c>
      <c r="G2759" s="39">
        <v>5208.1000000000004</v>
      </c>
      <c r="H2759" s="39">
        <f t="shared" si="275"/>
        <v>2</v>
      </c>
      <c r="I2759" s="39">
        <f t="shared" si="276"/>
        <v>0</v>
      </c>
      <c r="K2759" s="40"/>
      <c r="Q2759" s="40">
        <v>37138</v>
      </c>
      <c r="R2759" s="39">
        <v>5208.1000000000004</v>
      </c>
      <c r="S2759" s="39">
        <f t="shared" si="277"/>
        <v>9</v>
      </c>
      <c r="T2759" s="39">
        <f t="shared" si="278"/>
        <v>0</v>
      </c>
      <c r="U2759" s="39">
        <f t="shared" si="279"/>
        <v>0</v>
      </c>
      <c r="V2759" s="40"/>
    </row>
    <row r="2760" spans="2:22" x14ac:dyDescent="0.35">
      <c r="B2760" s="40">
        <v>37139</v>
      </c>
      <c r="C2760" s="39">
        <v>5048.08</v>
      </c>
      <c r="D2760" s="219">
        <f t="shared" si="280"/>
        <v>-3.1207132976930788E-2</v>
      </c>
      <c r="F2760" s="40">
        <v>37139</v>
      </c>
      <c r="G2760" s="39">
        <v>5048.08</v>
      </c>
      <c r="H2760" s="39">
        <f t="shared" si="275"/>
        <v>3</v>
      </c>
      <c r="I2760" s="39">
        <f t="shared" si="276"/>
        <v>0</v>
      </c>
      <c r="K2760" s="40"/>
      <c r="Q2760" s="40">
        <v>37139</v>
      </c>
      <c r="R2760" s="39">
        <v>5048.08</v>
      </c>
      <c r="S2760" s="39">
        <f t="shared" si="277"/>
        <v>9</v>
      </c>
      <c r="T2760" s="39">
        <f t="shared" si="278"/>
        <v>0</v>
      </c>
      <c r="U2760" s="39">
        <f t="shared" si="279"/>
        <v>0</v>
      </c>
      <c r="V2760" s="40"/>
    </row>
    <row r="2761" spans="2:22" x14ac:dyDescent="0.35">
      <c r="B2761" s="40">
        <v>37140</v>
      </c>
      <c r="C2761" s="39">
        <v>4875.37</v>
      </c>
      <c r="D2761" s="219">
        <f t="shared" si="280"/>
        <v>-3.4811973968231595E-2</v>
      </c>
      <c r="F2761" s="40">
        <v>37140</v>
      </c>
      <c r="G2761" s="39">
        <v>4875.37</v>
      </c>
      <c r="H2761" s="39">
        <f t="shared" si="275"/>
        <v>4</v>
      </c>
      <c r="I2761" s="39">
        <f t="shared" si="276"/>
        <v>0</v>
      </c>
      <c r="K2761" s="40"/>
      <c r="Q2761" s="40">
        <v>37140</v>
      </c>
      <c r="R2761" s="39">
        <v>4875.37</v>
      </c>
      <c r="S2761" s="39">
        <f t="shared" si="277"/>
        <v>9</v>
      </c>
      <c r="T2761" s="39">
        <f t="shared" si="278"/>
        <v>0</v>
      </c>
      <c r="U2761" s="39">
        <f t="shared" si="279"/>
        <v>0</v>
      </c>
      <c r="V2761" s="40"/>
    </row>
    <row r="2762" spans="2:22" x14ac:dyDescent="0.35">
      <c r="B2762" s="40">
        <v>37141</v>
      </c>
      <c r="C2762" s="39">
        <v>4730.67</v>
      </c>
      <c r="D2762" s="219">
        <f t="shared" si="280"/>
        <v>-3.0129157484455056E-2</v>
      </c>
      <c r="F2762" s="40">
        <v>37141</v>
      </c>
      <c r="G2762" s="39">
        <v>4730.67</v>
      </c>
      <c r="H2762" s="39">
        <f t="shared" si="275"/>
        <v>5</v>
      </c>
      <c r="I2762" s="39">
        <f t="shared" si="276"/>
        <v>4730.67</v>
      </c>
      <c r="K2762" s="40"/>
      <c r="Q2762" s="40">
        <v>37141</v>
      </c>
      <c r="R2762" s="39">
        <v>4730.67</v>
      </c>
      <c r="S2762" s="39">
        <f t="shared" si="277"/>
        <v>9</v>
      </c>
      <c r="T2762" s="39">
        <f t="shared" si="278"/>
        <v>0</v>
      </c>
      <c r="U2762" s="39">
        <f t="shared" si="279"/>
        <v>0</v>
      </c>
      <c r="V2762" s="40"/>
    </row>
    <row r="2763" spans="2:22" x14ac:dyDescent="0.35">
      <c r="B2763" s="40">
        <v>37144</v>
      </c>
      <c r="C2763" s="39">
        <v>4670.13</v>
      </c>
      <c r="D2763" s="219">
        <f t="shared" si="280"/>
        <v>-1.2879932968730938E-2</v>
      </c>
      <c r="F2763" s="40">
        <v>37144</v>
      </c>
      <c r="G2763" s="39">
        <v>4670.13</v>
      </c>
      <c r="H2763" s="39">
        <f t="shared" si="275"/>
        <v>1</v>
      </c>
      <c r="I2763" s="39">
        <f t="shared" si="276"/>
        <v>0</v>
      </c>
      <c r="K2763" s="40"/>
      <c r="Q2763" s="40">
        <v>37144</v>
      </c>
      <c r="R2763" s="39">
        <v>4670.13</v>
      </c>
      <c r="S2763" s="39">
        <f t="shared" si="277"/>
        <v>9</v>
      </c>
      <c r="T2763" s="39">
        <f t="shared" si="278"/>
        <v>0</v>
      </c>
      <c r="U2763" s="39">
        <f t="shared" si="279"/>
        <v>0</v>
      </c>
      <c r="V2763" s="40"/>
    </row>
    <row r="2764" spans="2:22" x14ac:dyDescent="0.35">
      <c r="B2764" s="40">
        <v>37146</v>
      </c>
      <c r="C2764" s="39">
        <v>4369.57</v>
      </c>
      <c r="D2764" s="219">
        <f t="shared" si="280"/>
        <v>-6.652230245571239E-2</v>
      </c>
      <c r="F2764" s="40">
        <v>37146</v>
      </c>
      <c r="G2764" s="39">
        <v>4369.57</v>
      </c>
      <c r="H2764" s="39">
        <f t="shared" si="275"/>
        <v>3</v>
      </c>
      <c r="I2764" s="39">
        <f t="shared" si="276"/>
        <v>0</v>
      </c>
      <c r="K2764" s="40"/>
      <c r="Q2764" s="40">
        <v>37146</v>
      </c>
      <c r="R2764" s="39">
        <v>4369.57</v>
      </c>
      <c r="S2764" s="39">
        <f t="shared" si="277"/>
        <v>9</v>
      </c>
      <c r="T2764" s="39">
        <f t="shared" si="278"/>
        <v>0</v>
      </c>
      <c r="U2764" s="39">
        <f t="shared" si="279"/>
        <v>0</v>
      </c>
      <c r="V2764" s="40"/>
    </row>
    <row r="2765" spans="2:22" x14ac:dyDescent="0.35">
      <c r="B2765" s="40">
        <v>37147</v>
      </c>
      <c r="C2765" s="39">
        <v>4392.3999999999996</v>
      </c>
      <c r="D2765" s="219">
        <f t="shared" si="280"/>
        <v>5.2111686446762468E-3</v>
      </c>
      <c r="F2765" s="40">
        <v>37147</v>
      </c>
      <c r="G2765" s="39">
        <v>4392.3999999999996</v>
      </c>
      <c r="H2765" s="39">
        <f t="shared" si="275"/>
        <v>4</v>
      </c>
      <c r="I2765" s="39">
        <f t="shared" si="276"/>
        <v>0</v>
      </c>
      <c r="K2765" s="40"/>
      <c r="Q2765" s="40">
        <v>37147</v>
      </c>
      <c r="R2765" s="39">
        <v>4392.3999999999996</v>
      </c>
      <c r="S2765" s="39">
        <f t="shared" si="277"/>
        <v>9</v>
      </c>
      <c r="T2765" s="39">
        <f t="shared" si="278"/>
        <v>0</v>
      </c>
      <c r="U2765" s="39">
        <f t="shared" si="279"/>
        <v>0</v>
      </c>
      <c r="V2765" s="40"/>
    </row>
    <row r="2766" spans="2:22" x14ac:dyDescent="0.35">
      <c r="B2766" s="40">
        <v>37148</v>
      </c>
      <c r="C2766" s="39">
        <v>4115.9799999999996</v>
      </c>
      <c r="D2766" s="219">
        <f t="shared" si="280"/>
        <v>-6.499881586791513E-2</v>
      </c>
      <c r="F2766" s="40">
        <v>37148</v>
      </c>
      <c r="G2766" s="39">
        <v>4115.9799999999996</v>
      </c>
      <c r="H2766" s="39">
        <f t="shared" si="275"/>
        <v>5</v>
      </c>
      <c r="I2766" s="39">
        <f t="shared" si="276"/>
        <v>4115.9799999999996</v>
      </c>
      <c r="K2766" s="40"/>
      <c r="Q2766" s="40">
        <v>37148</v>
      </c>
      <c r="R2766" s="39">
        <v>4115.9799999999996</v>
      </c>
      <c r="S2766" s="39">
        <f t="shared" si="277"/>
        <v>9</v>
      </c>
      <c r="T2766" s="39">
        <f t="shared" si="278"/>
        <v>0</v>
      </c>
      <c r="U2766" s="39">
        <f t="shared" si="279"/>
        <v>0</v>
      </c>
      <c r="V2766" s="40"/>
    </row>
    <row r="2767" spans="2:22" x14ac:dyDescent="0.35">
      <c r="B2767" s="40">
        <v>37151</v>
      </c>
      <c r="C2767" s="39">
        <v>4243.68</v>
      </c>
      <c r="D2767" s="219">
        <f t="shared" si="280"/>
        <v>3.0553858469961045E-2</v>
      </c>
      <c r="F2767" s="40">
        <v>37151</v>
      </c>
      <c r="G2767" s="39">
        <v>4243.68</v>
      </c>
      <c r="H2767" s="39">
        <f t="shared" si="275"/>
        <v>1</v>
      </c>
      <c r="I2767" s="39">
        <f t="shared" si="276"/>
        <v>0</v>
      </c>
      <c r="K2767" s="40"/>
      <c r="Q2767" s="40">
        <v>37151</v>
      </c>
      <c r="R2767" s="39">
        <v>4243.68</v>
      </c>
      <c r="S2767" s="39">
        <f t="shared" si="277"/>
        <v>9</v>
      </c>
      <c r="T2767" s="39">
        <f t="shared" si="278"/>
        <v>0</v>
      </c>
      <c r="U2767" s="39">
        <f t="shared" si="279"/>
        <v>0</v>
      </c>
      <c r="V2767" s="40"/>
    </row>
    <row r="2768" spans="2:22" x14ac:dyDescent="0.35">
      <c r="B2768" s="40">
        <v>37152</v>
      </c>
      <c r="C2768" s="39">
        <v>4194.8500000000004</v>
      </c>
      <c r="D2768" s="219">
        <f t="shared" si="280"/>
        <v>-1.1573234916985866E-2</v>
      </c>
      <c r="F2768" s="40">
        <v>37152</v>
      </c>
      <c r="G2768" s="39">
        <v>4194.8500000000004</v>
      </c>
      <c r="H2768" s="39">
        <f t="shared" si="275"/>
        <v>2</v>
      </c>
      <c r="I2768" s="39">
        <f t="shared" si="276"/>
        <v>0</v>
      </c>
      <c r="K2768" s="40"/>
      <c r="Q2768" s="40">
        <v>37152</v>
      </c>
      <c r="R2768" s="39">
        <v>4194.8500000000004</v>
      </c>
      <c r="S2768" s="39">
        <f t="shared" si="277"/>
        <v>9</v>
      </c>
      <c r="T2768" s="39">
        <f t="shared" si="278"/>
        <v>0</v>
      </c>
      <c r="U2768" s="39">
        <f t="shared" si="279"/>
        <v>0</v>
      </c>
      <c r="V2768" s="40"/>
    </row>
    <row r="2769" spans="2:22" x14ac:dyDescent="0.35">
      <c r="B2769" s="40">
        <v>37153</v>
      </c>
      <c r="C2769" s="39">
        <v>4041.8</v>
      </c>
      <c r="D2769" s="219">
        <f t="shared" si="280"/>
        <v>-3.7167445124470108E-2</v>
      </c>
      <c r="F2769" s="40">
        <v>37153</v>
      </c>
      <c r="G2769" s="39">
        <v>4041.8</v>
      </c>
      <c r="H2769" s="39">
        <f t="shared" si="275"/>
        <v>3</v>
      </c>
      <c r="I2769" s="39">
        <f t="shared" si="276"/>
        <v>0</v>
      </c>
      <c r="K2769" s="40"/>
      <c r="Q2769" s="40">
        <v>37153</v>
      </c>
      <c r="R2769" s="39">
        <v>4041.8</v>
      </c>
      <c r="S2769" s="39">
        <f t="shared" si="277"/>
        <v>9</v>
      </c>
      <c r="T2769" s="39">
        <f t="shared" si="278"/>
        <v>0</v>
      </c>
      <c r="U2769" s="39">
        <f t="shared" si="279"/>
        <v>0</v>
      </c>
      <c r="V2769" s="40"/>
    </row>
    <row r="2770" spans="2:22" x14ac:dyDescent="0.35">
      <c r="B2770" s="40">
        <v>37154</v>
      </c>
      <c r="C2770" s="39">
        <v>3809.67</v>
      </c>
      <c r="D2770" s="219">
        <f t="shared" si="280"/>
        <v>-5.9147566087853855E-2</v>
      </c>
      <c r="F2770" s="40">
        <v>37154</v>
      </c>
      <c r="G2770" s="39">
        <v>3809.67</v>
      </c>
      <c r="H2770" s="39">
        <f t="shared" si="275"/>
        <v>4</v>
      </c>
      <c r="I2770" s="39">
        <f t="shared" si="276"/>
        <v>0</v>
      </c>
      <c r="K2770" s="40"/>
      <c r="Q2770" s="40">
        <v>37154</v>
      </c>
      <c r="R2770" s="39">
        <v>3809.67</v>
      </c>
      <c r="S2770" s="39">
        <f t="shared" si="277"/>
        <v>9</v>
      </c>
      <c r="T2770" s="39">
        <f t="shared" si="278"/>
        <v>0</v>
      </c>
      <c r="U2770" s="39">
        <f t="shared" si="279"/>
        <v>0</v>
      </c>
      <c r="V2770" s="40"/>
    </row>
    <row r="2771" spans="2:22" x14ac:dyDescent="0.35">
      <c r="B2771" s="40">
        <v>37155</v>
      </c>
      <c r="C2771" s="39">
        <v>3787.23</v>
      </c>
      <c r="D2771" s="219">
        <f t="shared" si="280"/>
        <v>-5.9076900484306737E-3</v>
      </c>
      <c r="F2771" s="40">
        <v>37155</v>
      </c>
      <c r="G2771" s="39">
        <v>3787.23</v>
      </c>
      <c r="H2771" s="39">
        <f t="shared" si="275"/>
        <v>5</v>
      </c>
      <c r="I2771" s="39">
        <f t="shared" si="276"/>
        <v>3787.23</v>
      </c>
      <c r="K2771" s="40"/>
      <c r="Q2771" s="40">
        <v>37155</v>
      </c>
      <c r="R2771" s="39">
        <v>3787.23</v>
      </c>
      <c r="S2771" s="39">
        <f t="shared" si="277"/>
        <v>9</v>
      </c>
      <c r="T2771" s="39">
        <f t="shared" si="278"/>
        <v>0</v>
      </c>
      <c r="U2771" s="39">
        <f t="shared" si="279"/>
        <v>0</v>
      </c>
      <c r="V2771" s="40"/>
    </row>
    <row r="2772" spans="2:22" x14ac:dyDescent="0.35">
      <c r="B2772" s="40">
        <v>37158</v>
      </c>
      <c r="C2772" s="39">
        <v>4038.69</v>
      </c>
      <c r="D2772" s="219">
        <f t="shared" si="280"/>
        <v>6.4285500798783229E-2</v>
      </c>
      <c r="F2772" s="40">
        <v>37158</v>
      </c>
      <c r="G2772" s="39">
        <v>4038.69</v>
      </c>
      <c r="H2772" s="39">
        <f t="shared" si="275"/>
        <v>1</v>
      </c>
      <c r="I2772" s="39">
        <f t="shared" si="276"/>
        <v>0</v>
      </c>
      <c r="K2772" s="40"/>
      <c r="Q2772" s="40">
        <v>37158</v>
      </c>
      <c r="R2772" s="39">
        <v>4038.69</v>
      </c>
      <c r="S2772" s="39">
        <f t="shared" si="277"/>
        <v>9</v>
      </c>
      <c r="T2772" s="39">
        <f t="shared" si="278"/>
        <v>0</v>
      </c>
      <c r="U2772" s="39">
        <f t="shared" si="279"/>
        <v>0</v>
      </c>
      <c r="V2772" s="40"/>
    </row>
    <row r="2773" spans="2:22" x14ac:dyDescent="0.35">
      <c r="B2773" s="40">
        <v>37159</v>
      </c>
      <c r="C2773" s="39">
        <v>4009.12</v>
      </c>
      <c r="D2773" s="219">
        <f t="shared" si="280"/>
        <v>-7.3486161005788106E-3</v>
      </c>
      <c r="F2773" s="40">
        <v>37159</v>
      </c>
      <c r="G2773" s="39">
        <v>4009.12</v>
      </c>
      <c r="H2773" s="39">
        <f t="shared" si="275"/>
        <v>2</v>
      </c>
      <c r="I2773" s="39">
        <f t="shared" si="276"/>
        <v>0</v>
      </c>
      <c r="K2773" s="40"/>
      <c r="Q2773" s="40">
        <v>37159</v>
      </c>
      <c r="R2773" s="39">
        <v>4009.12</v>
      </c>
      <c r="S2773" s="39">
        <f t="shared" si="277"/>
        <v>9</v>
      </c>
      <c r="T2773" s="39">
        <f t="shared" si="278"/>
        <v>0</v>
      </c>
      <c r="U2773" s="39">
        <f t="shared" si="279"/>
        <v>0</v>
      </c>
      <c r="V2773" s="40"/>
    </row>
    <row r="2774" spans="2:22" x14ac:dyDescent="0.35">
      <c r="B2774" s="40">
        <v>37160</v>
      </c>
      <c r="C2774" s="39">
        <v>4095.32</v>
      </c>
      <c r="D2774" s="219">
        <f t="shared" si="280"/>
        <v>2.1273092466156419E-2</v>
      </c>
      <c r="F2774" s="40">
        <v>37160</v>
      </c>
      <c r="G2774" s="39">
        <v>4095.32</v>
      </c>
      <c r="H2774" s="39">
        <f t="shared" si="275"/>
        <v>3</v>
      </c>
      <c r="I2774" s="39">
        <f t="shared" si="276"/>
        <v>0</v>
      </c>
      <c r="K2774" s="40"/>
      <c r="Q2774" s="40">
        <v>37160</v>
      </c>
      <c r="R2774" s="39">
        <v>4095.32</v>
      </c>
      <c r="S2774" s="39">
        <f t="shared" si="277"/>
        <v>9</v>
      </c>
      <c r="T2774" s="39">
        <f t="shared" si="278"/>
        <v>0</v>
      </c>
      <c r="U2774" s="39">
        <f t="shared" si="279"/>
        <v>0</v>
      </c>
      <c r="V2774" s="40"/>
    </row>
    <row r="2775" spans="2:22" x14ac:dyDescent="0.35">
      <c r="B2775" s="40">
        <v>37161</v>
      </c>
      <c r="C2775" s="39">
        <v>4184.5</v>
      </c>
      <c r="D2775" s="219">
        <f t="shared" si="280"/>
        <v>2.1542364160704208E-2</v>
      </c>
      <c r="F2775" s="40">
        <v>37161</v>
      </c>
      <c r="G2775" s="39">
        <v>4184.5</v>
      </c>
      <c r="H2775" s="39">
        <f t="shared" si="275"/>
        <v>4</v>
      </c>
      <c r="I2775" s="39">
        <f t="shared" si="276"/>
        <v>0</v>
      </c>
      <c r="K2775" s="40"/>
      <c r="Q2775" s="40">
        <v>37161</v>
      </c>
      <c r="R2775" s="39">
        <v>4184.5</v>
      </c>
      <c r="S2775" s="39">
        <f t="shared" si="277"/>
        <v>9</v>
      </c>
      <c r="T2775" s="39">
        <f t="shared" si="278"/>
        <v>0</v>
      </c>
      <c r="U2775" s="39">
        <f t="shared" si="279"/>
        <v>0</v>
      </c>
      <c r="V2775" s="40"/>
    </row>
    <row r="2776" spans="2:22" x14ac:dyDescent="0.35">
      <c r="B2776" s="40">
        <v>37162</v>
      </c>
      <c r="C2776" s="39">
        <v>4308.1499999999996</v>
      </c>
      <c r="D2776" s="219">
        <f t="shared" si="280"/>
        <v>2.9121355138689201E-2</v>
      </c>
      <c r="F2776" s="40">
        <v>37162</v>
      </c>
      <c r="G2776" s="39">
        <v>4308.1499999999996</v>
      </c>
      <c r="H2776" s="39">
        <f t="shared" si="275"/>
        <v>5</v>
      </c>
      <c r="I2776" s="39">
        <f t="shared" si="276"/>
        <v>4308.1499999999996</v>
      </c>
      <c r="K2776" s="40"/>
      <c r="Q2776" s="40">
        <v>37162</v>
      </c>
      <c r="R2776" s="39">
        <v>4308.1499999999996</v>
      </c>
      <c r="S2776" s="39">
        <f t="shared" si="277"/>
        <v>9</v>
      </c>
      <c r="T2776" s="39">
        <f t="shared" si="278"/>
        <v>4308.1499999999996</v>
      </c>
      <c r="U2776" s="39">
        <f t="shared" si="279"/>
        <v>4308.1499999999996</v>
      </c>
      <c r="V2776" s="40"/>
    </row>
    <row r="2777" spans="2:22" x14ac:dyDescent="0.35">
      <c r="B2777" s="40">
        <v>37165</v>
      </c>
      <c r="C2777" s="39">
        <v>4239.97</v>
      </c>
      <c r="D2777" s="219">
        <f t="shared" si="280"/>
        <v>-1.5952383882343917E-2</v>
      </c>
      <c r="F2777" s="40">
        <v>37165</v>
      </c>
      <c r="G2777" s="39">
        <v>4239.97</v>
      </c>
      <c r="H2777" s="39">
        <f t="shared" si="275"/>
        <v>1</v>
      </c>
      <c r="I2777" s="39">
        <f t="shared" si="276"/>
        <v>0</v>
      </c>
      <c r="K2777" s="40"/>
      <c r="Q2777" s="40">
        <v>37165</v>
      </c>
      <c r="R2777" s="39">
        <v>4239.97</v>
      </c>
      <c r="S2777" s="39">
        <f t="shared" si="277"/>
        <v>10</v>
      </c>
      <c r="T2777" s="39">
        <f t="shared" si="278"/>
        <v>0</v>
      </c>
      <c r="U2777" s="39">
        <f t="shared" si="279"/>
        <v>0</v>
      </c>
      <c r="V2777" s="40"/>
    </row>
    <row r="2778" spans="2:22" x14ac:dyDescent="0.35">
      <c r="B2778" s="40">
        <v>37166</v>
      </c>
      <c r="C2778" s="39">
        <v>4304.2</v>
      </c>
      <c r="D2778" s="219">
        <f t="shared" si="280"/>
        <v>1.503509643421054E-2</v>
      </c>
      <c r="F2778" s="40">
        <v>37166</v>
      </c>
      <c r="G2778" s="39">
        <v>4304.2</v>
      </c>
      <c r="H2778" s="39">
        <f t="shared" si="275"/>
        <v>2</v>
      </c>
      <c r="I2778" s="39">
        <f t="shared" si="276"/>
        <v>0</v>
      </c>
      <c r="K2778" s="40"/>
      <c r="Q2778" s="40">
        <v>37166</v>
      </c>
      <c r="R2778" s="39">
        <v>4304.2</v>
      </c>
      <c r="S2778" s="39">
        <f t="shared" si="277"/>
        <v>10</v>
      </c>
      <c r="T2778" s="39">
        <f t="shared" si="278"/>
        <v>0</v>
      </c>
      <c r="U2778" s="39">
        <f t="shared" si="279"/>
        <v>0</v>
      </c>
      <c r="V2778" s="40"/>
    </row>
    <row r="2779" spans="2:22" x14ac:dyDescent="0.35">
      <c r="B2779" s="40">
        <v>37167</v>
      </c>
      <c r="C2779" s="39">
        <v>4436.66</v>
      </c>
      <c r="D2779" s="219">
        <f t="shared" si="280"/>
        <v>3.0310550926832366E-2</v>
      </c>
      <c r="F2779" s="40">
        <v>37167</v>
      </c>
      <c r="G2779" s="39">
        <v>4436.66</v>
      </c>
      <c r="H2779" s="39">
        <f t="shared" si="275"/>
        <v>3</v>
      </c>
      <c r="I2779" s="39">
        <f t="shared" si="276"/>
        <v>0</v>
      </c>
      <c r="K2779" s="40"/>
      <c r="Q2779" s="40">
        <v>37167</v>
      </c>
      <c r="R2779" s="39">
        <v>4436.66</v>
      </c>
      <c r="S2779" s="39">
        <f t="shared" si="277"/>
        <v>10</v>
      </c>
      <c r="T2779" s="39">
        <f t="shared" si="278"/>
        <v>0</v>
      </c>
      <c r="U2779" s="39">
        <f t="shared" si="279"/>
        <v>0</v>
      </c>
      <c r="V2779" s="40"/>
    </row>
    <row r="2780" spans="2:22" x14ac:dyDescent="0.35">
      <c r="B2780" s="40">
        <v>37168</v>
      </c>
      <c r="C2780" s="39">
        <v>4548.13</v>
      </c>
      <c r="D2780" s="219">
        <f t="shared" si="280"/>
        <v>2.4814318364559142E-2</v>
      </c>
      <c r="F2780" s="40">
        <v>37168</v>
      </c>
      <c r="G2780" s="39">
        <v>4548.13</v>
      </c>
      <c r="H2780" s="39">
        <f t="shared" si="275"/>
        <v>4</v>
      </c>
      <c r="I2780" s="39">
        <f t="shared" si="276"/>
        <v>0</v>
      </c>
      <c r="K2780" s="40"/>
      <c r="Q2780" s="40">
        <v>37168</v>
      </c>
      <c r="R2780" s="39">
        <v>4548.13</v>
      </c>
      <c r="S2780" s="39">
        <f t="shared" si="277"/>
        <v>10</v>
      </c>
      <c r="T2780" s="39">
        <f t="shared" si="278"/>
        <v>0</v>
      </c>
      <c r="U2780" s="39">
        <f t="shared" si="279"/>
        <v>0</v>
      </c>
      <c r="V2780" s="40"/>
    </row>
    <row r="2781" spans="2:22" x14ac:dyDescent="0.35">
      <c r="B2781" s="40">
        <v>37169</v>
      </c>
      <c r="C2781" s="39">
        <v>4487.6899999999996</v>
      </c>
      <c r="D2781" s="219">
        <f t="shared" si="280"/>
        <v>-1.3378066721778237E-2</v>
      </c>
      <c r="F2781" s="40">
        <v>37169</v>
      </c>
      <c r="G2781" s="39">
        <v>4487.6899999999996</v>
      </c>
      <c r="H2781" s="39">
        <f t="shared" si="275"/>
        <v>5</v>
      </c>
      <c r="I2781" s="39">
        <f t="shared" si="276"/>
        <v>4487.6899999999996</v>
      </c>
      <c r="K2781" s="40"/>
      <c r="Q2781" s="40">
        <v>37169</v>
      </c>
      <c r="R2781" s="39">
        <v>4487.6899999999996</v>
      </c>
      <c r="S2781" s="39">
        <f t="shared" si="277"/>
        <v>10</v>
      </c>
      <c r="T2781" s="39">
        <f t="shared" si="278"/>
        <v>0</v>
      </c>
      <c r="U2781" s="39">
        <f t="shared" si="279"/>
        <v>0</v>
      </c>
      <c r="V2781" s="40"/>
    </row>
    <row r="2782" spans="2:22" x14ac:dyDescent="0.35">
      <c r="B2782" s="40">
        <v>37172</v>
      </c>
      <c r="C2782" s="39">
        <v>4495.1499999999996</v>
      </c>
      <c r="D2782" s="219">
        <f t="shared" si="280"/>
        <v>1.6609450274113252E-3</v>
      </c>
      <c r="F2782" s="40">
        <v>37172</v>
      </c>
      <c r="G2782" s="39">
        <v>4495.1499999999996</v>
      </c>
      <c r="H2782" s="39">
        <f t="shared" si="275"/>
        <v>1</v>
      </c>
      <c r="I2782" s="39">
        <f t="shared" si="276"/>
        <v>0</v>
      </c>
      <c r="K2782" s="40"/>
      <c r="Q2782" s="40">
        <v>37172</v>
      </c>
      <c r="R2782" s="39">
        <v>4495.1499999999996</v>
      </c>
      <c r="S2782" s="39">
        <f t="shared" si="277"/>
        <v>10</v>
      </c>
      <c r="T2782" s="39">
        <f t="shared" si="278"/>
        <v>0</v>
      </c>
      <c r="U2782" s="39">
        <f t="shared" si="279"/>
        <v>0</v>
      </c>
      <c r="V2782" s="40"/>
    </row>
    <row r="2783" spans="2:22" x14ac:dyDescent="0.35">
      <c r="B2783" s="40">
        <v>37173</v>
      </c>
      <c r="C2783" s="39">
        <v>4472.42</v>
      </c>
      <c r="D2783" s="219">
        <f t="shared" si="280"/>
        <v>-5.0693886253693242E-3</v>
      </c>
      <c r="F2783" s="40">
        <v>37173</v>
      </c>
      <c r="G2783" s="39">
        <v>4472.42</v>
      </c>
      <c r="H2783" s="39">
        <f t="shared" si="275"/>
        <v>2</v>
      </c>
      <c r="I2783" s="39">
        <f t="shared" si="276"/>
        <v>0</v>
      </c>
      <c r="K2783" s="40"/>
      <c r="Q2783" s="40">
        <v>37173</v>
      </c>
      <c r="R2783" s="39">
        <v>4472.42</v>
      </c>
      <c r="S2783" s="39">
        <f t="shared" si="277"/>
        <v>10</v>
      </c>
      <c r="T2783" s="39">
        <f t="shared" si="278"/>
        <v>0</v>
      </c>
      <c r="U2783" s="39">
        <f t="shared" si="279"/>
        <v>0</v>
      </c>
      <c r="V2783" s="40"/>
    </row>
    <row r="2784" spans="2:22" x14ac:dyDescent="0.35">
      <c r="B2784" s="40">
        <v>37174</v>
      </c>
      <c r="C2784" s="39">
        <v>4613.1899999999996</v>
      </c>
      <c r="D2784" s="219">
        <f t="shared" si="280"/>
        <v>3.0989942521586326E-2</v>
      </c>
      <c r="F2784" s="40">
        <v>37174</v>
      </c>
      <c r="G2784" s="39">
        <v>4613.1899999999996</v>
      </c>
      <c r="H2784" s="39">
        <f t="shared" si="275"/>
        <v>3</v>
      </c>
      <c r="I2784" s="39">
        <f t="shared" si="276"/>
        <v>0</v>
      </c>
      <c r="K2784" s="40"/>
      <c r="Q2784" s="40">
        <v>37174</v>
      </c>
      <c r="R2784" s="39">
        <v>4613.1899999999996</v>
      </c>
      <c r="S2784" s="39">
        <f t="shared" si="277"/>
        <v>10</v>
      </c>
      <c r="T2784" s="39">
        <f t="shared" si="278"/>
        <v>0</v>
      </c>
      <c r="U2784" s="39">
        <f t="shared" si="279"/>
        <v>0</v>
      </c>
      <c r="V2784" s="40"/>
    </row>
    <row r="2785" spans="2:22" x14ac:dyDescent="0.35">
      <c r="B2785" s="40">
        <v>37175</v>
      </c>
      <c r="C2785" s="39">
        <v>4718.46</v>
      </c>
      <c r="D2785" s="219">
        <f t="shared" si="280"/>
        <v>2.256288349841017E-2</v>
      </c>
      <c r="F2785" s="40">
        <v>37175</v>
      </c>
      <c r="G2785" s="39">
        <v>4718.46</v>
      </c>
      <c r="H2785" s="39">
        <f t="shared" si="275"/>
        <v>4</v>
      </c>
      <c r="I2785" s="39">
        <f t="shared" si="276"/>
        <v>0</v>
      </c>
      <c r="K2785" s="40"/>
      <c r="Q2785" s="40">
        <v>37175</v>
      </c>
      <c r="R2785" s="39">
        <v>4718.46</v>
      </c>
      <c r="S2785" s="39">
        <f t="shared" si="277"/>
        <v>10</v>
      </c>
      <c r="T2785" s="39">
        <f t="shared" si="278"/>
        <v>0</v>
      </c>
      <c r="U2785" s="39">
        <f t="shared" si="279"/>
        <v>0</v>
      </c>
      <c r="V2785" s="40"/>
    </row>
    <row r="2786" spans="2:22" x14ac:dyDescent="0.35">
      <c r="B2786" s="40">
        <v>37176</v>
      </c>
      <c r="C2786" s="39">
        <v>4625.13</v>
      </c>
      <c r="D2786" s="219">
        <f t="shared" si="280"/>
        <v>-1.9977996495528238E-2</v>
      </c>
      <c r="F2786" s="40">
        <v>37176</v>
      </c>
      <c r="G2786" s="39">
        <v>4625.13</v>
      </c>
      <c r="H2786" s="39">
        <f t="shared" si="275"/>
        <v>5</v>
      </c>
      <c r="I2786" s="39">
        <f t="shared" si="276"/>
        <v>4625.13</v>
      </c>
      <c r="K2786" s="40"/>
      <c r="Q2786" s="40">
        <v>37176</v>
      </c>
      <c r="R2786" s="39">
        <v>4625.13</v>
      </c>
      <c r="S2786" s="39">
        <f t="shared" si="277"/>
        <v>10</v>
      </c>
      <c r="T2786" s="39">
        <f t="shared" si="278"/>
        <v>0</v>
      </c>
      <c r="U2786" s="39">
        <f t="shared" si="279"/>
        <v>0</v>
      </c>
      <c r="V2786" s="40"/>
    </row>
    <row r="2787" spans="2:22" x14ac:dyDescent="0.35">
      <c r="B2787" s="40">
        <v>37179</v>
      </c>
      <c r="C2787" s="39">
        <v>4548.4799999999996</v>
      </c>
      <c r="D2787" s="219">
        <f t="shared" si="280"/>
        <v>-1.6711367461132661E-2</v>
      </c>
      <c r="F2787" s="40">
        <v>37179</v>
      </c>
      <c r="G2787" s="39">
        <v>4548.4799999999996</v>
      </c>
      <c r="H2787" s="39">
        <f t="shared" si="275"/>
        <v>1</v>
      </c>
      <c r="I2787" s="39">
        <f t="shared" si="276"/>
        <v>0</v>
      </c>
      <c r="K2787" s="40"/>
      <c r="Q2787" s="40">
        <v>37179</v>
      </c>
      <c r="R2787" s="39">
        <v>4548.4799999999996</v>
      </c>
      <c r="S2787" s="39">
        <f t="shared" si="277"/>
        <v>10</v>
      </c>
      <c r="T2787" s="39">
        <f t="shared" si="278"/>
        <v>0</v>
      </c>
      <c r="U2787" s="39">
        <f t="shared" si="279"/>
        <v>0</v>
      </c>
      <c r="V2787" s="40"/>
    </row>
    <row r="2788" spans="2:22" x14ac:dyDescent="0.35">
      <c r="B2788" s="40">
        <v>37180</v>
      </c>
      <c r="C2788" s="39">
        <v>4626.4799999999996</v>
      </c>
      <c r="D2788" s="219">
        <f t="shared" si="280"/>
        <v>1.7003208558969973E-2</v>
      </c>
      <c r="F2788" s="40">
        <v>37180</v>
      </c>
      <c r="G2788" s="39">
        <v>4626.4799999999996</v>
      </c>
      <c r="H2788" s="39">
        <f t="shared" si="275"/>
        <v>2</v>
      </c>
      <c r="I2788" s="39">
        <f t="shared" si="276"/>
        <v>0</v>
      </c>
      <c r="K2788" s="40"/>
      <c r="Q2788" s="40">
        <v>37180</v>
      </c>
      <c r="R2788" s="39">
        <v>4626.4799999999996</v>
      </c>
      <c r="S2788" s="39">
        <f t="shared" si="277"/>
        <v>10</v>
      </c>
      <c r="T2788" s="39">
        <f t="shared" si="278"/>
        <v>0</v>
      </c>
      <c r="U2788" s="39">
        <f t="shared" si="279"/>
        <v>0</v>
      </c>
      <c r="V2788" s="40"/>
    </row>
    <row r="2789" spans="2:22" x14ac:dyDescent="0.35">
      <c r="B2789" s="40">
        <v>37181</v>
      </c>
      <c r="C2789" s="39">
        <v>4644.82</v>
      </c>
      <c r="D2789" s="219">
        <f t="shared" si="280"/>
        <v>3.9563003941076088E-3</v>
      </c>
      <c r="F2789" s="40">
        <v>37181</v>
      </c>
      <c r="G2789" s="39">
        <v>4644.82</v>
      </c>
      <c r="H2789" s="39">
        <f t="shared" si="275"/>
        <v>3</v>
      </c>
      <c r="I2789" s="39">
        <f t="shared" si="276"/>
        <v>0</v>
      </c>
      <c r="K2789" s="40"/>
      <c r="Q2789" s="40">
        <v>37181</v>
      </c>
      <c r="R2789" s="39">
        <v>4644.82</v>
      </c>
      <c r="S2789" s="39">
        <f t="shared" si="277"/>
        <v>10</v>
      </c>
      <c r="T2789" s="39">
        <f t="shared" si="278"/>
        <v>0</v>
      </c>
      <c r="U2789" s="39">
        <f t="shared" si="279"/>
        <v>0</v>
      </c>
      <c r="V2789" s="40"/>
    </row>
    <row r="2790" spans="2:22" x14ac:dyDescent="0.35">
      <c r="B2790" s="40">
        <v>37182</v>
      </c>
      <c r="C2790" s="39">
        <v>4574.37</v>
      </c>
      <c r="D2790" s="219">
        <f t="shared" si="280"/>
        <v>-1.5283635842157037E-2</v>
      </c>
      <c r="F2790" s="40">
        <v>37182</v>
      </c>
      <c r="G2790" s="39">
        <v>4574.37</v>
      </c>
      <c r="H2790" s="39">
        <f t="shared" si="275"/>
        <v>4</v>
      </c>
      <c r="I2790" s="39">
        <f t="shared" si="276"/>
        <v>0</v>
      </c>
      <c r="K2790" s="40"/>
      <c r="Q2790" s="40">
        <v>37182</v>
      </c>
      <c r="R2790" s="39">
        <v>4574.37</v>
      </c>
      <c r="S2790" s="39">
        <f t="shared" si="277"/>
        <v>10</v>
      </c>
      <c r="T2790" s="39">
        <f t="shared" si="278"/>
        <v>0</v>
      </c>
      <c r="U2790" s="39">
        <f t="shared" si="279"/>
        <v>0</v>
      </c>
      <c r="V2790" s="40"/>
    </row>
    <row r="2791" spans="2:22" x14ac:dyDescent="0.35">
      <c r="B2791" s="40">
        <v>37183</v>
      </c>
      <c r="C2791" s="39">
        <v>4513.53</v>
      </c>
      <c r="D2791" s="219">
        <f t="shared" si="280"/>
        <v>-1.3389431866788743E-2</v>
      </c>
      <c r="F2791" s="40">
        <v>37183</v>
      </c>
      <c r="G2791" s="39">
        <v>4513.53</v>
      </c>
      <c r="H2791" s="39">
        <f t="shared" si="275"/>
        <v>5</v>
      </c>
      <c r="I2791" s="39">
        <f t="shared" si="276"/>
        <v>4513.53</v>
      </c>
      <c r="K2791" s="40"/>
      <c r="Q2791" s="40">
        <v>37183</v>
      </c>
      <c r="R2791" s="39">
        <v>4513.53</v>
      </c>
      <c r="S2791" s="39">
        <f t="shared" si="277"/>
        <v>10</v>
      </c>
      <c r="T2791" s="39">
        <f t="shared" si="278"/>
        <v>0</v>
      </c>
      <c r="U2791" s="39">
        <f t="shared" si="279"/>
        <v>0</v>
      </c>
      <c r="V2791" s="40"/>
    </row>
    <row r="2792" spans="2:22" x14ac:dyDescent="0.35">
      <c r="B2792" s="40">
        <v>37186</v>
      </c>
      <c r="C2792" s="39">
        <v>4619.32</v>
      </c>
      <c r="D2792" s="219">
        <f t="shared" si="280"/>
        <v>2.3167955653046912E-2</v>
      </c>
      <c r="F2792" s="40">
        <v>37186</v>
      </c>
      <c r="G2792" s="39">
        <v>4619.32</v>
      </c>
      <c r="H2792" s="39">
        <f t="shared" si="275"/>
        <v>1</v>
      </c>
      <c r="I2792" s="39">
        <f t="shared" si="276"/>
        <v>0</v>
      </c>
      <c r="K2792" s="40"/>
      <c r="Q2792" s="40">
        <v>37186</v>
      </c>
      <c r="R2792" s="39">
        <v>4619.32</v>
      </c>
      <c r="S2792" s="39">
        <f t="shared" si="277"/>
        <v>10</v>
      </c>
      <c r="T2792" s="39">
        <f t="shared" si="278"/>
        <v>0</v>
      </c>
      <c r="U2792" s="39">
        <f t="shared" si="279"/>
        <v>0</v>
      </c>
      <c r="V2792" s="40"/>
    </row>
    <row r="2793" spans="2:22" x14ac:dyDescent="0.35">
      <c r="B2793" s="40">
        <v>37187</v>
      </c>
      <c r="C2793" s="39">
        <v>4704.22</v>
      </c>
      <c r="D2793" s="219">
        <f t="shared" si="280"/>
        <v>1.8212470096669636E-2</v>
      </c>
      <c r="F2793" s="40">
        <v>37187</v>
      </c>
      <c r="G2793" s="39">
        <v>4704.22</v>
      </c>
      <c r="H2793" s="39">
        <f t="shared" si="275"/>
        <v>2</v>
      </c>
      <c r="I2793" s="39">
        <f t="shared" si="276"/>
        <v>0</v>
      </c>
      <c r="K2793" s="40"/>
      <c r="Q2793" s="40">
        <v>37187</v>
      </c>
      <c r="R2793" s="39">
        <v>4704.22</v>
      </c>
      <c r="S2793" s="39">
        <f t="shared" si="277"/>
        <v>10</v>
      </c>
      <c r="T2793" s="39">
        <f t="shared" si="278"/>
        <v>0</v>
      </c>
      <c r="U2793" s="39">
        <f t="shared" si="279"/>
        <v>0</v>
      </c>
      <c r="V2793" s="40"/>
    </row>
    <row r="2794" spans="2:22" x14ac:dyDescent="0.35">
      <c r="B2794" s="40">
        <v>37188</v>
      </c>
      <c r="C2794" s="39">
        <v>4811.82</v>
      </c>
      <c r="D2794" s="219">
        <f t="shared" si="280"/>
        <v>2.2615412718814863E-2</v>
      </c>
      <c r="F2794" s="40">
        <v>37188</v>
      </c>
      <c r="G2794" s="39">
        <v>4811.82</v>
      </c>
      <c r="H2794" s="39">
        <f t="shared" si="275"/>
        <v>3</v>
      </c>
      <c r="I2794" s="39">
        <f t="shared" si="276"/>
        <v>0</v>
      </c>
      <c r="K2794" s="40"/>
      <c r="Q2794" s="40">
        <v>37188</v>
      </c>
      <c r="R2794" s="39">
        <v>4811.82</v>
      </c>
      <c r="S2794" s="39">
        <f t="shared" si="277"/>
        <v>10</v>
      </c>
      <c r="T2794" s="39">
        <f t="shared" si="278"/>
        <v>0</v>
      </c>
      <c r="U2794" s="39">
        <f t="shared" si="279"/>
        <v>0</v>
      </c>
      <c r="V2794" s="40"/>
    </row>
    <row r="2795" spans="2:22" x14ac:dyDescent="0.35">
      <c r="B2795" s="40">
        <v>37189</v>
      </c>
      <c r="C2795" s="39">
        <v>4715.6000000000004</v>
      </c>
      <c r="D2795" s="219">
        <f t="shared" si="280"/>
        <v>-2.0199229493166455E-2</v>
      </c>
      <c r="F2795" s="40">
        <v>37189</v>
      </c>
      <c r="G2795" s="39">
        <v>4715.6000000000004</v>
      </c>
      <c r="H2795" s="39">
        <f t="shared" si="275"/>
        <v>4</v>
      </c>
      <c r="I2795" s="39">
        <f t="shared" si="276"/>
        <v>0</v>
      </c>
      <c r="K2795" s="40"/>
      <c r="Q2795" s="40">
        <v>37189</v>
      </c>
      <c r="R2795" s="39">
        <v>4715.6000000000004</v>
      </c>
      <c r="S2795" s="39">
        <f t="shared" si="277"/>
        <v>10</v>
      </c>
      <c r="T2795" s="39">
        <f t="shared" si="278"/>
        <v>0</v>
      </c>
      <c r="U2795" s="39">
        <f t="shared" si="279"/>
        <v>0</v>
      </c>
      <c r="V2795" s="40"/>
    </row>
    <row r="2796" spans="2:22" x14ac:dyDescent="0.35">
      <c r="B2796" s="40">
        <v>37190</v>
      </c>
      <c r="C2796" s="39">
        <v>4820.26</v>
      </c>
      <c r="D2796" s="219">
        <f t="shared" si="280"/>
        <v>2.1951707080574846E-2</v>
      </c>
      <c r="F2796" s="40">
        <v>37190</v>
      </c>
      <c r="G2796" s="39">
        <v>4820.26</v>
      </c>
      <c r="H2796" s="39">
        <f t="shared" si="275"/>
        <v>5</v>
      </c>
      <c r="I2796" s="39">
        <f t="shared" si="276"/>
        <v>4820.26</v>
      </c>
      <c r="K2796" s="40"/>
      <c r="Q2796" s="40">
        <v>37190</v>
      </c>
      <c r="R2796" s="39">
        <v>4820.26</v>
      </c>
      <c r="S2796" s="39">
        <f t="shared" si="277"/>
        <v>10</v>
      </c>
      <c r="T2796" s="39">
        <f t="shared" si="278"/>
        <v>0</v>
      </c>
      <c r="U2796" s="39">
        <f t="shared" si="279"/>
        <v>0</v>
      </c>
      <c r="V2796" s="40"/>
    </row>
    <row r="2797" spans="2:22" x14ac:dyDescent="0.35">
      <c r="B2797" s="40">
        <v>37193</v>
      </c>
      <c r="C2797" s="39">
        <v>4660.3500000000004</v>
      </c>
      <c r="D2797" s="219">
        <f t="shared" si="280"/>
        <v>-3.3737315903130005E-2</v>
      </c>
      <c r="F2797" s="40">
        <v>37193</v>
      </c>
      <c r="G2797" s="39">
        <v>4660.3500000000004</v>
      </c>
      <c r="H2797" s="39">
        <f t="shared" si="275"/>
        <v>1</v>
      </c>
      <c r="I2797" s="39">
        <f t="shared" si="276"/>
        <v>0</v>
      </c>
      <c r="K2797" s="40"/>
      <c r="Q2797" s="40">
        <v>37193</v>
      </c>
      <c r="R2797" s="39">
        <v>4660.3500000000004</v>
      </c>
      <c r="S2797" s="39">
        <f t="shared" si="277"/>
        <v>10</v>
      </c>
      <c r="T2797" s="39">
        <f t="shared" si="278"/>
        <v>0</v>
      </c>
      <c r="U2797" s="39">
        <f t="shared" si="279"/>
        <v>0</v>
      </c>
      <c r="V2797" s="40"/>
    </row>
    <row r="2798" spans="2:22" x14ac:dyDescent="0.35">
      <c r="B2798" s="40">
        <v>37194</v>
      </c>
      <c r="C2798" s="39">
        <v>4543.9799999999996</v>
      </c>
      <c r="D2798" s="219">
        <f t="shared" si="280"/>
        <v>-2.5287272612566924E-2</v>
      </c>
      <c r="F2798" s="40">
        <v>37194</v>
      </c>
      <c r="G2798" s="39">
        <v>4543.9799999999996</v>
      </c>
      <c r="H2798" s="39">
        <f t="shared" si="275"/>
        <v>2</v>
      </c>
      <c r="I2798" s="39">
        <f t="shared" si="276"/>
        <v>0</v>
      </c>
      <c r="K2798" s="40"/>
      <c r="Q2798" s="40">
        <v>37194</v>
      </c>
      <c r="R2798" s="39">
        <v>4543.9799999999996</v>
      </c>
      <c r="S2798" s="39">
        <f t="shared" si="277"/>
        <v>10</v>
      </c>
      <c r="T2798" s="39">
        <f t="shared" si="278"/>
        <v>0</v>
      </c>
      <c r="U2798" s="39">
        <f t="shared" si="279"/>
        <v>0</v>
      </c>
      <c r="V2798" s="40"/>
    </row>
    <row r="2799" spans="2:22" x14ac:dyDescent="0.35">
      <c r="B2799" s="40">
        <v>37195</v>
      </c>
      <c r="C2799" s="39">
        <v>4559.13</v>
      </c>
      <c r="D2799" s="219">
        <f t="shared" si="280"/>
        <v>3.328535849270421E-3</v>
      </c>
      <c r="F2799" s="40">
        <v>37195</v>
      </c>
      <c r="G2799" s="39">
        <v>4559.13</v>
      </c>
      <c r="H2799" s="39">
        <f t="shared" si="275"/>
        <v>3</v>
      </c>
      <c r="I2799" s="39">
        <f t="shared" si="276"/>
        <v>0</v>
      </c>
      <c r="K2799" s="40"/>
      <c r="Q2799" s="40">
        <v>37195</v>
      </c>
      <c r="R2799" s="39">
        <v>4559.13</v>
      </c>
      <c r="S2799" s="39">
        <f t="shared" si="277"/>
        <v>10</v>
      </c>
      <c r="T2799" s="39">
        <f t="shared" si="278"/>
        <v>4559.13</v>
      </c>
      <c r="U2799" s="39">
        <f t="shared" si="279"/>
        <v>4559.13</v>
      </c>
      <c r="V2799" s="40"/>
    </row>
    <row r="2800" spans="2:22" x14ac:dyDescent="0.35">
      <c r="B2800" s="40">
        <v>37196</v>
      </c>
      <c r="C2800" s="39">
        <v>4636.13</v>
      </c>
      <c r="D2800" s="219">
        <f t="shared" si="280"/>
        <v>1.6748150649381455E-2</v>
      </c>
      <c r="F2800" s="40">
        <v>37196</v>
      </c>
      <c r="G2800" s="39">
        <v>4636.13</v>
      </c>
      <c r="H2800" s="39">
        <f t="shared" si="275"/>
        <v>4</v>
      </c>
      <c r="I2800" s="39">
        <f t="shared" si="276"/>
        <v>0</v>
      </c>
      <c r="K2800" s="40"/>
      <c r="Q2800" s="40">
        <v>37196</v>
      </c>
      <c r="R2800" s="39">
        <v>4636.13</v>
      </c>
      <c r="S2800" s="39">
        <f t="shared" si="277"/>
        <v>11</v>
      </c>
      <c r="T2800" s="39">
        <f t="shared" si="278"/>
        <v>0</v>
      </c>
      <c r="U2800" s="39">
        <f t="shared" si="279"/>
        <v>0</v>
      </c>
      <c r="V2800" s="40"/>
    </row>
    <row r="2801" spans="2:22" x14ac:dyDescent="0.35">
      <c r="B2801" s="40">
        <v>37197</v>
      </c>
      <c r="C2801" s="39">
        <v>4583.3100000000004</v>
      </c>
      <c r="D2801" s="219">
        <f t="shared" si="280"/>
        <v>-1.1458521976944025E-2</v>
      </c>
      <c r="F2801" s="40">
        <v>37197</v>
      </c>
      <c r="G2801" s="39">
        <v>4583.3100000000004</v>
      </c>
      <c r="H2801" s="39">
        <f t="shared" si="275"/>
        <v>5</v>
      </c>
      <c r="I2801" s="39">
        <f t="shared" si="276"/>
        <v>4583.3100000000004</v>
      </c>
      <c r="K2801" s="40"/>
      <c r="Q2801" s="40">
        <v>37197</v>
      </c>
      <c r="R2801" s="39">
        <v>4583.3100000000004</v>
      </c>
      <c r="S2801" s="39">
        <f t="shared" si="277"/>
        <v>11</v>
      </c>
      <c r="T2801" s="39">
        <f t="shared" si="278"/>
        <v>0</v>
      </c>
      <c r="U2801" s="39">
        <f t="shared" si="279"/>
        <v>0</v>
      </c>
      <c r="V2801" s="40"/>
    </row>
    <row r="2802" spans="2:22" x14ac:dyDescent="0.35">
      <c r="B2802" s="40">
        <v>37200</v>
      </c>
      <c r="C2802" s="39">
        <v>4755.1099999999997</v>
      </c>
      <c r="D2802" s="219">
        <f t="shared" si="280"/>
        <v>3.6798384750994451E-2</v>
      </c>
      <c r="F2802" s="40">
        <v>37200</v>
      </c>
      <c r="G2802" s="39">
        <v>4755.1099999999997</v>
      </c>
      <c r="H2802" s="39">
        <f t="shared" si="275"/>
        <v>1</v>
      </c>
      <c r="I2802" s="39">
        <f t="shared" si="276"/>
        <v>0</v>
      </c>
      <c r="K2802" s="40"/>
      <c r="Q2802" s="40">
        <v>37200</v>
      </c>
      <c r="R2802" s="39">
        <v>4755.1099999999997</v>
      </c>
      <c r="S2802" s="39">
        <f t="shared" si="277"/>
        <v>11</v>
      </c>
      <c r="T2802" s="39">
        <f t="shared" si="278"/>
        <v>0</v>
      </c>
      <c r="U2802" s="39">
        <f t="shared" si="279"/>
        <v>0</v>
      </c>
      <c r="V2802" s="40"/>
    </row>
    <row r="2803" spans="2:22" x14ac:dyDescent="0.35">
      <c r="B2803" s="40">
        <v>37201</v>
      </c>
      <c r="C2803" s="39">
        <v>4707.6499999999996</v>
      </c>
      <c r="D2803" s="219">
        <f t="shared" si="280"/>
        <v>-1.0030984185159178E-2</v>
      </c>
      <c r="F2803" s="40">
        <v>37201</v>
      </c>
      <c r="G2803" s="39">
        <v>4707.6499999999996</v>
      </c>
      <c r="H2803" s="39">
        <f t="shared" si="275"/>
        <v>2</v>
      </c>
      <c r="I2803" s="39">
        <f t="shared" si="276"/>
        <v>0</v>
      </c>
      <c r="K2803" s="40"/>
      <c r="Q2803" s="40">
        <v>37201</v>
      </c>
      <c r="R2803" s="39">
        <v>4707.6499999999996</v>
      </c>
      <c r="S2803" s="39">
        <f t="shared" si="277"/>
        <v>11</v>
      </c>
      <c r="T2803" s="39">
        <f t="shared" si="278"/>
        <v>0</v>
      </c>
      <c r="U2803" s="39">
        <f t="shared" si="279"/>
        <v>0</v>
      </c>
      <c r="V2803" s="40"/>
    </row>
    <row r="2804" spans="2:22" x14ac:dyDescent="0.35">
      <c r="B2804" s="40">
        <v>37202</v>
      </c>
      <c r="C2804" s="39">
        <v>4860.66</v>
      </c>
      <c r="D2804" s="219">
        <f t="shared" si="280"/>
        <v>3.1985386072961183E-2</v>
      </c>
      <c r="F2804" s="40">
        <v>37202</v>
      </c>
      <c r="G2804" s="39">
        <v>4860.66</v>
      </c>
      <c r="H2804" s="39">
        <f t="shared" si="275"/>
        <v>3</v>
      </c>
      <c r="I2804" s="39">
        <f t="shared" si="276"/>
        <v>0</v>
      </c>
      <c r="K2804" s="40"/>
      <c r="Q2804" s="40">
        <v>37202</v>
      </c>
      <c r="R2804" s="39">
        <v>4860.66</v>
      </c>
      <c r="S2804" s="39">
        <f t="shared" si="277"/>
        <v>11</v>
      </c>
      <c r="T2804" s="39">
        <f t="shared" si="278"/>
        <v>0</v>
      </c>
      <c r="U2804" s="39">
        <f t="shared" si="279"/>
        <v>0</v>
      </c>
      <c r="V2804" s="40"/>
    </row>
    <row r="2805" spans="2:22" x14ac:dyDescent="0.35">
      <c r="B2805" s="40">
        <v>37203</v>
      </c>
      <c r="C2805" s="39">
        <v>4993.57</v>
      </c>
      <c r="D2805" s="219">
        <f t="shared" si="280"/>
        <v>2.6976853665270945E-2</v>
      </c>
      <c r="F2805" s="40">
        <v>37203</v>
      </c>
      <c r="G2805" s="39">
        <v>4993.57</v>
      </c>
      <c r="H2805" s="39">
        <f t="shared" si="275"/>
        <v>4</v>
      </c>
      <c r="I2805" s="39">
        <f t="shared" si="276"/>
        <v>0</v>
      </c>
      <c r="K2805" s="40"/>
      <c r="Q2805" s="40">
        <v>37203</v>
      </c>
      <c r="R2805" s="39">
        <v>4993.57</v>
      </c>
      <c r="S2805" s="39">
        <f t="shared" si="277"/>
        <v>11</v>
      </c>
      <c r="T2805" s="39">
        <f t="shared" si="278"/>
        <v>0</v>
      </c>
      <c r="U2805" s="39">
        <f t="shared" si="279"/>
        <v>0</v>
      </c>
      <c r="V2805" s="40"/>
    </row>
    <row r="2806" spans="2:22" x14ac:dyDescent="0.35">
      <c r="B2806" s="40">
        <v>37204</v>
      </c>
      <c r="C2806" s="39">
        <v>4910.07</v>
      </c>
      <c r="D2806" s="219">
        <f t="shared" si="280"/>
        <v>-1.6862886502539528E-2</v>
      </c>
      <c r="F2806" s="40">
        <v>37204</v>
      </c>
      <c r="G2806" s="39">
        <v>4910.07</v>
      </c>
      <c r="H2806" s="39">
        <f t="shared" si="275"/>
        <v>5</v>
      </c>
      <c r="I2806" s="39">
        <f t="shared" si="276"/>
        <v>4910.07</v>
      </c>
      <c r="K2806" s="40"/>
      <c r="Q2806" s="40">
        <v>37204</v>
      </c>
      <c r="R2806" s="39">
        <v>4910.07</v>
      </c>
      <c r="S2806" s="39">
        <f t="shared" si="277"/>
        <v>11</v>
      </c>
      <c r="T2806" s="39">
        <f t="shared" si="278"/>
        <v>0</v>
      </c>
      <c r="U2806" s="39">
        <f t="shared" si="279"/>
        <v>0</v>
      </c>
      <c r="V2806" s="40"/>
    </row>
    <row r="2807" spans="2:22" x14ac:dyDescent="0.35">
      <c r="B2807" s="40">
        <v>37207</v>
      </c>
      <c r="C2807" s="39">
        <v>4820.37</v>
      </c>
      <c r="D2807" s="219">
        <f t="shared" si="280"/>
        <v>-1.8437509722128622E-2</v>
      </c>
      <c r="F2807" s="40">
        <v>37207</v>
      </c>
      <c r="G2807" s="39">
        <v>4820.37</v>
      </c>
      <c r="H2807" s="39">
        <f t="shared" ref="H2807:H2870" si="281">WEEKDAY(F2807,2)</f>
        <v>1</v>
      </c>
      <c r="I2807" s="39">
        <f t="shared" ref="I2807:I2870" si="282">IF(H2807&gt;H2808,G2807,0)</f>
        <v>0</v>
      </c>
      <c r="K2807" s="40"/>
      <c r="Q2807" s="40">
        <v>37207</v>
      </c>
      <c r="R2807" s="39">
        <v>4820.37</v>
      </c>
      <c r="S2807" s="39">
        <f t="shared" ref="S2807:S2870" si="283">MONTH(Q2807)</f>
        <v>11</v>
      </c>
      <c r="T2807" s="39">
        <f t="shared" ref="T2807:T2870" si="284">IF(S2808&lt;&gt;S2807,R2807,0)</f>
        <v>0</v>
      </c>
      <c r="U2807" s="39">
        <f t="shared" ref="U2807:U2870" si="285">IF(S2808=S2807,0,R2807)</f>
        <v>0</v>
      </c>
      <c r="V2807" s="40"/>
    </row>
    <row r="2808" spans="2:22" x14ac:dyDescent="0.35">
      <c r="B2808" s="40">
        <v>37208</v>
      </c>
      <c r="C2808" s="39">
        <v>4946.97</v>
      </c>
      <c r="D2808" s="219">
        <f t="shared" ref="D2808:D2871" si="286">LN(C2808/C2807)</f>
        <v>2.5924579343980608E-2</v>
      </c>
      <c r="F2808" s="40">
        <v>37208</v>
      </c>
      <c r="G2808" s="39">
        <v>4946.97</v>
      </c>
      <c r="H2808" s="39">
        <f t="shared" si="281"/>
        <v>2</v>
      </c>
      <c r="I2808" s="39">
        <f t="shared" si="282"/>
        <v>0</v>
      </c>
      <c r="K2808" s="40"/>
      <c r="Q2808" s="40">
        <v>37208</v>
      </c>
      <c r="R2808" s="39">
        <v>4946.97</v>
      </c>
      <c r="S2808" s="39">
        <f t="shared" si="283"/>
        <v>11</v>
      </c>
      <c r="T2808" s="39">
        <f t="shared" si="284"/>
        <v>0</v>
      </c>
      <c r="U2808" s="39">
        <f t="shared" si="285"/>
        <v>0</v>
      </c>
      <c r="V2808" s="40"/>
    </row>
    <row r="2809" spans="2:22" x14ac:dyDescent="0.35">
      <c r="B2809" s="40">
        <v>37209</v>
      </c>
      <c r="C2809" s="39">
        <v>4953.53</v>
      </c>
      <c r="D2809" s="219">
        <f t="shared" si="286"/>
        <v>1.3251857906187564E-3</v>
      </c>
      <c r="F2809" s="40">
        <v>37209</v>
      </c>
      <c r="G2809" s="39">
        <v>4953.53</v>
      </c>
      <c r="H2809" s="39">
        <f t="shared" si="281"/>
        <v>3</v>
      </c>
      <c r="I2809" s="39">
        <f t="shared" si="282"/>
        <v>0</v>
      </c>
      <c r="K2809" s="40"/>
      <c r="Q2809" s="40">
        <v>37209</v>
      </c>
      <c r="R2809" s="39">
        <v>4953.53</v>
      </c>
      <c r="S2809" s="39">
        <f t="shared" si="283"/>
        <v>11</v>
      </c>
      <c r="T2809" s="39">
        <f t="shared" si="284"/>
        <v>0</v>
      </c>
      <c r="U2809" s="39">
        <f t="shared" si="285"/>
        <v>0</v>
      </c>
      <c r="V2809" s="40"/>
    </row>
    <row r="2810" spans="2:22" x14ac:dyDescent="0.35">
      <c r="B2810" s="40">
        <v>37210</v>
      </c>
      <c r="C2810" s="39">
        <v>5006.33</v>
      </c>
      <c r="D2810" s="219">
        <f t="shared" si="286"/>
        <v>1.0602657995401974E-2</v>
      </c>
      <c r="F2810" s="40">
        <v>37210</v>
      </c>
      <c r="G2810" s="39">
        <v>5006.33</v>
      </c>
      <c r="H2810" s="39">
        <f t="shared" si="281"/>
        <v>4</v>
      </c>
      <c r="I2810" s="39">
        <f t="shared" si="282"/>
        <v>0</v>
      </c>
      <c r="K2810" s="40"/>
      <c r="Q2810" s="40">
        <v>37210</v>
      </c>
      <c r="R2810" s="39">
        <v>5006.33</v>
      </c>
      <c r="S2810" s="39">
        <f t="shared" si="283"/>
        <v>11</v>
      </c>
      <c r="T2810" s="39">
        <f t="shared" si="284"/>
        <v>0</v>
      </c>
      <c r="U2810" s="39">
        <f t="shared" si="285"/>
        <v>0</v>
      </c>
      <c r="V2810" s="40"/>
    </row>
    <row r="2811" spans="2:22" x14ac:dyDescent="0.35">
      <c r="B2811" s="40">
        <v>37211</v>
      </c>
      <c r="C2811" s="39">
        <v>5062.6400000000003</v>
      </c>
      <c r="D2811" s="219">
        <f t="shared" si="286"/>
        <v>1.1184974639449806E-2</v>
      </c>
      <c r="F2811" s="40">
        <v>37211</v>
      </c>
      <c r="G2811" s="39">
        <v>5062.6400000000003</v>
      </c>
      <c r="H2811" s="39">
        <f t="shared" si="281"/>
        <v>5</v>
      </c>
      <c r="I2811" s="39">
        <f t="shared" si="282"/>
        <v>5062.6400000000003</v>
      </c>
      <c r="K2811" s="40"/>
      <c r="Q2811" s="40">
        <v>37211</v>
      </c>
      <c r="R2811" s="39">
        <v>5062.6400000000003</v>
      </c>
      <c r="S2811" s="39">
        <f t="shared" si="283"/>
        <v>11</v>
      </c>
      <c r="T2811" s="39">
        <f t="shared" si="284"/>
        <v>0</v>
      </c>
      <c r="U2811" s="39">
        <f t="shared" si="285"/>
        <v>0</v>
      </c>
      <c r="V2811" s="40"/>
    </row>
    <row r="2812" spans="2:22" x14ac:dyDescent="0.35">
      <c r="B2812" s="40">
        <v>37214</v>
      </c>
      <c r="C2812" s="39">
        <v>5185.1000000000004</v>
      </c>
      <c r="D2812" s="219">
        <f t="shared" si="286"/>
        <v>2.3901041527324675E-2</v>
      </c>
      <c r="F2812" s="40">
        <v>37214</v>
      </c>
      <c r="G2812" s="39">
        <v>5185.1000000000004</v>
      </c>
      <c r="H2812" s="39">
        <f t="shared" si="281"/>
        <v>1</v>
      </c>
      <c r="I2812" s="39">
        <f t="shared" si="282"/>
        <v>0</v>
      </c>
      <c r="K2812" s="40"/>
      <c r="Q2812" s="40">
        <v>37214</v>
      </c>
      <c r="R2812" s="39">
        <v>5185.1000000000004</v>
      </c>
      <c r="S2812" s="39">
        <f t="shared" si="283"/>
        <v>11</v>
      </c>
      <c r="T2812" s="39">
        <f t="shared" si="284"/>
        <v>0</v>
      </c>
      <c r="U2812" s="39">
        <f t="shared" si="285"/>
        <v>0</v>
      </c>
      <c r="V2812" s="40"/>
    </row>
    <row r="2813" spans="2:22" x14ac:dyDescent="0.35">
      <c r="B2813" s="40">
        <v>37215</v>
      </c>
      <c r="C2813" s="39">
        <v>5096.18</v>
      </c>
      <c r="D2813" s="219">
        <f t="shared" si="286"/>
        <v>-1.7297888431498716E-2</v>
      </c>
      <c r="F2813" s="40">
        <v>37215</v>
      </c>
      <c r="G2813" s="39">
        <v>5096.18</v>
      </c>
      <c r="H2813" s="39">
        <f t="shared" si="281"/>
        <v>2</v>
      </c>
      <c r="I2813" s="39">
        <f t="shared" si="282"/>
        <v>0</v>
      </c>
      <c r="K2813" s="40"/>
      <c r="Q2813" s="40">
        <v>37215</v>
      </c>
      <c r="R2813" s="39">
        <v>5096.18</v>
      </c>
      <c r="S2813" s="39">
        <f t="shared" si="283"/>
        <v>11</v>
      </c>
      <c r="T2813" s="39">
        <f t="shared" si="284"/>
        <v>0</v>
      </c>
      <c r="U2813" s="39">
        <f t="shared" si="285"/>
        <v>0</v>
      </c>
      <c r="V2813" s="40"/>
    </row>
    <row r="2814" spans="2:22" x14ac:dyDescent="0.35">
      <c r="B2814" s="40">
        <v>37216</v>
      </c>
      <c r="C2814" s="39">
        <v>5087.03</v>
      </c>
      <c r="D2814" s="219">
        <f t="shared" si="286"/>
        <v>-1.79707625836673E-3</v>
      </c>
      <c r="F2814" s="40">
        <v>37216</v>
      </c>
      <c r="G2814" s="39">
        <v>5087.03</v>
      </c>
      <c r="H2814" s="39">
        <f t="shared" si="281"/>
        <v>3</v>
      </c>
      <c r="I2814" s="39">
        <f t="shared" si="282"/>
        <v>0</v>
      </c>
      <c r="K2814" s="40"/>
      <c r="Q2814" s="40">
        <v>37216</v>
      </c>
      <c r="R2814" s="39">
        <v>5087.03</v>
      </c>
      <c r="S2814" s="39">
        <f t="shared" si="283"/>
        <v>11</v>
      </c>
      <c r="T2814" s="39">
        <f t="shared" si="284"/>
        <v>0</v>
      </c>
      <c r="U2814" s="39">
        <f t="shared" si="285"/>
        <v>0</v>
      </c>
      <c r="V2814" s="40"/>
    </row>
    <row r="2815" spans="2:22" x14ac:dyDescent="0.35">
      <c r="B2815" s="40">
        <v>37217</v>
      </c>
      <c r="C2815" s="39">
        <v>5124.54</v>
      </c>
      <c r="D2815" s="219">
        <f t="shared" si="286"/>
        <v>7.3466016898604183E-3</v>
      </c>
      <c r="F2815" s="40">
        <v>37217</v>
      </c>
      <c r="G2815" s="39">
        <v>5124.54</v>
      </c>
      <c r="H2815" s="39">
        <f t="shared" si="281"/>
        <v>4</v>
      </c>
      <c r="I2815" s="39">
        <f t="shared" si="282"/>
        <v>0</v>
      </c>
      <c r="K2815" s="40"/>
      <c r="Q2815" s="40">
        <v>37217</v>
      </c>
      <c r="R2815" s="39">
        <v>5124.54</v>
      </c>
      <c r="S2815" s="39">
        <f t="shared" si="283"/>
        <v>11</v>
      </c>
      <c r="T2815" s="39">
        <f t="shared" si="284"/>
        <v>0</v>
      </c>
      <c r="U2815" s="39">
        <f t="shared" si="285"/>
        <v>0</v>
      </c>
      <c r="V2815" s="40"/>
    </row>
    <row r="2816" spans="2:22" x14ac:dyDescent="0.35">
      <c r="B2816" s="40">
        <v>37218</v>
      </c>
      <c r="C2816" s="39">
        <v>5150.97</v>
      </c>
      <c r="D2816" s="219">
        <f t="shared" si="286"/>
        <v>5.1442815560737206E-3</v>
      </c>
      <c r="F2816" s="40">
        <v>37218</v>
      </c>
      <c r="G2816" s="39">
        <v>5150.97</v>
      </c>
      <c r="H2816" s="39">
        <f t="shared" si="281"/>
        <v>5</v>
      </c>
      <c r="I2816" s="39">
        <f t="shared" si="282"/>
        <v>5150.97</v>
      </c>
      <c r="K2816" s="40"/>
      <c r="Q2816" s="40">
        <v>37218</v>
      </c>
      <c r="R2816" s="39">
        <v>5150.97</v>
      </c>
      <c r="S2816" s="39">
        <f t="shared" si="283"/>
        <v>11</v>
      </c>
      <c r="T2816" s="39">
        <f t="shared" si="284"/>
        <v>0</v>
      </c>
      <c r="U2816" s="39">
        <f t="shared" si="285"/>
        <v>0</v>
      </c>
      <c r="V2816" s="40"/>
    </row>
    <row r="2817" spans="2:22" x14ac:dyDescent="0.35">
      <c r="B2817" s="40">
        <v>37221</v>
      </c>
      <c r="C2817" s="39">
        <v>5114.12</v>
      </c>
      <c r="D2817" s="219">
        <f t="shared" si="286"/>
        <v>-7.1797048629243434E-3</v>
      </c>
      <c r="F2817" s="40">
        <v>37221</v>
      </c>
      <c r="G2817" s="39">
        <v>5114.12</v>
      </c>
      <c r="H2817" s="39">
        <f t="shared" si="281"/>
        <v>1</v>
      </c>
      <c r="I2817" s="39">
        <f t="shared" si="282"/>
        <v>0</v>
      </c>
      <c r="K2817" s="40"/>
      <c r="Q2817" s="40">
        <v>37221</v>
      </c>
      <c r="R2817" s="39">
        <v>5114.12</v>
      </c>
      <c r="S2817" s="39">
        <f t="shared" si="283"/>
        <v>11</v>
      </c>
      <c r="T2817" s="39">
        <f t="shared" si="284"/>
        <v>0</v>
      </c>
      <c r="U2817" s="39">
        <f t="shared" si="285"/>
        <v>0</v>
      </c>
      <c r="V2817" s="40"/>
    </row>
    <row r="2818" spans="2:22" x14ac:dyDescent="0.35">
      <c r="B2818" s="40">
        <v>37222</v>
      </c>
      <c r="C2818" s="39">
        <v>5059.57</v>
      </c>
      <c r="D2818" s="219">
        <f t="shared" si="286"/>
        <v>-1.0723842140545659E-2</v>
      </c>
      <c r="F2818" s="40">
        <v>37222</v>
      </c>
      <c r="G2818" s="39">
        <v>5059.57</v>
      </c>
      <c r="H2818" s="39">
        <f t="shared" si="281"/>
        <v>2</v>
      </c>
      <c r="I2818" s="39">
        <f t="shared" si="282"/>
        <v>0</v>
      </c>
      <c r="K2818" s="40"/>
      <c r="Q2818" s="40">
        <v>37222</v>
      </c>
      <c r="R2818" s="39">
        <v>5059.57</v>
      </c>
      <c r="S2818" s="39">
        <f t="shared" si="283"/>
        <v>11</v>
      </c>
      <c r="T2818" s="39">
        <f t="shared" si="284"/>
        <v>0</v>
      </c>
      <c r="U2818" s="39">
        <f t="shared" si="285"/>
        <v>0</v>
      </c>
      <c r="V2818" s="40"/>
    </row>
    <row r="2819" spans="2:22" x14ac:dyDescent="0.35">
      <c r="B2819" s="40">
        <v>37223</v>
      </c>
      <c r="C2819" s="39">
        <v>4915.95</v>
      </c>
      <c r="D2819" s="219">
        <f t="shared" si="286"/>
        <v>-2.8796478669756844E-2</v>
      </c>
      <c r="F2819" s="40">
        <v>37223</v>
      </c>
      <c r="G2819" s="39">
        <v>4915.95</v>
      </c>
      <c r="H2819" s="39">
        <f t="shared" si="281"/>
        <v>3</v>
      </c>
      <c r="I2819" s="39">
        <f t="shared" si="282"/>
        <v>0</v>
      </c>
      <c r="K2819" s="40"/>
      <c r="Q2819" s="40">
        <v>37223</v>
      </c>
      <c r="R2819" s="39">
        <v>4915.95</v>
      </c>
      <c r="S2819" s="39">
        <f t="shared" si="283"/>
        <v>11</v>
      </c>
      <c r="T2819" s="39">
        <f t="shared" si="284"/>
        <v>0</v>
      </c>
      <c r="U2819" s="39">
        <f t="shared" si="285"/>
        <v>0</v>
      </c>
      <c r="V2819" s="40"/>
    </row>
    <row r="2820" spans="2:22" x14ac:dyDescent="0.35">
      <c r="B2820" s="40">
        <v>37224</v>
      </c>
      <c r="C2820" s="39">
        <v>4936.08</v>
      </c>
      <c r="D2820" s="219">
        <f t="shared" si="286"/>
        <v>4.0864731457386201E-3</v>
      </c>
      <c r="F2820" s="40">
        <v>37224</v>
      </c>
      <c r="G2820" s="39">
        <v>4936.08</v>
      </c>
      <c r="H2820" s="39">
        <f t="shared" si="281"/>
        <v>4</v>
      </c>
      <c r="I2820" s="39">
        <f t="shared" si="282"/>
        <v>0</v>
      </c>
      <c r="K2820" s="40"/>
      <c r="Q2820" s="40">
        <v>37224</v>
      </c>
      <c r="R2820" s="39">
        <v>4936.08</v>
      </c>
      <c r="S2820" s="39">
        <f t="shared" si="283"/>
        <v>11</v>
      </c>
      <c r="T2820" s="39">
        <f t="shared" si="284"/>
        <v>0</v>
      </c>
      <c r="U2820" s="39">
        <f t="shared" si="285"/>
        <v>0</v>
      </c>
      <c r="V2820" s="40"/>
    </row>
    <row r="2821" spans="2:22" x14ac:dyDescent="0.35">
      <c r="B2821" s="40">
        <v>37225</v>
      </c>
      <c r="C2821" s="39">
        <v>4989.91</v>
      </c>
      <c r="D2821" s="219">
        <f t="shared" si="286"/>
        <v>1.0846379601454292E-2</v>
      </c>
      <c r="F2821" s="40">
        <v>37225</v>
      </c>
      <c r="G2821" s="39">
        <v>4989.91</v>
      </c>
      <c r="H2821" s="39">
        <f t="shared" si="281"/>
        <v>5</v>
      </c>
      <c r="I2821" s="39">
        <f t="shared" si="282"/>
        <v>4989.91</v>
      </c>
      <c r="K2821" s="40"/>
      <c r="Q2821" s="40">
        <v>37225</v>
      </c>
      <c r="R2821" s="39">
        <v>4989.91</v>
      </c>
      <c r="S2821" s="39">
        <f t="shared" si="283"/>
        <v>11</v>
      </c>
      <c r="T2821" s="39">
        <f t="shared" si="284"/>
        <v>4989.91</v>
      </c>
      <c r="U2821" s="39">
        <f t="shared" si="285"/>
        <v>4989.91</v>
      </c>
      <c r="V2821" s="40"/>
    </row>
    <row r="2822" spans="2:22" x14ac:dyDescent="0.35">
      <c r="B2822" s="40">
        <v>37228</v>
      </c>
      <c r="C2822" s="39">
        <v>4988.4399999999996</v>
      </c>
      <c r="D2822" s="219">
        <f t="shared" si="286"/>
        <v>-2.9463789316559643E-4</v>
      </c>
      <c r="F2822" s="40">
        <v>37228</v>
      </c>
      <c r="G2822" s="39">
        <v>4988.4399999999996</v>
      </c>
      <c r="H2822" s="39">
        <f t="shared" si="281"/>
        <v>1</v>
      </c>
      <c r="I2822" s="39">
        <f t="shared" si="282"/>
        <v>0</v>
      </c>
      <c r="K2822" s="40"/>
      <c r="Q2822" s="40">
        <v>37228</v>
      </c>
      <c r="R2822" s="39">
        <v>4988.4399999999996</v>
      </c>
      <c r="S2822" s="39">
        <f t="shared" si="283"/>
        <v>12</v>
      </c>
      <c r="T2822" s="39">
        <f t="shared" si="284"/>
        <v>0</v>
      </c>
      <c r="U2822" s="39">
        <f t="shared" si="285"/>
        <v>0</v>
      </c>
      <c r="V2822" s="40"/>
    </row>
    <row r="2823" spans="2:22" x14ac:dyDescent="0.35">
      <c r="B2823" s="40">
        <v>37229</v>
      </c>
      <c r="C2823" s="39">
        <v>5013.99</v>
      </c>
      <c r="D2823" s="219">
        <f t="shared" si="286"/>
        <v>5.1087696830111632E-3</v>
      </c>
      <c r="F2823" s="40">
        <v>37229</v>
      </c>
      <c r="G2823" s="39">
        <v>5013.99</v>
      </c>
      <c r="H2823" s="39">
        <f t="shared" si="281"/>
        <v>2</v>
      </c>
      <c r="I2823" s="39">
        <f t="shared" si="282"/>
        <v>0</v>
      </c>
      <c r="K2823" s="40"/>
      <c r="Q2823" s="40">
        <v>37229</v>
      </c>
      <c r="R2823" s="39">
        <v>5013.99</v>
      </c>
      <c r="S2823" s="39">
        <f t="shared" si="283"/>
        <v>12</v>
      </c>
      <c r="T2823" s="39">
        <f t="shared" si="284"/>
        <v>0</v>
      </c>
      <c r="U2823" s="39">
        <f t="shared" si="285"/>
        <v>0</v>
      </c>
      <c r="V2823" s="40"/>
    </row>
    <row r="2824" spans="2:22" x14ac:dyDescent="0.35">
      <c r="B2824" s="40">
        <v>37230</v>
      </c>
      <c r="C2824" s="39">
        <v>5262.75</v>
      </c>
      <c r="D2824" s="219">
        <f t="shared" si="286"/>
        <v>4.8421698499894285E-2</v>
      </c>
      <c r="F2824" s="40">
        <v>37230</v>
      </c>
      <c r="G2824" s="39">
        <v>5262.75</v>
      </c>
      <c r="H2824" s="39">
        <f t="shared" si="281"/>
        <v>3</v>
      </c>
      <c r="I2824" s="39">
        <f t="shared" si="282"/>
        <v>0</v>
      </c>
      <c r="K2824" s="40"/>
      <c r="Q2824" s="40">
        <v>37230</v>
      </c>
      <c r="R2824" s="39">
        <v>5262.75</v>
      </c>
      <c r="S2824" s="39">
        <f t="shared" si="283"/>
        <v>12</v>
      </c>
      <c r="T2824" s="39">
        <f t="shared" si="284"/>
        <v>0</v>
      </c>
      <c r="U2824" s="39">
        <f t="shared" si="285"/>
        <v>0</v>
      </c>
      <c r="V2824" s="40"/>
    </row>
    <row r="2825" spans="2:22" x14ac:dyDescent="0.35">
      <c r="B2825" s="40">
        <v>37231</v>
      </c>
      <c r="C2825" s="39">
        <v>5271.29</v>
      </c>
      <c r="D2825" s="219">
        <f t="shared" si="286"/>
        <v>1.6214105644086312E-3</v>
      </c>
      <c r="F2825" s="40">
        <v>37231</v>
      </c>
      <c r="G2825" s="39">
        <v>5271.29</v>
      </c>
      <c r="H2825" s="39">
        <f t="shared" si="281"/>
        <v>4</v>
      </c>
      <c r="I2825" s="39">
        <f t="shared" si="282"/>
        <v>0</v>
      </c>
      <c r="K2825" s="40"/>
      <c r="Q2825" s="40">
        <v>37231</v>
      </c>
      <c r="R2825" s="39">
        <v>5271.29</v>
      </c>
      <c r="S2825" s="39">
        <f t="shared" si="283"/>
        <v>12</v>
      </c>
      <c r="T2825" s="39">
        <f t="shared" si="284"/>
        <v>0</v>
      </c>
      <c r="U2825" s="39">
        <f t="shared" si="285"/>
        <v>0</v>
      </c>
      <c r="V2825" s="40"/>
    </row>
    <row r="2826" spans="2:22" x14ac:dyDescent="0.35">
      <c r="B2826" s="40">
        <v>37232</v>
      </c>
      <c r="C2826" s="39">
        <v>5199.03</v>
      </c>
      <c r="D2826" s="219">
        <f t="shared" si="286"/>
        <v>-1.3803044657399044E-2</v>
      </c>
      <c r="F2826" s="40">
        <v>37232</v>
      </c>
      <c r="G2826" s="39">
        <v>5199.03</v>
      </c>
      <c r="H2826" s="39">
        <f t="shared" si="281"/>
        <v>5</v>
      </c>
      <c r="I2826" s="39">
        <f t="shared" si="282"/>
        <v>5199.03</v>
      </c>
      <c r="K2826" s="40"/>
      <c r="Q2826" s="40">
        <v>37232</v>
      </c>
      <c r="R2826" s="39">
        <v>5199.03</v>
      </c>
      <c r="S2826" s="39">
        <f t="shared" si="283"/>
        <v>12</v>
      </c>
      <c r="T2826" s="39">
        <f t="shared" si="284"/>
        <v>0</v>
      </c>
      <c r="U2826" s="39">
        <f t="shared" si="285"/>
        <v>0</v>
      </c>
      <c r="V2826" s="40"/>
    </row>
    <row r="2827" spans="2:22" x14ac:dyDescent="0.35">
      <c r="B2827" s="40">
        <v>37235</v>
      </c>
      <c r="C2827" s="39">
        <v>5124.68</v>
      </c>
      <c r="D2827" s="219">
        <f t="shared" si="286"/>
        <v>-1.4403985674695769E-2</v>
      </c>
      <c r="F2827" s="40">
        <v>37235</v>
      </c>
      <c r="G2827" s="39">
        <v>5124.68</v>
      </c>
      <c r="H2827" s="39">
        <f t="shared" si="281"/>
        <v>1</v>
      </c>
      <c r="I2827" s="39">
        <f t="shared" si="282"/>
        <v>0</v>
      </c>
      <c r="K2827" s="40"/>
      <c r="Q2827" s="40">
        <v>37235</v>
      </c>
      <c r="R2827" s="39">
        <v>5124.68</v>
      </c>
      <c r="S2827" s="39">
        <f t="shared" si="283"/>
        <v>12</v>
      </c>
      <c r="T2827" s="39">
        <f t="shared" si="284"/>
        <v>0</v>
      </c>
      <c r="U2827" s="39">
        <f t="shared" si="285"/>
        <v>0</v>
      </c>
      <c r="V2827" s="40"/>
    </row>
    <row r="2828" spans="2:22" x14ac:dyDescent="0.35">
      <c r="B2828" s="40">
        <v>37236</v>
      </c>
      <c r="C2828" s="39">
        <v>5146.45</v>
      </c>
      <c r="D2828" s="219">
        <f t="shared" si="286"/>
        <v>4.239072546075375E-3</v>
      </c>
      <c r="F2828" s="40">
        <v>37236</v>
      </c>
      <c r="G2828" s="39">
        <v>5146.45</v>
      </c>
      <c r="H2828" s="39">
        <f t="shared" si="281"/>
        <v>2</v>
      </c>
      <c r="I2828" s="39">
        <f t="shared" si="282"/>
        <v>0</v>
      </c>
      <c r="K2828" s="40"/>
      <c r="Q2828" s="40">
        <v>37236</v>
      </c>
      <c r="R2828" s="39">
        <v>5146.45</v>
      </c>
      <c r="S2828" s="39">
        <f t="shared" si="283"/>
        <v>12</v>
      </c>
      <c r="T2828" s="39">
        <f t="shared" si="284"/>
        <v>0</v>
      </c>
      <c r="U2828" s="39">
        <f t="shared" si="285"/>
        <v>0</v>
      </c>
      <c r="V2828" s="40"/>
    </row>
    <row r="2829" spans="2:22" x14ac:dyDescent="0.35">
      <c r="B2829" s="40">
        <v>37237</v>
      </c>
      <c r="C2829" s="39">
        <v>5062.5600000000004</v>
      </c>
      <c r="D2829" s="219">
        <f t="shared" si="286"/>
        <v>-1.6434872382483288E-2</v>
      </c>
      <c r="F2829" s="40">
        <v>37237</v>
      </c>
      <c r="G2829" s="39">
        <v>5062.5600000000004</v>
      </c>
      <c r="H2829" s="39">
        <f t="shared" si="281"/>
        <v>3</v>
      </c>
      <c r="I2829" s="39">
        <f t="shared" si="282"/>
        <v>0</v>
      </c>
      <c r="K2829" s="40"/>
      <c r="Q2829" s="40">
        <v>37237</v>
      </c>
      <c r="R2829" s="39">
        <v>5062.5600000000004</v>
      </c>
      <c r="S2829" s="39">
        <f t="shared" si="283"/>
        <v>12</v>
      </c>
      <c r="T2829" s="39">
        <f t="shared" si="284"/>
        <v>0</v>
      </c>
      <c r="U2829" s="39">
        <f t="shared" si="285"/>
        <v>0</v>
      </c>
      <c r="V2829" s="40"/>
    </row>
    <row r="2830" spans="2:22" x14ac:dyDescent="0.35">
      <c r="B2830" s="40">
        <v>37238</v>
      </c>
      <c r="C2830" s="39">
        <v>4966.05</v>
      </c>
      <c r="D2830" s="219">
        <f t="shared" si="286"/>
        <v>-1.9247528713422685E-2</v>
      </c>
      <c r="F2830" s="40">
        <v>37238</v>
      </c>
      <c r="G2830" s="39">
        <v>4966.05</v>
      </c>
      <c r="H2830" s="39">
        <f t="shared" si="281"/>
        <v>4</v>
      </c>
      <c r="I2830" s="39">
        <f t="shared" si="282"/>
        <v>0</v>
      </c>
      <c r="K2830" s="40"/>
      <c r="Q2830" s="40">
        <v>37238</v>
      </c>
      <c r="R2830" s="39">
        <v>4966.05</v>
      </c>
      <c r="S2830" s="39">
        <f t="shared" si="283"/>
        <v>12</v>
      </c>
      <c r="T2830" s="39">
        <f t="shared" si="284"/>
        <v>0</v>
      </c>
      <c r="U2830" s="39">
        <f t="shared" si="285"/>
        <v>0</v>
      </c>
      <c r="V2830" s="40"/>
    </row>
    <row r="2831" spans="2:22" x14ac:dyDescent="0.35">
      <c r="B2831" s="40">
        <v>37239</v>
      </c>
      <c r="C2831" s="39">
        <v>4909.42</v>
      </c>
      <c r="D2831" s="219">
        <f t="shared" si="286"/>
        <v>-1.1468946944794896E-2</v>
      </c>
      <c r="F2831" s="40">
        <v>37239</v>
      </c>
      <c r="G2831" s="39">
        <v>4909.42</v>
      </c>
      <c r="H2831" s="39">
        <f t="shared" si="281"/>
        <v>5</v>
      </c>
      <c r="I2831" s="39">
        <f t="shared" si="282"/>
        <v>4909.42</v>
      </c>
      <c r="K2831" s="40"/>
      <c r="Q2831" s="40">
        <v>37239</v>
      </c>
      <c r="R2831" s="39">
        <v>4909.42</v>
      </c>
      <c r="S2831" s="39">
        <f t="shared" si="283"/>
        <v>12</v>
      </c>
      <c r="T2831" s="39">
        <f t="shared" si="284"/>
        <v>0</v>
      </c>
      <c r="U2831" s="39">
        <f t="shared" si="285"/>
        <v>0</v>
      </c>
      <c r="V2831" s="40"/>
    </row>
    <row r="2832" spans="2:22" x14ac:dyDescent="0.35">
      <c r="B2832" s="40">
        <v>37242</v>
      </c>
      <c r="C2832" s="39">
        <v>5067.99</v>
      </c>
      <c r="D2832" s="219">
        <f t="shared" si="286"/>
        <v>3.1788480735930151E-2</v>
      </c>
      <c r="F2832" s="40">
        <v>37242</v>
      </c>
      <c r="G2832" s="39">
        <v>5067.99</v>
      </c>
      <c r="H2832" s="39">
        <f t="shared" si="281"/>
        <v>1</v>
      </c>
      <c r="I2832" s="39">
        <f t="shared" si="282"/>
        <v>0</v>
      </c>
      <c r="K2832" s="40"/>
      <c r="Q2832" s="40">
        <v>37242</v>
      </c>
      <c r="R2832" s="39">
        <v>5067.99</v>
      </c>
      <c r="S2832" s="39">
        <f t="shared" si="283"/>
        <v>12</v>
      </c>
      <c r="T2832" s="39">
        <f t="shared" si="284"/>
        <v>0</v>
      </c>
      <c r="U2832" s="39">
        <f t="shared" si="285"/>
        <v>0</v>
      </c>
      <c r="V2832" s="40"/>
    </row>
    <row r="2833" spans="2:22" x14ac:dyDescent="0.35">
      <c r="B2833" s="40">
        <v>37243</v>
      </c>
      <c r="C2833" s="39">
        <v>5039.6400000000003</v>
      </c>
      <c r="D2833" s="219">
        <f t="shared" si="286"/>
        <v>-5.6096383312824478E-3</v>
      </c>
      <c r="F2833" s="40">
        <v>37243</v>
      </c>
      <c r="G2833" s="39">
        <v>5039.6400000000003</v>
      </c>
      <c r="H2833" s="39">
        <f t="shared" si="281"/>
        <v>2</v>
      </c>
      <c r="I2833" s="39">
        <f t="shared" si="282"/>
        <v>0</v>
      </c>
      <c r="K2833" s="40"/>
      <c r="Q2833" s="40">
        <v>37243</v>
      </c>
      <c r="R2833" s="39">
        <v>5039.6400000000003</v>
      </c>
      <c r="S2833" s="39">
        <f t="shared" si="283"/>
        <v>12</v>
      </c>
      <c r="T2833" s="39">
        <f t="shared" si="284"/>
        <v>0</v>
      </c>
      <c r="U2833" s="39">
        <f t="shared" si="285"/>
        <v>0</v>
      </c>
      <c r="V2833" s="40"/>
    </row>
    <row r="2834" spans="2:22" x14ac:dyDescent="0.35">
      <c r="B2834" s="40">
        <v>37244</v>
      </c>
      <c r="C2834" s="39">
        <v>4984.6899999999996</v>
      </c>
      <c r="D2834" s="219">
        <f t="shared" si="286"/>
        <v>-1.0963436040248598E-2</v>
      </c>
      <c r="F2834" s="40">
        <v>37244</v>
      </c>
      <c r="G2834" s="39">
        <v>4984.6899999999996</v>
      </c>
      <c r="H2834" s="39">
        <f t="shared" si="281"/>
        <v>3</v>
      </c>
      <c r="I2834" s="39">
        <f t="shared" si="282"/>
        <v>0</v>
      </c>
      <c r="K2834" s="40"/>
      <c r="Q2834" s="40">
        <v>37244</v>
      </c>
      <c r="R2834" s="39">
        <v>4984.6899999999996</v>
      </c>
      <c r="S2834" s="39">
        <f t="shared" si="283"/>
        <v>12</v>
      </c>
      <c r="T2834" s="39">
        <f t="shared" si="284"/>
        <v>0</v>
      </c>
      <c r="U2834" s="39">
        <f t="shared" si="285"/>
        <v>0</v>
      </c>
      <c r="V2834" s="40"/>
    </row>
    <row r="2835" spans="2:22" x14ac:dyDescent="0.35">
      <c r="B2835" s="40">
        <v>37245</v>
      </c>
      <c r="C2835" s="39">
        <v>4934.1400000000003</v>
      </c>
      <c r="D2835" s="219">
        <f t="shared" si="286"/>
        <v>-1.0192822671862504E-2</v>
      </c>
      <c r="F2835" s="40">
        <v>37245</v>
      </c>
      <c r="G2835" s="39">
        <v>4934.1400000000003</v>
      </c>
      <c r="H2835" s="39">
        <f t="shared" si="281"/>
        <v>4</v>
      </c>
      <c r="I2835" s="39">
        <f t="shared" si="282"/>
        <v>0</v>
      </c>
      <c r="K2835" s="40"/>
      <c r="Q2835" s="40">
        <v>37245</v>
      </c>
      <c r="R2835" s="39">
        <v>4934.1400000000003</v>
      </c>
      <c r="S2835" s="39">
        <f t="shared" si="283"/>
        <v>12</v>
      </c>
      <c r="T2835" s="39">
        <f t="shared" si="284"/>
        <v>0</v>
      </c>
      <c r="U2835" s="39">
        <f t="shared" si="285"/>
        <v>0</v>
      </c>
      <c r="V2835" s="40"/>
    </row>
    <row r="2836" spans="2:22" x14ac:dyDescent="0.35">
      <c r="B2836" s="40">
        <v>37246</v>
      </c>
      <c r="C2836" s="39">
        <v>5019.01</v>
      </c>
      <c r="D2836" s="219">
        <f t="shared" si="286"/>
        <v>1.7054310850986729E-2</v>
      </c>
      <c r="F2836" s="40">
        <v>37246</v>
      </c>
      <c r="G2836" s="39">
        <v>5019.01</v>
      </c>
      <c r="H2836" s="39">
        <f t="shared" si="281"/>
        <v>5</v>
      </c>
      <c r="I2836" s="39">
        <f t="shared" si="282"/>
        <v>5019.01</v>
      </c>
      <c r="K2836" s="40"/>
      <c r="Q2836" s="40">
        <v>37246</v>
      </c>
      <c r="R2836" s="39">
        <v>5019.01</v>
      </c>
      <c r="S2836" s="39">
        <f t="shared" si="283"/>
        <v>12</v>
      </c>
      <c r="T2836" s="39">
        <f t="shared" si="284"/>
        <v>0</v>
      </c>
      <c r="U2836" s="39">
        <f t="shared" si="285"/>
        <v>0</v>
      </c>
      <c r="V2836" s="40"/>
    </row>
    <row r="2837" spans="2:22" x14ac:dyDescent="0.35">
      <c r="B2837" s="40">
        <v>37252</v>
      </c>
      <c r="C2837" s="39">
        <v>5117.13</v>
      </c>
      <c r="D2837" s="219">
        <f t="shared" si="286"/>
        <v>1.9361031911699387E-2</v>
      </c>
      <c r="F2837" s="40">
        <v>37252</v>
      </c>
      <c r="G2837" s="39">
        <v>5117.13</v>
      </c>
      <c r="H2837" s="39">
        <f t="shared" si="281"/>
        <v>4</v>
      </c>
      <c r="I2837" s="39">
        <f t="shared" si="282"/>
        <v>0</v>
      </c>
      <c r="K2837" s="40"/>
      <c r="Q2837" s="40">
        <v>37252</v>
      </c>
      <c r="R2837" s="39">
        <v>5117.13</v>
      </c>
      <c r="S2837" s="39">
        <f t="shared" si="283"/>
        <v>12</v>
      </c>
      <c r="T2837" s="39">
        <f t="shared" si="284"/>
        <v>0</v>
      </c>
      <c r="U2837" s="39">
        <f t="shared" si="285"/>
        <v>0</v>
      </c>
      <c r="V2837" s="40"/>
    </row>
    <row r="2838" spans="2:22" x14ac:dyDescent="0.35">
      <c r="B2838" s="40">
        <v>37253</v>
      </c>
      <c r="C2838" s="39">
        <v>5160.1000000000004</v>
      </c>
      <c r="D2838" s="219">
        <f t="shared" si="286"/>
        <v>8.3622241393641345E-3</v>
      </c>
      <c r="F2838" s="40">
        <v>37253</v>
      </c>
      <c r="G2838" s="39">
        <v>5160.1000000000004</v>
      </c>
      <c r="H2838" s="39">
        <f t="shared" si="281"/>
        <v>5</v>
      </c>
      <c r="I2838" s="39">
        <f t="shared" si="282"/>
        <v>5160.1000000000004</v>
      </c>
      <c r="K2838" s="40"/>
      <c r="Q2838" s="40">
        <v>37253</v>
      </c>
      <c r="R2838" s="39">
        <v>5160.1000000000004</v>
      </c>
      <c r="S2838" s="39">
        <f t="shared" si="283"/>
        <v>12</v>
      </c>
      <c r="T2838" s="39">
        <f t="shared" si="284"/>
        <v>5160.1000000000004</v>
      </c>
      <c r="U2838" s="39">
        <f t="shared" si="285"/>
        <v>5160.1000000000004</v>
      </c>
      <c r="V2838" s="40"/>
    </row>
    <row r="2839" spans="2:22" x14ac:dyDescent="0.35">
      <c r="B2839" s="40">
        <v>37258</v>
      </c>
      <c r="C2839" s="39">
        <v>5167.88</v>
      </c>
      <c r="D2839" s="219">
        <f t="shared" si="286"/>
        <v>1.5065872458291955E-3</v>
      </c>
      <c r="F2839" s="40">
        <v>37258</v>
      </c>
      <c r="G2839" s="39">
        <v>5167.88</v>
      </c>
      <c r="H2839" s="39">
        <f t="shared" si="281"/>
        <v>3</v>
      </c>
      <c r="I2839" s="39">
        <f t="shared" si="282"/>
        <v>0</v>
      </c>
      <c r="K2839" s="40"/>
      <c r="Q2839" s="40">
        <v>37258</v>
      </c>
      <c r="R2839" s="39">
        <v>5167.88</v>
      </c>
      <c r="S2839" s="39">
        <f t="shared" si="283"/>
        <v>1</v>
      </c>
      <c r="T2839" s="39">
        <f t="shared" si="284"/>
        <v>0</v>
      </c>
      <c r="U2839" s="39">
        <f t="shared" si="285"/>
        <v>0</v>
      </c>
      <c r="V2839" s="40"/>
    </row>
    <row r="2840" spans="2:22" x14ac:dyDescent="0.35">
      <c r="B2840" s="40">
        <v>37259</v>
      </c>
      <c r="C2840" s="39">
        <v>5270.29</v>
      </c>
      <c r="D2840" s="219">
        <f t="shared" si="286"/>
        <v>1.9622843105783543E-2</v>
      </c>
      <c r="F2840" s="40">
        <v>37259</v>
      </c>
      <c r="G2840" s="39">
        <v>5270.29</v>
      </c>
      <c r="H2840" s="39">
        <f t="shared" si="281"/>
        <v>4</v>
      </c>
      <c r="I2840" s="39">
        <f t="shared" si="282"/>
        <v>0</v>
      </c>
      <c r="K2840" s="40"/>
      <c r="Q2840" s="40">
        <v>37259</v>
      </c>
      <c r="R2840" s="39">
        <v>5270.29</v>
      </c>
      <c r="S2840" s="39">
        <f t="shared" si="283"/>
        <v>1</v>
      </c>
      <c r="T2840" s="39">
        <f t="shared" si="284"/>
        <v>0</v>
      </c>
      <c r="U2840" s="39">
        <f t="shared" si="285"/>
        <v>0</v>
      </c>
      <c r="V2840" s="40"/>
    </row>
    <row r="2841" spans="2:22" x14ac:dyDescent="0.35">
      <c r="B2841" s="40">
        <v>37260</v>
      </c>
      <c r="C2841" s="39">
        <v>5318.73</v>
      </c>
      <c r="D2841" s="219">
        <f t="shared" si="286"/>
        <v>9.1491635481973799E-3</v>
      </c>
      <c r="F2841" s="40">
        <v>37260</v>
      </c>
      <c r="G2841" s="39">
        <v>5318.73</v>
      </c>
      <c r="H2841" s="39">
        <f t="shared" si="281"/>
        <v>5</v>
      </c>
      <c r="I2841" s="39">
        <f t="shared" si="282"/>
        <v>5318.73</v>
      </c>
      <c r="K2841" s="40"/>
      <c r="Q2841" s="40">
        <v>37260</v>
      </c>
      <c r="R2841" s="39">
        <v>5318.73</v>
      </c>
      <c r="S2841" s="39">
        <f t="shared" si="283"/>
        <v>1</v>
      </c>
      <c r="T2841" s="39">
        <f t="shared" si="284"/>
        <v>0</v>
      </c>
      <c r="U2841" s="39">
        <f t="shared" si="285"/>
        <v>0</v>
      </c>
      <c r="V2841" s="40"/>
    </row>
    <row r="2842" spans="2:22" x14ac:dyDescent="0.35">
      <c r="B2842" s="40">
        <v>37263</v>
      </c>
      <c r="C2842" s="39">
        <v>5232.22</v>
      </c>
      <c r="D2842" s="219">
        <f t="shared" si="286"/>
        <v>-1.6398890849926333E-2</v>
      </c>
      <c r="F2842" s="40">
        <v>37263</v>
      </c>
      <c r="G2842" s="39">
        <v>5232.22</v>
      </c>
      <c r="H2842" s="39">
        <f t="shared" si="281"/>
        <v>1</v>
      </c>
      <c r="I2842" s="39">
        <f t="shared" si="282"/>
        <v>0</v>
      </c>
      <c r="K2842" s="40"/>
      <c r="Q2842" s="40">
        <v>37263</v>
      </c>
      <c r="R2842" s="39">
        <v>5232.22</v>
      </c>
      <c r="S2842" s="39">
        <f t="shared" si="283"/>
        <v>1</v>
      </c>
      <c r="T2842" s="39">
        <f t="shared" si="284"/>
        <v>0</v>
      </c>
      <c r="U2842" s="39">
        <f t="shared" si="285"/>
        <v>0</v>
      </c>
      <c r="V2842" s="40"/>
    </row>
    <row r="2843" spans="2:22" x14ac:dyDescent="0.35">
      <c r="B2843" s="40">
        <v>37264</v>
      </c>
      <c r="C2843" s="39">
        <v>5236.37</v>
      </c>
      <c r="D2843" s="219">
        <f t="shared" si="286"/>
        <v>7.9284797998463159E-4</v>
      </c>
      <c r="F2843" s="40">
        <v>37264</v>
      </c>
      <c r="G2843" s="39">
        <v>5236.37</v>
      </c>
      <c r="H2843" s="39">
        <f t="shared" si="281"/>
        <v>2</v>
      </c>
      <c r="I2843" s="39">
        <f t="shared" si="282"/>
        <v>0</v>
      </c>
      <c r="K2843" s="40"/>
      <c r="Q2843" s="40">
        <v>37264</v>
      </c>
      <c r="R2843" s="39">
        <v>5236.37</v>
      </c>
      <c r="S2843" s="39">
        <f t="shared" si="283"/>
        <v>1</v>
      </c>
      <c r="T2843" s="39">
        <f t="shared" si="284"/>
        <v>0</v>
      </c>
      <c r="U2843" s="39">
        <f t="shared" si="285"/>
        <v>0</v>
      </c>
      <c r="V2843" s="40"/>
    </row>
    <row r="2844" spans="2:22" x14ac:dyDescent="0.35">
      <c r="B2844" s="40">
        <v>37265</v>
      </c>
      <c r="C2844" s="39">
        <v>5288.21</v>
      </c>
      <c r="D2844" s="219">
        <f t="shared" si="286"/>
        <v>9.8513041370803973E-3</v>
      </c>
      <c r="F2844" s="40">
        <v>37265</v>
      </c>
      <c r="G2844" s="39">
        <v>5288.21</v>
      </c>
      <c r="H2844" s="39">
        <f t="shared" si="281"/>
        <v>3</v>
      </c>
      <c r="I2844" s="39">
        <f t="shared" si="282"/>
        <v>0</v>
      </c>
      <c r="K2844" s="40"/>
      <c r="Q2844" s="40">
        <v>37265</v>
      </c>
      <c r="R2844" s="39">
        <v>5288.21</v>
      </c>
      <c r="S2844" s="39">
        <f t="shared" si="283"/>
        <v>1</v>
      </c>
      <c r="T2844" s="39">
        <f t="shared" si="284"/>
        <v>0</v>
      </c>
      <c r="U2844" s="39">
        <f t="shared" si="285"/>
        <v>0</v>
      </c>
      <c r="V2844" s="40"/>
    </row>
    <row r="2845" spans="2:22" x14ac:dyDescent="0.35">
      <c r="B2845" s="40">
        <v>37266</v>
      </c>
      <c r="C2845" s="39">
        <v>5228.1099999999997</v>
      </c>
      <c r="D2845" s="219">
        <f t="shared" si="286"/>
        <v>-1.1429978226088615E-2</v>
      </c>
      <c r="F2845" s="40">
        <v>37266</v>
      </c>
      <c r="G2845" s="39">
        <v>5228.1099999999997</v>
      </c>
      <c r="H2845" s="39">
        <f t="shared" si="281"/>
        <v>4</v>
      </c>
      <c r="I2845" s="39">
        <f t="shared" si="282"/>
        <v>0</v>
      </c>
      <c r="K2845" s="40"/>
      <c r="Q2845" s="40">
        <v>37266</v>
      </c>
      <c r="R2845" s="39">
        <v>5228.1099999999997</v>
      </c>
      <c r="S2845" s="39">
        <f t="shared" si="283"/>
        <v>1</v>
      </c>
      <c r="T2845" s="39">
        <f t="shared" si="284"/>
        <v>0</v>
      </c>
      <c r="U2845" s="39">
        <f t="shared" si="285"/>
        <v>0</v>
      </c>
      <c r="V2845" s="40"/>
    </row>
    <row r="2846" spans="2:22" x14ac:dyDescent="0.35">
      <c r="B2846" s="40">
        <v>37267</v>
      </c>
      <c r="C2846" s="39">
        <v>5209.97</v>
      </c>
      <c r="D2846" s="219">
        <f t="shared" si="286"/>
        <v>-3.4757385001983427E-3</v>
      </c>
      <c r="F2846" s="40">
        <v>37267</v>
      </c>
      <c r="G2846" s="39">
        <v>5209.97</v>
      </c>
      <c r="H2846" s="39">
        <f t="shared" si="281"/>
        <v>5</v>
      </c>
      <c r="I2846" s="39">
        <f t="shared" si="282"/>
        <v>5209.97</v>
      </c>
      <c r="K2846" s="40"/>
      <c r="Q2846" s="40">
        <v>37267</v>
      </c>
      <c r="R2846" s="39">
        <v>5209.97</v>
      </c>
      <c r="S2846" s="39">
        <f t="shared" si="283"/>
        <v>1</v>
      </c>
      <c r="T2846" s="39">
        <f t="shared" si="284"/>
        <v>0</v>
      </c>
      <c r="U2846" s="39">
        <f t="shared" si="285"/>
        <v>0</v>
      </c>
      <c r="V2846" s="40"/>
    </row>
    <row r="2847" spans="2:22" x14ac:dyDescent="0.35">
      <c r="B2847" s="40">
        <v>37270</v>
      </c>
      <c r="C2847" s="39">
        <v>5065.84</v>
      </c>
      <c r="D2847" s="219">
        <f t="shared" si="286"/>
        <v>-2.8054129613620759E-2</v>
      </c>
      <c r="F2847" s="40">
        <v>37270</v>
      </c>
      <c r="G2847" s="39">
        <v>5065.84</v>
      </c>
      <c r="H2847" s="39">
        <f t="shared" si="281"/>
        <v>1</v>
      </c>
      <c r="I2847" s="39">
        <f t="shared" si="282"/>
        <v>0</v>
      </c>
      <c r="K2847" s="40"/>
      <c r="Q2847" s="40">
        <v>37270</v>
      </c>
      <c r="R2847" s="39">
        <v>5065.84</v>
      </c>
      <c r="S2847" s="39">
        <f t="shared" si="283"/>
        <v>1</v>
      </c>
      <c r="T2847" s="39">
        <f t="shared" si="284"/>
        <v>0</v>
      </c>
      <c r="U2847" s="39">
        <f t="shared" si="285"/>
        <v>0</v>
      </c>
      <c r="V2847" s="40"/>
    </row>
    <row r="2848" spans="2:22" x14ac:dyDescent="0.35">
      <c r="B2848" s="40">
        <v>37271</v>
      </c>
      <c r="C2848" s="39">
        <v>5062.04</v>
      </c>
      <c r="D2848" s="219">
        <f t="shared" si="286"/>
        <v>-7.5040387096151067E-4</v>
      </c>
      <c r="F2848" s="40">
        <v>37271</v>
      </c>
      <c r="G2848" s="39">
        <v>5062.04</v>
      </c>
      <c r="H2848" s="39">
        <f t="shared" si="281"/>
        <v>2</v>
      </c>
      <c r="I2848" s="39">
        <f t="shared" si="282"/>
        <v>0</v>
      </c>
      <c r="K2848" s="40"/>
      <c r="Q2848" s="40">
        <v>37271</v>
      </c>
      <c r="R2848" s="39">
        <v>5062.04</v>
      </c>
      <c r="S2848" s="39">
        <f t="shared" si="283"/>
        <v>1</v>
      </c>
      <c r="T2848" s="39">
        <f t="shared" si="284"/>
        <v>0</v>
      </c>
      <c r="U2848" s="39">
        <f t="shared" si="285"/>
        <v>0</v>
      </c>
      <c r="V2848" s="40"/>
    </row>
    <row r="2849" spans="2:22" x14ac:dyDescent="0.35">
      <c r="B2849" s="40">
        <v>37272</v>
      </c>
      <c r="C2849" s="39">
        <v>4984.2</v>
      </c>
      <c r="D2849" s="219">
        <f t="shared" si="286"/>
        <v>-1.5496655015781553E-2</v>
      </c>
      <c r="F2849" s="40">
        <v>37272</v>
      </c>
      <c r="G2849" s="39">
        <v>4984.2</v>
      </c>
      <c r="H2849" s="39">
        <f t="shared" si="281"/>
        <v>3</v>
      </c>
      <c r="I2849" s="39">
        <f t="shared" si="282"/>
        <v>0</v>
      </c>
      <c r="K2849" s="40"/>
      <c r="Q2849" s="40">
        <v>37272</v>
      </c>
      <c r="R2849" s="39">
        <v>4984.2</v>
      </c>
      <c r="S2849" s="39">
        <f t="shared" si="283"/>
        <v>1</v>
      </c>
      <c r="T2849" s="39">
        <f t="shared" si="284"/>
        <v>0</v>
      </c>
      <c r="U2849" s="39">
        <f t="shared" si="285"/>
        <v>0</v>
      </c>
      <c r="V2849" s="40"/>
    </row>
    <row r="2850" spans="2:22" x14ac:dyDescent="0.35">
      <c r="B2850" s="40">
        <v>37273</v>
      </c>
      <c r="C2850" s="39">
        <v>5133.3999999999996</v>
      </c>
      <c r="D2850" s="219">
        <f t="shared" si="286"/>
        <v>2.949529858918638E-2</v>
      </c>
      <c r="F2850" s="40">
        <v>37273</v>
      </c>
      <c r="G2850" s="39">
        <v>5133.3999999999996</v>
      </c>
      <c r="H2850" s="39">
        <f t="shared" si="281"/>
        <v>4</v>
      </c>
      <c r="I2850" s="39">
        <f t="shared" si="282"/>
        <v>0</v>
      </c>
      <c r="K2850" s="40"/>
      <c r="Q2850" s="40">
        <v>37273</v>
      </c>
      <c r="R2850" s="39">
        <v>5133.3999999999996</v>
      </c>
      <c r="S2850" s="39">
        <f t="shared" si="283"/>
        <v>1</v>
      </c>
      <c r="T2850" s="39">
        <f t="shared" si="284"/>
        <v>0</v>
      </c>
      <c r="U2850" s="39">
        <f t="shared" si="285"/>
        <v>0</v>
      </c>
      <c r="V2850" s="40"/>
    </row>
    <row r="2851" spans="2:22" x14ac:dyDescent="0.35">
      <c r="B2851" s="40">
        <v>37274</v>
      </c>
      <c r="C2851" s="39">
        <v>5122.2299999999996</v>
      </c>
      <c r="D2851" s="219">
        <f t="shared" si="286"/>
        <v>-2.1783165767218183E-3</v>
      </c>
      <c r="F2851" s="40">
        <v>37274</v>
      </c>
      <c r="G2851" s="39">
        <v>5122.2299999999996</v>
      </c>
      <c r="H2851" s="39">
        <f t="shared" si="281"/>
        <v>5</v>
      </c>
      <c r="I2851" s="39">
        <f t="shared" si="282"/>
        <v>5122.2299999999996</v>
      </c>
      <c r="K2851" s="40"/>
      <c r="Q2851" s="40">
        <v>37274</v>
      </c>
      <c r="R2851" s="39">
        <v>5122.2299999999996</v>
      </c>
      <c r="S2851" s="39">
        <f t="shared" si="283"/>
        <v>1</v>
      </c>
      <c r="T2851" s="39">
        <f t="shared" si="284"/>
        <v>0</v>
      </c>
      <c r="U2851" s="39">
        <f t="shared" si="285"/>
        <v>0</v>
      </c>
      <c r="V2851" s="40"/>
    </row>
    <row r="2852" spans="2:22" x14ac:dyDescent="0.35">
      <c r="B2852" s="40">
        <v>37277</v>
      </c>
      <c r="C2852" s="39">
        <v>5069.74</v>
      </c>
      <c r="D2852" s="219">
        <f t="shared" si="286"/>
        <v>-1.0300356866568099E-2</v>
      </c>
      <c r="F2852" s="40">
        <v>37277</v>
      </c>
      <c r="G2852" s="39">
        <v>5069.74</v>
      </c>
      <c r="H2852" s="39">
        <f t="shared" si="281"/>
        <v>1</v>
      </c>
      <c r="I2852" s="39">
        <f t="shared" si="282"/>
        <v>0</v>
      </c>
      <c r="K2852" s="40"/>
      <c r="Q2852" s="40">
        <v>37277</v>
      </c>
      <c r="R2852" s="39">
        <v>5069.74</v>
      </c>
      <c r="S2852" s="39">
        <f t="shared" si="283"/>
        <v>1</v>
      </c>
      <c r="T2852" s="39">
        <f t="shared" si="284"/>
        <v>0</v>
      </c>
      <c r="U2852" s="39">
        <f t="shared" si="285"/>
        <v>0</v>
      </c>
      <c r="V2852" s="40"/>
    </row>
    <row r="2853" spans="2:22" x14ac:dyDescent="0.35">
      <c r="B2853" s="40">
        <v>37278</v>
      </c>
      <c r="C2853" s="39">
        <v>5045.72</v>
      </c>
      <c r="D2853" s="219">
        <f t="shared" si="286"/>
        <v>-4.7491750542043481E-3</v>
      </c>
      <c r="F2853" s="40">
        <v>37278</v>
      </c>
      <c r="G2853" s="39">
        <v>5045.72</v>
      </c>
      <c r="H2853" s="39">
        <f t="shared" si="281"/>
        <v>2</v>
      </c>
      <c r="I2853" s="39">
        <f t="shared" si="282"/>
        <v>0</v>
      </c>
      <c r="K2853" s="40"/>
      <c r="Q2853" s="40">
        <v>37278</v>
      </c>
      <c r="R2853" s="39">
        <v>5045.72</v>
      </c>
      <c r="S2853" s="39">
        <f t="shared" si="283"/>
        <v>1</v>
      </c>
      <c r="T2853" s="39">
        <f t="shared" si="284"/>
        <v>0</v>
      </c>
      <c r="U2853" s="39">
        <f t="shared" si="285"/>
        <v>0</v>
      </c>
      <c r="V2853" s="40"/>
    </row>
    <row r="2854" spans="2:22" x14ac:dyDescent="0.35">
      <c r="B2854" s="40">
        <v>37279</v>
      </c>
      <c r="C2854" s="39">
        <v>5163.03</v>
      </c>
      <c r="D2854" s="219">
        <f t="shared" si="286"/>
        <v>2.298325727324162E-2</v>
      </c>
      <c r="F2854" s="40">
        <v>37279</v>
      </c>
      <c r="G2854" s="39">
        <v>5163.03</v>
      </c>
      <c r="H2854" s="39">
        <f t="shared" si="281"/>
        <v>3</v>
      </c>
      <c r="I2854" s="39">
        <f t="shared" si="282"/>
        <v>0</v>
      </c>
      <c r="K2854" s="40"/>
      <c r="Q2854" s="40">
        <v>37279</v>
      </c>
      <c r="R2854" s="39">
        <v>5163.03</v>
      </c>
      <c r="S2854" s="39">
        <f t="shared" si="283"/>
        <v>1</v>
      </c>
      <c r="T2854" s="39">
        <f t="shared" si="284"/>
        <v>0</v>
      </c>
      <c r="U2854" s="39">
        <f t="shared" si="285"/>
        <v>0</v>
      </c>
      <c r="V2854" s="40"/>
    </row>
    <row r="2855" spans="2:22" x14ac:dyDescent="0.35">
      <c r="B2855" s="40">
        <v>37280</v>
      </c>
      <c r="C2855" s="39">
        <v>5170.4399999999996</v>
      </c>
      <c r="D2855" s="219">
        <f t="shared" si="286"/>
        <v>1.4341748260961022E-3</v>
      </c>
      <c r="F2855" s="40">
        <v>37280</v>
      </c>
      <c r="G2855" s="39">
        <v>5170.4399999999996</v>
      </c>
      <c r="H2855" s="39">
        <f t="shared" si="281"/>
        <v>4</v>
      </c>
      <c r="I2855" s="39">
        <f t="shared" si="282"/>
        <v>0</v>
      </c>
      <c r="K2855" s="40"/>
      <c r="Q2855" s="40">
        <v>37280</v>
      </c>
      <c r="R2855" s="39">
        <v>5170.4399999999996</v>
      </c>
      <c r="S2855" s="39">
        <f t="shared" si="283"/>
        <v>1</v>
      </c>
      <c r="T2855" s="39">
        <f t="shared" si="284"/>
        <v>0</v>
      </c>
      <c r="U2855" s="39">
        <f t="shared" si="285"/>
        <v>0</v>
      </c>
      <c r="V2855" s="40"/>
    </row>
    <row r="2856" spans="2:22" x14ac:dyDescent="0.35">
      <c r="B2856" s="40">
        <v>37281</v>
      </c>
      <c r="C2856" s="39">
        <v>5156.63</v>
      </c>
      <c r="D2856" s="219">
        <f t="shared" si="286"/>
        <v>-2.6745259269109027E-3</v>
      </c>
      <c r="F2856" s="40">
        <v>37281</v>
      </c>
      <c r="G2856" s="39">
        <v>5156.63</v>
      </c>
      <c r="H2856" s="39">
        <f t="shared" si="281"/>
        <v>5</v>
      </c>
      <c r="I2856" s="39">
        <f t="shared" si="282"/>
        <v>5156.63</v>
      </c>
      <c r="K2856" s="40"/>
      <c r="Q2856" s="40">
        <v>37281</v>
      </c>
      <c r="R2856" s="39">
        <v>5156.63</v>
      </c>
      <c r="S2856" s="39">
        <f t="shared" si="283"/>
        <v>1</v>
      </c>
      <c r="T2856" s="39">
        <f t="shared" si="284"/>
        <v>0</v>
      </c>
      <c r="U2856" s="39">
        <f t="shared" si="285"/>
        <v>0</v>
      </c>
      <c r="V2856" s="40"/>
    </row>
    <row r="2857" spans="2:22" x14ac:dyDescent="0.35">
      <c r="B2857" s="40">
        <v>37284</v>
      </c>
      <c r="C2857" s="39">
        <v>5159.0200000000004</v>
      </c>
      <c r="D2857" s="219">
        <f t="shared" si="286"/>
        <v>4.6337362023033183E-4</v>
      </c>
      <c r="F2857" s="40">
        <v>37284</v>
      </c>
      <c r="G2857" s="39">
        <v>5159.0200000000004</v>
      </c>
      <c r="H2857" s="39">
        <f t="shared" si="281"/>
        <v>1</v>
      </c>
      <c r="I2857" s="39">
        <f t="shared" si="282"/>
        <v>0</v>
      </c>
      <c r="K2857" s="40"/>
      <c r="Q2857" s="40">
        <v>37284</v>
      </c>
      <c r="R2857" s="39">
        <v>5159.0200000000004</v>
      </c>
      <c r="S2857" s="39">
        <f t="shared" si="283"/>
        <v>1</v>
      </c>
      <c r="T2857" s="39">
        <f t="shared" si="284"/>
        <v>0</v>
      </c>
      <c r="U2857" s="39">
        <f t="shared" si="285"/>
        <v>0</v>
      </c>
      <c r="V2857" s="40"/>
    </row>
    <row r="2858" spans="2:22" x14ac:dyDescent="0.35">
      <c r="B2858" s="40">
        <v>37285</v>
      </c>
      <c r="C2858" s="39">
        <v>5084.5200000000004</v>
      </c>
      <c r="D2858" s="219">
        <f t="shared" si="286"/>
        <v>-1.4546009210520636E-2</v>
      </c>
      <c r="F2858" s="40">
        <v>37285</v>
      </c>
      <c r="G2858" s="39">
        <v>5084.5200000000004</v>
      </c>
      <c r="H2858" s="39">
        <f t="shared" si="281"/>
        <v>2</v>
      </c>
      <c r="I2858" s="39">
        <f t="shared" si="282"/>
        <v>0</v>
      </c>
      <c r="K2858" s="40"/>
      <c r="Q2858" s="40">
        <v>37285</v>
      </c>
      <c r="R2858" s="39">
        <v>5084.5200000000004</v>
      </c>
      <c r="S2858" s="39">
        <f t="shared" si="283"/>
        <v>1</v>
      </c>
      <c r="T2858" s="39">
        <f t="shared" si="284"/>
        <v>0</v>
      </c>
      <c r="U2858" s="39">
        <f t="shared" si="285"/>
        <v>0</v>
      </c>
      <c r="V2858" s="40"/>
    </row>
    <row r="2859" spans="2:22" x14ac:dyDescent="0.35">
      <c r="B2859" s="40">
        <v>37286</v>
      </c>
      <c r="C2859" s="39">
        <v>5052.2</v>
      </c>
      <c r="D2859" s="219">
        <f t="shared" si="286"/>
        <v>-6.3768377782546905E-3</v>
      </c>
      <c r="F2859" s="40">
        <v>37286</v>
      </c>
      <c r="G2859" s="39">
        <v>5052.2</v>
      </c>
      <c r="H2859" s="39">
        <f t="shared" si="281"/>
        <v>3</v>
      </c>
      <c r="I2859" s="39">
        <f t="shared" si="282"/>
        <v>0</v>
      </c>
      <c r="K2859" s="40"/>
      <c r="Q2859" s="40">
        <v>37286</v>
      </c>
      <c r="R2859" s="39">
        <v>5052.2</v>
      </c>
      <c r="S2859" s="39">
        <f t="shared" si="283"/>
        <v>1</v>
      </c>
      <c r="T2859" s="39">
        <f t="shared" si="284"/>
        <v>0</v>
      </c>
      <c r="U2859" s="39">
        <f t="shared" si="285"/>
        <v>0</v>
      </c>
      <c r="V2859" s="40"/>
    </row>
    <row r="2860" spans="2:22" x14ac:dyDescent="0.35">
      <c r="B2860" s="40">
        <v>37287</v>
      </c>
      <c r="C2860" s="39">
        <v>5107.6099999999997</v>
      </c>
      <c r="D2860" s="219">
        <f t="shared" si="286"/>
        <v>1.0907792446662849E-2</v>
      </c>
      <c r="F2860" s="40">
        <v>37287</v>
      </c>
      <c r="G2860" s="39">
        <v>5107.6099999999997</v>
      </c>
      <c r="H2860" s="39">
        <f t="shared" si="281"/>
        <v>4</v>
      </c>
      <c r="I2860" s="39">
        <f t="shared" si="282"/>
        <v>0</v>
      </c>
      <c r="K2860" s="40"/>
      <c r="Q2860" s="40">
        <v>37287</v>
      </c>
      <c r="R2860" s="39">
        <v>5107.6099999999997</v>
      </c>
      <c r="S2860" s="39">
        <f t="shared" si="283"/>
        <v>1</v>
      </c>
      <c r="T2860" s="39">
        <f t="shared" si="284"/>
        <v>5107.6099999999997</v>
      </c>
      <c r="U2860" s="39">
        <f t="shared" si="285"/>
        <v>5107.6099999999997</v>
      </c>
      <c r="V2860" s="40"/>
    </row>
    <row r="2861" spans="2:22" x14ac:dyDescent="0.35">
      <c r="B2861" s="40">
        <v>37288</v>
      </c>
      <c r="C2861" s="39">
        <v>5097.0600000000004</v>
      </c>
      <c r="D2861" s="219">
        <f t="shared" si="286"/>
        <v>-2.0676815141903249E-3</v>
      </c>
      <c r="F2861" s="40">
        <v>37288</v>
      </c>
      <c r="G2861" s="39">
        <v>5097.0600000000004</v>
      </c>
      <c r="H2861" s="39">
        <f t="shared" si="281"/>
        <v>5</v>
      </c>
      <c r="I2861" s="39">
        <f t="shared" si="282"/>
        <v>5097.0600000000004</v>
      </c>
      <c r="K2861" s="40"/>
      <c r="Q2861" s="40">
        <v>37288</v>
      </c>
      <c r="R2861" s="39">
        <v>5097.0600000000004</v>
      </c>
      <c r="S2861" s="39">
        <f t="shared" si="283"/>
        <v>2</v>
      </c>
      <c r="T2861" s="39">
        <f t="shared" si="284"/>
        <v>0</v>
      </c>
      <c r="U2861" s="39">
        <f t="shared" si="285"/>
        <v>0</v>
      </c>
      <c r="V2861" s="40"/>
    </row>
    <row r="2862" spans="2:22" x14ac:dyDescent="0.35">
      <c r="B2862" s="40">
        <v>37291</v>
      </c>
      <c r="C2862" s="39">
        <v>4984.4799999999996</v>
      </c>
      <c r="D2862" s="219">
        <f t="shared" si="286"/>
        <v>-2.2334817884978354E-2</v>
      </c>
      <c r="F2862" s="40">
        <v>37291</v>
      </c>
      <c r="G2862" s="39">
        <v>4984.4799999999996</v>
      </c>
      <c r="H2862" s="39">
        <f t="shared" si="281"/>
        <v>1</v>
      </c>
      <c r="I2862" s="39">
        <f t="shared" si="282"/>
        <v>0</v>
      </c>
      <c r="K2862" s="40"/>
      <c r="Q2862" s="40">
        <v>37291</v>
      </c>
      <c r="R2862" s="39">
        <v>4984.4799999999996</v>
      </c>
      <c r="S2862" s="39">
        <f t="shared" si="283"/>
        <v>2</v>
      </c>
      <c r="T2862" s="39">
        <f t="shared" si="284"/>
        <v>0</v>
      </c>
      <c r="U2862" s="39">
        <f t="shared" si="285"/>
        <v>0</v>
      </c>
      <c r="V2862" s="40"/>
    </row>
    <row r="2863" spans="2:22" x14ac:dyDescent="0.35">
      <c r="B2863" s="40">
        <v>37292</v>
      </c>
      <c r="C2863" s="39">
        <v>4936.75</v>
      </c>
      <c r="D2863" s="219">
        <f t="shared" si="286"/>
        <v>-9.6218650787302205E-3</v>
      </c>
      <c r="F2863" s="40">
        <v>37292</v>
      </c>
      <c r="G2863" s="39">
        <v>4936.75</v>
      </c>
      <c r="H2863" s="39">
        <f t="shared" si="281"/>
        <v>2</v>
      </c>
      <c r="I2863" s="39">
        <f t="shared" si="282"/>
        <v>0</v>
      </c>
      <c r="K2863" s="40"/>
      <c r="Q2863" s="40">
        <v>37292</v>
      </c>
      <c r="R2863" s="39">
        <v>4936.75</v>
      </c>
      <c r="S2863" s="39">
        <f t="shared" si="283"/>
        <v>2</v>
      </c>
      <c r="T2863" s="39">
        <f t="shared" si="284"/>
        <v>0</v>
      </c>
      <c r="U2863" s="39">
        <f t="shared" si="285"/>
        <v>0</v>
      </c>
      <c r="V2863" s="40"/>
    </row>
    <row r="2864" spans="2:22" x14ac:dyDescent="0.35">
      <c r="B2864" s="40">
        <v>37293</v>
      </c>
      <c r="C2864" s="39">
        <v>4804.41</v>
      </c>
      <c r="D2864" s="219">
        <f t="shared" si="286"/>
        <v>-2.7172973833889856E-2</v>
      </c>
      <c r="F2864" s="40">
        <v>37293</v>
      </c>
      <c r="G2864" s="39">
        <v>4804.41</v>
      </c>
      <c r="H2864" s="39">
        <f t="shared" si="281"/>
        <v>3</v>
      </c>
      <c r="I2864" s="39">
        <f t="shared" si="282"/>
        <v>0</v>
      </c>
      <c r="K2864" s="40"/>
      <c r="Q2864" s="40">
        <v>37293</v>
      </c>
      <c r="R2864" s="39">
        <v>4804.41</v>
      </c>
      <c r="S2864" s="39">
        <f t="shared" si="283"/>
        <v>2</v>
      </c>
      <c r="T2864" s="39">
        <f t="shared" si="284"/>
        <v>0</v>
      </c>
      <c r="U2864" s="39">
        <f t="shared" si="285"/>
        <v>0</v>
      </c>
      <c r="V2864" s="40"/>
    </row>
    <row r="2865" spans="2:22" x14ac:dyDescent="0.35">
      <c r="B2865" s="40">
        <v>37294</v>
      </c>
      <c r="C2865" s="39">
        <v>4862.62</v>
      </c>
      <c r="D2865" s="219">
        <f t="shared" si="286"/>
        <v>1.2043141181898372E-2</v>
      </c>
      <c r="F2865" s="40">
        <v>37294</v>
      </c>
      <c r="G2865" s="39">
        <v>4862.62</v>
      </c>
      <c r="H2865" s="39">
        <f t="shared" si="281"/>
        <v>4</v>
      </c>
      <c r="I2865" s="39">
        <f t="shared" si="282"/>
        <v>0</v>
      </c>
      <c r="K2865" s="40"/>
      <c r="Q2865" s="40">
        <v>37294</v>
      </c>
      <c r="R2865" s="39">
        <v>4862.62</v>
      </c>
      <c r="S2865" s="39">
        <f t="shared" si="283"/>
        <v>2</v>
      </c>
      <c r="T2865" s="39">
        <f t="shared" si="284"/>
        <v>0</v>
      </c>
      <c r="U2865" s="39">
        <f t="shared" si="285"/>
        <v>0</v>
      </c>
      <c r="V2865" s="40"/>
    </row>
    <row r="2866" spans="2:22" x14ac:dyDescent="0.35">
      <c r="B2866" s="40">
        <v>37295</v>
      </c>
      <c r="C2866" s="39">
        <v>4835.95</v>
      </c>
      <c r="D2866" s="219">
        <f t="shared" si="286"/>
        <v>-5.4997937274358193E-3</v>
      </c>
      <c r="F2866" s="40">
        <v>37295</v>
      </c>
      <c r="G2866" s="39">
        <v>4835.95</v>
      </c>
      <c r="H2866" s="39">
        <f t="shared" si="281"/>
        <v>5</v>
      </c>
      <c r="I2866" s="39">
        <f t="shared" si="282"/>
        <v>4835.95</v>
      </c>
      <c r="K2866" s="40"/>
      <c r="Q2866" s="40">
        <v>37295</v>
      </c>
      <c r="R2866" s="39">
        <v>4835.95</v>
      </c>
      <c r="S2866" s="39">
        <f t="shared" si="283"/>
        <v>2</v>
      </c>
      <c r="T2866" s="39">
        <f t="shared" si="284"/>
        <v>0</v>
      </c>
      <c r="U2866" s="39">
        <f t="shared" si="285"/>
        <v>0</v>
      </c>
      <c r="V2866" s="40"/>
    </row>
    <row r="2867" spans="2:22" x14ac:dyDescent="0.35">
      <c r="B2867" s="40">
        <v>37298</v>
      </c>
      <c r="C2867" s="39">
        <v>4940</v>
      </c>
      <c r="D2867" s="219">
        <f t="shared" si="286"/>
        <v>2.1287737623976455E-2</v>
      </c>
      <c r="F2867" s="40">
        <v>37298</v>
      </c>
      <c r="G2867" s="39">
        <v>4940</v>
      </c>
      <c r="H2867" s="39">
        <f t="shared" si="281"/>
        <v>1</v>
      </c>
      <c r="I2867" s="39">
        <f t="shared" si="282"/>
        <v>0</v>
      </c>
      <c r="K2867" s="40"/>
      <c r="Q2867" s="40">
        <v>37298</v>
      </c>
      <c r="R2867" s="39">
        <v>4940</v>
      </c>
      <c r="S2867" s="39">
        <f t="shared" si="283"/>
        <v>2</v>
      </c>
      <c r="T2867" s="39">
        <f t="shared" si="284"/>
        <v>0</v>
      </c>
      <c r="U2867" s="39">
        <f t="shared" si="285"/>
        <v>0</v>
      </c>
      <c r="V2867" s="40"/>
    </row>
    <row r="2868" spans="2:22" x14ac:dyDescent="0.35">
      <c r="B2868" s="40">
        <v>37299</v>
      </c>
      <c r="C2868" s="39">
        <v>4884.78</v>
      </c>
      <c r="D2868" s="219">
        <f t="shared" si="286"/>
        <v>-1.1241082543179213E-2</v>
      </c>
      <c r="F2868" s="40">
        <v>37299</v>
      </c>
      <c r="G2868" s="39">
        <v>4884.78</v>
      </c>
      <c r="H2868" s="39">
        <f t="shared" si="281"/>
        <v>2</v>
      </c>
      <c r="I2868" s="39">
        <f t="shared" si="282"/>
        <v>0</v>
      </c>
      <c r="K2868" s="40"/>
      <c r="Q2868" s="40">
        <v>37299</v>
      </c>
      <c r="R2868" s="39">
        <v>4884.78</v>
      </c>
      <c r="S2868" s="39">
        <f t="shared" si="283"/>
        <v>2</v>
      </c>
      <c r="T2868" s="39">
        <f t="shared" si="284"/>
        <v>0</v>
      </c>
      <c r="U2868" s="39">
        <f t="shared" si="285"/>
        <v>0</v>
      </c>
      <c r="V2868" s="40"/>
    </row>
    <row r="2869" spans="2:22" x14ac:dyDescent="0.35">
      <c r="B2869" s="40">
        <v>37300</v>
      </c>
      <c r="C2869" s="39">
        <v>4935.3500000000004</v>
      </c>
      <c r="D2869" s="219">
        <f t="shared" si="286"/>
        <v>1.0299343699763389E-2</v>
      </c>
      <c r="F2869" s="40">
        <v>37300</v>
      </c>
      <c r="G2869" s="39">
        <v>4935.3500000000004</v>
      </c>
      <c r="H2869" s="39">
        <f t="shared" si="281"/>
        <v>3</v>
      </c>
      <c r="I2869" s="39">
        <f t="shared" si="282"/>
        <v>0</v>
      </c>
      <c r="K2869" s="40"/>
      <c r="Q2869" s="40">
        <v>37300</v>
      </c>
      <c r="R2869" s="39">
        <v>4935.3500000000004</v>
      </c>
      <c r="S2869" s="39">
        <f t="shared" si="283"/>
        <v>2</v>
      </c>
      <c r="T2869" s="39">
        <f t="shared" si="284"/>
        <v>0</v>
      </c>
      <c r="U2869" s="39">
        <f t="shared" si="285"/>
        <v>0</v>
      </c>
      <c r="V2869" s="40"/>
    </row>
    <row r="2870" spans="2:22" x14ac:dyDescent="0.35">
      <c r="B2870" s="40">
        <v>37301</v>
      </c>
      <c r="C2870" s="39">
        <v>4973.7700000000004</v>
      </c>
      <c r="D2870" s="219">
        <f t="shared" si="286"/>
        <v>7.7545115053331637E-3</v>
      </c>
      <c r="F2870" s="40">
        <v>37301</v>
      </c>
      <c r="G2870" s="39">
        <v>4973.7700000000004</v>
      </c>
      <c r="H2870" s="39">
        <f t="shared" si="281"/>
        <v>4</v>
      </c>
      <c r="I2870" s="39">
        <f t="shared" si="282"/>
        <v>0</v>
      </c>
      <c r="K2870" s="40"/>
      <c r="Q2870" s="40">
        <v>37301</v>
      </c>
      <c r="R2870" s="39">
        <v>4973.7700000000004</v>
      </c>
      <c r="S2870" s="39">
        <f t="shared" si="283"/>
        <v>2</v>
      </c>
      <c r="T2870" s="39">
        <f t="shared" si="284"/>
        <v>0</v>
      </c>
      <c r="U2870" s="39">
        <f t="shared" si="285"/>
        <v>0</v>
      </c>
      <c r="V2870" s="40"/>
    </row>
    <row r="2871" spans="2:22" x14ac:dyDescent="0.35">
      <c r="B2871" s="40">
        <v>37302</v>
      </c>
      <c r="C2871" s="39">
        <v>4862.6000000000004</v>
      </c>
      <c r="D2871" s="219">
        <f t="shared" si="286"/>
        <v>-2.2604829575952754E-2</v>
      </c>
      <c r="F2871" s="40">
        <v>37302</v>
      </c>
      <c r="G2871" s="39">
        <v>4862.6000000000004</v>
      </c>
      <c r="H2871" s="39">
        <f t="shared" ref="H2871:H2934" si="287">WEEKDAY(F2871,2)</f>
        <v>5</v>
      </c>
      <c r="I2871" s="39">
        <f t="shared" ref="I2871:I2934" si="288">IF(H2871&gt;H2872,G2871,0)</f>
        <v>4862.6000000000004</v>
      </c>
      <c r="K2871" s="40"/>
      <c r="Q2871" s="40">
        <v>37302</v>
      </c>
      <c r="R2871" s="39">
        <v>4862.6000000000004</v>
      </c>
      <c r="S2871" s="39">
        <f t="shared" ref="S2871:S2934" si="289">MONTH(Q2871)</f>
        <v>2</v>
      </c>
      <c r="T2871" s="39">
        <f t="shared" ref="T2871:T2934" si="290">IF(S2872&lt;&gt;S2871,R2871,0)</f>
        <v>0</v>
      </c>
      <c r="U2871" s="39">
        <f t="shared" ref="U2871:U2934" si="291">IF(S2872=S2871,0,R2871)</f>
        <v>0</v>
      </c>
      <c r="V2871" s="40"/>
    </row>
    <row r="2872" spans="2:22" x14ac:dyDescent="0.35">
      <c r="B2872" s="40">
        <v>37305</v>
      </c>
      <c r="C2872" s="39">
        <v>4871.76</v>
      </c>
      <c r="D2872" s="219">
        <f t="shared" ref="D2872:D2935" si="292">LN(C2872/C2871)</f>
        <v>1.8819938246891436E-3</v>
      </c>
      <c r="F2872" s="40">
        <v>37305</v>
      </c>
      <c r="G2872" s="39">
        <v>4871.76</v>
      </c>
      <c r="H2872" s="39">
        <f t="shared" si="287"/>
        <v>1</v>
      </c>
      <c r="I2872" s="39">
        <f t="shared" si="288"/>
        <v>0</v>
      </c>
      <c r="K2872" s="40"/>
      <c r="Q2872" s="40">
        <v>37305</v>
      </c>
      <c r="R2872" s="39">
        <v>4871.76</v>
      </c>
      <c r="S2872" s="39">
        <f t="shared" si="289"/>
        <v>2</v>
      </c>
      <c r="T2872" s="39">
        <f t="shared" si="290"/>
        <v>0</v>
      </c>
      <c r="U2872" s="39">
        <f t="shared" si="291"/>
        <v>0</v>
      </c>
      <c r="V2872" s="40"/>
    </row>
    <row r="2873" spans="2:22" x14ac:dyDescent="0.35">
      <c r="B2873" s="40">
        <v>37306</v>
      </c>
      <c r="C2873" s="39">
        <v>4764.05</v>
      </c>
      <c r="D2873" s="219">
        <f t="shared" si="292"/>
        <v>-2.2357121290475644E-2</v>
      </c>
      <c r="F2873" s="40">
        <v>37306</v>
      </c>
      <c r="G2873" s="39">
        <v>4764.05</v>
      </c>
      <c r="H2873" s="39">
        <f t="shared" si="287"/>
        <v>2</v>
      </c>
      <c r="I2873" s="39">
        <f t="shared" si="288"/>
        <v>0</v>
      </c>
      <c r="K2873" s="40"/>
      <c r="Q2873" s="40">
        <v>37306</v>
      </c>
      <c r="R2873" s="39">
        <v>4764.05</v>
      </c>
      <c r="S2873" s="39">
        <f t="shared" si="289"/>
        <v>2</v>
      </c>
      <c r="T2873" s="39">
        <f t="shared" si="290"/>
        <v>0</v>
      </c>
      <c r="U2873" s="39">
        <f t="shared" si="291"/>
        <v>0</v>
      </c>
      <c r="V2873" s="40"/>
    </row>
    <row r="2874" spans="2:22" x14ac:dyDescent="0.35">
      <c r="B2874" s="40">
        <v>37307</v>
      </c>
      <c r="C2874" s="39">
        <v>4780.24</v>
      </c>
      <c r="D2874" s="219">
        <f t="shared" si="292"/>
        <v>3.3926076279359595E-3</v>
      </c>
      <c r="F2874" s="40">
        <v>37307</v>
      </c>
      <c r="G2874" s="39">
        <v>4780.24</v>
      </c>
      <c r="H2874" s="39">
        <f t="shared" si="287"/>
        <v>3</v>
      </c>
      <c r="I2874" s="39">
        <f t="shared" si="288"/>
        <v>0</v>
      </c>
      <c r="K2874" s="40"/>
      <c r="Q2874" s="40">
        <v>37307</v>
      </c>
      <c r="R2874" s="39">
        <v>4780.24</v>
      </c>
      <c r="S2874" s="39">
        <f t="shared" si="289"/>
        <v>2</v>
      </c>
      <c r="T2874" s="39">
        <f t="shared" si="290"/>
        <v>0</v>
      </c>
      <c r="U2874" s="39">
        <f t="shared" si="291"/>
        <v>0</v>
      </c>
      <c r="V2874" s="40"/>
    </row>
    <row r="2875" spans="2:22" x14ac:dyDescent="0.35">
      <c r="B2875" s="40">
        <v>37308</v>
      </c>
      <c r="C2875" s="39">
        <v>4850.7299999999996</v>
      </c>
      <c r="D2875" s="219">
        <f t="shared" si="292"/>
        <v>1.4638454639047845E-2</v>
      </c>
      <c r="F2875" s="40">
        <v>37308</v>
      </c>
      <c r="G2875" s="39">
        <v>4850.7299999999996</v>
      </c>
      <c r="H2875" s="39">
        <f t="shared" si="287"/>
        <v>4</v>
      </c>
      <c r="I2875" s="39">
        <f t="shared" si="288"/>
        <v>0</v>
      </c>
      <c r="K2875" s="40"/>
      <c r="Q2875" s="40">
        <v>37308</v>
      </c>
      <c r="R2875" s="39">
        <v>4850.7299999999996</v>
      </c>
      <c r="S2875" s="39">
        <f t="shared" si="289"/>
        <v>2</v>
      </c>
      <c r="T2875" s="39">
        <f t="shared" si="290"/>
        <v>0</v>
      </c>
      <c r="U2875" s="39">
        <f t="shared" si="291"/>
        <v>0</v>
      </c>
      <c r="V2875" s="40"/>
    </row>
    <row r="2876" spans="2:22" x14ac:dyDescent="0.35">
      <c r="B2876" s="40">
        <v>37309</v>
      </c>
      <c r="C2876" s="39">
        <v>4745.58</v>
      </c>
      <c r="D2876" s="219">
        <f t="shared" si="292"/>
        <v>-2.1915550564607218E-2</v>
      </c>
      <c r="F2876" s="40">
        <v>37309</v>
      </c>
      <c r="G2876" s="39">
        <v>4745.58</v>
      </c>
      <c r="H2876" s="39">
        <f t="shared" si="287"/>
        <v>5</v>
      </c>
      <c r="I2876" s="39">
        <f t="shared" si="288"/>
        <v>4745.58</v>
      </c>
      <c r="K2876" s="40"/>
      <c r="Q2876" s="40">
        <v>37309</v>
      </c>
      <c r="R2876" s="39">
        <v>4745.58</v>
      </c>
      <c r="S2876" s="39">
        <f t="shared" si="289"/>
        <v>2</v>
      </c>
      <c r="T2876" s="39">
        <f t="shared" si="290"/>
        <v>0</v>
      </c>
      <c r="U2876" s="39">
        <f t="shared" si="291"/>
        <v>0</v>
      </c>
      <c r="V2876" s="40"/>
    </row>
    <row r="2877" spans="2:22" x14ac:dyDescent="0.35">
      <c r="B2877" s="40">
        <v>37312</v>
      </c>
      <c r="C2877" s="39">
        <v>4863.54</v>
      </c>
      <c r="D2877" s="219">
        <f t="shared" si="292"/>
        <v>2.4552909300810378E-2</v>
      </c>
      <c r="F2877" s="40">
        <v>37312</v>
      </c>
      <c r="G2877" s="39">
        <v>4863.54</v>
      </c>
      <c r="H2877" s="39">
        <f t="shared" si="287"/>
        <v>1</v>
      </c>
      <c r="I2877" s="39">
        <f t="shared" si="288"/>
        <v>0</v>
      </c>
      <c r="K2877" s="40"/>
      <c r="Q2877" s="40">
        <v>37312</v>
      </c>
      <c r="R2877" s="39">
        <v>4863.54</v>
      </c>
      <c r="S2877" s="39">
        <f t="shared" si="289"/>
        <v>2</v>
      </c>
      <c r="T2877" s="39">
        <f t="shared" si="290"/>
        <v>0</v>
      </c>
      <c r="U2877" s="39">
        <f t="shared" si="291"/>
        <v>0</v>
      </c>
      <c r="V2877" s="40"/>
    </row>
    <row r="2878" spans="2:22" x14ac:dyDescent="0.35">
      <c r="B2878" s="40">
        <v>37313</v>
      </c>
      <c r="C2878" s="39">
        <v>4897.75</v>
      </c>
      <c r="D2878" s="219">
        <f t="shared" si="292"/>
        <v>7.0093481628081761E-3</v>
      </c>
      <c r="F2878" s="40">
        <v>37313</v>
      </c>
      <c r="G2878" s="39">
        <v>4897.75</v>
      </c>
      <c r="H2878" s="39">
        <f t="shared" si="287"/>
        <v>2</v>
      </c>
      <c r="I2878" s="39">
        <f t="shared" si="288"/>
        <v>0</v>
      </c>
      <c r="K2878" s="40"/>
      <c r="Q2878" s="40">
        <v>37313</v>
      </c>
      <c r="R2878" s="39">
        <v>4897.75</v>
      </c>
      <c r="S2878" s="39">
        <f t="shared" si="289"/>
        <v>2</v>
      </c>
      <c r="T2878" s="39">
        <f t="shared" si="290"/>
        <v>0</v>
      </c>
      <c r="U2878" s="39">
        <f t="shared" si="291"/>
        <v>0</v>
      </c>
      <c r="V2878" s="40"/>
    </row>
    <row r="2879" spans="2:22" x14ac:dyDescent="0.35">
      <c r="B2879" s="40">
        <v>37314</v>
      </c>
      <c r="C2879" s="39">
        <v>4960.22</v>
      </c>
      <c r="D2879" s="219">
        <f t="shared" si="292"/>
        <v>1.2674178605894449E-2</v>
      </c>
      <c r="F2879" s="40">
        <v>37314</v>
      </c>
      <c r="G2879" s="39">
        <v>4960.22</v>
      </c>
      <c r="H2879" s="39">
        <f t="shared" si="287"/>
        <v>3</v>
      </c>
      <c r="I2879" s="39">
        <f t="shared" si="288"/>
        <v>0</v>
      </c>
      <c r="K2879" s="40"/>
      <c r="Q2879" s="40">
        <v>37314</v>
      </c>
      <c r="R2879" s="39">
        <v>4960.22</v>
      </c>
      <c r="S2879" s="39">
        <f t="shared" si="289"/>
        <v>2</v>
      </c>
      <c r="T2879" s="39">
        <f t="shared" si="290"/>
        <v>0</v>
      </c>
      <c r="U2879" s="39">
        <f t="shared" si="291"/>
        <v>0</v>
      </c>
      <c r="V2879" s="40"/>
    </row>
    <row r="2880" spans="2:22" x14ac:dyDescent="0.35">
      <c r="B2880" s="40">
        <v>37315</v>
      </c>
      <c r="C2880" s="39">
        <v>5039.08</v>
      </c>
      <c r="D2880" s="219">
        <f t="shared" si="292"/>
        <v>1.5773431146442789E-2</v>
      </c>
      <c r="F2880" s="40">
        <v>37315</v>
      </c>
      <c r="G2880" s="39">
        <v>5039.08</v>
      </c>
      <c r="H2880" s="39">
        <f t="shared" si="287"/>
        <v>4</v>
      </c>
      <c r="I2880" s="39">
        <f t="shared" si="288"/>
        <v>0</v>
      </c>
      <c r="K2880" s="40"/>
      <c r="Q2880" s="40">
        <v>37315</v>
      </c>
      <c r="R2880" s="39">
        <v>5039.08</v>
      </c>
      <c r="S2880" s="39">
        <f t="shared" si="289"/>
        <v>2</v>
      </c>
      <c r="T2880" s="39">
        <f t="shared" si="290"/>
        <v>5039.08</v>
      </c>
      <c r="U2880" s="39">
        <f t="shared" si="291"/>
        <v>5039.08</v>
      </c>
      <c r="V2880" s="40"/>
    </row>
    <row r="2881" spans="2:22" x14ac:dyDescent="0.35">
      <c r="B2881" s="40">
        <v>37316</v>
      </c>
      <c r="C2881" s="39">
        <v>5097.41</v>
      </c>
      <c r="D2881" s="219">
        <f t="shared" si="292"/>
        <v>1.1509041858682142E-2</v>
      </c>
      <c r="F2881" s="40">
        <v>37316</v>
      </c>
      <c r="G2881" s="39">
        <v>5097.41</v>
      </c>
      <c r="H2881" s="39">
        <f t="shared" si="287"/>
        <v>5</v>
      </c>
      <c r="I2881" s="39">
        <f t="shared" si="288"/>
        <v>5097.41</v>
      </c>
      <c r="K2881" s="40"/>
      <c r="Q2881" s="40">
        <v>37316</v>
      </c>
      <c r="R2881" s="39">
        <v>5097.41</v>
      </c>
      <c r="S2881" s="39">
        <f t="shared" si="289"/>
        <v>3</v>
      </c>
      <c r="T2881" s="39">
        <f t="shared" si="290"/>
        <v>0</v>
      </c>
      <c r="U2881" s="39">
        <f t="shared" si="291"/>
        <v>0</v>
      </c>
      <c r="V2881" s="40"/>
    </row>
    <row r="2882" spans="2:22" x14ac:dyDescent="0.35">
      <c r="B2882" s="40">
        <v>37319</v>
      </c>
      <c r="C2882" s="39">
        <v>5245.84</v>
      </c>
      <c r="D2882" s="219">
        <f t="shared" si="292"/>
        <v>2.8702813954405177E-2</v>
      </c>
      <c r="F2882" s="40">
        <v>37319</v>
      </c>
      <c r="G2882" s="39">
        <v>5245.84</v>
      </c>
      <c r="H2882" s="39">
        <f t="shared" si="287"/>
        <v>1</v>
      </c>
      <c r="I2882" s="39">
        <f t="shared" si="288"/>
        <v>0</v>
      </c>
      <c r="K2882" s="40"/>
      <c r="Q2882" s="40">
        <v>37319</v>
      </c>
      <c r="R2882" s="39">
        <v>5245.84</v>
      </c>
      <c r="S2882" s="39">
        <f t="shared" si="289"/>
        <v>3</v>
      </c>
      <c r="T2882" s="39">
        <f t="shared" si="290"/>
        <v>0</v>
      </c>
      <c r="U2882" s="39">
        <f t="shared" si="291"/>
        <v>0</v>
      </c>
      <c r="V2882" s="40"/>
    </row>
    <row r="2883" spans="2:22" x14ac:dyDescent="0.35">
      <c r="B2883" s="40">
        <v>37320</v>
      </c>
      <c r="C2883" s="39">
        <v>5228.67</v>
      </c>
      <c r="D2883" s="219">
        <f t="shared" si="292"/>
        <v>-3.278437918110944E-3</v>
      </c>
      <c r="F2883" s="40">
        <v>37320</v>
      </c>
      <c r="G2883" s="39">
        <v>5228.67</v>
      </c>
      <c r="H2883" s="39">
        <f t="shared" si="287"/>
        <v>2</v>
      </c>
      <c r="I2883" s="39">
        <f t="shared" si="288"/>
        <v>0</v>
      </c>
      <c r="K2883" s="40"/>
      <c r="Q2883" s="40">
        <v>37320</v>
      </c>
      <c r="R2883" s="39">
        <v>5228.67</v>
      </c>
      <c r="S2883" s="39">
        <f t="shared" si="289"/>
        <v>3</v>
      </c>
      <c r="T2883" s="39">
        <f t="shared" si="290"/>
        <v>0</v>
      </c>
      <c r="U2883" s="39">
        <f t="shared" si="291"/>
        <v>0</v>
      </c>
      <c r="V2883" s="40"/>
    </row>
    <row r="2884" spans="2:22" x14ac:dyDescent="0.35">
      <c r="B2884" s="40">
        <v>37321</v>
      </c>
      <c r="C2884" s="39">
        <v>5285.26</v>
      </c>
      <c r="D2884" s="219">
        <f t="shared" si="292"/>
        <v>1.0764870316082583E-2</v>
      </c>
      <c r="F2884" s="40">
        <v>37321</v>
      </c>
      <c r="G2884" s="39">
        <v>5285.26</v>
      </c>
      <c r="H2884" s="39">
        <f t="shared" si="287"/>
        <v>3</v>
      </c>
      <c r="I2884" s="39">
        <f t="shared" si="288"/>
        <v>0</v>
      </c>
      <c r="K2884" s="40"/>
      <c r="Q2884" s="40">
        <v>37321</v>
      </c>
      <c r="R2884" s="39">
        <v>5285.26</v>
      </c>
      <c r="S2884" s="39">
        <f t="shared" si="289"/>
        <v>3</v>
      </c>
      <c r="T2884" s="39">
        <f t="shared" si="290"/>
        <v>0</v>
      </c>
      <c r="U2884" s="39">
        <f t="shared" si="291"/>
        <v>0</v>
      </c>
      <c r="V2884" s="40"/>
    </row>
    <row r="2885" spans="2:22" x14ac:dyDescent="0.35">
      <c r="B2885" s="40">
        <v>37322</v>
      </c>
      <c r="C2885" s="39">
        <v>5289.43</v>
      </c>
      <c r="D2885" s="219">
        <f t="shared" si="292"/>
        <v>7.8867564271832297E-4</v>
      </c>
      <c r="F2885" s="40">
        <v>37322</v>
      </c>
      <c r="G2885" s="39">
        <v>5289.43</v>
      </c>
      <c r="H2885" s="39">
        <f t="shared" si="287"/>
        <v>4</v>
      </c>
      <c r="I2885" s="39">
        <f t="shared" si="288"/>
        <v>0</v>
      </c>
      <c r="K2885" s="40"/>
      <c r="Q2885" s="40">
        <v>37322</v>
      </c>
      <c r="R2885" s="39">
        <v>5289.43</v>
      </c>
      <c r="S2885" s="39">
        <f t="shared" si="289"/>
        <v>3</v>
      </c>
      <c r="T2885" s="39">
        <f t="shared" si="290"/>
        <v>0</v>
      </c>
      <c r="U2885" s="39">
        <f t="shared" si="291"/>
        <v>0</v>
      </c>
      <c r="V2885" s="40"/>
    </row>
    <row r="2886" spans="2:22" x14ac:dyDescent="0.35">
      <c r="B2886" s="40">
        <v>37323</v>
      </c>
      <c r="C2886" s="39">
        <v>5359.55</v>
      </c>
      <c r="D2886" s="219">
        <f t="shared" si="292"/>
        <v>1.3169526742273976E-2</v>
      </c>
      <c r="F2886" s="40">
        <v>37323</v>
      </c>
      <c r="G2886" s="39">
        <v>5359.55</v>
      </c>
      <c r="H2886" s="39">
        <f t="shared" si="287"/>
        <v>5</v>
      </c>
      <c r="I2886" s="39">
        <f t="shared" si="288"/>
        <v>5359.55</v>
      </c>
      <c r="K2886" s="40"/>
      <c r="Q2886" s="40">
        <v>37323</v>
      </c>
      <c r="R2886" s="39">
        <v>5359.55</v>
      </c>
      <c r="S2886" s="39">
        <f t="shared" si="289"/>
        <v>3</v>
      </c>
      <c r="T2886" s="39">
        <f t="shared" si="290"/>
        <v>0</v>
      </c>
      <c r="U2886" s="39">
        <f t="shared" si="291"/>
        <v>0</v>
      </c>
      <c r="V2886" s="40"/>
    </row>
    <row r="2887" spans="2:22" x14ac:dyDescent="0.35">
      <c r="B2887" s="40">
        <v>37326</v>
      </c>
      <c r="C2887" s="39">
        <v>5340.67</v>
      </c>
      <c r="D2887" s="219">
        <f t="shared" si="292"/>
        <v>-3.5289030679674107E-3</v>
      </c>
      <c r="F2887" s="40">
        <v>37326</v>
      </c>
      <c r="G2887" s="39">
        <v>5340.67</v>
      </c>
      <c r="H2887" s="39">
        <f t="shared" si="287"/>
        <v>1</v>
      </c>
      <c r="I2887" s="39">
        <f t="shared" si="288"/>
        <v>0</v>
      </c>
      <c r="K2887" s="40"/>
      <c r="Q2887" s="40">
        <v>37326</v>
      </c>
      <c r="R2887" s="39">
        <v>5340.67</v>
      </c>
      <c r="S2887" s="39">
        <f t="shared" si="289"/>
        <v>3</v>
      </c>
      <c r="T2887" s="39">
        <f t="shared" si="290"/>
        <v>0</v>
      </c>
      <c r="U2887" s="39">
        <f t="shared" si="291"/>
        <v>0</v>
      </c>
      <c r="V2887" s="40"/>
    </row>
    <row r="2888" spans="2:22" x14ac:dyDescent="0.35">
      <c r="B2888" s="40">
        <v>37327</v>
      </c>
      <c r="C2888" s="39">
        <v>5275.81</v>
      </c>
      <c r="D2888" s="219">
        <f t="shared" si="292"/>
        <v>-1.2218891190211509E-2</v>
      </c>
      <c r="F2888" s="40">
        <v>37327</v>
      </c>
      <c r="G2888" s="39">
        <v>5275.81</v>
      </c>
      <c r="H2888" s="39">
        <f t="shared" si="287"/>
        <v>2</v>
      </c>
      <c r="I2888" s="39">
        <f t="shared" si="288"/>
        <v>0</v>
      </c>
      <c r="K2888" s="40"/>
      <c r="Q2888" s="40">
        <v>37327</v>
      </c>
      <c r="R2888" s="39">
        <v>5275.81</v>
      </c>
      <c r="S2888" s="39">
        <f t="shared" si="289"/>
        <v>3</v>
      </c>
      <c r="T2888" s="39">
        <f t="shared" si="290"/>
        <v>0</v>
      </c>
      <c r="U2888" s="39">
        <f t="shared" si="291"/>
        <v>0</v>
      </c>
      <c r="V2888" s="40"/>
    </row>
    <row r="2889" spans="2:22" x14ac:dyDescent="0.35">
      <c r="B2889" s="40">
        <v>37328</v>
      </c>
      <c r="C2889" s="39">
        <v>5245.99</v>
      </c>
      <c r="D2889" s="219">
        <f t="shared" si="292"/>
        <v>-5.6682468476074981E-3</v>
      </c>
      <c r="F2889" s="40">
        <v>37328</v>
      </c>
      <c r="G2889" s="39">
        <v>5245.99</v>
      </c>
      <c r="H2889" s="39">
        <f t="shared" si="287"/>
        <v>3</v>
      </c>
      <c r="I2889" s="39">
        <f t="shared" si="288"/>
        <v>0</v>
      </c>
      <c r="K2889" s="40"/>
      <c r="Q2889" s="40">
        <v>37328</v>
      </c>
      <c r="R2889" s="39">
        <v>5245.99</v>
      </c>
      <c r="S2889" s="39">
        <f t="shared" si="289"/>
        <v>3</v>
      </c>
      <c r="T2889" s="39">
        <f t="shared" si="290"/>
        <v>0</v>
      </c>
      <c r="U2889" s="39">
        <f t="shared" si="291"/>
        <v>0</v>
      </c>
      <c r="V2889" s="40"/>
    </row>
    <row r="2890" spans="2:22" x14ac:dyDescent="0.35">
      <c r="B2890" s="40">
        <v>37329</v>
      </c>
      <c r="C2890" s="39">
        <v>5276.87</v>
      </c>
      <c r="D2890" s="219">
        <f t="shared" si="292"/>
        <v>5.8691436820731031E-3</v>
      </c>
      <c r="F2890" s="40">
        <v>37329</v>
      </c>
      <c r="G2890" s="39">
        <v>5276.87</v>
      </c>
      <c r="H2890" s="39">
        <f t="shared" si="287"/>
        <v>4</v>
      </c>
      <c r="I2890" s="39">
        <f t="shared" si="288"/>
        <v>0</v>
      </c>
      <c r="K2890" s="40"/>
      <c r="Q2890" s="40">
        <v>37329</v>
      </c>
      <c r="R2890" s="39">
        <v>5276.87</v>
      </c>
      <c r="S2890" s="39">
        <f t="shared" si="289"/>
        <v>3</v>
      </c>
      <c r="T2890" s="39">
        <f t="shared" si="290"/>
        <v>0</v>
      </c>
      <c r="U2890" s="39">
        <f t="shared" si="291"/>
        <v>0</v>
      </c>
      <c r="V2890" s="40"/>
    </row>
    <row r="2891" spans="2:22" x14ac:dyDescent="0.35">
      <c r="B2891" s="40">
        <v>37330</v>
      </c>
      <c r="C2891" s="39">
        <v>5401.11</v>
      </c>
      <c r="D2891" s="219">
        <f t="shared" si="292"/>
        <v>2.3271369091455874E-2</v>
      </c>
      <c r="F2891" s="40">
        <v>37330</v>
      </c>
      <c r="G2891" s="39">
        <v>5401.11</v>
      </c>
      <c r="H2891" s="39">
        <f t="shared" si="287"/>
        <v>5</v>
      </c>
      <c r="I2891" s="39">
        <f t="shared" si="288"/>
        <v>5401.11</v>
      </c>
      <c r="K2891" s="40"/>
      <c r="Q2891" s="40">
        <v>37330</v>
      </c>
      <c r="R2891" s="39">
        <v>5401.11</v>
      </c>
      <c r="S2891" s="39">
        <f t="shared" si="289"/>
        <v>3</v>
      </c>
      <c r="T2891" s="39">
        <f t="shared" si="290"/>
        <v>0</v>
      </c>
      <c r="U2891" s="39">
        <f t="shared" si="291"/>
        <v>0</v>
      </c>
      <c r="V2891" s="40"/>
    </row>
    <row r="2892" spans="2:22" x14ac:dyDescent="0.35">
      <c r="B2892" s="40">
        <v>37333</v>
      </c>
      <c r="C2892" s="39">
        <v>5426.04</v>
      </c>
      <c r="D2892" s="219">
        <f t="shared" si="292"/>
        <v>4.6050981204433135E-3</v>
      </c>
      <c r="F2892" s="40">
        <v>37333</v>
      </c>
      <c r="G2892" s="39">
        <v>5426.04</v>
      </c>
      <c r="H2892" s="39">
        <f t="shared" si="287"/>
        <v>1</v>
      </c>
      <c r="I2892" s="39">
        <f t="shared" si="288"/>
        <v>0</v>
      </c>
      <c r="K2892" s="40"/>
      <c r="Q2892" s="40">
        <v>37333</v>
      </c>
      <c r="R2892" s="39">
        <v>5426.04</v>
      </c>
      <c r="S2892" s="39">
        <f t="shared" si="289"/>
        <v>3</v>
      </c>
      <c r="T2892" s="39">
        <f t="shared" si="290"/>
        <v>0</v>
      </c>
      <c r="U2892" s="39">
        <f t="shared" si="291"/>
        <v>0</v>
      </c>
      <c r="V2892" s="40"/>
    </row>
    <row r="2893" spans="2:22" x14ac:dyDescent="0.35">
      <c r="B2893" s="40">
        <v>37334</v>
      </c>
      <c r="C2893" s="39">
        <v>5462.55</v>
      </c>
      <c r="D2893" s="219">
        <f t="shared" si="292"/>
        <v>6.7061275753160813E-3</v>
      </c>
      <c r="F2893" s="40">
        <v>37334</v>
      </c>
      <c r="G2893" s="39">
        <v>5462.55</v>
      </c>
      <c r="H2893" s="39">
        <f t="shared" si="287"/>
        <v>2</v>
      </c>
      <c r="I2893" s="39">
        <f t="shared" si="288"/>
        <v>0</v>
      </c>
      <c r="K2893" s="40"/>
      <c r="Q2893" s="40">
        <v>37334</v>
      </c>
      <c r="R2893" s="39">
        <v>5462.55</v>
      </c>
      <c r="S2893" s="39">
        <f t="shared" si="289"/>
        <v>3</v>
      </c>
      <c r="T2893" s="39">
        <f t="shared" si="290"/>
        <v>0</v>
      </c>
      <c r="U2893" s="39">
        <f t="shared" si="291"/>
        <v>0</v>
      </c>
      <c r="V2893" s="40"/>
    </row>
    <row r="2894" spans="2:22" x14ac:dyDescent="0.35">
      <c r="B2894" s="40">
        <v>37335</v>
      </c>
      <c r="C2894" s="39">
        <v>5364.7</v>
      </c>
      <c r="D2894" s="219">
        <f t="shared" si="292"/>
        <v>-1.8075257165654692E-2</v>
      </c>
      <c r="F2894" s="40">
        <v>37335</v>
      </c>
      <c r="G2894" s="39">
        <v>5364.7</v>
      </c>
      <c r="H2894" s="39">
        <f t="shared" si="287"/>
        <v>3</v>
      </c>
      <c r="I2894" s="39">
        <f t="shared" si="288"/>
        <v>0</v>
      </c>
      <c r="K2894" s="40"/>
      <c r="Q2894" s="40">
        <v>37335</v>
      </c>
      <c r="R2894" s="39">
        <v>5364.7</v>
      </c>
      <c r="S2894" s="39">
        <f t="shared" si="289"/>
        <v>3</v>
      </c>
      <c r="T2894" s="39">
        <f t="shared" si="290"/>
        <v>0</v>
      </c>
      <c r="U2894" s="39">
        <f t="shared" si="291"/>
        <v>0</v>
      </c>
      <c r="V2894" s="40"/>
    </row>
    <row r="2895" spans="2:22" x14ac:dyDescent="0.35">
      <c r="B2895" s="40">
        <v>37336</v>
      </c>
      <c r="C2895" s="39">
        <v>5348.68</v>
      </c>
      <c r="D2895" s="219">
        <f t="shared" si="292"/>
        <v>-2.990655038888007E-3</v>
      </c>
      <c r="F2895" s="40">
        <v>37336</v>
      </c>
      <c r="G2895" s="39">
        <v>5348.68</v>
      </c>
      <c r="H2895" s="39">
        <f t="shared" si="287"/>
        <v>4</v>
      </c>
      <c r="I2895" s="39">
        <f t="shared" si="288"/>
        <v>0</v>
      </c>
      <c r="K2895" s="40"/>
      <c r="Q2895" s="40">
        <v>37336</v>
      </c>
      <c r="R2895" s="39">
        <v>5348.68</v>
      </c>
      <c r="S2895" s="39">
        <f t="shared" si="289"/>
        <v>3</v>
      </c>
      <c r="T2895" s="39">
        <f t="shared" si="290"/>
        <v>0</v>
      </c>
      <c r="U2895" s="39">
        <f t="shared" si="291"/>
        <v>0</v>
      </c>
      <c r="V2895" s="40"/>
    </row>
    <row r="2896" spans="2:22" x14ac:dyDescent="0.35">
      <c r="B2896" s="40">
        <v>37337</v>
      </c>
      <c r="C2896" s="39">
        <v>5366.13</v>
      </c>
      <c r="D2896" s="219">
        <f t="shared" si="292"/>
        <v>3.2571768286218743E-3</v>
      </c>
      <c r="F2896" s="40">
        <v>37337</v>
      </c>
      <c r="G2896" s="39">
        <v>5366.13</v>
      </c>
      <c r="H2896" s="39">
        <f t="shared" si="287"/>
        <v>5</v>
      </c>
      <c r="I2896" s="39">
        <f t="shared" si="288"/>
        <v>5366.13</v>
      </c>
      <c r="K2896" s="40"/>
      <c r="Q2896" s="40">
        <v>37337</v>
      </c>
      <c r="R2896" s="39">
        <v>5366.13</v>
      </c>
      <c r="S2896" s="39">
        <f t="shared" si="289"/>
        <v>3</v>
      </c>
      <c r="T2896" s="39">
        <f t="shared" si="290"/>
        <v>0</v>
      </c>
      <c r="U2896" s="39">
        <f t="shared" si="291"/>
        <v>0</v>
      </c>
      <c r="V2896" s="40"/>
    </row>
    <row r="2897" spans="2:22" x14ac:dyDescent="0.35">
      <c r="B2897" s="40">
        <v>37340</v>
      </c>
      <c r="C2897" s="39">
        <v>5317.38</v>
      </c>
      <c r="D2897" s="219">
        <f t="shared" si="292"/>
        <v>-9.1262774801262169E-3</v>
      </c>
      <c r="F2897" s="40">
        <v>37340</v>
      </c>
      <c r="G2897" s="39">
        <v>5317.38</v>
      </c>
      <c r="H2897" s="39">
        <f t="shared" si="287"/>
        <v>1</v>
      </c>
      <c r="I2897" s="39">
        <f t="shared" si="288"/>
        <v>0</v>
      </c>
      <c r="K2897" s="40"/>
      <c r="Q2897" s="40">
        <v>37340</v>
      </c>
      <c r="R2897" s="39">
        <v>5317.38</v>
      </c>
      <c r="S2897" s="39">
        <f t="shared" si="289"/>
        <v>3</v>
      </c>
      <c r="T2897" s="39">
        <f t="shared" si="290"/>
        <v>0</v>
      </c>
      <c r="U2897" s="39">
        <f t="shared" si="291"/>
        <v>0</v>
      </c>
      <c r="V2897" s="40"/>
    </row>
    <row r="2898" spans="2:22" x14ac:dyDescent="0.35">
      <c r="B2898" s="40">
        <v>37341</v>
      </c>
      <c r="C2898" s="39">
        <v>5390.59</v>
      </c>
      <c r="D2898" s="219">
        <f t="shared" si="292"/>
        <v>1.3674140055138574E-2</v>
      </c>
      <c r="F2898" s="40">
        <v>37341</v>
      </c>
      <c r="G2898" s="39">
        <v>5390.59</v>
      </c>
      <c r="H2898" s="39">
        <f t="shared" si="287"/>
        <v>2</v>
      </c>
      <c r="I2898" s="39">
        <f t="shared" si="288"/>
        <v>0</v>
      </c>
      <c r="K2898" s="40"/>
      <c r="Q2898" s="40">
        <v>37341</v>
      </c>
      <c r="R2898" s="39">
        <v>5390.59</v>
      </c>
      <c r="S2898" s="39">
        <f t="shared" si="289"/>
        <v>3</v>
      </c>
      <c r="T2898" s="39">
        <f t="shared" si="290"/>
        <v>0</v>
      </c>
      <c r="U2898" s="39">
        <f t="shared" si="291"/>
        <v>0</v>
      </c>
      <c r="V2898" s="40"/>
    </row>
    <row r="2899" spans="2:22" x14ac:dyDescent="0.35">
      <c r="B2899" s="40">
        <v>37342</v>
      </c>
      <c r="C2899" s="39">
        <v>5348</v>
      </c>
      <c r="D2899" s="219">
        <f t="shared" si="292"/>
        <v>-7.9321816572899481E-3</v>
      </c>
      <c r="F2899" s="40">
        <v>37342</v>
      </c>
      <c r="G2899" s="39">
        <v>5348</v>
      </c>
      <c r="H2899" s="39">
        <f t="shared" si="287"/>
        <v>3</v>
      </c>
      <c r="I2899" s="39">
        <f t="shared" si="288"/>
        <v>0</v>
      </c>
      <c r="K2899" s="40"/>
      <c r="Q2899" s="40">
        <v>37342</v>
      </c>
      <c r="R2899" s="39">
        <v>5348</v>
      </c>
      <c r="S2899" s="39">
        <f t="shared" si="289"/>
        <v>3</v>
      </c>
      <c r="T2899" s="39">
        <f t="shared" si="290"/>
        <v>0</v>
      </c>
      <c r="U2899" s="39">
        <f t="shared" si="291"/>
        <v>0</v>
      </c>
      <c r="V2899" s="40"/>
    </row>
    <row r="2900" spans="2:22" x14ac:dyDescent="0.35">
      <c r="B2900" s="40">
        <v>37343</v>
      </c>
      <c r="C2900" s="39">
        <v>5397.29</v>
      </c>
      <c r="D2900" s="219">
        <f t="shared" si="292"/>
        <v>9.1743165088923502E-3</v>
      </c>
      <c r="F2900" s="40">
        <v>37343</v>
      </c>
      <c r="G2900" s="39">
        <v>5397.29</v>
      </c>
      <c r="H2900" s="39">
        <f t="shared" si="287"/>
        <v>4</v>
      </c>
      <c r="I2900" s="39">
        <f t="shared" si="288"/>
        <v>5397.29</v>
      </c>
      <c r="K2900" s="40"/>
      <c r="Q2900" s="40">
        <v>37343</v>
      </c>
      <c r="R2900" s="39">
        <v>5397.29</v>
      </c>
      <c r="S2900" s="39">
        <f t="shared" si="289"/>
        <v>3</v>
      </c>
      <c r="T2900" s="39">
        <f t="shared" si="290"/>
        <v>5397.29</v>
      </c>
      <c r="U2900" s="39">
        <f t="shared" si="291"/>
        <v>5397.29</v>
      </c>
      <c r="V2900" s="40"/>
    </row>
    <row r="2901" spans="2:22" x14ac:dyDescent="0.35">
      <c r="B2901" s="40">
        <v>37348</v>
      </c>
      <c r="C2901" s="39">
        <v>5311.08</v>
      </c>
      <c r="D2901" s="219">
        <f t="shared" si="292"/>
        <v>-1.6101771345140563E-2</v>
      </c>
      <c r="F2901" s="40">
        <v>37348</v>
      </c>
      <c r="G2901" s="39">
        <v>5311.08</v>
      </c>
      <c r="H2901" s="39">
        <f t="shared" si="287"/>
        <v>2</v>
      </c>
      <c r="I2901" s="39">
        <f t="shared" si="288"/>
        <v>0</v>
      </c>
      <c r="K2901" s="40"/>
      <c r="Q2901" s="40">
        <v>37348</v>
      </c>
      <c r="R2901" s="39">
        <v>5311.08</v>
      </c>
      <c r="S2901" s="39">
        <f t="shared" si="289"/>
        <v>4</v>
      </c>
      <c r="T2901" s="39">
        <f t="shared" si="290"/>
        <v>0</v>
      </c>
      <c r="U2901" s="39">
        <f t="shared" si="291"/>
        <v>0</v>
      </c>
      <c r="V2901" s="40"/>
    </row>
    <row r="2902" spans="2:22" x14ac:dyDescent="0.35">
      <c r="B2902" s="40">
        <v>37349</v>
      </c>
      <c r="C2902" s="39">
        <v>5281.84</v>
      </c>
      <c r="D2902" s="219">
        <f t="shared" si="292"/>
        <v>-5.5206825435351664E-3</v>
      </c>
      <c r="F2902" s="40">
        <v>37349</v>
      </c>
      <c r="G2902" s="39">
        <v>5281.84</v>
      </c>
      <c r="H2902" s="39">
        <f t="shared" si="287"/>
        <v>3</v>
      </c>
      <c r="I2902" s="39">
        <f t="shared" si="288"/>
        <v>0</v>
      </c>
      <c r="K2902" s="40"/>
      <c r="Q2902" s="40">
        <v>37349</v>
      </c>
      <c r="R2902" s="39">
        <v>5281.84</v>
      </c>
      <c r="S2902" s="39">
        <f t="shared" si="289"/>
        <v>4</v>
      </c>
      <c r="T2902" s="39">
        <f t="shared" si="290"/>
        <v>0</v>
      </c>
      <c r="U2902" s="39">
        <f t="shared" si="291"/>
        <v>0</v>
      </c>
      <c r="V2902" s="40"/>
    </row>
    <row r="2903" spans="2:22" x14ac:dyDescent="0.35">
      <c r="B2903" s="40">
        <v>37350</v>
      </c>
      <c r="C2903" s="39">
        <v>5254.95</v>
      </c>
      <c r="D2903" s="219">
        <f t="shared" si="292"/>
        <v>-5.1040323241236677E-3</v>
      </c>
      <c r="F2903" s="40">
        <v>37350</v>
      </c>
      <c r="G2903" s="39">
        <v>5254.95</v>
      </c>
      <c r="H2903" s="39">
        <f t="shared" si="287"/>
        <v>4</v>
      </c>
      <c r="I2903" s="39">
        <f t="shared" si="288"/>
        <v>0</v>
      </c>
      <c r="K2903" s="40"/>
      <c r="Q2903" s="40">
        <v>37350</v>
      </c>
      <c r="R2903" s="39">
        <v>5254.95</v>
      </c>
      <c r="S2903" s="39">
        <f t="shared" si="289"/>
        <v>4</v>
      </c>
      <c r="T2903" s="39">
        <f t="shared" si="290"/>
        <v>0</v>
      </c>
      <c r="U2903" s="39">
        <f t="shared" si="291"/>
        <v>0</v>
      </c>
      <c r="V2903" s="40"/>
    </row>
    <row r="2904" spans="2:22" x14ac:dyDescent="0.35">
      <c r="B2904" s="40">
        <v>37351</v>
      </c>
      <c r="C2904" s="39">
        <v>5260.53</v>
      </c>
      <c r="D2904" s="219">
        <f t="shared" si="292"/>
        <v>1.0612925941087096E-3</v>
      </c>
      <c r="F2904" s="40">
        <v>37351</v>
      </c>
      <c r="G2904" s="39">
        <v>5260.53</v>
      </c>
      <c r="H2904" s="39">
        <f t="shared" si="287"/>
        <v>5</v>
      </c>
      <c r="I2904" s="39">
        <f t="shared" si="288"/>
        <v>5260.53</v>
      </c>
      <c r="K2904" s="40"/>
      <c r="Q2904" s="40">
        <v>37351</v>
      </c>
      <c r="R2904" s="39">
        <v>5260.53</v>
      </c>
      <c r="S2904" s="39">
        <f t="shared" si="289"/>
        <v>4</v>
      </c>
      <c r="T2904" s="39">
        <f t="shared" si="290"/>
        <v>0</v>
      </c>
      <c r="U2904" s="39">
        <f t="shared" si="291"/>
        <v>0</v>
      </c>
      <c r="V2904" s="40"/>
    </row>
    <row r="2905" spans="2:22" x14ac:dyDescent="0.35">
      <c r="B2905" s="40">
        <v>37354</v>
      </c>
      <c r="C2905" s="39">
        <v>5180.33</v>
      </c>
      <c r="D2905" s="219">
        <f t="shared" si="292"/>
        <v>-1.5363021323977124E-2</v>
      </c>
      <c r="F2905" s="40">
        <v>37354</v>
      </c>
      <c r="G2905" s="39">
        <v>5180.33</v>
      </c>
      <c r="H2905" s="39">
        <f t="shared" si="287"/>
        <v>1</v>
      </c>
      <c r="I2905" s="39">
        <f t="shared" si="288"/>
        <v>0</v>
      </c>
      <c r="K2905" s="40"/>
      <c r="Q2905" s="40">
        <v>37354</v>
      </c>
      <c r="R2905" s="39">
        <v>5180.33</v>
      </c>
      <c r="S2905" s="39">
        <f t="shared" si="289"/>
        <v>4</v>
      </c>
      <c r="T2905" s="39">
        <f t="shared" si="290"/>
        <v>0</v>
      </c>
      <c r="U2905" s="39">
        <f t="shared" si="291"/>
        <v>0</v>
      </c>
      <c r="V2905" s="40"/>
    </row>
    <row r="2906" spans="2:22" x14ac:dyDescent="0.35">
      <c r="B2906" s="40">
        <v>37355</v>
      </c>
      <c r="C2906" s="39">
        <v>5170.25</v>
      </c>
      <c r="D2906" s="219">
        <f t="shared" si="292"/>
        <v>-1.9477175552725888E-3</v>
      </c>
      <c r="F2906" s="40">
        <v>37355</v>
      </c>
      <c r="G2906" s="39">
        <v>5170.25</v>
      </c>
      <c r="H2906" s="39">
        <f t="shared" si="287"/>
        <v>2</v>
      </c>
      <c r="I2906" s="39">
        <f t="shared" si="288"/>
        <v>0</v>
      </c>
      <c r="K2906" s="40"/>
      <c r="Q2906" s="40">
        <v>37355</v>
      </c>
      <c r="R2906" s="39">
        <v>5170.25</v>
      </c>
      <c r="S2906" s="39">
        <f t="shared" si="289"/>
        <v>4</v>
      </c>
      <c r="T2906" s="39">
        <f t="shared" si="290"/>
        <v>0</v>
      </c>
      <c r="U2906" s="39">
        <f t="shared" si="291"/>
        <v>0</v>
      </c>
      <c r="V2906" s="40"/>
    </row>
    <row r="2907" spans="2:22" x14ac:dyDescent="0.35">
      <c r="B2907" s="40">
        <v>37356</v>
      </c>
      <c r="C2907" s="39">
        <v>5265.36</v>
      </c>
      <c r="D2907" s="219">
        <f t="shared" si="292"/>
        <v>1.8228476066129269E-2</v>
      </c>
      <c r="F2907" s="40">
        <v>37356</v>
      </c>
      <c r="G2907" s="39">
        <v>5265.36</v>
      </c>
      <c r="H2907" s="39">
        <f t="shared" si="287"/>
        <v>3</v>
      </c>
      <c r="I2907" s="39">
        <f t="shared" si="288"/>
        <v>0</v>
      </c>
      <c r="K2907" s="40"/>
      <c r="Q2907" s="40">
        <v>37356</v>
      </c>
      <c r="R2907" s="39">
        <v>5265.36</v>
      </c>
      <c r="S2907" s="39">
        <f t="shared" si="289"/>
        <v>4</v>
      </c>
      <c r="T2907" s="39">
        <f t="shared" si="290"/>
        <v>0</v>
      </c>
      <c r="U2907" s="39">
        <f t="shared" si="291"/>
        <v>0</v>
      </c>
      <c r="V2907" s="40"/>
    </row>
    <row r="2908" spans="2:22" x14ac:dyDescent="0.35">
      <c r="B2908" s="40">
        <v>37357</v>
      </c>
      <c r="C2908" s="39">
        <v>5162.96</v>
      </c>
      <c r="D2908" s="219">
        <f t="shared" si="292"/>
        <v>-1.963946088294008E-2</v>
      </c>
      <c r="F2908" s="40">
        <v>37357</v>
      </c>
      <c r="G2908" s="39">
        <v>5162.96</v>
      </c>
      <c r="H2908" s="39">
        <f t="shared" si="287"/>
        <v>4</v>
      </c>
      <c r="I2908" s="39">
        <f t="shared" si="288"/>
        <v>0</v>
      </c>
      <c r="K2908" s="40"/>
      <c r="Q2908" s="40">
        <v>37357</v>
      </c>
      <c r="R2908" s="39">
        <v>5162.96</v>
      </c>
      <c r="S2908" s="39">
        <f t="shared" si="289"/>
        <v>4</v>
      </c>
      <c r="T2908" s="39">
        <f t="shared" si="290"/>
        <v>0</v>
      </c>
      <c r="U2908" s="39">
        <f t="shared" si="291"/>
        <v>0</v>
      </c>
      <c r="V2908" s="40"/>
    </row>
    <row r="2909" spans="2:22" x14ac:dyDescent="0.35">
      <c r="B2909" s="40">
        <v>37358</v>
      </c>
      <c r="C2909" s="39">
        <v>5189.6499999999996</v>
      </c>
      <c r="D2909" s="219">
        <f t="shared" si="292"/>
        <v>5.1561990903809234E-3</v>
      </c>
      <c r="F2909" s="40">
        <v>37358</v>
      </c>
      <c r="G2909" s="39">
        <v>5189.6499999999996</v>
      </c>
      <c r="H2909" s="39">
        <f t="shared" si="287"/>
        <v>5</v>
      </c>
      <c r="I2909" s="39">
        <f t="shared" si="288"/>
        <v>5189.6499999999996</v>
      </c>
      <c r="K2909" s="40"/>
      <c r="Q2909" s="40">
        <v>37358</v>
      </c>
      <c r="R2909" s="39">
        <v>5189.6499999999996</v>
      </c>
      <c r="S2909" s="39">
        <f t="shared" si="289"/>
        <v>4</v>
      </c>
      <c r="T2909" s="39">
        <f t="shared" si="290"/>
        <v>0</v>
      </c>
      <c r="U2909" s="39">
        <f t="shared" si="291"/>
        <v>0</v>
      </c>
      <c r="V2909" s="40"/>
    </row>
    <row r="2910" spans="2:22" x14ac:dyDescent="0.35">
      <c r="B2910" s="40">
        <v>37361</v>
      </c>
      <c r="C2910" s="39">
        <v>5244.2</v>
      </c>
      <c r="D2910" s="219">
        <f t="shared" si="292"/>
        <v>1.0456446475292237E-2</v>
      </c>
      <c r="F2910" s="40">
        <v>37361</v>
      </c>
      <c r="G2910" s="39">
        <v>5244.2</v>
      </c>
      <c r="H2910" s="39">
        <f t="shared" si="287"/>
        <v>1</v>
      </c>
      <c r="I2910" s="39">
        <f t="shared" si="288"/>
        <v>0</v>
      </c>
      <c r="K2910" s="40"/>
      <c r="Q2910" s="40">
        <v>37361</v>
      </c>
      <c r="R2910" s="39">
        <v>5244.2</v>
      </c>
      <c r="S2910" s="39">
        <f t="shared" si="289"/>
        <v>4</v>
      </c>
      <c r="T2910" s="39">
        <f t="shared" si="290"/>
        <v>0</v>
      </c>
      <c r="U2910" s="39">
        <f t="shared" si="291"/>
        <v>0</v>
      </c>
      <c r="V2910" s="40"/>
    </row>
    <row r="2911" spans="2:22" x14ac:dyDescent="0.35">
      <c r="B2911" s="40">
        <v>37362</v>
      </c>
      <c r="C2911" s="39">
        <v>5343.88</v>
      </c>
      <c r="D2911" s="219">
        <f t="shared" si="292"/>
        <v>1.8829276892893893E-2</v>
      </c>
      <c r="F2911" s="40">
        <v>37362</v>
      </c>
      <c r="G2911" s="39">
        <v>5343.88</v>
      </c>
      <c r="H2911" s="39">
        <f t="shared" si="287"/>
        <v>2</v>
      </c>
      <c r="I2911" s="39">
        <f t="shared" si="288"/>
        <v>0</v>
      </c>
      <c r="K2911" s="40"/>
      <c r="Q2911" s="40">
        <v>37362</v>
      </c>
      <c r="R2911" s="39">
        <v>5343.88</v>
      </c>
      <c r="S2911" s="39">
        <f t="shared" si="289"/>
        <v>4</v>
      </c>
      <c r="T2911" s="39">
        <f t="shared" si="290"/>
        <v>0</v>
      </c>
      <c r="U2911" s="39">
        <f t="shared" si="291"/>
        <v>0</v>
      </c>
      <c r="V2911" s="40"/>
    </row>
    <row r="2912" spans="2:22" x14ac:dyDescent="0.35">
      <c r="B2912" s="40">
        <v>37363</v>
      </c>
      <c r="C2912" s="39">
        <v>5318.55</v>
      </c>
      <c r="D2912" s="219">
        <f t="shared" si="292"/>
        <v>-4.7512710800730416E-3</v>
      </c>
      <c r="F2912" s="40">
        <v>37363</v>
      </c>
      <c r="G2912" s="39">
        <v>5318.55</v>
      </c>
      <c r="H2912" s="39">
        <f t="shared" si="287"/>
        <v>3</v>
      </c>
      <c r="I2912" s="39">
        <f t="shared" si="288"/>
        <v>0</v>
      </c>
      <c r="K2912" s="40"/>
      <c r="Q2912" s="40">
        <v>37363</v>
      </c>
      <c r="R2912" s="39">
        <v>5318.55</v>
      </c>
      <c r="S2912" s="39">
        <f t="shared" si="289"/>
        <v>4</v>
      </c>
      <c r="T2912" s="39">
        <f t="shared" si="290"/>
        <v>0</v>
      </c>
      <c r="U2912" s="39">
        <f t="shared" si="291"/>
        <v>0</v>
      </c>
      <c r="V2912" s="40"/>
    </row>
    <row r="2913" spans="2:22" x14ac:dyDescent="0.35">
      <c r="B2913" s="40">
        <v>37364</v>
      </c>
      <c r="C2913" s="39">
        <v>5262.88</v>
      </c>
      <c r="D2913" s="219">
        <f t="shared" si="292"/>
        <v>-1.0522304384650055E-2</v>
      </c>
      <c r="F2913" s="40">
        <v>37364</v>
      </c>
      <c r="G2913" s="39">
        <v>5262.88</v>
      </c>
      <c r="H2913" s="39">
        <f t="shared" si="287"/>
        <v>4</v>
      </c>
      <c r="I2913" s="39">
        <f t="shared" si="288"/>
        <v>0</v>
      </c>
      <c r="K2913" s="40"/>
      <c r="Q2913" s="40">
        <v>37364</v>
      </c>
      <c r="R2913" s="39">
        <v>5262.88</v>
      </c>
      <c r="S2913" s="39">
        <f t="shared" si="289"/>
        <v>4</v>
      </c>
      <c r="T2913" s="39">
        <f t="shared" si="290"/>
        <v>0</v>
      </c>
      <c r="U2913" s="39">
        <f t="shared" si="291"/>
        <v>0</v>
      </c>
      <c r="V2913" s="40"/>
    </row>
    <row r="2914" spans="2:22" x14ac:dyDescent="0.35">
      <c r="B2914" s="40">
        <v>37365</v>
      </c>
      <c r="C2914" s="39">
        <v>5284.55</v>
      </c>
      <c r="D2914" s="219">
        <f t="shared" si="292"/>
        <v>4.1090636279001048E-3</v>
      </c>
      <c r="F2914" s="40">
        <v>37365</v>
      </c>
      <c r="G2914" s="39">
        <v>5284.55</v>
      </c>
      <c r="H2914" s="39">
        <f t="shared" si="287"/>
        <v>5</v>
      </c>
      <c r="I2914" s="39">
        <f t="shared" si="288"/>
        <v>5284.55</v>
      </c>
      <c r="K2914" s="40"/>
      <c r="Q2914" s="40">
        <v>37365</v>
      </c>
      <c r="R2914" s="39">
        <v>5284.55</v>
      </c>
      <c r="S2914" s="39">
        <f t="shared" si="289"/>
        <v>4</v>
      </c>
      <c r="T2914" s="39">
        <f t="shared" si="290"/>
        <v>0</v>
      </c>
      <c r="U2914" s="39">
        <f t="shared" si="291"/>
        <v>0</v>
      </c>
      <c r="V2914" s="40"/>
    </row>
    <row r="2915" spans="2:22" x14ac:dyDescent="0.35">
      <c r="B2915" s="40">
        <v>37368</v>
      </c>
      <c r="C2915" s="39">
        <v>5205.4799999999996</v>
      </c>
      <c r="D2915" s="219">
        <f t="shared" si="292"/>
        <v>-1.5075552220389268E-2</v>
      </c>
      <c r="F2915" s="40">
        <v>37368</v>
      </c>
      <c r="G2915" s="39">
        <v>5205.4799999999996</v>
      </c>
      <c r="H2915" s="39">
        <f t="shared" si="287"/>
        <v>1</v>
      </c>
      <c r="I2915" s="39">
        <f t="shared" si="288"/>
        <v>0</v>
      </c>
      <c r="K2915" s="40"/>
      <c r="Q2915" s="40">
        <v>37368</v>
      </c>
      <c r="R2915" s="39">
        <v>5205.4799999999996</v>
      </c>
      <c r="S2915" s="39">
        <f t="shared" si="289"/>
        <v>4</v>
      </c>
      <c r="T2915" s="39">
        <f t="shared" si="290"/>
        <v>0</v>
      </c>
      <c r="U2915" s="39">
        <f t="shared" si="291"/>
        <v>0</v>
      </c>
      <c r="V2915" s="40"/>
    </row>
    <row r="2916" spans="2:22" x14ac:dyDescent="0.35">
      <c r="B2916" s="40">
        <v>37369</v>
      </c>
      <c r="C2916" s="39">
        <v>5192.1000000000004</v>
      </c>
      <c r="D2916" s="219">
        <f t="shared" si="292"/>
        <v>-2.5736772182664361E-3</v>
      </c>
      <c r="F2916" s="40">
        <v>37369</v>
      </c>
      <c r="G2916" s="39">
        <v>5192.1000000000004</v>
      </c>
      <c r="H2916" s="39">
        <f t="shared" si="287"/>
        <v>2</v>
      </c>
      <c r="I2916" s="39">
        <f t="shared" si="288"/>
        <v>0</v>
      </c>
      <c r="K2916" s="40"/>
      <c r="Q2916" s="40">
        <v>37369</v>
      </c>
      <c r="R2916" s="39">
        <v>5192.1000000000004</v>
      </c>
      <c r="S2916" s="39">
        <f t="shared" si="289"/>
        <v>4</v>
      </c>
      <c r="T2916" s="39">
        <f t="shared" si="290"/>
        <v>0</v>
      </c>
      <c r="U2916" s="39">
        <f t="shared" si="291"/>
        <v>0</v>
      </c>
      <c r="V2916" s="40"/>
    </row>
    <row r="2917" spans="2:22" x14ac:dyDescent="0.35">
      <c r="B2917" s="40">
        <v>37370</v>
      </c>
      <c r="C2917" s="39">
        <v>5160.1400000000003</v>
      </c>
      <c r="D2917" s="219">
        <f t="shared" si="292"/>
        <v>-6.1745287085691013E-3</v>
      </c>
      <c r="F2917" s="40">
        <v>37370</v>
      </c>
      <c r="G2917" s="39">
        <v>5160.1400000000003</v>
      </c>
      <c r="H2917" s="39">
        <f t="shared" si="287"/>
        <v>3</v>
      </c>
      <c r="I2917" s="39">
        <f t="shared" si="288"/>
        <v>0</v>
      </c>
      <c r="K2917" s="40"/>
      <c r="Q2917" s="40">
        <v>37370</v>
      </c>
      <c r="R2917" s="39">
        <v>5160.1400000000003</v>
      </c>
      <c r="S2917" s="39">
        <f t="shared" si="289"/>
        <v>4</v>
      </c>
      <c r="T2917" s="39">
        <f t="shared" si="290"/>
        <v>0</v>
      </c>
      <c r="U2917" s="39">
        <f t="shared" si="291"/>
        <v>0</v>
      </c>
      <c r="V2917" s="40"/>
    </row>
    <row r="2918" spans="2:22" x14ac:dyDescent="0.35">
      <c r="B2918" s="40">
        <v>37371</v>
      </c>
      <c r="C2918" s="39">
        <v>5054.41</v>
      </c>
      <c r="D2918" s="219">
        <f t="shared" si="292"/>
        <v>-2.0702581370429813E-2</v>
      </c>
      <c r="F2918" s="40">
        <v>37371</v>
      </c>
      <c r="G2918" s="39">
        <v>5054.41</v>
      </c>
      <c r="H2918" s="39">
        <f t="shared" si="287"/>
        <v>4</v>
      </c>
      <c r="I2918" s="39">
        <f t="shared" si="288"/>
        <v>0</v>
      </c>
      <c r="K2918" s="40"/>
      <c r="Q2918" s="40">
        <v>37371</v>
      </c>
      <c r="R2918" s="39">
        <v>5054.41</v>
      </c>
      <c r="S2918" s="39">
        <f t="shared" si="289"/>
        <v>4</v>
      </c>
      <c r="T2918" s="39">
        <f t="shared" si="290"/>
        <v>0</v>
      </c>
      <c r="U2918" s="39">
        <f t="shared" si="291"/>
        <v>0</v>
      </c>
      <c r="V2918" s="40"/>
    </row>
    <row r="2919" spans="2:22" x14ac:dyDescent="0.35">
      <c r="B2919" s="40">
        <v>37372</v>
      </c>
      <c r="C2919" s="39">
        <v>5000.38</v>
      </c>
      <c r="D2919" s="219">
        <f t="shared" si="292"/>
        <v>-1.0747219991680455E-2</v>
      </c>
      <c r="F2919" s="40">
        <v>37372</v>
      </c>
      <c r="G2919" s="39">
        <v>5000.38</v>
      </c>
      <c r="H2919" s="39">
        <f t="shared" si="287"/>
        <v>5</v>
      </c>
      <c r="I2919" s="39">
        <f t="shared" si="288"/>
        <v>5000.38</v>
      </c>
      <c r="K2919" s="40"/>
      <c r="Q2919" s="40">
        <v>37372</v>
      </c>
      <c r="R2919" s="39">
        <v>5000.38</v>
      </c>
      <c r="S2919" s="39">
        <f t="shared" si="289"/>
        <v>4</v>
      </c>
      <c r="T2919" s="39">
        <f t="shared" si="290"/>
        <v>0</v>
      </c>
      <c r="U2919" s="39">
        <f t="shared" si="291"/>
        <v>0</v>
      </c>
      <c r="V2919" s="40"/>
    </row>
    <row r="2920" spans="2:22" x14ac:dyDescent="0.35">
      <c r="B2920" s="40">
        <v>37375</v>
      </c>
      <c r="C2920" s="39">
        <v>5008.04</v>
      </c>
      <c r="D2920" s="219">
        <f t="shared" si="292"/>
        <v>1.5307114401002411E-3</v>
      </c>
      <c r="F2920" s="40">
        <v>37375</v>
      </c>
      <c r="G2920" s="39">
        <v>5008.04</v>
      </c>
      <c r="H2920" s="39">
        <f t="shared" si="287"/>
        <v>1</v>
      </c>
      <c r="I2920" s="39">
        <f t="shared" si="288"/>
        <v>0</v>
      </c>
      <c r="K2920" s="40"/>
      <c r="Q2920" s="40">
        <v>37375</v>
      </c>
      <c r="R2920" s="39">
        <v>5008.04</v>
      </c>
      <c r="S2920" s="39">
        <f t="shared" si="289"/>
        <v>4</v>
      </c>
      <c r="T2920" s="39">
        <f t="shared" si="290"/>
        <v>0</v>
      </c>
      <c r="U2920" s="39">
        <f t="shared" si="291"/>
        <v>0</v>
      </c>
      <c r="V2920" s="40"/>
    </row>
    <row r="2921" spans="2:22" x14ac:dyDescent="0.35">
      <c r="B2921" s="40">
        <v>37376</v>
      </c>
      <c r="C2921" s="39">
        <v>5041.2</v>
      </c>
      <c r="D2921" s="219">
        <f t="shared" si="292"/>
        <v>6.5995279948526456E-3</v>
      </c>
      <c r="F2921" s="40">
        <v>37376</v>
      </c>
      <c r="G2921" s="39">
        <v>5041.2</v>
      </c>
      <c r="H2921" s="39">
        <f t="shared" si="287"/>
        <v>2</v>
      </c>
      <c r="I2921" s="39">
        <f t="shared" si="288"/>
        <v>0</v>
      </c>
      <c r="K2921" s="40"/>
      <c r="Q2921" s="40">
        <v>37376</v>
      </c>
      <c r="R2921" s="39">
        <v>5041.2</v>
      </c>
      <c r="S2921" s="39">
        <f t="shared" si="289"/>
        <v>4</v>
      </c>
      <c r="T2921" s="39">
        <f t="shared" si="290"/>
        <v>5041.2</v>
      </c>
      <c r="U2921" s="39">
        <f t="shared" si="291"/>
        <v>5041.2</v>
      </c>
      <c r="V2921" s="40"/>
    </row>
    <row r="2922" spans="2:22" x14ac:dyDescent="0.35">
      <c r="B2922" s="40">
        <v>37378</v>
      </c>
      <c r="C2922" s="39">
        <v>4964.5600000000004</v>
      </c>
      <c r="D2922" s="219">
        <f t="shared" si="292"/>
        <v>-1.5319475753474884E-2</v>
      </c>
      <c r="F2922" s="40">
        <v>37378</v>
      </c>
      <c r="G2922" s="39">
        <v>4964.5600000000004</v>
      </c>
      <c r="H2922" s="39">
        <f t="shared" si="287"/>
        <v>4</v>
      </c>
      <c r="I2922" s="39">
        <f t="shared" si="288"/>
        <v>0</v>
      </c>
      <c r="K2922" s="40"/>
      <c r="Q2922" s="40">
        <v>37378</v>
      </c>
      <c r="R2922" s="39">
        <v>4964.5600000000004</v>
      </c>
      <c r="S2922" s="39">
        <f t="shared" si="289"/>
        <v>5</v>
      </c>
      <c r="T2922" s="39">
        <f t="shared" si="290"/>
        <v>0</v>
      </c>
      <c r="U2922" s="39">
        <f t="shared" si="291"/>
        <v>0</v>
      </c>
      <c r="V2922" s="40"/>
    </row>
    <row r="2923" spans="2:22" x14ac:dyDescent="0.35">
      <c r="B2923" s="40">
        <v>37379</v>
      </c>
      <c r="C2923" s="39">
        <v>4882.7700000000004</v>
      </c>
      <c r="D2923" s="219">
        <f t="shared" si="292"/>
        <v>-1.6611991448820296E-2</v>
      </c>
      <c r="F2923" s="40">
        <v>37379</v>
      </c>
      <c r="G2923" s="39">
        <v>4882.7700000000004</v>
      </c>
      <c r="H2923" s="39">
        <f t="shared" si="287"/>
        <v>5</v>
      </c>
      <c r="I2923" s="39">
        <f t="shared" si="288"/>
        <v>4882.7700000000004</v>
      </c>
      <c r="K2923" s="40"/>
      <c r="Q2923" s="40">
        <v>37379</v>
      </c>
      <c r="R2923" s="39">
        <v>4882.7700000000004</v>
      </c>
      <c r="S2923" s="39">
        <f t="shared" si="289"/>
        <v>5</v>
      </c>
      <c r="T2923" s="39">
        <f t="shared" si="290"/>
        <v>0</v>
      </c>
      <c r="U2923" s="39">
        <f t="shared" si="291"/>
        <v>0</v>
      </c>
      <c r="V2923" s="40"/>
    </row>
    <row r="2924" spans="2:22" x14ac:dyDescent="0.35">
      <c r="B2924" s="40">
        <v>37382</v>
      </c>
      <c r="C2924" s="39">
        <v>4880.67</v>
      </c>
      <c r="D2924" s="219">
        <f t="shared" si="292"/>
        <v>-4.3017625598856124E-4</v>
      </c>
      <c r="F2924" s="40">
        <v>37382</v>
      </c>
      <c r="G2924" s="39">
        <v>4880.67</v>
      </c>
      <c r="H2924" s="39">
        <f t="shared" si="287"/>
        <v>1</v>
      </c>
      <c r="I2924" s="39">
        <f t="shared" si="288"/>
        <v>0</v>
      </c>
      <c r="K2924" s="40"/>
      <c r="Q2924" s="40">
        <v>37382</v>
      </c>
      <c r="R2924" s="39">
        <v>4880.67</v>
      </c>
      <c r="S2924" s="39">
        <f t="shared" si="289"/>
        <v>5</v>
      </c>
      <c r="T2924" s="39">
        <f t="shared" si="290"/>
        <v>0</v>
      </c>
      <c r="U2924" s="39">
        <f t="shared" si="291"/>
        <v>0</v>
      </c>
      <c r="V2924" s="40"/>
    </row>
    <row r="2925" spans="2:22" x14ac:dyDescent="0.35">
      <c r="B2925" s="40">
        <v>37383</v>
      </c>
      <c r="C2925" s="39">
        <v>4872.41</v>
      </c>
      <c r="D2925" s="219">
        <f t="shared" si="292"/>
        <v>-1.6938243047029775E-3</v>
      </c>
      <c r="F2925" s="40">
        <v>37383</v>
      </c>
      <c r="G2925" s="39">
        <v>4872.41</v>
      </c>
      <c r="H2925" s="39">
        <f t="shared" si="287"/>
        <v>2</v>
      </c>
      <c r="I2925" s="39">
        <f t="shared" si="288"/>
        <v>0</v>
      </c>
      <c r="K2925" s="40"/>
      <c r="Q2925" s="40">
        <v>37383</v>
      </c>
      <c r="R2925" s="39">
        <v>4872.41</v>
      </c>
      <c r="S2925" s="39">
        <f t="shared" si="289"/>
        <v>5</v>
      </c>
      <c r="T2925" s="39">
        <f t="shared" si="290"/>
        <v>0</v>
      </c>
      <c r="U2925" s="39">
        <f t="shared" si="291"/>
        <v>0</v>
      </c>
      <c r="V2925" s="40"/>
    </row>
    <row r="2926" spans="2:22" x14ac:dyDescent="0.35">
      <c r="B2926" s="40">
        <v>37384</v>
      </c>
      <c r="C2926" s="39">
        <v>5028.59</v>
      </c>
      <c r="D2926" s="219">
        <f t="shared" si="292"/>
        <v>3.1550945505523745E-2</v>
      </c>
      <c r="F2926" s="40">
        <v>37384</v>
      </c>
      <c r="G2926" s="39">
        <v>5028.59</v>
      </c>
      <c r="H2926" s="39">
        <f t="shared" si="287"/>
        <v>3</v>
      </c>
      <c r="I2926" s="39">
        <f t="shared" si="288"/>
        <v>0</v>
      </c>
      <c r="K2926" s="40"/>
      <c r="Q2926" s="40">
        <v>37384</v>
      </c>
      <c r="R2926" s="39">
        <v>5028.59</v>
      </c>
      <c r="S2926" s="39">
        <f t="shared" si="289"/>
        <v>5</v>
      </c>
      <c r="T2926" s="39">
        <f t="shared" si="290"/>
        <v>0</v>
      </c>
      <c r="U2926" s="39">
        <f t="shared" si="291"/>
        <v>0</v>
      </c>
      <c r="V2926" s="40"/>
    </row>
    <row r="2927" spans="2:22" x14ac:dyDescent="0.35">
      <c r="B2927" s="40">
        <v>37385</v>
      </c>
      <c r="C2927" s="39">
        <v>4966.4799999999996</v>
      </c>
      <c r="D2927" s="219">
        <f t="shared" si="292"/>
        <v>-1.2428287039342454E-2</v>
      </c>
      <c r="F2927" s="40">
        <v>37385</v>
      </c>
      <c r="G2927" s="39">
        <v>4966.4799999999996</v>
      </c>
      <c r="H2927" s="39">
        <f t="shared" si="287"/>
        <v>4</v>
      </c>
      <c r="I2927" s="39">
        <f t="shared" si="288"/>
        <v>0</v>
      </c>
      <c r="K2927" s="40"/>
      <c r="Q2927" s="40">
        <v>37385</v>
      </c>
      <c r="R2927" s="39">
        <v>4966.4799999999996</v>
      </c>
      <c r="S2927" s="39">
        <f t="shared" si="289"/>
        <v>5</v>
      </c>
      <c r="T2927" s="39">
        <f t="shared" si="290"/>
        <v>0</v>
      </c>
      <c r="U2927" s="39">
        <f t="shared" si="291"/>
        <v>0</v>
      </c>
      <c r="V2927" s="40"/>
    </row>
    <row r="2928" spans="2:22" x14ac:dyDescent="0.35">
      <c r="B2928" s="40">
        <v>37386</v>
      </c>
      <c r="C2928" s="39">
        <v>4871.7</v>
      </c>
      <c r="D2928" s="219">
        <f t="shared" si="292"/>
        <v>-1.9268387527379496E-2</v>
      </c>
      <c r="F2928" s="40">
        <v>37386</v>
      </c>
      <c r="G2928" s="39">
        <v>4871.7</v>
      </c>
      <c r="H2928" s="39">
        <f t="shared" si="287"/>
        <v>5</v>
      </c>
      <c r="I2928" s="39">
        <f t="shared" si="288"/>
        <v>4871.7</v>
      </c>
      <c r="K2928" s="40"/>
      <c r="Q2928" s="40">
        <v>37386</v>
      </c>
      <c r="R2928" s="39">
        <v>4871.7</v>
      </c>
      <c r="S2928" s="39">
        <f t="shared" si="289"/>
        <v>5</v>
      </c>
      <c r="T2928" s="39">
        <f t="shared" si="290"/>
        <v>0</v>
      </c>
      <c r="U2928" s="39">
        <f t="shared" si="291"/>
        <v>0</v>
      </c>
      <c r="V2928" s="40"/>
    </row>
    <row r="2929" spans="2:22" x14ac:dyDescent="0.35">
      <c r="B2929" s="40">
        <v>37389</v>
      </c>
      <c r="C2929" s="39">
        <v>4975.4799999999996</v>
      </c>
      <c r="D2929" s="219">
        <f t="shared" si="292"/>
        <v>2.1078896211473328E-2</v>
      </c>
      <c r="F2929" s="40">
        <v>37389</v>
      </c>
      <c r="G2929" s="39">
        <v>4975.4799999999996</v>
      </c>
      <c r="H2929" s="39">
        <f t="shared" si="287"/>
        <v>1</v>
      </c>
      <c r="I2929" s="39">
        <f t="shared" si="288"/>
        <v>0</v>
      </c>
      <c r="K2929" s="40"/>
      <c r="Q2929" s="40">
        <v>37389</v>
      </c>
      <c r="R2929" s="39">
        <v>4975.4799999999996</v>
      </c>
      <c r="S2929" s="39">
        <f t="shared" si="289"/>
        <v>5</v>
      </c>
      <c r="T2929" s="39">
        <f t="shared" si="290"/>
        <v>0</v>
      </c>
      <c r="U2929" s="39">
        <f t="shared" si="291"/>
        <v>0</v>
      </c>
      <c r="V2929" s="40"/>
    </row>
    <row r="2930" spans="2:22" x14ac:dyDescent="0.35">
      <c r="B2930" s="40">
        <v>37390</v>
      </c>
      <c r="C2930" s="39">
        <v>5049.08</v>
      </c>
      <c r="D2930" s="219">
        <f t="shared" si="292"/>
        <v>1.4684200104491674E-2</v>
      </c>
      <c r="F2930" s="40">
        <v>37390</v>
      </c>
      <c r="G2930" s="39">
        <v>5049.08</v>
      </c>
      <c r="H2930" s="39">
        <f t="shared" si="287"/>
        <v>2</v>
      </c>
      <c r="I2930" s="39">
        <f t="shared" si="288"/>
        <v>0</v>
      </c>
      <c r="K2930" s="40"/>
      <c r="Q2930" s="40">
        <v>37390</v>
      </c>
      <c r="R2930" s="39">
        <v>5049.08</v>
      </c>
      <c r="S2930" s="39">
        <f t="shared" si="289"/>
        <v>5</v>
      </c>
      <c r="T2930" s="39">
        <f t="shared" si="290"/>
        <v>0</v>
      </c>
      <c r="U2930" s="39">
        <f t="shared" si="291"/>
        <v>0</v>
      </c>
      <c r="V2930" s="40"/>
    </row>
    <row r="2931" spans="2:22" x14ac:dyDescent="0.35">
      <c r="B2931" s="40">
        <v>37391</v>
      </c>
      <c r="C2931" s="39">
        <v>5072.3900000000003</v>
      </c>
      <c r="D2931" s="219">
        <f t="shared" si="292"/>
        <v>4.6060584503293178E-3</v>
      </c>
      <c r="F2931" s="40">
        <v>37391</v>
      </c>
      <c r="G2931" s="39">
        <v>5072.3900000000003</v>
      </c>
      <c r="H2931" s="39">
        <f t="shared" si="287"/>
        <v>3</v>
      </c>
      <c r="I2931" s="39">
        <f t="shared" si="288"/>
        <v>0</v>
      </c>
      <c r="K2931" s="40"/>
      <c r="Q2931" s="40">
        <v>37391</v>
      </c>
      <c r="R2931" s="39">
        <v>5072.3900000000003</v>
      </c>
      <c r="S2931" s="39">
        <f t="shared" si="289"/>
        <v>5</v>
      </c>
      <c r="T2931" s="39">
        <f t="shared" si="290"/>
        <v>0</v>
      </c>
      <c r="U2931" s="39">
        <f t="shared" si="291"/>
        <v>0</v>
      </c>
      <c r="V2931" s="40"/>
    </row>
    <row r="2932" spans="2:22" x14ac:dyDescent="0.35">
      <c r="B2932" s="40">
        <v>37392</v>
      </c>
      <c r="C2932" s="39">
        <v>5047.45</v>
      </c>
      <c r="D2932" s="219">
        <f t="shared" si="292"/>
        <v>-4.9289416615239477E-3</v>
      </c>
      <c r="F2932" s="40">
        <v>37392</v>
      </c>
      <c r="G2932" s="39">
        <v>5047.45</v>
      </c>
      <c r="H2932" s="39">
        <f t="shared" si="287"/>
        <v>4</v>
      </c>
      <c r="I2932" s="39">
        <f t="shared" si="288"/>
        <v>0</v>
      </c>
      <c r="K2932" s="40"/>
      <c r="Q2932" s="40">
        <v>37392</v>
      </c>
      <c r="R2932" s="39">
        <v>5047.45</v>
      </c>
      <c r="S2932" s="39">
        <f t="shared" si="289"/>
        <v>5</v>
      </c>
      <c r="T2932" s="39">
        <f t="shared" si="290"/>
        <v>0</v>
      </c>
      <c r="U2932" s="39">
        <f t="shared" si="291"/>
        <v>0</v>
      </c>
      <c r="V2932" s="40"/>
    </row>
    <row r="2933" spans="2:22" x14ac:dyDescent="0.35">
      <c r="B2933" s="40">
        <v>37393</v>
      </c>
      <c r="C2933" s="39">
        <v>5036.41</v>
      </c>
      <c r="D2933" s="219">
        <f t="shared" si="292"/>
        <v>-2.1896385731168646E-3</v>
      </c>
      <c r="F2933" s="40">
        <v>37393</v>
      </c>
      <c r="G2933" s="39">
        <v>5036.41</v>
      </c>
      <c r="H2933" s="39">
        <f t="shared" si="287"/>
        <v>5</v>
      </c>
      <c r="I2933" s="39">
        <f t="shared" si="288"/>
        <v>5036.41</v>
      </c>
      <c r="K2933" s="40"/>
      <c r="Q2933" s="40">
        <v>37393</v>
      </c>
      <c r="R2933" s="39">
        <v>5036.41</v>
      </c>
      <c r="S2933" s="39">
        <f t="shared" si="289"/>
        <v>5</v>
      </c>
      <c r="T2933" s="39">
        <f t="shared" si="290"/>
        <v>0</v>
      </c>
      <c r="U2933" s="39">
        <f t="shared" si="291"/>
        <v>0</v>
      </c>
      <c r="V2933" s="40"/>
    </row>
    <row r="2934" spans="2:22" x14ac:dyDescent="0.35">
      <c r="B2934" s="40">
        <v>37396</v>
      </c>
      <c r="C2934" s="39">
        <v>4998.99</v>
      </c>
      <c r="D2934" s="219">
        <f t="shared" si="292"/>
        <v>-7.4576346593154437E-3</v>
      </c>
      <c r="F2934" s="40">
        <v>37396</v>
      </c>
      <c r="G2934" s="39">
        <v>4998.99</v>
      </c>
      <c r="H2934" s="39">
        <f t="shared" si="287"/>
        <v>1</v>
      </c>
      <c r="I2934" s="39">
        <f t="shared" si="288"/>
        <v>0</v>
      </c>
      <c r="K2934" s="40"/>
      <c r="Q2934" s="40">
        <v>37396</v>
      </c>
      <c r="R2934" s="39">
        <v>4998.99</v>
      </c>
      <c r="S2934" s="39">
        <f t="shared" si="289"/>
        <v>5</v>
      </c>
      <c r="T2934" s="39">
        <f t="shared" si="290"/>
        <v>0</v>
      </c>
      <c r="U2934" s="39">
        <f t="shared" si="291"/>
        <v>0</v>
      </c>
      <c r="V2934" s="40"/>
    </row>
    <row r="2935" spans="2:22" x14ac:dyDescent="0.35">
      <c r="B2935" s="40">
        <v>37397</v>
      </c>
      <c r="C2935" s="39">
        <v>4984.6099999999997</v>
      </c>
      <c r="D2935" s="219">
        <f t="shared" si="292"/>
        <v>-2.8807263801572981E-3</v>
      </c>
      <c r="F2935" s="40">
        <v>37397</v>
      </c>
      <c r="G2935" s="39">
        <v>4984.6099999999997</v>
      </c>
      <c r="H2935" s="39">
        <f t="shared" ref="H2935:H2998" si="293">WEEKDAY(F2935,2)</f>
        <v>2</v>
      </c>
      <c r="I2935" s="39">
        <f t="shared" ref="I2935:I2998" si="294">IF(H2935&gt;H2936,G2935,0)</f>
        <v>0</v>
      </c>
      <c r="K2935" s="40"/>
      <c r="Q2935" s="40">
        <v>37397</v>
      </c>
      <c r="R2935" s="39">
        <v>4984.6099999999997</v>
      </c>
      <c r="S2935" s="39">
        <f t="shared" ref="S2935:S2998" si="295">MONTH(Q2935)</f>
        <v>5</v>
      </c>
      <c r="T2935" s="39">
        <f t="shared" ref="T2935:T2998" si="296">IF(S2936&lt;&gt;S2935,R2935,0)</f>
        <v>0</v>
      </c>
      <c r="U2935" s="39">
        <f t="shared" ref="U2935:U2998" si="297">IF(S2936=S2935,0,R2935)</f>
        <v>0</v>
      </c>
      <c r="V2935" s="40"/>
    </row>
    <row r="2936" spans="2:22" x14ac:dyDescent="0.35">
      <c r="B2936" s="40">
        <v>37398</v>
      </c>
      <c r="C2936" s="39">
        <v>4919.5</v>
      </c>
      <c r="D2936" s="219">
        <f t="shared" ref="D2936:D2999" si="298">LN(C2936/C2935)</f>
        <v>-1.3148266325512015E-2</v>
      </c>
      <c r="F2936" s="40">
        <v>37398</v>
      </c>
      <c r="G2936" s="39">
        <v>4919.5</v>
      </c>
      <c r="H2936" s="39">
        <f t="shared" si="293"/>
        <v>3</v>
      </c>
      <c r="I2936" s="39">
        <f t="shared" si="294"/>
        <v>0</v>
      </c>
      <c r="K2936" s="40"/>
      <c r="Q2936" s="40">
        <v>37398</v>
      </c>
      <c r="R2936" s="39">
        <v>4919.5</v>
      </c>
      <c r="S2936" s="39">
        <f t="shared" si="295"/>
        <v>5</v>
      </c>
      <c r="T2936" s="39">
        <f t="shared" si="296"/>
        <v>0</v>
      </c>
      <c r="U2936" s="39">
        <f t="shared" si="297"/>
        <v>0</v>
      </c>
      <c r="V2936" s="40"/>
    </row>
    <row r="2937" spans="2:22" x14ac:dyDescent="0.35">
      <c r="B2937" s="40">
        <v>37399</v>
      </c>
      <c r="C2937" s="39">
        <v>4879.5</v>
      </c>
      <c r="D2937" s="219">
        <f t="shared" si="298"/>
        <v>-8.1641437243043687E-3</v>
      </c>
      <c r="F2937" s="40">
        <v>37399</v>
      </c>
      <c r="G2937" s="39">
        <v>4879.5</v>
      </c>
      <c r="H2937" s="39">
        <f t="shared" si="293"/>
        <v>4</v>
      </c>
      <c r="I2937" s="39">
        <f t="shared" si="294"/>
        <v>0</v>
      </c>
      <c r="K2937" s="40"/>
      <c r="Q2937" s="40">
        <v>37399</v>
      </c>
      <c r="R2937" s="39">
        <v>4879.5</v>
      </c>
      <c r="S2937" s="39">
        <f t="shared" si="295"/>
        <v>5</v>
      </c>
      <c r="T2937" s="39">
        <f t="shared" si="296"/>
        <v>0</v>
      </c>
      <c r="U2937" s="39">
        <f t="shared" si="297"/>
        <v>0</v>
      </c>
      <c r="V2937" s="40"/>
    </row>
    <row r="2938" spans="2:22" x14ac:dyDescent="0.35">
      <c r="B2938" s="40">
        <v>37400</v>
      </c>
      <c r="C2938" s="39">
        <v>4899.13</v>
      </c>
      <c r="D2938" s="219">
        <f t="shared" si="298"/>
        <v>4.014882732745609E-3</v>
      </c>
      <c r="F2938" s="40">
        <v>37400</v>
      </c>
      <c r="G2938" s="39">
        <v>4899.13</v>
      </c>
      <c r="H2938" s="39">
        <f t="shared" si="293"/>
        <v>5</v>
      </c>
      <c r="I2938" s="39">
        <f t="shared" si="294"/>
        <v>4899.13</v>
      </c>
      <c r="K2938" s="40"/>
      <c r="Q2938" s="40">
        <v>37400</v>
      </c>
      <c r="R2938" s="39">
        <v>4899.13</v>
      </c>
      <c r="S2938" s="39">
        <f t="shared" si="295"/>
        <v>5</v>
      </c>
      <c r="T2938" s="39">
        <f t="shared" si="296"/>
        <v>0</v>
      </c>
      <c r="U2938" s="39">
        <f t="shared" si="297"/>
        <v>0</v>
      </c>
      <c r="V2938" s="40"/>
    </row>
    <row r="2939" spans="2:22" x14ac:dyDescent="0.35">
      <c r="B2939" s="40">
        <v>37403</v>
      </c>
      <c r="C2939" s="39">
        <v>4961.54</v>
      </c>
      <c r="D2939" s="219">
        <f t="shared" si="298"/>
        <v>1.2658538085536989E-2</v>
      </c>
      <c r="F2939" s="40">
        <v>37403</v>
      </c>
      <c r="G2939" s="39">
        <v>4961.54</v>
      </c>
      <c r="H2939" s="39">
        <f t="shared" si="293"/>
        <v>1</v>
      </c>
      <c r="I2939" s="39">
        <f t="shared" si="294"/>
        <v>0</v>
      </c>
      <c r="K2939" s="40"/>
      <c r="Q2939" s="40">
        <v>37403</v>
      </c>
      <c r="R2939" s="39">
        <v>4961.54</v>
      </c>
      <c r="S2939" s="39">
        <f t="shared" si="295"/>
        <v>5</v>
      </c>
      <c r="T2939" s="39">
        <f t="shared" si="296"/>
        <v>0</v>
      </c>
      <c r="U2939" s="39">
        <f t="shared" si="297"/>
        <v>0</v>
      </c>
      <c r="V2939" s="40"/>
    </row>
    <row r="2940" spans="2:22" x14ac:dyDescent="0.35">
      <c r="B2940" s="40">
        <v>37404</v>
      </c>
      <c r="C2940" s="39">
        <v>4918.58</v>
      </c>
      <c r="D2940" s="219">
        <f t="shared" si="298"/>
        <v>-8.6963054577813021E-3</v>
      </c>
      <c r="F2940" s="40">
        <v>37404</v>
      </c>
      <c r="G2940" s="39">
        <v>4918.58</v>
      </c>
      <c r="H2940" s="39">
        <f t="shared" si="293"/>
        <v>2</v>
      </c>
      <c r="I2940" s="39">
        <f t="shared" si="294"/>
        <v>0</v>
      </c>
      <c r="K2940" s="40"/>
      <c r="Q2940" s="40">
        <v>37404</v>
      </c>
      <c r="R2940" s="39">
        <v>4918.58</v>
      </c>
      <c r="S2940" s="39">
        <f t="shared" si="295"/>
        <v>5</v>
      </c>
      <c r="T2940" s="39">
        <f t="shared" si="296"/>
        <v>0</v>
      </c>
      <c r="U2940" s="39">
        <f t="shared" si="297"/>
        <v>0</v>
      </c>
      <c r="V2940" s="40"/>
    </row>
    <row r="2941" spans="2:22" x14ac:dyDescent="0.35">
      <c r="B2941" s="40">
        <v>37405</v>
      </c>
      <c r="C2941" s="39">
        <v>4881.8</v>
      </c>
      <c r="D2941" s="219">
        <f t="shared" si="298"/>
        <v>-7.5058666451529353E-3</v>
      </c>
      <c r="F2941" s="40">
        <v>37405</v>
      </c>
      <c r="G2941" s="39">
        <v>4881.8</v>
      </c>
      <c r="H2941" s="39">
        <f t="shared" si="293"/>
        <v>3</v>
      </c>
      <c r="I2941" s="39">
        <f t="shared" si="294"/>
        <v>0</v>
      </c>
      <c r="K2941" s="40"/>
      <c r="Q2941" s="40">
        <v>37405</v>
      </c>
      <c r="R2941" s="39">
        <v>4881.8</v>
      </c>
      <c r="S2941" s="39">
        <f t="shared" si="295"/>
        <v>5</v>
      </c>
      <c r="T2941" s="39">
        <f t="shared" si="296"/>
        <v>0</v>
      </c>
      <c r="U2941" s="39">
        <f t="shared" si="297"/>
        <v>0</v>
      </c>
      <c r="V2941" s="40"/>
    </row>
    <row r="2942" spans="2:22" x14ac:dyDescent="0.35">
      <c r="B2942" s="40">
        <v>37406</v>
      </c>
      <c r="C2942" s="39">
        <v>4761.96</v>
      </c>
      <c r="D2942" s="219">
        <f t="shared" si="298"/>
        <v>-2.4854656117338197E-2</v>
      </c>
      <c r="F2942" s="40">
        <v>37406</v>
      </c>
      <c r="G2942" s="39">
        <v>4761.96</v>
      </c>
      <c r="H2942" s="39">
        <f t="shared" si="293"/>
        <v>4</v>
      </c>
      <c r="I2942" s="39">
        <f t="shared" si="294"/>
        <v>0</v>
      </c>
      <c r="K2942" s="40"/>
      <c r="Q2942" s="40">
        <v>37406</v>
      </c>
      <c r="R2942" s="39">
        <v>4761.96</v>
      </c>
      <c r="S2942" s="39">
        <f t="shared" si="295"/>
        <v>5</v>
      </c>
      <c r="T2942" s="39">
        <f t="shared" si="296"/>
        <v>0</v>
      </c>
      <c r="U2942" s="39">
        <f t="shared" si="297"/>
        <v>0</v>
      </c>
      <c r="V2942" s="40"/>
    </row>
    <row r="2943" spans="2:22" x14ac:dyDescent="0.35">
      <c r="B2943" s="40">
        <v>37407</v>
      </c>
      <c r="C2943" s="39">
        <v>4818.3</v>
      </c>
      <c r="D2943" s="219">
        <f t="shared" si="298"/>
        <v>1.1761820557435321E-2</v>
      </c>
      <c r="F2943" s="40">
        <v>37407</v>
      </c>
      <c r="G2943" s="39">
        <v>4818.3</v>
      </c>
      <c r="H2943" s="39">
        <f t="shared" si="293"/>
        <v>5</v>
      </c>
      <c r="I2943" s="39">
        <f t="shared" si="294"/>
        <v>4818.3</v>
      </c>
      <c r="K2943" s="40"/>
      <c r="Q2943" s="40">
        <v>37407</v>
      </c>
      <c r="R2943" s="39">
        <v>4818.3</v>
      </c>
      <c r="S2943" s="39">
        <f t="shared" si="295"/>
        <v>5</v>
      </c>
      <c r="T2943" s="39">
        <f t="shared" si="296"/>
        <v>4818.3</v>
      </c>
      <c r="U2943" s="39">
        <f t="shared" si="297"/>
        <v>4818.3</v>
      </c>
      <c r="V2943" s="40"/>
    </row>
    <row r="2944" spans="2:22" x14ac:dyDescent="0.35">
      <c r="B2944" s="40">
        <v>37410</v>
      </c>
      <c r="C2944" s="39">
        <v>4747.95</v>
      </c>
      <c r="D2944" s="219">
        <f t="shared" si="298"/>
        <v>-1.4708222812640757E-2</v>
      </c>
      <c r="F2944" s="40">
        <v>37410</v>
      </c>
      <c r="G2944" s="39">
        <v>4747.95</v>
      </c>
      <c r="H2944" s="39">
        <f t="shared" si="293"/>
        <v>1</v>
      </c>
      <c r="I2944" s="39">
        <f t="shared" si="294"/>
        <v>0</v>
      </c>
      <c r="K2944" s="40"/>
      <c r="Q2944" s="40">
        <v>37410</v>
      </c>
      <c r="R2944" s="39">
        <v>4747.95</v>
      </c>
      <c r="S2944" s="39">
        <f t="shared" si="295"/>
        <v>6</v>
      </c>
      <c r="T2944" s="39">
        <f t="shared" si="296"/>
        <v>0</v>
      </c>
      <c r="U2944" s="39">
        <f t="shared" si="297"/>
        <v>0</v>
      </c>
      <c r="V2944" s="40"/>
    </row>
    <row r="2945" spans="2:22" x14ac:dyDescent="0.35">
      <c r="B2945" s="40">
        <v>37411</v>
      </c>
      <c r="C2945" s="39">
        <v>4625.79</v>
      </c>
      <c r="D2945" s="219">
        <f t="shared" si="298"/>
        <v>-2.6065778753489616E-2</v>
      </c>
      <c r="F2945" s="40">
        <v>37411</v>
      </c>
      <c r="G2945" s="39">
        <v>4625.79</v>
      </c>
      <c r="H2945" s="39">
        <f t="shared" si="293"/>
        <v>2</v>
      </c>
      <c r="I2945" s="39">
        <f t="shared" si="294"/>
        <v>0</v>
      </c>
      <c r="K2945" s="40"/>
      <c r="Q2945" s="40">
        <v>37411</v>
      </c>
      <c r="R2945" s="39">
        <v>4625.79</v>
      </c>
      <c r="S2945" s="39">
        <f t="shared" si="295"/>
        <v>6</v>
      </c>
      <c r="T2945" s="39">
        <f t="shared" si="296"/>
        <v>0</v>
      </c>
      <c r="U2945" s="39">
        <f t="shared" si="297"/>
        <v>0</v>
      </c>
      <c r="V2945" s="40"/>
    </row>
    <row r="2946" spans="2:22" x14ac:dyDescent="0.35">
      <c r="B2946" s="40">
        <v>37412</v>
      </c>
      <c r="C2946" s="39">
        <v>4624.3100000000004</v>
      </c>
      <c r="D2946" s="219">
        <f t="shared" si="298"/>
        <v>-3.1999654330837319E-4</v>
      </c>
      <c r="F2946" s="40">
        <v>37412</v>
      </c>
      <c r="G2946" s="39">
        <v>4624.3100000000004</v>
      </c>
      <c r="H2946" s="39">
        <f t="shared" si="293"/>
        <v>3</v>
      </c>
      <c r="I2946" s="39">
        <f t="shared" si="294"/>
        <v>0</v>
      </c>
      <c r="K2946" s="40"/>
      <c r="Q2946" s="40">
        <v>37412</v>
      </c>
      <c r="R2946" s="39">
        <v>4624.3100000000004</v>
      </c>
      <c r="S2946" s="39">
        <f t="shared" si="295"/>
        <v>6</v>
      </c>
      <c r="T2946" s="39">
        <f t="shared" si="296"/>
        <v>0</v>
      </c>
      <c r="U2946" s="39">
        <f t="shared" si="297"/>
        <v>0</v>
      </c>
      <c r="V2946" s="40"/>
    </row>
    <row r="2947" spans="2:22" x14ac:dyDescent="0.35">
      <c r="B2947" s="40">
        <v>37413</v>
      </c>
      <c r="C2947" s="39">
        <v>4657.5200000000004</v>
      </c>
      <c r="D2947" s="219">
        <f t="shared" si="298"/>
        <v>7.1559469882231438E-3</v>
      </c>
      <c r="F2947" s="40">
        <v>37413</v>
      </c>
      <c r="G2947" s="39">
        <v>4657.5200000000004</v>
      </c>
      <c r="H2947" s="39">
        <f t="shared" si="293"/>
        <v>4</v>
      </c>
      <c r="I2947" s="39">
        <f t="shared" si="294"/>
        <v>0</v>
      </c>
      <c r="K2947" s="40"/>
      <c r="Q2947" s="40">
        <v>37413</v>
      </c>
      <c r="R2947" s="39">
        <v>4657.5200000000004</v>
      </c>
      <c r="S2947" s="39">
        <f t="shared" si="295"/>
        <v>6</v>
      </c>
      <c r="T2947" s="39">
        <f t="shared" si="296"/>
        <v>0</v>
      </c>
      <c r="U2947" s="39">
        <f t="shared" si="297"/>
        <v>0</v>
      </c>
      <c r="V2947" s="40"/>
    </row>
    <row r="2948" spans="2:22" x14ac:dyDescent="0.35">
      <c r="B2948" s="40">
        <v>37414</v>
      </c>
      <c r="C2948" s="39">
        <v>4610.18</v>
      </c>
      <c r="D2948" s="219">
        <f t="shared" si="298"/>
        <v>-1.02162158341636E-2</v>
      </c>
      <c r="F2948" s="40">
        <v>37414</v>
      </c>
      <c r="G2948" s="39">
        <v>4610.18</v>
      </c>
      <c r="H2948" s="39">
        <f t="shared" si="293"/>
        <v>5</v>
      </c>
      <c r="I2948" s="39">
        <f t="shared" si="294"/>
        <v>4610.18</v>
      </c>
      <c r="K2948" s="40"/>
      <c r="Q2948" s="40">
        <v>37414</v>
      </c>
      <c r="R2948" s="39">
        <v>4610.18</v>
      </c>
      <c r="S2948" s="39">
        <f t="shared" si="295"/>
        <v>6</v>
      </c>
      <c r="T2948" s="39">
        <f t="shared" si="296"/>
        <v>0</v>
      </c>
      <c r="U2948" s="39">
        <f t="shared" si="297"/>
        <v>0</v>
      </c>
      <c r="V2948" s="40"/>
    </row>
    <row r="2949" spans="2:22" x14ac:dyDescent="0.35">
      <c r="B2949" s="40">
        <v>37417</v>
      </c>
      <c r="C2949" s="39">
        <v>4589.26</v>
      </c>
      <c r="D2949" s="219">
        <f t="shared" si="298"/>
        <v>-4.5481107679121342E-3</v>
      </c>
      <c r="F2949" s="40">
        <v>37417</v>
      </c>
      <c r="G2949" s="39">
        <v>4589.26</v>
      </c>
      <c r="H2949" s="39">
        <f t="shared" si="293"/>
        <v>1</v>
      </c>
      <c r="I2949" s="39">
        <f t="shared" si="294"/>
        <v>0</v>
      </c>
      <c r="K2949" s="40"/>
      <c r="Q2949" s="40">
        <v>37417</v>
      </c>
      <c r="R2949" s="39">
        <v>4589.26</v>
      </c>
      <c r="S2949" s="39">
        <f t="shared" si="295"/>
        <v>6</v>
      </c>
      <c r="T2949" s="39">
        <f t="shared" si="296"/>
        <v>0</v>
      </c>
      <c r="U2949" s="39">
        <f t="shared" si="297"/>
        <v>0</v>
      </c>
      <c r="V2949" s="40"/>
    </row>
    <row r="2950" spans="2:22" x14ac:dyDescent="0.35">
      <c r="B2950" s="40">
        <v>37418</v>
      </c>
      <c r="C2950" s="39">
        <v>4606.09</v>
      </c>
      <c r="D2950" s="219">
        <f t="shared" si="298"/>
        <v>3.6605499068487904E-3</v>
      </c>
      <c r="F2950" s="40">
        <v>37418</v>
      </c>
      <c r="G2950" s="39">
        <v>4606.09</v>
      </c>
      <c r="H2950" s="39">
        <f t="shared" si="293"/>
        <v>2</v>
      </c>
      <c r="I2950" s="39">
        <f t="shared" si="294"/>
        <v>0</v>
      </c>
      <c r="K2950" s="40"/>
      <c r="Q2950" s="40">
        <v>37418</v>
      </c>
      <c r="R2950" s="39">
        <v>4606.09</v>
      </c>
      <c r="S2950" s="39">
        <f t="shared" si="295"/>
        <v>6</v>
      </c>
      <c r="T2950" s="39">
        <f t="shared" si="296"/>
        <v>0</v>
      </c>
      <c r="U2950" s="39">
        <f t="shared" si="297"/>
        <v>0</v>
      </c>
      <c r="V2950" s="40"/>
    </row>
    <row r="2951" spans="2:22" x14ac:dyDescent="0.35">
      <c r="B2951" s="40">
        <v>37419</v>
      </c>
      <c r="C2951" s="39">
        <v>4510.1899999999996</v>
      </c>
      <c r="D2951" s="219">
        <f t="shared" si="298"/>
        <v>-2.1040059708074956E-2</v>
      </c>
      <c r="F2951" s="40">
        <v>37419</v>
      </c>
      <c r="G2951" s="39">
        <v>4510.1899999999996</v>
      </c>
      <c r="H2951" s="39">
        <f t="shared" si="293"/>
        <v>3</v>
      </c>
      <c r="I2951" s="39">
        <f t="shared" si="294"/>
        <v>0</v>
      </c>
      <c r="K2951" s="40"/>
      <c r="Q2951" s="40">
        <v>37419</v>
      </c>
      <c r="R2951" s="39">
        <v>4510.1899999999996</v>
      </c>
      <c r="S2951" s="39">
        <f t="shared" si="295"/>
        <v>6</v>
      </c>
      <c r="T2951" s="39">
        <f t="shared" si="296"/>
        <v>0</v>
      </c>
      <c r="U2951" s="39">
        <f t="shared" si="297"/>
        <v>0</v>
      </c>
      <c r="V2951" s="40"/>
    </row>
    <row r="2952" spans="2:22" x14ac:dyDescent="0.35">
      <c r="B2952" s="40">
        <v>37420</v>
      </c>
      <c r="C2952" s="39">
        <v>4470.1400000000003</v>
      </c>
      <c r="D2952" s="219">
        <f t="shared" si="298"/>
        <v>-8.9195531847725291E-3</v>
      </c>
      <c r="F2952" s="40">
        <v>37420</v>
      </c>
      <c r="G2952" s="39">
        <v>4470.1400000000003</v>
      </c>
      <c r="H2952" s="39">
        <f t="shared" si="293"/>
        <v>4</v>
      </c>
      <c r="I2952" s="39">
        <f t="shared" si="294"/>
        <v>0</v>
      </c>
      <c r="K2952" s="40"/>
      <c r="Q2952" s="40">
        <v>37420</v>
      </c>
      <c r="R2952" s="39">
        <v>4470.1400000000003</v>
      </c>
      <c r="S2952" s="39">
        <f t="shared" si="295"/>
        <v>6</v>
      </c>
      <c r="T2952" s="39">
        <f t="shared" si="296"/>
        <v>0</v>
      </c>
      <c r="U2952" s="39">
        <f t="shared" si="297"/>
        <v>0</v>
      </c>
      <c r="V2952" s="40"/>
    </row>
    <row r="2953" spans="2:22" x14ac:dyDescent="0.35">
      <c r="B2953" s="40">
        <v>37421</v>
      </c>
      <c r="C2953" s="39">
        <v>4303.8500000000004</v>
      </c>
      <c r="D2953" s="219">
        <f t="shared" si="298"/>
        <v>-3.7909757094486511E-2</v>
      </c>
      <c r="F2953" s="40">
        <v>37421</v>
      </c>
      <c r="G2953" s="39">
        <v>4303.8500000000004</v>
      </c>
      <c r="H2953" s="39">
        <f t="shared" si="293"/>
        <v>5</v>
      </c>
      <c r="I2953" s="39">
        <f t="shared" si="294"/>
        <v>4303.8500000000004</v>
      </c>
      <c r="K2953" s="40"/>
      <c r="Q2953" s="40">
        <v>37421</v>
      </c>
      <c r="R2953" s="39">
        <v>4303.8500000000004</v>
      </c>
      <c r="S2953" s="39">
        <f t="shared" si="295"/>
        <v>6</v>
      </c>
      <c r="T2953" s="39">
        <f t="shared" si="296"/>
        <v>0</v>
      </c>
      <c r="U2953" s="39">
        <f t="shared" si="297"/>
        <v>0</v>
      </c>
      <c r="V2953" s="40"/>
    </row>
    <row r="2954" spans="2:22" x14ac:dyDescent="0.35">
      <c r="B2954" s="40">
        <v>37424</v>
      </c>
      <c r="C2954" s="39">
        <v>4475.1000000000004</v>
      </c>
      <c r="D2954" s="219">
        <f t="shared" si="298"/>
        <v>3.901872689480998E-2</v>
      </c>
      <c r="F2954" s="40">
        <v>37424</v>
      </c>
      <c r="G2954" s="39">
        <v>4475.1000000000004</v>
      </c>
      <c r="H2954" s="39">
        <f t="shared" si="293"/>
        <v>1</v>
      </c>
      <c r="I2954" s="39">
        <f t="shared" si="294"/>
        <v>0</v>
      </c>
      <c r="K2954" s="40"/>
      <c r="Q2954" s="40">
        <v>37424</v>
      </c>
      <c r="R2954" s="39">
        <v>4475.1000000000004</v>
      </c>
      <c r="S2954" s="39">
        <f t="shared" si="295"/>
        <v>6</v>
      </c>
      <c r="T2954" s="39">
        <f t="shared" si="296"/>
        <v>0</v>
      </c>
      <c r="U2954" s="39">
        <f t="shared" si="297"/>
        <v>0</v>
      </c>
      <c r="V2954" s="40"/>
    </row>
    <row r="2955" spans="2:22" x14ac:dyDescent="0.35">
      <c r="B2955" s="40">
        <v>37425</v>
      </c>
      <c r="C2955" s="39">
        <v>4433.8500000000004</v>
      </c>
      <c r="D2955" s="219">
        <f t="shared" si="298"/>
        <v>-9.2604167232915296E-3</v>
      </c>
      <c r="F2955" s="40">
        <v>37425</v>
      </c>
      <c r="G2955" s="39">
        <v>4433.8500000000004</v>
      </c>
      <c r="H2955" s="39">
        <f t="shared" si="293"/>
        <v>2</v>
      </c>
      <c r="I2955" s="39">
        <f t="shared" si="294"/>
        <v>0</v>
      </c>
      <c r="K2955" s="40"/>
      <c r="Q2955" s="40">
        <v>37425</v>
      </c>
      <c r="R2955" s="39">
        <v>4433.8500000000004</v>
      </c>
      <c r="S2955" s="39">
        <f t="shared" si="295"/>
        <v>6</v>
      </c>
      <c r="T2955" s="39">
        <f t="shared" si="296"/>
        <v>0</v>
      </c>
      <c r="U2955" s="39">
        <f t="shared" si="297"/>
        <v>0</v>
      </c>
      <c r="V2955" s="40"/>
    </row>
    <row r="2956" spans="2:22" x14ac:dyDescent="0.35">
      <c r="B2956" s="40">
        <v>37426</v>
      </c>
      <c r="C2956" s="39">
        <v>4354.82</v>
      </c>
      <c r="D2956" s="219">
        <f t="shared" si="298"/>
        <v>-1.7985003474808286E-2</v>
      </c>
      <c r="F2956" s="40">
        <v>37426</v>
      </c>
      <c r="G2956" s="39">
        <v>4354.82</v>
      </c>
      <c r="H2956" s="39">
        <f t="shared" si="293"/>
        <v>3</v>
      </c>
      <c r="I2956" s="39">
        <f t="shared" si="294"/>
        <v>0</v>
      </c>
      <c r="K2956" s="40"/>
      <c r="Q2956" s="40">
        <v>37426</v>
      </c>
      <c r="R2956" s="39">
        <v>4354.82</v>
      </c>
      <c r="S2956" s="39">
        <f t="shared" si="295"/>
        <v>6</v>
      </c>
      <c r="T2956" s="39">
        <f t="shared" si="296"/>
        <v>0</v>
      </c>
      <c r="U2956" s="39">
        <f t="shared" si="297"/>
        <v>0</v>
      </c>
      <c r="V2956" s="40"/>
    </row>
    <row r="2957" spans="2:22" x14ac:dyDescent="0.35">
      <c r="B2957" s="40">
        <v>37427</v>
      </c>
      <c r="C2957" s="39">
        <v>4245.68</v>
      </c>
      <c r="D2957" s="219">
        <f t="shared" si="298"/>
        <v>-2.5381282256239621E-2</v>
      </c>
      <c r="F2957" s="40">
        <v>37427</v>
      </c>
      <c r="G2957" s="39">
        <v>4245.68</v>
      </c>
      <c r="H2957" s="39">
        <f t="shared" si="293"/>
        <v>4</v>
      </c>
      <c r="I2957" s="39">
        <f t="shared" si="294"/>
        <v>0</v>
      </c>
      <c r="K2957" s="40"/>
      <c r="Q2957" s="40">
        <v>37427</v>
      </c>
      <c r="R2957" s="39">
        <v>4245.68</v>
      </c>
      <c r="S2957" s="39">
        <f t="shared" si="295"/>
        <v>6</v>
      </c>
      <c r="T2957" s="39">
        <f t="shared" si="296"/>
        <v>0</v>
      </c>
      <c r="U2957" s="39">
        <f t="shared" si="297"/>
        <v>0</v>
      </c>
      <c r="V2957" s="40"/>
    </row>
    <row r="2958" spans="2:22" x14ac:dyDescent="0.35">
      <c r="B2958" s="40">
        <v>37428</v>
      </c>
      <c r="C2958" s="39">
        <v>4232.3999999999996</v>
      </c>
      <c r="D2958" s="219">
        <f t="shared" si="298"/>
        <v>-3.1327873436486327E-3</v>
      </c>
      <c r="F2958" s="40">
        <v>37428</v>
      </c>
      <c r="G2958" s="39">
        <v>4232.3999999999996</v>
      </c>
      <c r="H2958" s="39">
        <f t="shared" si="293"/>
        <v>5</v>
      </c>
      <c r="I2958" s="39">
        <f t="shared" si="294"/>
        <v>4232.3999999999996</v>
      </c>
      <c r="K2958" s="40"/>
      <c r="Q2958" s="40">
        <v>37428</v>
      </c>
      <c r="R2958" s="39">
        <v>4232.3999999999996</v>
      </c>
      <c r="S2958" s="39">
        <f t="shared" si="295"/>
        <v>6</v>
      </c>
      <c r="T2958" s="39">
        <f t="shared" si="296"/>
        <v>0</v>
      </c>
      <c r="U2958" s="39">
        <f t="shared" si="297"/>
        <v>0</v>
      </c>
      <c r="V2958" s="40"/>
    </row>
    <row r="2959" spans="2:22" x14ac:dyDescent="0.35">
      <c r="B2959" s="40">
        <v>37431</v>
      </c>
      <c r="C2959" s="39">
        <v>4127.21</v>
      </c>
      <c r="D2959" s="219">
        <f t="shared" si="298"/>
        <v>-2.5167574152317598E-2</v>
      </c>
      <c r="F2959" s="40">
        <v>37431</v>
      </c>
      <c r="G2959" s="39">
        <v>4127.21</v>
      </c>
      <c r="H2959" s="39">
        <f t="shared" si="293"/>
        <v>1</v>
      </c>
      <c r="I2959" s="39">
        <f t="shared" si="294"/>
        <v>0</v>
      </c>
      <c r="K2959" s="40"/>
      <c r="Q2959" s="40">
        <v>37431</v>
      </c>
      <c r="R2959" s="39">
        <v>4127.21</v>
      </c>
      <c r="S2959" s="39">
        <f t="shared" si="295"/>
        <v>6</v>
      </c>
      <c r="T2959" s="39">
        <f t="shared" si="296"/>
        <v>0</v>
      </c>
      <c r="U2959" s="39">
        <f t="shared" si="297"/>
        <v>0</v>
      </c>
      <c r="V2959" s="40"/>
    </row>
    <row r="2960" spans="2:22" x14ac:dyDescent="0.35">
      <c r="B2960" s="40">
        <v>37432</v>
      </c>
      <c r="C2960" s="39">
        <v>4202.97</v>
      </c>
      <c r="D2960" s="219">
        <f t="shared" si="298"/>
        <v>1.8189784343210183E-2</v>
      </c>
      <c r="F2960" s="40">
        <v>37432</v>
      </c>
      <c r="G2960" s="39">
        <v>4202.97</v>
      </c>
      <c r="H2960" s="39">
        <f t="shared" si="293"/>
        <v>2</v>
      </c>
      <c r="I2960" s="39">
        <f t="shared" si="294"/>
        <v>0</v>
      </c>
      <c r="K2960" s="40"/>
      <c r="Q2960" s="40">
        <v>37432</v>
      </c>
      <c r="R2960" s="39">
        <v>4202.97</v>
      </c>
      <c r="S2960" s="39">
        <f t="shared" si="295"/>
        <v>6</v>
      </c>
      <c r="T2960" s="39">
        <f t="shared" si="296"/>
        <v>0</v>
      </c>
      <c r="U2960" s="39">
        <f t="shared" si="297"/>
        <v>0</v>
      </c>
      <c r="V2960" s="40"/>
    </row>
    <row r="2961" spans="2:22" x14ac:dyDescent="0.35">
      <c r="B2961" s="40">
        <v>37433</v>
      </c>
      <c r="C2961" s="39">
        <v>4099.05</v>
      </c>
      <c r="D2961" s="219">
        <f t="shared" si="298"/>
        <v>-2.5036178693860812E-2</v>
      </c>
      <c r="F2961" s="40">
        <v>37433</v>
      </c>
      <c r="G2961" s="39">
        <v>4099.05</v>
      </c>
      <c r="H2961" s="39">
        <f t="shared" si="293"/>
        <v>3</v>
      </c>
      <c r="I2961" s="39">
        <f t="shared" si="294"/>
        <v>0</v>
      </c>
      <c r="K2961" s="40"/>
      <c r="Q2961" s="40">
        <v>37433</v>
      </c>
      <c r="R2961" s="39">
        <v>4099.05</v>
      </c>
      <c r="S2961" s="39">
        <f t="shared" si="295"/>
        <v>6</v>
      </c>
      <c r="T2961" s="39">
        <f t="shared" si="296"/>
        <v>0</v>
      </c>
      <c r="U2961" s="39">
        <f t="shared" si="297"/>
        <v>0</v>
      </c>
      <c r="V2961" s="40"/>
    </row>
    <row r="2962" spans="2:22" x14ac:dyDescent="0.35">
      <c r="B2962" s="40">
        <v>37434</v>
      </c>
      <c r="C2962" s="39">
        <v>4259.43</v>
      </c>
      <c r="D2962" s="219">
        <f t="shared" si="298"/>
        <v>3.8380108967080981E-2</v>
      </c>
      <c r="F2962" s="40">
        <v>37434</v>
      </c>
      <c r="G2962" s="39">
        <v>4259.43</v>
      </c>
      <c r="H2962" s="39">
        <f t="shared" si="293"/>
        <v>4</v>
      </c>
      <c r="I2962" s="39">
        <f t="shared" si="294"/>
        <v>0</v>
      </c>
      <c r="K2962" s="40"/>
      <c r="Q2962" s="40">
        <v>37434</v>
      </c>
      <c r="R2962" s="39">
        <v>4259.43</v>
      </c>
      <c r="S2962" s="39">
        <f t="shared" si="295"/>
        <v>6</v>
      </c>
      <c r="T2962" s="39">
        <f t="shared" si="296"/>
        <v>0</v>
      </c>
      <c r="U2962" s="39">
        <f t="shared" si="297"/>
        <v>0</v>
      </c>
      <c r="V2962" s="40"/>
    </row>
    <row r="2963" spans="2:22" x14ac:dyDescent="0.35">
      <c r="B2963" s="40">
        <v>37435</v>
      </c>
      <c r="C2963" s="39">
        <v>4382.5600000000004</v>
      </c>
      <c r="D2963" s="219">
        <f t="shared" si="298"/>
        <v>2.8497680023296432E-2</v>
      </c>
      <c r="F2963" s="40">
        <v>37435</v>
      </c>
      <c r="G2963" s="39">
        <v>4382.5600000000004</v>
      </c>
      <c r="H2963" s="39">
        <f t="shared" si="293"/>
        <v>5</v>
      </c>
      <c r="I2963" s="39">
        <f t="shared" si="294"/>
        <v>4382.5600000000004</v>
      </c>
      <c r="K2963" s="40"/>
      <c r="Q2963" s="40">
        <v>37435</v>
      </c>
      <c r="R2963" s="39">
        <v>4382.5600000000004</v>
      </c>
      <c r="S2963" s="39">
        <f t="shared" si="295"/>
        <v>6</v>
      </c>
      <c r="T2963" s="39">
        <f t="shared" si="296"/>
        <v>4382.5600000000004</v>
      </c>
      <c r="U2963" s="39">
        <f t="shared" si="297"/>
        <v>4382.5600000000004</v>
      </c>
      <c r="V2963" s="40"/>
    </row>
    <row r="2964" spans="2:22" x14ac:dyDescent="0.35">
      <c r="B2964" s="40">
        <v>37438</v>
      </c>
      <c r="C2964" s="39">
        <v>4366.8100000000004</v>
      </c>
      <c r="D2964" s="219">
        <f t="shared" si="298"/>
        <v>-3.6002631075112363E-3</v>
      </c>
      <c r="F2964" s="40">
        <v>37438</v>
      </c>
      <c r="G2964" s="39">
        <v>4366.8100000000004</v>
      </c>
      <c r="H2964" s="39">
        <f t="shared" si="293"/>
        <v>1</v>
      </c>
      <c r="I2964" s="39">
        <f t="shared" si="294"/>
        <v>0</v>
      </c>
      <c r="K2964" s="40"/>
      <c r="Q2964" s="40">
        <v>37438</v>
      </c>
      <c r="R2964" s="39">
        <v>4366.8100000000004</v>
      </c>
      <c r="S2964" s="39">
        <f t="shared" si="295"/>
        <v>7</v>
      </c>
      <c r="T2964" s="39">
        <f t="shared" si="296"/>
        <v>0</v>
      </c>
      <c r="U2964" s="39">
        <f t="shared" si="297"/>
        <v>0</v>
      </c>
      <c r="V2964" s="40"/>
    </row>
    <row r="2965" spans="2:22" x14ac:dyDescent="0.35">
      <c r="B2965" s="40">
        <v>37439</v>
      </c>
      <c r="C2965" s="39">
        <v>4195.95</v>
      </c>
      <c r="D2965" s="219">
        <f t="shared" si="298"/>
        <v>-3.991299107529564E-2</v>
      </c>
      <c r="F2965" s="40">
        <v>37439</v>
      </c>
      <c r="G2965" s="39">
        <v>4195.95</v>
      </c>
      <c r="H2965" s="39">
        <f t="shared" si="293"/>
        <v>2</v>
      </c>
      <c r="I2965" s="39">
        <f t="shared" si="294"/>
        <v>0</v>
      </c>
      <c r="K2965" s="40"/>
      <c r="Q2965" s="40">
        <v>37439</v>
      </c>
      <c r="R2965" s="39">
        <v>4195.95</v>
      </c>
      <c r="S2965" s="39">
        <f t="shared" si="295"/>
        <v>7</v>
      </c>
      <c r="T2965" s="39">
        <f t="shared" si="296"/>
        <v>0</v>
      </c>
      <c r="U2965" s="39">
        <f t="shared" si="297"/>
        <v>0</v>
      </c>
      <c r="V2965" s="40"/>
    </row>
    <row r="2966" spans="2:22" x14ac:dyDescent="0.35">
      <c r="B2966" s="40">
        <v>37440</v>
      </c>
      <c r="C2966" s="39">
        <v>4138.1499999999996</v>
      </c>
      <c r="D2966" s="219">
        <f t="shared" si="298"/>
        <v>-1.3870946290270648E-2</v>
      </c>
      <c r="F2966" s="40">
        <v>37440</v>
      </c>
      <c r="G2966" s="39">
        <v>4138.1499999999996</v>
      </c>
      <c r="H2966" s="39">
        <f t="shared" si="293"/>
        <v>3</v>
      </c>
      <c r="I2966" s="39">
        <f t="shared" si="294"/>
        <v>0</v>
      </c>
      <c r="K2966" s="40"/>
      <c r="Q2966" s="40">
        <v>37440</v>
      </c>
      <c r="R2966" s="39">
        <v>4138.1499999999996</v>
      </c>
      <c r="S2966" s="39">
        <f t="shared" si="295"/>
        <v>7</v>
      </c>
      <c r="T2966" s="39">
        <f t="shared" si="296"/>
        <v>0</v>
      </c>
      <c r="U2966" s="39">
        <f t="shared" si="297"/>
        <v>0</v>
      </c>
      <c r="V2966" s="40"/>
    </row>
    <row r="2967" spans="2:22" x14ac:dyDescent="0.35">
      <c r="B2967" s="40">
        <v>37441</v>
      </c>
      <c r="C2967" s="39">
        <v>4258.62</v>
      </c>
      <c r="D2967" s="219">
        <f t="shared" si="298"/>
        <v>2.869633607602369E-2</v>
      </c>
      <c r="F2967" s="40">
        <v>37441</v>
      </c>
      <c r="G2967" s="39">
        <v>4258.62</v>
      </c>
      <c r="H2967" s="39">
        <f t="shared" si="293"/>
        <v>4</v>
      </c>
      <c r="I2967" s="39">
        <f t="shared" si="294"/>
        <v>0</v>
      </c>
      <c r="K2967" s="40"/>
      <c r="Q2967" s="40">
        <v>37441</v>
      </c>
      <c r="R2967" s="39">
        <v>4258.62</v>
      </c>
      <c r="S2967" s="39">
        <f t="shared" si="295"/>
        <v>7</v>
      </c>
      <c r="T2967" s="39">
        <f t="shared" si="296"/>
        <v>0</v>
      </c>
      <c r="U2967" s="39">
        <f t="shared" si="297"/>
        <v>0</v>
      </c>
      <c r="V2967" s="40"/>
    </row>
    <row r="2968" spans="2:22" x14ac:dyDescent="0.35">
      <c r="B2968" s="40">
        <v>37442</v>
      </c>
      <c r="C2968" s="39">
        <v>4483.03</v>
      </c>
      <c r="D2968" s="219">
        <f t="shared" si="298"/>
        <v>5.1353992960043296E-2</v>
      </c>
      <c r="F2968" s="40">
        <v>37442</v>
      </c>
      <c r="G2968" s="39">
        <v>4483.03</v>
      </c>
      <c r="H2968" s="39">
        <f t="shared" si="293"/>
        <v>5</v>
      </c>
      <c r="I2968" s="39">
        <f t="shared" si="294"/>
        <v>4483.03</v>
      </c>
      <c r="K2968" s="40"/>
      <c r="Q2968" s="40">
        <v>37442</v>
      </c>
      <c r="R2968" s="39">
        <v>4483.03</v>
      </c>
      <c r="S2968" s="39">
        <f t="shared" si="295"/>
        <v>7</v>
      </c>
      <c r="T2968" s="39">
        <f t="shared" si="296"/>
        <v>0</v>
      </c>
      <c r="U2968" s="39">
        <f t="shared" si="297"/>
        <v>0</v>
      </c>
      <c r="V2968" s="40"/>
    </row>
    <row r="2969" spans="2:22" x14ac:dyDescent="0.35">
      <c r="B2969" s="40">
        <v>37445</v>
      </c>
      <c r="C2969" s="39">
        <v>4442.33</v>
      </c>
      <c r="D2969" s="219">
        <f t="shared" si="298"/>
        <v>-9.1201435254887383E-3</v>
      </c>
      <c r="F2969" s="40">
        <v>37445</v>
      </c>
      <c r="G2969" s="39">
        <v>4442.33</v>
      </c>
      <c r="H2969" s="39">
        <f t="shared" si="293"/>
        <v>1</v>
      </c>
      <c r="I2969" s="39">
        <f t="shared" si="294"/>
        <v>0</v>
      </c>
      <c r="K2969" s="40"/>
      <c r="Q2969" s="40">
        <v>37445</v>
      </c>
      <c r="R2969" s="39">
        <v>4442.33</v>
      </c>
      <c r="S2969" s="39">
        <f t="shared" si="295"/>
        <v>7</v>
      </c>
      <c r="T2969" s="39">
        <f t="shared" si="296"/>
        <v>0</v>
      </c>
      <c r="U2969" s="39">
        <f t="shared" si="297"/>
        <v>0</v>
      </c>
      <c r="V2969" s="40"/>
    </row>
    <row r="2970" spans="2:22" x14ac:dyDescent="0.35">
      <c r="B2970" s="40">
        <v>37446</v>
      </c>
      <c r="C2970" s="39">
        <v>4369.76</v>
      </c>
      <c r="D2970" s="219">
        <f t="shared" si="298"/>
        <v>-1.6470925881900821E-2</v>
      </c>
      <c r="F2970" s="40">
        <v>37446</v>
      </c>
      <c r="G2970" s="39">
        <v>4369.76</v>
      </c>
      <c r="H2970" s="39">
        <f t="shared" si="293"/>
        <v>2</v>
      </c>
      <c r="I2970" s="39">
        <f t="shared" si="294"/>
        <v>0</v>
      </c>
      <c r="K2970" s="40"/>
      <c r="Q2970" s="40">
        <v>37446</v>
      </c>
      <c r="R2970" s="39">
        <v>4369.76</v>
      </c>
      <c r="S2970" s="39">
        <f t="shared" si="295"/>
        <v>7</v>
      </c>
      <c r="T2970" s="39">
        <f t="shared" si="296"/>
        <v>0</v>
      </c>
      <c r="U2970" s="39">
        <f t="shared" si="297"/>
        <v>0</v>
      </c>
      <c r="V2970" s="40"/>
    </row>
    <row r="2971" spans="2:22" x14ac:dyDescent="0.35">
      <c r="B2971" s="40">
        <v>37447</v>
      </c>
      <c r="C2971" s="39">
        <v>4190.22</v>
      </c>
      <c r="D2971" s="219">
        <f t="shared" si="298"/>
        <v>-4.1954849168635108E-2</v>
      </c>
      <c r="F2971" s="40">
        <v>37447</v>
      </c>
      <c r="G2971" s="39">
        <v>4190.22</v>
      </c>
      <c r="H2971" s="39">
        <f t="shared" si="293"/>
        <v>3</v>
      </c>
      <c r="I2971" s="39">
        <f t="shared" si="294"/>
        <v>0</v>
      </c>
      <c r="K2971" s="40"/>
      <c r="Q2971" s="40">
        <v>37447</v>
      </c>
      <c r="R2971" s="39">
        <v>4190.22</v>
      </c>
      <c r="S2971" s="39">
        <f t="shared" si="295"/>
        <v>7</v>
      </c>
      <c r="T2971" s="39">
        <f t="shared" si="296"/>
        <v>0</v>
      </c>
      <c r="U2971" s="39">
        <f t="shared" si="297"/>
        <v>0</v>
      </c>
      <c r="V2971" s="40"/>
    </row>
    <row r="2972" spans="2:22" x14ac:dyDescent="0.35">
      <c r="B2972" s="40">
        <v>37448</v>
      </c>
      <c r="C2972" s="39">
        <v>4118.5</v>
      </c>
      <c r="D2972" s="219">
        <f t="shared" si="298"/>
        <v>-1.7264219123077164E-2</v>
      </c>
      <c r="F2972" s="40">
        <v>37448</v>
      </c>
      <c r="G2972" s="39">
        <v>4118.5</v>
      </c>
      <c r="H2972" s="39">
        <f t="shared" si="293"/>
        <v>4</v>
      </c>
      <c r="I2972" s="39">
        <f t="shared" si="294"/>
        <v>0</v>
      </c>
      <c r="K2972" s="40"/>
      <c r="Q2972" s="40">
        <v>37448</v>
      </c>
      <c r="R2972" s="39">
        <v>4118.5</v>
      </c>
      <c r="S2972" s="39">
        <f t="shared" si="295"/>
        <v>7</v>
      </c>
      <c r="T2972" s="39">
        <f t="shared" si="296"/>
        <v>0</v>
      </c>
      <c r="U2972" s="39">
        <f t="shared" si="297"/>
        <v>0</v>
      </c>
      <c r="V2972" s="40"/>
    </row>
    <row r="2973" spans="2:22" x14ac:dyDescent="0.35">
      <c r="B2973" s="40">
        <v>37449</v>
      </c>
      <c r="C2973" s="39">
        <v>4130.8</v>
      </c>
      <c r="D2973" s="219">
        <f t="shared" si="298"/>
        <v>2.9820734159456165E-3</v>
      </c>
      <c r="F2973" s="40">
        <v>37449</v>
      </c>
      <c r="G2973" s="39">
        <v>4130.8</v>
      </c>
      <c r="H2973" s="39">
        <f t="shared" si="293"/>
        <v>5</v>
      </c>
      <c r="I2973" s="39">
        <f t="shared" si="294"/>
        <v>4130.8</v>
      </c>
      <c r="K2973" s="40"/>
      <c r="Q2973" s="40">
        <v>37449</v>
      </c>
      <c r="R2973" s="39">
        <v>4130.8</v>
      </c>
      <c r="S2973" s="39">
        <f t="shared" si="295"/>
        <v>7</v>
      </c>
      <c r="T2973" s="39">
        <f t="shared" si="296"/>
        <v>0</v>
      </c>
      <c r="U2973" s="39">
        <f t="shared" si="297"/>
        <v>0</v>
      </c>
      <c r="V2973" s="40"/>
    </row>
    <row r="2974" spans="2:22" x14ac:dyDescent="0.35">
      <c r="B2974" s="40">
        <v>37452</v>
      </c>
      <c r="C2974" s="39">
        <v>3912.51</v>
      </c>
      <c r="D2974" s="219">
        <f t="shared" si="298"/>
        <v>-5.4291981041563443E-2</v>
      </c>
      <c r="F2974" s="40">
        <v>37452</v>
      </c>
      <c r="G2974" s="39">
        <v>3912.51</v>
      </c>
      <c r="H2974" s="39">
        <f t="shared" si="293"/>
        <v>1</v>
      </c>
      <c r="I2974" s="39">
        <f t="shared" si="294"/>
        <v>0</v>
      </c>
      <c r="K2974" s="40"/>
      <c r="Q2974" s="40">
        <v>37452</v>
      </c>
      <c r="R2974" s="39">
        <v>3912.51</v>
      </c>
      <c r="S2974" s="39">
        <f t="shared" si="295"/>
        <v>7</v>
      </c>
      <c r="T2974" s="39">
        <f t="shared" si="296"/>
        <v>0</v>
      </c>
      <c r="U2974" s="39">
        <f t="shared" si="297"/>
        <v>0</v>
      </c>
      <c r="V2974" s="40"/>
    </row>
    <row r="2975" spans="2:22" x14ac:dyDescent="0.35">
      <c r="B2975" s="40">
        <v>37453</v>
      </c>
      <c r="C2975" s="39">
        <v>3977.75</v>
      </c>
      <c r="D2975" s="219">
        <f t="shared" si="298"/>
        <v>1.6537221032280423E-2</v>
      </c>
      <c r="F2975" s="40">
        <v>37453</v>
      </c>
      <c r="G2975" s="39">
        <v>3977.75</v>
      </c>
      <c r="H2975" s="39">
        <f t="shared" si="293"/>
        <v>2</v>
      </c>
      <c r="I2975" s="39">
        <f t="shared" si="294"/>
        <v>0</v>
      </c>
      <c r="K2975" s="40"/>
      <c r="Q2975" s="40">
        <v>37453</v>
      </c>
      <c r="R2975" s="39">
        <v>3977.75</v>
      </c>
      <c r="S2975" s="39">
        <f t="shared" si="295"/>
        <v>7</v>
      </c>
      <c r="T2975" s="39">
        <f t="shared" si="296"/>
        <v>0</v>
      </c>
      <c r="U2975" s="39">
        <f t="shared" si="297"/>
        <v>0</v>
      </c>
      <c r="V2975" s="40"/>
    </row>
    <row r="2976" spans="2:22" x14ac:dyDescent="0.35">
      <c r="B2976" s="40">
        <v>37454</v>
      </c>
      <c r="C2976" s="39">
        <v>4092.82</v>
      </c>
      <c r="D2976" s="219">
        <f t="shared" si="298"/>
        <v>2.8517886214797946E-2</v>
      </c>
      <c r="F2976" s="40">
        <v>37454</v>
      </c>
      <c r="G2976" s="39">
        <v>4092.82</v>
      </c>
      <c r="H2976" s="39">
        <f t="shared" si="293"/>
        <v>3</v>
      </c>
      <c r="I2976" s="39">
        <f t="shared" si="294"/>
        <v>0</v>
      </c>
      <c r="K2976" s="40"/>
      <c r="Q2976" s="40">
        <v>37454</v>
      </c>
      <c r="R2976" s="39">
        <v>4092.82</v>
      </c>
      <c r="S2976" s="39">
        <f t="shared" si="295"/>
        <v>7</v>
      </c>
      <c r="T2976" s="39">
        <f t="shared" si="296"/>
        <v>0</v>
      </c>
      <c r="U2976" s="39">
        <f t="shared" si="297"/>
        <v>0</v>
      </c>
      <c r="V2976" s="40"/>
    </row>
    <row r="2977" spans="2:22" x14ac:dyDescent="0.35">
      <c r="B2977" s="40">
        <v>37455</v>
      </c>
      <c r="C2977" s="39">
        <v>4100.75</v>
      </c>
      <c r="D2977" s="219">
        <f t="shared" si="298"/>
        <v>1.9356647898312322E-3</v>
      </c>
      <c r="F2977" s="40">
        <v>37455</v>
      </c>
      <c r="G2977" s="39">
        <v>4100.75</v>
      </c>
      <c r="H2977" s="39">
        <f t="shared" si="293"/>
        <v>4</v>
      </c>
      <c r="I2977" s="39">
        <f t="shared" si="294"/>
        <v>0</v>
      </c>
      <c r="K2977" s="40"/>
      <c r="Q2977" s="40">
        <v>37455</v>
      </c>
      <c r="R2977" s="39">
        <v>4100.75</v>
      </c>
      <c r="S2977" s="39">
        <f t="shared" si="295"/>
        <v>7</v>
      </c>
      <c r="T2977" s="39">
        <f t="shared" si="296"/>
        <v>0</v>
      </c>
      <c r="U2977" s="39">
        <f t="shared" si="297"/>
        <v>0</v>
      </c>
      <c r="V2977" s="40"/>
    </row>
    <row r="2978" spans="2:22" x14ac:dyDescent="0.35">
      <c r="B2978" s="40">
        <v>37456</v>
      </c>
      <c r="C2978" s="39">
        <v>3891.88</v>
      </c>
      <c r="D2978" s="219">
        <f t="shared" si="298"/>
        <v>-5.2277552438905688E-2</v>
      </c>
      <c r="F2978" s="40">
        <v>37456</v>
      </c>
      <c r="G2978" s="39">
        <v>3891.88</v>
      </c>
      <c r="H2978" s="39">
        <f t="shared" si="293"/>
        <v>5</v>
      </c>
      <c r="I2978" s="39">
        <f t="shared" si="294"/>
        <v>3891.88</v>
      </c>
      <c r="K2978" s="40"/>
      <c r="Q2978" s="40">
        <v>37456</v>
      </c>
      <c r="R2978" s="39">
        <v>3891.88</v>
      </c>
      <c r="S2978" s="39">
        <f t="shared" si="295"/>
        <v>7</v>
      </c>
      <c r="T2978" s="39">
        <f t="shared" si="296"/>
        <v>0</v>
      </c>
      <c r="U2978" s="39">
        <f t="shared" si="297"/>
        <v>0</v>
      </c>
      <c r="V2978" s="40"/>
    </row>
    <row r="2979" spans="2:22" x14ac:dyDescent="0.35">
      <c r="B2979" s="40">
        <v>37459</v>
      </c>
      <c r="C2979" s="39">
        <v>3691.43</v>
      </c>
      <c r="D2979" s="219">
        <f t="shared" si="298"/>
        <v>-5.2878414515635547E-2</v>
      </c>
      <c r="F2979" s="40">
        <v>37459</v>
      </c>
      <c r="G2979" s="39">
        <v>3691.43</v>
      </c>
      <c r="H2979" s="39">
        <f t="shared" si="293"/>
        <v>1</v>
      </c>
      <c r="I2979" s="39">
        <f t="shared" si="294"/>
        <v>0</v>
      </c>
      <c r="K2979" s="40"/>
      <c r="Q2979" s="40">
        <v>37459</v>
      </c>
      <c r="R2979" s="39">
        <v>3691.43</v>
      </c>
      <c r="S2979" s="39">
        <f t="shared" si="295"/>
        <v>7</v>
      </c>
      <c r="T2979" s="39">
        <f t="shared" si="296"/>
        <v>0</v>
      </c>
      <c r="U2979" s="39">
        <f t="shared" si="297"/>
        <v>0</v>
      </c>
      <c r="V2979" s="40"/>
    </row>
    <row r="2980" spans="2:22" x14ac:dyDescent="0.35">
      <c r="B2980" s="40">
        <v>37460</v>
      </c>
      <c r="C2980" s="39">
        <v>3515.83</v>
      </c>
      <c r="D2980" s="219">
        <f t="shared" si="298"/>
        <v>-4.8738288600084299E-2</v>
      </c>
      <c r="F2980" s="40">
        <v>37460</v>
      </c>
      <c r="G2980" s="39">
        <v>3515.83</v>
      </c>
      <c r="H2980" s="39">
        <f t="shared" si="293"/>
        <v>2</v>
      </c>
      <c r="I2980" s="39">
        <f t="shared" si="294"/>
        <v>0</v>
      </c>
      <c r="K2980" s="40"/>
      <c r="Q2980" s="40">
        <v>37460</v>
      </c>
      <c r="R2980" s="39">
        <v>3515.83</v>
      </c>
      <c r="S2980" s="39">
        <f t="shared" si="295"/>
        <v>7</v>
      </c>
      <c r="T2980" s="39">
        <f t="shared" si="296"/>
        <v>0</v>
      </c>
      <c r="U2980" s="39">
        <f t="shared" si="297"/>
        <v>0</v>
      </c>
      <c r="V2980" s="40"/>
    </row>
    <row r="2981" spans="2:22" x14ac:dyDescent="0.35">
      <c r="B2981" s="40">
        <v>37461</v>
      </c>
      <c r="C2981" s="39">
        <v>3632.66</v>
      </c>
      <c r="D2981" s="219">
        <f t="shared" si="298"/>
        <v>3.2689534036161226E-2</v>
      </c>
      <c r="F2981" s="40">
        <v>37461</v>
      </c>
      <c r="G2981" s="39">
        <v>3632.66</v>
      </c>
      <c r="H2981" s="39">
        <f t="shared" si="293"/>
        <v>3</v>
      </c>
      <c r="I2981" s="39">
        <f t="shared" si="294"/>
        <v>0</v>
      </c>
      <c r="K2981" s="40"/>
      <c r="Q2981" s="40">
        <v>37461</v>
      </c>
      <c r="R2981" s="39">
        <v>3632.66</v>
      </c>
      <c r="S2981" s="39">
        <f t="shared" si="295"/>
        <v>7</v>
      </c>
      <c r="T2981" s="39">
        <f t="shared" si="296"/>
        <v>0</v>
      </c>
      <c r="U2981" s="39">
        <f t="shared" si="297"/>
        <v>0</v>
      </c>
      <c r="V2981" s="40"/>
    </row>
    <row r="2982" spans="2:22" x14ac:dyDescent="0.35">
      <c r="B2982" s="40">
        <v>37462</v>
      </c>
      <c r="C2982" s="39">
        <v>3520.46</v>
      </c>
      <c r="D2982" s="219">
        <f t="shared" si="298"/>
        <v>-3.1373499401931244E-2</v>
      </c>
      <c r="F2982" s="40">
        <v>37462</v>
      </c>
      <c r="G2982" s="39">
        <v>3520.46</v>
      </c>
      <c r="H2982" s="39">
        <f t="shared" si="293"/>
        <v>4</v>
      </c>
      <c r="I2982" s="39">
        <f t="shared" si="294"/>
        <v>0</v>
      </c>
      <c r="K2982" s="40"/>
      <c r="Q2982" s="40">
        <v>37462</v>
      </c>
      <c r="R2982" s="39">
        <v>3520.46</v>
      </c>
      <c r="S2982" s="39">
        <f t="shared" si="295"/>
        <v>7</v>
      </c>
      <c r="T2982" s="39">
        <f t="shared" si="296"/>
        <v>0</v>
      </c>
      <c r="U2982" s="39">
        <f t="shared" si="297"/>
        <v>0</v>
      </c>
      <c r="V2982" s="40"/>
    </row>
    <row r="2983" spans="2:22" x14ac:dyDescent="0.35">
      <c r="B2983" s="40">
        <v>37463</v>
      </c>
      <c r="C2983" s="39">
        <v>3579</v>
      </c>
      <c r="D2983" s="219">
        <f t="shared" si="298"/>
        <v>1.6491768893826211E-2</v>
      </c>
      <c r="F2983" s="40">
        <v>37463</v>
      </c>
      <c r="G2983" s="39">
        <v>3579</v>
      </c>
      <c r="H2983" s="39">
        <f t="shared" si="293"/>
        <v>5</v>
      </c>
      <c r="I2983" s="39">
        <f t="shared" si="294"/>
        <v>3579</v>
      </c>
      <c r="K2983" s="40"/>
      <c r="Q2983" s="40">
        <v>37463</v>
      </c>
      <c r="R2983" s="39">
        <v>3579</v>
      </c>
      <c r="S2983" s="39">
        <f t="shared" si="295"/>
        <v>7</v>
      </c>
      <c r="T2983" s="39">
        <f t="shared" si="296"/>
        <v>0</v>
      </c>
      <c r="U2983" s="39">
        <f t="shared" si="297"/>
        <v>0</v>
      </c>
      <c r="V2983" s="40"/>
    </row>
    <row r="2984" spans="2:22" x14ac:dyDescent="0.35">
      <c r="B2984" s="40">
        <v>37466</v>
      </c>
      <c r="C2984" s="39">
        <v>3859.78</v>
      </c>
      <c r="D2984" s="219">
        <f t="shared" si="298"/>
        <v>7.5526755249931549E-2</v>
      </c>
      <c r="F2984" s="40">
        <v>37466</v>
      </c>
      <c r="G2984" s="39">
        <v>3859.78</v>
      </c>
      <c r="H2984" s="39">
        <f t="shared" si="293"/>
        <v>1</v>
      </c>
      <c r="I2984" s="39">
        <f t="shared" si="294"/>
        <v>0</v>
      </c>
      <c r="K2984" s="40"/>
      <c r="Q2984" s="40">
        <v>37466</v>
      </c>
      <c r="R2984" s="39">
        <v>3859.78</v>
      </c>
      <c r="S2984" s="39">
        <f t="shared" si="295"/>
        <v>7</v>
      </c>
      <c r="T2984" s="39">
        <f t="shared" si="296"/>
        <v>0</v>
      </c>
      <c r="U2984" s="39">
        <f t="shared" si="297"/>
        <v>0</v>
      </c>
      <c r="V2984" s="40"/>
    </row>
    <row r="2985" spans="2:22" x14ac:dyDescent="0.35">
      <c r="B2985" s="40">
        <v>37467</v>
      </c>
      <c r="C2985" s="39">
        <v>3878.94</v>
      </c>
      <c r="D2985" s="219">
        <f t="shared" si="298"/>
        <v>4.9517334002815126E-3</v>
      </c>
      <c r="F2985" s="40">
        <v>37467</v>
      </c>
      <c r="G2985" s="39">
        <v>3878.94</v>
      </c>
      <c r="H2985" s="39">
        <f t="shared" si="293"/>
        <v>2</v>
      </c>
      <c r="I2985" s="39">
        <f t="shared" si="294"/>
        <v>0</v>
      </c>
      <c r="K2985" s="40"/>
      <c r="Q2985" s="40">
        <v>37467</v>
      </c>
      <c r="R2985" s="39">
        <v>3878.94</v>
      </c>
      <c r="S2985" s="39">
        <f t="shared" si="295"/>
        <v>7</v>
      </c>
      <c r="T2985" s="39">
        <f t="shared" si="296"/>
        <v>0</v>
      </c>
      <c r="U2985" s="39">
        <f t="shared" si="297"/>
        <v>0</v>
      </c>
      <c r="V2985" s="40"/>
    </row>
    <row r="2986" spans="2:22" x14ac:dyDescent="0.35">
      <c r="B2986" s="40">
        <v>37468</v>
      </c>
      <c r="C2986" s="39">
        <v>3700.14</v>
      </c>
      <c r="D2986" s="219">
        <f t="shared" si="298"/>
        <v>-4.7191263661918267E-2</v>
      </c>
      <c r="F2986" s="40">
        <v>37468</v>
      </c>
      <c r="G2986" s="39">
        <v>3700.14</v>
      </c>
      <c r="H2986" s="39">
        <f t="shared" si="293"/>
        <v>3</v>
      </c>
      <c r="I2986" s="39">
        <f t="shared" si="294"/>
        <v>0</v>
      </c>
      <c r="K2986" s="40"/>
      <c r="Q2986" s="40">
        <v>37468</v>
      </c>
      <c r="R2986" s="39">
        <v>3700.14</v>
      </c>
      <c r="S2986" s="39">
        <f t="shared" si="295"/>
        <v>7</v>
      </c>
      <c r="T2986" s="39">
        <f t="shared" si="296"/>
        <v>3700.14</v>
      </c>
      <c r="U2986" s="39">
        <f t="shared" si="297"/>
        <v>3700.14</v>
      </c>
      <c r="V2986" s="40"/>
    </row>
    <row r="2987" spans="2:22" x14ac:dyDescent="0.35">
      <c r="B2987" s="40">
        <v>37469</v>
      </c>
      <c r="C2987" s="39">
        <v>3606.45</v>
      </c>
      <c r="D2987" s="219">
        <f t="shared" si="298"/>
        <v>-2.5646747763622534E-2</v>
      </c>
      <c r="F2987" s="40">
        <v>37469</v>
      </c>
      <c r="G2987" s="39">
        <v>3606.45</v>
      </c>
      <c r="H2987" s="39">
        <f t="shared" si="293"/>
        <v>4</v>
      </c>
      <c r="I2987" s="39">
        <f t="shared" si="294"/>
        <v>0</v>
      </c>
      <c r="K2987" s="40"/>
      <c r="Q2987" s="40">
        <v>37469</v>
      </c>
      <c r="R2987" s="39">
        <v>3606.45</v>
      </c>
      <c r="S2987" s="39">
        <f t="shared" si="295"/>
        <v>8</v>
      </c>
      <c r="T2987" s="39">
        <f t="shared" si="296"/>
        <v>0</v>
      </c>
      <c r="U2987" s="39">
        <f t="shared" si="297"/>
        <v>0</v>
      </c>
      <c r="V2987" s="40"/>
    </row>
    <row r="2988" spans="2:22" x14ac:dyDescent="0.35">
      <c r="B2988" s="40">
        <v>37470</v>
      </c>
      <c r="C2988" s="39">
        <v>3532.49</v>
      </c>
      <c r="D2988" s="219">
        <f t="shared" si="298"/>
        <v>-2.0720904292356585E-2</v>
      </c>
      <c r="F2988" s="40">
        <v>37470</v>
      </c>
      <c r="G2988" s="39">
        <v>3532.49</v>
      </c>
      <c r="H2988" s="39">
        <f t="shared" si="293"/>
        <v>5</v>
      </c>
      <c r="I2988" s="39">
        <f t="shared" si="294"/>
        <v>3532.49</v>
      </c>
      <c r="K2988" s="40"/>
      <c r="Q2988" s="40">
        <v>37470</v>
      </c>
      <c r="R2988" s="39">
        <v>3532.49</v>
      </c>
      <c r="S2988" s="39">
        <f t="shared" si="295"/>
        <v>8</v>
      </c>
      <c r="T2988" s="39">
        <f t="shared" si="296"/>
        <v>0</v>
      </c>
      <c r="U2988" s="39">
        <f t="shared" si="297"/>
        <v>0</v>
      </c>
      <c r="V2988" s="40"/>
    </row>
    <row r="2989" spans="2:22" x14ac:dyDescent="0.35">
      <c r="B2989" s="40">
        <v>37473</v>
      </c>
      <c r="C2989" s="39">
        <v>3332.65</v>
      </c>
      <c r="D2989" s="219">
        <f t="shared" si="298"/>
        <v>-5.8235221405640601E-2</v>
      </c>
      <c r="F2989" s="40">
        <v>37473</v>
      </c>
      <c r="G2989" s="39">
        <v>3332.65</v>
      </c>
      <c r="H2989" s="39">
        <f t="shared" si="293"/>
        <v>1</v>
      </c>
      <c r="I2989" s="39">
        <f t="shared" si="294"/>
        <v>0</v>
      </c>
      <c r="K2989" s="40"/>
      <c r="Q2989" s="40">
        <v>37473</v>
      </c>
      <c r="R2989" s="39">
        <v>3332.65</v>
      </c>
      <c r="S2989" s="39">
        <f t="shared" si="295"/>
        <v>8</v>
      </c>
      <c r="T2989" s="39">
        <f t="shared" si="296"/>
        <v>0</v>
      </c>
      <c r="U2989" s="39">
        <f t="shared" si="297"/>
        <v>0</v>
      </c>
      <c r="V2989" s="40"/>
    </row>
    <row r="2990" spans="2:22" x14ac:dyDescent="0.35">
      <c r="B2990" s="40">
        <v>37474</v>
      </c>
      <c r="C2990" s="39">
        <v>3568.64</v>
      </c>
      <c r="D2990" s="219">
        <f t="shared" si="298"/>
        <v>6.8416787519239255E-2</v>
      </c>
      <c r="F2990" s="40">
        <v>37474</v>
      </c>
      <c r="G2990" s="39">
        <v>3568.64</v>
      </c>
      <c r="H2990" s="39">
        <f t="shared" si="293"/>
        <v>2</v>
      </c>
      <c r="I2990" s="39">
        <f t="shared" si="294"/>
        <v>0</v>
      </c>
      <c r="K2990" s="40"/>
      <c r="Q2990" s="40">
        <v>37474</v>
      </c>
      <c r="R2990" s="39">
        <v>3568.64</v>
      </c>
      <c r="S2990" s="39">
        <f t="shared" si="295"/>
        <v>8</v>
      </c>
      <c r="T2990" s="39">
        <f t="shared" si="296"/>
        <v>0</v>
      </c>
      <c r="U2990" s="39">
        <f t="shared" si="297"/>
        <v>0</v>
      </c>
      <c r="V2990" s="40"/>
    </row>
    <row r="2991" spans="2:22" x14ac:dyDescent="0.35">
      <c r="B2991" s="40">
        <v>37475</v>
      </c>
      <c r="C2991" s="39">
        <v>3465.54</v>
      </c>
      <c r="D2991" s="219">
        <f t="shared" si="298"/>
        <v>-2.931610617453138E-2</v>
      </c>
      <c r="F2991" s="40">
        <v>37475</v>
      </c>
      <c r="G2991" s="39">
        <v>3465.54</v>
      </c>
      <c r="H2991" s="39">
        <f t="shared" si="293"/>
        <v>3</v>
      </c>
      <c r="I2991" s="39">
        <f t="shared" si="294"/>
        <v>0</v>
      </c>
      <c r="K2991" s="40"/>
      <c r="Q2991" s="40">
        <v>37475</v>
      </c>
      <c r="R2991" s="39">
        <v>3465.54</v>
      </c>
      <c r="S2991" s="39">
        <f t="shared" si="295"/>
        <v>8</v>
      </c>
      <c r="T2991" s="39">
        <f t="shared" si="296"/>
        <v>0</v>
      </c>
      <c r="U2991" s="39">
        <f t="shared" si="297"/>
        <v>0</v>
      </c>
      <c r="V2991" s="40"/>
    </row>
    <row r="2992" spans="2:22" x14ac:dyDescent="0.35">
      <c r="B2992" s="40">
        <v>37476</v>
      </c>
      <c r="C2992" s="39">
        <v>3679.26</v>
      </c>
      <c r="D2992" s="219">
        <f t="shared" si="298"/>
        <v>5.9843180348353245E-2</v>
      </c>
      <c r="F2992" s="40">
        <v>37476</v>
      </c>
      <c r="G2992" s="39">
        <v>3679.26</v>
      </c>
      <c r="H2992" s="39">
        <f t="shared" si="293"/>
        <v>4</v>
      </c>
      <c r="I2992" s="39">
        <f t="shared" si="294"/>
        <v>0</v>
      </c>
      <c r="K2992" s="40"/>
      <c r="Q2992" s="40">
        <v>37476</v>
      </c>
      <c r="R2992" s="39">
        <v>3679.26</v>
      </c>
      <c r="S2992" s="39">
        <f t="shared" si="295"/>
        <v>8</v>
      </c>
      <c r="T2992" s="39">
        <f t="shared" si="296"/>
        <v>0</v>
      </c>
      <c r="U2992" s="39">
        <f t="shared" si="297"/>
        <v>0</v>
      </c>
      <c r="V2992" s="40"/>
    </row>
    <row r="2993" spans="2:22" x14ac:dyDescent="0.35">
      <c r="B2993" s="40">
        <v>37477</v>
      </c>
      <c r="C2993" s="39">
        <v>3760.86</v>
      </c>
      <c r="D2993" s="219">
        <f t="shared" si="298"/>
        <v>2.1936009649223497E-2</v>
      </c>
      <c r="F2993" s="40">
        <v>37477</v>
      </c>
      <c r="G2993" s="39">
        <v>3760.86</v>
      </c>
      <c r="H2993" s="39">
        <f t="shared" si="293"/>
        <v>5</v>
      </c>
      <c r="I2993" s="39">
        <f t="shared" si="294"/>
        <v>3760.86</v>
      </c>
      <c r="K2993" s="40"/>
      <c r="Q2993" s="40">
        <v>37477</v>
      </c>
      <c r="R2993" s="39">
        <v>3760.86</v>
      </c>
      <c r="S2993" s="39">
        <f t="shared" si="295"/>
        <v>8</v>
      </c>
      <c r="T2993" s="39">
        <f t="shared" si="296"/>
        <v>0</v>
      </c>
      <c r="U2993" s="39">
        <f t="shared" si="297"/>
        <v>0</v>
      </c>
      <c r="V2993" s="40"/>
    </row>
    <row r="2994" spans="2:22" x14ac:dyDescent="0.35">
      <c r="B2994" s="40">
        <v>37480</v>
      </c>
      <c r="C2994" s="39">
        <v>3647.13</v>
      </c>
      <c r="D2994" s="219">
        <f t="shared" si="298"/>
        <v>-3.0707097725377903E-2</v>
      </c>
      <c r="F2994" s="40">
        <v>37480</v>
      </c>
      <c r="G2994" s="39">
        <v>3647.13</v>
      </c>
      <c r="H2994" s="39">
        <f t="shared" si="293"/>
        <v>1</v>
      </c>
      <c r="I2994" s="39">
        <f t="shared" si="294"/>
        <v>0</v>
      </c>
      <c r="K2994" s="40"/>
      <c r="Q2994" s="40">
        <v>37480</v>
      </c>
      <c r="R2994" s="39">
        <v>3647.13</v>
      </c>
      <c r="S2994" s="39">
        <f t="shared" si="295"/>
        <v>8</v>
      </c>
      <c r="T2994" s="39">
        <f t="shared" si="296"/>
        <v>0</v>
      </c>
      <c r="U2994" s="39">
        <f t="shared" si="297"/>
        <v>0</v>
      </c>
      <c r="V2994" s="40"/>
    </row>
    <row r="2995" spans="2:22" x14ac:dyDescent="0.35">
      <c r="B2995" s="40">
        <v>37481</v>
      </c>
      <c r="C2995" s="39">
        <v>3683.21</v>
      </c>
      <c r="D2995" s="219">
        <f t="shared" si="298"/>
        <v>9.8440976446785636E-3</v>
      </c>
      <c r="F2995" s="40">
        <v>37481</v>
      </c>
      <c r="G2995" s="39">
        <v>3683.21</v>
      </c>
      <c r="H2995" s="39">
        <f t="shared" si="293"/>
        <v>2</v>
      </c>
      <c r="I2995" s="39">
        <f t="shared" si="294"/>
        <v>0</v>
      </c>
      <c r="K2995" s="40"/>
      <c r="Q2995" s="40">
        <v>37481</v>
      </c>
      <c r="R2995" s="39">
        <v>3683.21</v>
      </c>
      <c r="S2995" s="39">
        <f t="shared" si="295"/>
        <v>8</v>
      </c>
      <c r="T2995" s="39">
        <f t="shared" si="296"/>
        <v>0</v>
      </c>
      <c r="U2995" s="39">
        <f t="shared" si="297"/>
        <v>0</v>
      </c>
      <c r="V2995" s="40"/>
    </row>
    <row r="2996" spans="2:22" x14ac:dyDescent="0.35">
      <c r="B2996" s="40">
        <v>37482</v>
      </c>
      <c r="C2996" s="39">
        <v>3589.92</v>
      </c>
      <c r="D2996" s="219">
        <f t="shared" si="298"/>
        <v>-2.5654736442819057E-2</v>
      </c>
      <c r="F2996" s="40">
        <v>37482</v>
      </c>
      <c r="G2996" s="39">
        <v>3589.92</v>
      </c>
      <c r="H2996" s="39">
        <f t="shared" si="293"/>
        <v>3</v>
      </c>
      <c r="I2996" s="39">
        <f t="shared" si="294"/>
        <v>0</v>
      </c>
      <c r="K2996" s="40"/>
      <c r="Q2996" s="40">
        <v>37482</v>
      </c>
      <c r="R2996" s="39">
        <v>3589.92</v>
      </c>
      <c r="S2996" s="39">
        <f t="shared" si="295"/>
        <v>8</v>
      </c>
      <c r="T2996" s="39">
        <f t="shared" si="296"/>
        <v>0</v>
      </c>
      <c r="U2996" s="39">
        <f t="shared" si="297"/>
        <v>0</v>
      </c>
      <c r="V2996" s="40"/>
    </row>
    <row r="2997" spans="2:22" x14ac:dyDescent="0.35">
      <c r="B2997" s="40">
        <v>37483</v>
      </c>
      <c r="C2997" s="39">
        <v>3665.74</v>
      </c>
      <c r="D2997" s="219">
        <f t="shared" si="298"/>
        <v>2.0900306787284641E-2</v>
      </c>
      <c r="F2997" s="40">
        <v>37483</v>
      </c>
      <c r="G2997" s="39">
        <v>3665.74</v>
      </c>
      <c r="H2997" s="39">
        <f t="shared" si="293"/>
        <v>4</v>
      </c>
      <c r="I2997" s="39">
        <f t="shared" si="294"/>
        <v>0</v>
      </c>
      <c r="K2997" s="40"/>
      <c r="Q2997" s="40">
        <v>37483</v>
      </c>
      <c r="R2997" s="39">
        <v>3665.74</v>
      </c>
      <c r="S2997" s="39">
        <f t="shared" si="295"/>
        <v>8</v>
      </c>
      <c r="T2997" s="39">
        <f t="shared" si="296"/>
        <v>0</v>
      </c>
      <c r="U2997" s="39">
        <f t="shared" si="297"/>
        <v>0</v>
      </c>
      <c r="V2997" s="40"/>
    </row>
    <row r="2998" spans="2:22" x14ac:dyDescent="0.35">
      <c r="B2998" s="40">
        <v>37484</v>
      </c>
      <c r="C2998" s="39">
        <v>3684.69</v>
      </c>
      <c r="D2998" s="219">
        <f t="shared" si="298"/>
        <v>5.1561723555996969E-3</v>
      </c>
      <c r="F2998" s="40">
        <v>37484</v>
      </c>
      <c r="G2998" s="39">
        <v>3684.69</v>
      </c>
      <c r="H2998" s="39">
        <f t="shared" si="293"/>
        <v>5</v>
      </c>
      <c r="I2998" s="39">
        <f t="shared" si="294"/>
        <v>3684.69</v>
      </c>
      <c r="K2998" s="40"/>
      <c r="Q2998" s="40">
        <v>37484</v>
      </c>
      <c r="R2998" s="39">
        <v>3684.69</v>
      </c>
      <c r="S2998" s="39">
        <f t="shared" si="295"/>
        <v>8</v>
      </c>
      <c r="T2998" s="39">
        <f t="shared" si="296"/>
        <v>0</v>
      </c>
      <c r="U2998" s="39">
        <f t="shared" si="297"/>
        <v>0</v>
      </c>
      <c r="V2998" s="40"/>
    </row>
    <row r="2999" spans="2:22" x14ac:dyDescent="0.35">
      <c r="B2999" s="40">
        <v>37487</v>
      </c>
      <c r="C2999" s="39">
        <v>3837.67</v>
      </c>
      <c r="D2999" s="219">
        <f t="shared" si="298"/>
        <v>4.0679014334166701E-2</v>
      </c>
      <c r="F2999" s="40">
        <v>37487</v>
      </c>
      <c r="G2999" s="39">
        <v>3837.67</v>
      </c>
      <c r="H2999" s="39">
        <f t="shared" ref="H2999:H3062" si="299">WEEKDAY(F2999,2)</f>
        <v>1</v>
      </c>
      <c r="I2999" s="39">
        <f t="shared" ref="I2999:I3062" si="300">IF(H2999&gt;H3000,G2999,0)</f>
        <v>0</v>
      </c>
      <c r="K2999" s="40"/>
      <c r="Q2999" s="40">
        <v>37487</v>
      </c>
      <c r="R2999" s="39">
        <v>3837.67</v>
      </c>
      <c r="S2999" s="39">
        <f t="shared" ref="S2999:S3062" si="301">MONTH(Q2999)</f>
        <v>8</v>
      </c>
      <c r="T2999" s="39">
        <f t="shared" ref="T2999:T3062" si="302">IF(S3000&lt;&gt;S2999,R2999,0)</f>
        <v>0</v>
      </c>
      <c r="U2999" s="39">
        <f t="shared" ref="U2999:U3062" si="303">IF(S3000=S2999,0,R2999)</f>
        <v>0</v>
      </c>
      <c r="V2999" s="40"/>
    </row>
    <row r="3000" spans="2:22" x14ac:dyDescent="0.35">
      <c r="B3000" s="40">
        <v>37488</v>
      </c>
      <c r="C3000" s="39">
        <v>3768.51</v>
      </c>
      <c r="D3000" s="219">
        <f t="shared" ref="D3000:D3063" si="304">LN(C3000/C2999)</f>
        <v>-1.818571373282098E-2</v>
      </c>
      <c r="F3000" s="40">
        <v>37488</v>
      </c>
      <c r="G3000" s="39">
        <v>3768.51</v>
      </c>
      <c r="H3000" s="39">
        <f t="shared" si="299"/>
        <v>2</v>
      </c>
      <c r="I3000" s="39">
        <f t="shared" si="300"/>
        <v>0</v>
      </c>
      <c r="K3000" s="40"/>
      <c r="Q3000" s="40">
        <v>37488</v>
      </c>
      <c r="R3000" s="39">
        <v>3768.51</v>
      </c>
      <c r="S3000" s="39">
        <f t="shared" si="301"/>
        <v>8</v>
      </c>
      <c r="T3000" s="39">
        <f t="shared" si="302"/>
        <v>0</v>
      </c>
      <c r="U3000" s="39">
        <f t="shared" si="303"/>
        <v>0</v>
      </c>
      <c r="V3000" s="40"/>
    </row>
    <row r="3001" spans="2:22" x14ac:dyDescent="0.35">
      <c r="B3001" s="40">
        <v>37489</v>
      </c>
      <c r="C3001" s="39">
        <v>3868.17</v>
      </c>
      <c r="D3001" s="219">
        <f t="shared" si="304"/>
        <v>2.6101829113643019E-2</v>
      </c>
      <c r="F3001" s="40">
        <v>37489</v>
      </c>
      <c r="G3001" s="39">
        <v>3868.17</v>
      </c>
      <c r="H3001" s="39">
        <f t="shared" si="299"/>
        <v>3</v>
      </c>
      <c r="I3001" s="39">
        <f t="shared" si="300"/>
        <v>0</v>
      </c>
      <c r="K3001" s="40"/>
      <c r="Q3001" s="40">
        <v>37489</v>
      </c>
      <c r="R3001" s="39">
        <v>3868.17</v>
      </c>
      <c r="S3001" s="39">
        <f t="shared" si="301"/>
        <v>8</v>
      </c>
      <c r="T3001" s="39">
        <f t="shared" si="302"/>
        <v>0</v>
      </c>
      <c r="U3001" s="39">
        <f t="shared" si="303"/>
        <v>0</v>
      </c>
      <c r="V3001" s="40"/>
    </row>
    <row r="3002" spans="2:22" x14ac:dyDescent="0.35">
      <c r="B3002" s="40">
        <v>37490</v>
      </c>
      <c r="C3002" s="39">
        <v>3906.55</v>
      </c>
      <c r="D3002" s="219">
        <f t="shared" si="304"/>
        <v>9.8731045664023527E-3</v>
      </c>
      <c r="F3002" s="40">
        <v>37490</v>
      </c>
      <c r="G3002" s="39">
        <v>3906.55</v>
      </c>
      <c r="H3002" s="39">
        <f t="shared" si="299"/>
        <v>4</v>
      </c>
      <c r="I3002" s="39">
        <f t="shared" si="300"/>
        <v>0</v>
      </c>
      <c r="K3002" s="40"/>
      <c r="Q3002" s="40">
        <v>37490</v>
      </c>
      <c r="R3002" s="39">
        <v>3906.55</v>
      </c>
      <c r="S3002" s="39">
        <f t="shared" si="301"/>
        <v>8</v>
      </c>
      <c r="T3002" s="39">
        <f t="shared" si="302"/>
        <v>0</v>
      </c>
      <c r="U3002" s="39">
        <f t="shared" si="303"/>
        <v>0</v>
      </c>
      <c r="V3002" s="40"/>
    </row>
    <row r="3003" spans="2:22" x14ac:dyDescent="0.35">
      <c r="B3003" s="40">
        <v>37491</v>
      </c>
      <c r="C3003" s="39">
        <v>3828.26</v>
      </c>
      <c r="D3003" s="219">
        <f t="shared" si="304"/>
        <v>-2.0244239684234278E-2</v>
      </c>
      <c r="F3003" s="40">
        <v>37491</v>
      </c>
      <c r="G3003" s="39">
        <v>3828.26</v>
      </c>
      <c r="H3003" s="39">
        <f t="shared" si="299"/>
        <v>5</v>
      </c>
      <c r="I3003" s="39">
        <f t="shared" si="300"/>
        <v>3828.26</v>
      </c>
      <c r="K3003" s="40"/>
      <c r="Q3003" s="40">
        <v>37491</v>
      </c>
      <c r="R3003" s="39">
        <v>3828.26</v>
      </c>
      <c r="S3003" s="39">
        <f t="shared" si="301"/>
        <v>8</v>
      </c>
      <c r="T3003" s="39">
        <f t="shared" si="302"/>
        <v>0</v>
      </c>
      <c r="U3003" s="39">
        <f t="shared" si="303"/>
        <v>0</v>
      </c>
      <c r="V3003" s="40"/>
    </row>
    <row r="3004" spans="2:22" x14ac:dyDescent="0.35">
      <c r="B3004" s="40">
        <v>37494</v>
      </c>
      <c r="C3004" s="39">
        <v>3783.84</v>
      </c>
      <c r="D3004" s="219">
        <f t="shared" si="304"/>
        <v>-1.1671024871800599E-2</v>
      </c>
      <c r="F3004" s="40">
        <v>37494</v>
      </c>
      <c r="G3004" s="39">
        <v>3783.84</v>
      </c>
      <c r="H3004" s="39">
        <f t="shared" si="299"/>
        <v>1</v>
      </c>
      <c r="I3004" s="39">
        <f t="shared" si="300"/>
        <v>0</v>
      </c>
      <c r="K3004" s="40"/>
      <c r="Q3004" s="40">
        <v>37494</v>
      </c>
      <c r="R3004" s="39">
        <v>3783.84</v>
      </c>
      <c r="S3004" s="39">
        <f t="shared" si="301"/>
        <v>8</v>
      </c>
      <c r="T3004" s="39">
        <f t="shared" si="302"/>
        <v>0</v>
      </c>
      <c r="U3004" s="39">
        <f t="shared" si="303"/>
        <v>0</v>
      </c>
      <c r="V3004" s="40"/>
    </row>
    <row r="3005" spans="2:22" x14ac:dyDescent="0.35">
      <c r="B3005" s="40">
        <v>37495</v>
      </c>
      <c r="C3005" s="39">
        <v>3851.34</v>
      </c>
      <c r="D3005" s="219">
        <f t="shared" si="304"/>
        <v>1.7681772694145458E-2</v>
      </c>
      <c r="F3005" s="40">
        <v>37495</v>
      </c>
      <c r="G3005" s="39">
        <v>3851.34</v>
      </c>
      <c r="H3005" s="39">
        <f t="shared" si="299"/>
        <v>2</v>
      </c>
      <c r="I3005" s="39">
        <f t="shared" si="300"/>
        <v>0</v>
      </c>
      <c r="K3005" s="40"/>
      <c r="Q3005" s="40">
        <v>37495</v>
      </c>
      <c r="R3005" s="39">
        <v>3851.34</v>
      </c>
      <c r="S3005" s="39">
        <f t="shared" si="301"/>
        <v>8</v>
      </c>
      <c r="T3005" s="39">
        <f t="shared" si="302"/>
        <v>0</v>
      </c>
      <c r="U3005" s="39">
        <f t="shared" si="303"/>
        <v>0</v>
      </c>
      <c r="V3005" s="40"/>
    </row>
    <row r="3006" spans="2:22" x14ac:dyDescent="0.35">
      <c r="B3006" s="40">
        <v>37496</v>
      </c>
      <c r="C3006" s="39">
        <v>3682.84</v>
      </c>
      <c r="D3006" s="219">
        <f t="shared" si="304"/>
        <v>-4.4736946017962138E-2</v>
      </c>
      <c r="F3006" s="40">
        <v>37496</v>
      </c>
      <c r="G3006" s="39">
        <v>3682.84</v>
      </c>
      <c r="H3006" s="39">
        <f t="shared" si="299"/>
        <v>3</v>
      </c>
      <c r="I3006" s="39">
        <f t="shared" si="300"/>
        <v>0</v>
      </c>
      <c r="K3006" s="40"/>
      <c r="Q3006" s="40">
        <v>37496</v>
      </c>
      <c r="R3006" s="39">
        <v>3682.84</v>
      </c>
      <c r="S3006" s="39">
        <f t="shared" si="301"/>
        <v>8</v>
      </c>
      <c r="T3006" s="39">
        <f t="shared" si="302"/>
        <v>0</v>
      </c>
      <c r="U3006" s="39">
        <f t="shared" si="303"/>
        <v>0</v>
      </c>
      <c r="V3006" s="40"/>
    </row>
    <row r="3007" spans="2:22" x14ac:dyDescent="0.35">
      <c r="B3007" s="40">
        <v>37497</v>
      </c>
      <c r="C3007" s="39">
        <v>3660.95</v>
      </c>
      <c r="D3007" s="219">
        <f t="shared" si="304"/>
        <v>-5.9615170995555482E-3</v>
      </c>
      <c r="F3007" s="40">
        <v>37497</v>
      </c>
      <c r="G3007" s="39">
        <v>3660.95</v>
      </c>
      <c r="H3007" s="39">
        <f t="shared" si="299"/>
        <v>4</v>
      </c>
      <c r="I3007" s="39">
        <f t="shared" si="300"/>
        <v>0</v>
      </c>
      <c r="K3007" s="40"/>
      <c r="Q3007" s="40">
        <v>37497</v>
      </c>
      <c r="R3007" s="39">
        <v>3660.95</v>
      </c>
      <c r="S3007" s="39">
        <f t="shared" si="301"/>
        <v>8</v>
      </c>
      <c r="T3007" s="39">
        <f t="shared" si="302"/>
        <v>0</v>
      </c>
      <c r="U3007" s="39">
        <f t="shared" si="303"/>
        <v>0</v>
      </c>
      <c r="V3007" s="40"/>
    </row>
    <row r="3008" spans="2:22" x14ac:dyDescent="0.35">
      <c r="B3008" s="40">
        <v>37498</v>
      </c>
      <c r="C3008" s="39">
        <v>3712.94</v>
      </c>
      <c r="D3008" s="219">
        <f t="shared" si="304"/>
        <v>1.4101339050373196E-2</v>
      </c>
      <c r="F3008" s="40">
        <v>37498</v>
      </c>
      <c r="G3008" s="39">
        <v>3712.94</v>
      </c>
      <c r="H3008" s="39">
        <f t="shared" si="299"/>
        <v>5</v>
      </c>
      <c r="I3008" s="39">
        <f t="shared" si="300"/>
        <v>3712.94</v>
      </c>
      <c r="K3008" s="40"/>
      <c r="Q3008" s="40">
        <v>37498</v>
      </c>
      <c r="R3008" s="39">
        <v>3712.94</v>
      </c>
      <c r="S3008" s="39">
        <f t="shared" si="301"/>
        <v>8</v>
      </c>
      <c r="T3008" s="39">
        <f t="shared" si="302"/>
        <v>3712.94</v>
      </c>
      <c r="U3008" s="39">
        <f t="shared" si="303"/>
        <v>3712.94</v>
      </c>
      <c r="V3008" s="40"/>
    </row>
    <row r="3009" spans="2:22" x14ac:dyDescent="0.35">
      <c r="B3009" s="40">
        <v>37501</v>
      </c>
      <c r="C3009" s="39">
        <v>3609.41</v>
      </c>
      <c r="D3009" s="219">
        <f t="shared" si="304"/>
        <v>-2.8279691539768542E-2</v>
      </c>
      <c r="F3009" s="40">
        <v>37501</v>
      </c>
      <c r="G3009" s="39">
        <v>3609.41</v>
      </c>
      <c r="H3009" s="39">
        <f t="shared" si="299"/>
        <v>1</v>
      </c>
      <c r="I3009" s="39">
        <f t="shared" si="300"/>
        <v>0</v>
      </c>
      <c r="K3009" s="40"/>
      <c r="Q3009" s="40">
        <v>37501</v>
      </c>
      <c r="R3009" s="39">
        <v>3609.41</v>
      </c>
      <c r="S3009" s="39">
        <f t="shared" si="301"/>
        <v>9</v>
      </c>
      <c r="T3009" s="39">
        <f t="shared" si="302"/>
        <v>0</v>
      </c>
      <c r="U3009" s="39">
        <f t="shared" si="303"/>
        <v>0</v>
      </c>
      <c r="V3009" s="40"/>
    </row>
    <row r="3010" spans="2:22" x14ac:dyDescent="0.35">
      <c r="B3010" s="40">
        <v>37502</v>
      </c>
      <c r="C3010" s="39">
        <v>3398.99</v>
      </c>
      <c r="D3010" s="219">
        <f t="shared" si="304"/>
        <v>-6.0065995416929238E-2</v>
      </c>
      <c r="F3010" s="40">
        <v>37502</v>
      </c>
      <c r="G3010" s="39">
        <v>3398.99</v>
      </c>
      <c r="H3010" s="39">
        <f t="shared" si="299"/>
        <v>2</v>
      </c>
      <c r="I3010" s="39">
        <f t="shared" si="300"/>
        <v>0</v>
      </c>
      <c r="K3010" s="40"/>
      <c r="Q3010" s="40">
        <v>37502</v>
      </c>
      <c r="R3010" s="39">
        <v>3398.99</v>
      </c>
      <c r="S3010" s="39">
        <f t="shared" si="301"/>
        <v>9</v>
      </c>
      <c r="T3010" s="39">
        <f t="shared" si="302"/>
        <v>0</v>
      </c>
      <c r="U3010" s="39">
        <f t="shared" si="303"/>
        <v>0</v>
      </c>
      <c r="V3010" s="40"/>
    </row>
    <row r="3011" spans="2:22" x14ac:dyDescent="0.35">
      <c r="B3011" s="40">
        <v>37503</v>
      </c>
      <c r="C3011" s="39">
        <v>3425.9</v>
      </c>
      <c r="D3011" s="219">
        <f t="shared" si="304"/>
        <v>7.8858822499745674E-3</v>
      </c>
      <c r="F3011" s="40">
        <v>37503</v>
      </c>
      <c r="G3011" s="39">
        <v>3425.9</v>
      </c>
      <c r="H3011" s="39">
        <f t="shared" si="299"/>
        <v>3</v>
      </c>
      <c r="I3011" s="39">
        <f t="shared" si="300"/>
        <v>0</v>
      </c>
      <c r="K3011" s="40"/>
      <c r="Q3011" s="40">
        <v>37503</v>
      </c>
      <c r="R3011" s="39">
        <v>3425.9</v>
      </c>
      <c r="S3011" s="39">
        <f t="shared" si="301"/>
        <v>9</v>
      </c>
      <c r="T3011" s="39">
        <f t="shared" si="302"/>
        <v>0</v>
      </c>
      <c r="U3011" s="39">
        <f t="shared" si="303"/>
        <v>0</v>
      </c>
      <c r="V3011" s="40"/>
    </row>
    <row r="3012" spans="2:22" x14ac:dyDescent="0.35">
      <c r="B3012" s="40">
        <v>37504</v>
      </c>
      <c r="C3012" s="39">
        <v>3354.71</v>
      </c>
      <c r="D3012" s="219">
        <f t="shared" si="304"/>
        <v>-2.0998882382207876E-2</v>
      </c>
      <c r="F3012" s="40">
        <v>37504</v>
      </c>
      <c r="G3012" s="39">
        <v>3354.71</v>
      </c>
      <c r="H3012" s="39">
        <f t="shared" si="299"/>
        <v>4</v>
      </c>
      <c r="I3012" s="39">
        <f t="shared" si="300"/>
        <v>0</v>
      </c>
      <c r="K3012" s="40"/>
      <c r="Q3012" s="40">
        <v>37504</v>
      </c>
      <c r="R3012" s="39">
        <v>3354.71</v>
      </c>
      <c r="S3012" s="39">
        <f t="shared" si="301"/>
        <v>9</v>
      </c>
      <c r="T3012" s="39">
        <f t="shared" si="302"/>
        <v>0</v>
      </c>
      <c r="U3012" s="39">
        <f t="shared" si="303"/>
        <v>0</v>
      </c>
      <c r="V3012" s="40"/>
    </row>
    <row r="3013" spans="2:22" x14ac:dyDescent="0.35">
      <c r="B3013" s="40">
        <v>37505</v>
      </c>
      <c r="C3013" s="39">
        <v>3485.68</v>
      </c>
      <c r="D3013" s="219">
        <f t="shared" si="304"/>
        <v>3.8297818594253803E-2</v>
      </c>
      <c r="F3013" s="40">
        <v>37505</v>
      </c>
      <c r="G3013" s="39">
        <v>3485.68</v>
      </c>
      <c r="H3013" s="39">
        <f t="shared" si="299"/>
        <v>5</v>
      </c>
      <c r="I3013" s="39">
        <f t="shared" si="300"/>
        <v>3485.68</v>
      </c>
      <c r="K3013" s="40"/>
      <c r="Q3013" s="40">
        <v>37505</v>
      </c>
      <c r="R3013" s="39">
        <v>3485.68</v>
      </c>
      <c r="S3013" s="39">
        <f t="shared" si="301"/>
        <v>9</v>
      </c>
      <c r="T3013" s="39">
        <f t="shared" si="302"/>
        <v>0</v>
      </c>
      <c r="U3013" s="39">
        <f t="shared" si="303"/>
        <v>0</v>
      </c>
      <c r="V3013" s="40"/>
    </row>
    <row r="3014" spans="2:22" x14ac:dyDescent="0.35">
      <c r="B3014" s="40">
        <v>37508</v>
      </c>
      <c r="C3014" s="39">
        <v>3429.22</v>
      </c>
      <c r="D3014" s="219">
        <f t="shared" si="304"/>
        <v>-1.6330317060353559E-2</v>
      </c>
      <c r="F3014" s="40">
        <v>37508</v>
      </c>
      <c r="G3014" s="39">
        <v>3429.22</v>
      </c>
      <c r="H3014" s="39">
        <f t="shared" si="299"/>
        <v>1</v>
      </c>
      <c r="I3014" s="39">
        <f t="shared" si="300"/>
        <v>0</v>
      </c>
      <c r="K3014" s="40"/>
      <c r="Q3014" s="40">
        <v>37508</v>
      </c>
      <c r="R3014" s="39">
        <v>3429.22</v>
      </c>
      <c r="S3014" s="39">
        <f t="shared" si="301"/>
        <v>9</v>
      </c>
      <c r="T3014" s="39">
        <f t="shared" si="302"/>
        <v>0</v>
      </c>
      <c r="U3014" s="39">
        <f t="shared" si="303"/>
        <v>0</v>
      </c>
      <c r="V3014" s="40"/>
    </row>
    <row r="3015" spans="2:22" x14ac:dyDescent="0.35">
      <c r="B3015" s="40">
        <v>37509</v>
      </c>
      <c r="C3015" s="39">
        <v>3494.69</v>
      </c>
      <c r="D3015" s="219">
        <f t="shared" si="304"/>
        <v>1.89118435421195E-2</v>
      </c>
      <c r="F3015" s="40">
        <v>37509</v>
      </c>
      <c r="G3015" s="39">
        <v>3494.69</v>
      </c>
      <c r="H3015" s="39">
        <f t="shared" si="299"/>
        <v>2</v>
      </c>
      <c r="I3015" s="39">
        <f t="shared" si="300"/>
        <v>0</v>
      </c>
      <c r="K3015" s="40"/>
      <c r="Q3015" s="40">
        <v>37509</v>
      </c>
      <c r="R3015" s="39">
        <v>3494.69</v>
      </c>
      <c r="S3015" s="39">
        <f t="shared" si="301"/>
        <v>9</v>
      </c>
      <c r="T3015" s="39">
        <f t="shared" si="302"/>
        <v>0</v>
      </c>
      <c r="U3015" s="39">
        <f t="shared" si="303"/>
        <v>0</v>
      </c>
      <c r="V3015" s="40"/>
    </row>
    <row r="3016" spans="2:22" x14ac:dyDescent="0.35">
      <c r="B3016" s="40">
        <v>37510</v>
      </c>
      <c r="C3016" s="39">
        <v>3584.69</v>
      </c>
      <c r="D3016" s="219">
        <f t="shared" si="304"/>
        <v>2.5427325292408209E-2</v>
      </c>
      <c r="F3016" s="40">
        <v>37510</v>
      </c>
      <c r="G3016" s="39">
        <v>3584.69</v>
      </c>
      <c r="H3016" s="39">
        <f t="shared" si="299"/>
        <v>3</v>
      </c>
      <c r="I3016" s="39">
        <f t="shared" si="300"/>
        <v>0</v>
      </c>
      <c r="K3016" s="40"/>
      <c r="Q3016" s="40">
        <v>37510</v>
      </c>
      <c r="R3016" s="39">
        <v>3584.69</v>
      </c>
      <c r="S3016" s="39">
        <f t="shared" si="301"/>
        <v>9</v>
      </c>
      <c r="T3016" s="39">
        <f t="shared" si="302"/>
        <v>0</v>
      </c>
      <c r="U3016" s="39">
        <f t="shared" si="303"/>
        <v>0</v>
      </c>
      <c r="V3016" s="40"/>
    </row>
    <row r="3017" spans="2:22" x14ac:dyDescent="0.35">
      <c r="B3017" s="40">
        <v>37511</v>
      </c>
      <c r="C3017" s="39">
        <v>3421.87</v>
      </c>
      <c r="D3017" s="219">
        <f t="shared" si="304"/>
        <v>-4.6484813635521989E-2</v>
      </c>
      <c r="F3017" s="40">
        <v>37511</v>
      </c>
      <c r="G3017" s="39">
        <v>3421.87</v>
      </c>
      <c r="H3017" s="39">
        <f t="shared" si="299"/>
        <v>4</v>
      </c>
      <c r="I3017" s="39">
        <f t="shared" si="300"/>
        <v>0</v>
      </c>
      <c r="K3017" s="40"/>
      <c r="Q3017" s="40">
        <v>37511</v>
      </c>
      <c r="R3017" s="39">
        <v>3421.87</v>
      </c>
      <c r="S3017" s="39">
        <f t="shared" si="301"/>
        <v>9</v>
      </c>
      <c r="T3017" s="39">
        <f t="shared" si="302"/>
        <v>0</v>
      </c>
      <c r="U3017" s="39">
        <f t="shared" si="303"/>
        <v>0</v>
      </c>
      <c r="V3017" s="40"/>
    </row>
    <row r="3018" spans="2:22" x14ac:dyDescent="0.35">
      <c r="B3018" s="40">
        <v>37512</v>
      </c>
      <c r="C3018" s="39">
        <v>3361.28</v>
      </c>
      <c r="D3018" s="219">
        <f t="shared" si="304"/>
        <v>-1.786533145641649E-2</v>
      </c>
      <c r="F3018" s="40">
        <v>37512</v>
      </c>
      <c r="G3018" s="39">
        <v>3361.28</v>
      </c>
      <c r="H3018" s="39">
        <f t="shared" si="299"/>
        <v>5</v>
      </c>
      <c r="I3018" s="39">
        <f t="shared" si="300"/>
        <v>3361.28</v>
      </c>
      <c r="K3018" s="40"/>
      <c r="Q3018" s="40">
        <v>37512</v>
      </c>
      <c r="R3018" s="39">
        <v>3361.28</v>
      </c>
      <c r="S3018" s="39">
        <f t="shared" si="301"/>
        <v>9</v>
      </c>
      <c r="T3018" s="39">
        <f t="shared" si="302"/>
        <v>0</v>
      </c>
      <c r="U3018" s="39">
        <f t="shared" si="303"/>
        <v>0</v>
      </c>
      <c r="V3018" s="40"/>
    </row>
    <row r="3019" spans="2:22" x14ac:dyDescent="0.35">
      <c r="B3019" s="40">
        <v>37515</v>
      </c>
      <c r="C3019" s="39">
        <v>3319.05</v>
      </c>
      <c r="D3019" s="219">
        <f t="shared" si="304"/>
        <v>-1.2643256409217561E-2</v>
      </c>
      <c r="F3019" s="40">
        <v>37515</v>
      </c>
      <c r="G3019" s="39">
        <v>3319.05</v>
      </c>
      <c r="H3019" s="39">
        <f t="shared" si="299"/>
        <v>1</v>
      </c>
      <c r="I3019" s="39">
        <f t="shared" si="300"/>
        <v>0</v>
      </c>
      <c r="K3019" s="40"/>
      <c r="Q3019" s="40">
        <v>37515</v>
      </c>
      <c r="R3019" s="39">
        <v>3319.05</v>
      </c>
      <c r="S3019" s="39">
        <f t="shared" si="301"/>
        <v>9</v>
      </c>
      <c r="T3019" s="39">
        <f t="shared" si="302"/>
        <v>0</v>
      </c>
      <c r="U3019" s="39">
        <f t="shared" si="303"/>
        <v>0</v>
      </c>
      <c r="V3019" s="40"/>
    </row>
    <row r="3020" spans="2:22" x14ac:dyDescent="0.35">
      <c r="B3020" s="40">
        <v>37516</v>
      </c>
      <c r="C3020" s="39">
        <v>3289.13</v>
      </c>
      <c r="D3020" s="219">
        <f t="shared" si="304"/>
        <v>-9.0555052854127543E-3</v>
      </c>
      <c r="F3020" s="40">
        <v>37516</v>
      </c>
      <c r="G3020" s="39">
        <v>3289.13</v>
      </c>
      <c r="H3020" s="39">
        <f t="shared" si="299"/>
        <v>2</v>
      </c>
      <c r="I3020" s="39">
        <f t="shared" si="300"/>
        <v>0</v>
      </c>
      <c r="K3020" s="40"/>
      <c r="Q3020" s="40">
        <v>37516</v>
      </c>
      <c r="R3020" s="39">
        <v>3289.13</v>
      </c>
      <c r="S3020" s="39">
        <f t="shared" si="301"/>
        <v>9</v>
      </c>
      <c r="T3020" s="39">
        <f t="shared" si="302"/>
        <v>0</v>
      </c>
      <c r="U3020" s="39">
        <f t="shared" si="303"/>
        <v>0</v>
      </c>
      <c r="V3020" s="40"/>
    </row>
    <row r="3021" spans="2:22" x14ac:dyDescent="0.35">
      <c r="B3021" s="40">
        <v>37517</v>
      </c>
      <c r="C3021" s="39">
        <v>3124.92</v>
      </c>
      <c r="D3021" s="219">
        <f t="shared" si="304"/>
        <v>-5.1214409256820741E-2</v>
      </c>
      <c r="F3021" s="40">
        <v>37517</v>
      </c>
      <c r="G3021" s="39">
        <v>3124.92</v>
      </c>
      <c r="H3021" s="39">
        <f t="shared" si="299"/>
        <v>3</v>
      </c>
      <c r="I3021" s="39">
        <f t="shared" si="300"/>
        <v>0</v>
      </c>
      <c r="K3021" s="40"/>
      <c r="Q3021" s="40">
        <v>37517</v>
      </c>
      <c r="R3021" s="39">
        <v>3124.92</v>
      </c>
      <c r="S3021" s="39">
        <f t="shared" si="301"/>
        <v>9</v>
      </c>
      <c r="T3021" s="39">
        <f t="shared" si="302"/>
        <v>0</v>
      </c>
      <c r="U3021" s="39">
        <f t="shared" si="303"/>
        <v>0</v>
      </c>
      <c r="V3021" s="40"/>
    </row>
    <row r="3022" spans="2:22" x14ac:dyDescent="0.35">
      <c r="B3022" s="40">
        <v>37518</v>
      </c>
      <c r="C3022" s="39">
        <v>3007.47</v>
      </c>
      <c r="D3022" s="219">
        <f t="shared" si="304"/>
        <v>-3.8309489106077892E-2</v>
      </c>
      <c r="F3022" s="40">
        <v>37518</v>
      </c>
      <c r="G3022" s="39">
        <v>3007.47</v>
      </c>
      <c r="H3022" s="39">
        <f t="shared" si="299"/>
        <v>4</v>
      </c>
      <c r="I3022" s="39">
        <f t="shared" si="300"/>
        <v>0</v>
      </c>
      <c r="K3022" s="40"/>
      <c r="Q3022" s="40">
        <v>37518</v>
      </c>
      <c r="R3022" s="39">
        <v>3007.47</v>
      </c>
      <c r="S3022" s="39">
        <f t="shared" si="301"/>
        <v>9</v>
      </c>
      <c r="T3022" s="39">
        <f t="shared" si="302"/>
        <v>0</v>
      </c>
      <c r="U3022" s="39">
        <f t="shared" si="303"/>
        <v>0</v>
      </c>
      <c r="V3022" s="40"/>
    </row>
    <row r="3023" spans="2:22" x14ac:dyDescent="0.35">
      <c r="B3023" s="40">
        <v>37519</v>
      </c>
      <c r="C3023" s="39">
        <v>3065.73</v>
      </c>
      <c r="D3023" s="219">
        <f t="shared" si="304"/>
        <v>1.9186520194971475E-2</v>
      </c>
      <c r="F3023" s="40">
        <v>37519</v>
      </c>
      <c r="G3023" s="39">
        <v>3065.73</v>
      </c>
      <c r="H3023" s="39">
        <f t="shared" si="299"/>
        <v>5</v>
      </c>
      <c r="I3023" s="39">
        <f t="shared" si="300"/>
        <v>3065.73</v>
      </c>
      <c r="K3023" s="40"/>
      <c r="Q3023" s="40">
        <v>37519</v>
      </c>
      <c r="R3023" s="39">
        <v>3065.73</v>
      </c>
      <c r="S3023" s="39">
        <f t="shared" si="301"/>
        <v>9</v>
      </c>
      <c r="T3023" s="39">
        <f t="shared" si="302"/>
        <v>0</v>
      </c>
      <c r="U3023" s="39">
        <f t="shared" si="303"/>
        <v>0</v>
      </c>
      <c r="V3023" s="40"/>
    </row>
    <row r="3024" spans="2:22" x14ac:dyDescent="0.35">
      <c r="B3024" s="40">
        <v>37522</v>
      </c>
      <c r="C3024" s="39">
        <v>2914.25</v>
      </c>
      <c r="D3024" s="219">
        <f t="shared" si="304"/>
        <v>-5.0673217131768138E-2</v>
      </c>
      <c r="F3024" s="40">
        <v>37522</v>
      </c>
      <c r="G3024" s="39">
        <v>2914.25</v>
      </c>
      <c r="H3024" s="39">
        <f t="shared" si="299"/>
        <v>1</v>
      </c>
      <c r="I3024" s="39">
        <f t="shared" si="300"/>
        <v>0</v>
      </c>
      <c r="K3024" s="40"/>
      <c r="Q3024" s="40">
        <v>37522</v>
      </c>
      <c r="R3024" s="39">
        <v>2914.25</v>
      </c>
      <c r="S3024" s="39">
        <f t="shared" si="301"/>
        <v>9</v>
      </c>
      <c r="T3024" s="39">
        <f t="shared" si="302"/>
        <v>0</v>
      </c>
      <c r="U3024" s="39">
        <f t="shared" si="303"/>
        <v>0</v>
      </c>
      <c r="V3024" s="40"/>
    </row>
    <row r="3025" spans="2:22" x14ac:dyDescent="0.35">
      <c r="B3025" s="40">
        <v>37523</v>
      </c>
      <c r="C3025" s="39">
        <v>2873.21</v>
      </c>
      <c r="D3025" s="219">
        <f t="shared" si="304"/>
        <v>-1.4182625165424305E-2</v>
      </c>
      <c r="F3025" s="40">
        <v>37523</v>
      </c>
      <c r="G3025" s="39">
        <v>2873.21</v>
      </c>
      <c r="H3025" s="39">
        <f t="shared" si="299"/>
        <v>2</v>
      </c>
      <c r="I3025" s="39">
        <f t="shared" si="300"/>
        <v>0</v>
      </c>
      <c r="K3025" s="40"/>
      <c r="Q3025" s="40">
        <v>37523</v>
      </c>
      <c r="R3025" s="39">
        <v>2873.21</v>
      </c>
      <c r="S3025" s="39">
        <f t="shared" si="301"/>
        <v>9</v>
      </c>
      <c r="T3025" s="39">
        <f t="shared" si="302"/>
        <v>0</v>
      </c>
      <c r="U3025" s="39">
        <f t="shared" si="303"/>
        <v>0</v>
      </c>
      <c r="V3025" s="40"/>
    </row>
    <row r="3026" spans="2:22" x14ac:dyDescent="0.35">
      <c r="B3026" s="40">
        <v>37524</v>
      </c>
      <c r="C3026" s="39">
        <v>2962.5</v>
      </c>
      <c r="D3026" s="219">
        <f t="shared" si="304"/>
        <v>3.0603634808869261E-2</v>
      </c>
      <c r="F3026" s="40">
        <v>37524</v>
      </c>
      <c r="G3026" s="39">
        <v>2962.5</v>
      </c>
      <c r="H3026" s="39">
        <f t="shared" si="299"/>
        <v>3</v>
      </c>
      <c r="I3026" s="39">
        <f t="shared" si="300"/>
        <v>0</v>
      </c>
      <c r="K3026" s="40"/>
      <c r="Q3026" s="40">
        <v>37524</v>
      </c>
      <c r="R3026" s="39">
        <v>2962.5</v>
      </c>
      <c r="S3026" s="39">
        <f t="shared" si="301"/>
        <v>9</v>
      </c>
      <c r="T3026" s="39">
        <f t="shared" si="302"/>
        <v>0</v>
      </c>
      <c r="U3026" s="39">
        <f t="shared" si="303"/>
        <v>0</v>
      </c>
      <c r="V3026" s="40"/>
    </row>
    <row r="3027" spans="2:22" x14ac:dyDescent="0.35">
      <c r="B3027" s="40">
        <v>37525</v>
      </c>
      <c r="C3027" s="39">
        <v>3020.6</v>
      </c>
      <c r="D3027" s="219">
        <f t="shared" si="304"/>
        <v>1.9421980688854607E-2</v>
      </c>
      <c r="F3027" s="40">
        <v>37525</v>
      </c>
      <c r="G3027" s="39">
        <v>3020.6</v>
      </c>
      <c r="H3027" s="39">
        <f t="shared" si="299"/>
        <v>4</v>
      </c>
      <c r="I3027" s="39">
        <f t="shared" si="300"/>
        <v>0</v>
      </c>
      <c r="K3027" s="40"/>
      <c r="Q3027" s="40">
        <v>37525</v>
      </c>
      <c r="R3027" s="39">
        <v>3020.6</v>
      </c>
      <c r="S3027" s="39">
        <f t="shared" si="301"/>
        <v>9</v>
      </c>
      <c r="T3027" s="39">
        <f t="shared" si="302"/>
        <v>0</v>
      </c>
      <c r="U3027" s="39">
        <f t="shared" si="303"/>
        <v>0</v>
      </c>
      <c r="V3027" s="40"/>
    </row>
    <row r="3028" spans="2:22" x14ac:dyDescent="0.35">
      <c r="B3028" s="40">
        <v>37526</v>
      </c>
      <c r="C3028" s="39">
        <v>2918.9</v>
      </c>
      <c r="D3028" s="219">
        <f t="shared" si="304"/>
        <v>-3.4248654172595185E-2</v>
      </c>
      <c r="F3028" s="40">
        <v>37526</v>
      </c>
      <c r="G3028" s="39">
        <v>2918.9</v>
      </c>
      <c r="H3028" s="39">
        <f t="shared" si="299"/>
        <v>5</v>
      </c>
      <c r="I3028" s="39">
        <f t="shared" si="300"/>
        <v>2918.9</v>
      </c>
      <c r="K3028" s="40"/>
      <c r="Q3028" s="40">
        <v>37526</v>
      </c>
      <c r="R3028" s="39">
        <v>2918.9</v>
      </c>
      <c r="S3028" s="39">
        <f t="shared" si="301"/>
        <v>9</v>
      </c>
      <c r="T3028" s="39">
        <f t="shared" si="302"/>
        <v>0</v>
      </c>
      <c r="U3028" s="39">
        <f t="shared" si="303"/>
        <v>0</v>
      </c>
      <c r="V3028" s="40"/>
    </row>
    <row r="3029" spans="2:22" x14ac:dyDescent="0.35">
      <c r="B3029" s="40">
        <v>37529</v>
      </c>
      <c r="C3029" s="39">
        <v>2769.03</v>
      </c>
      <c r="D3029" s="219">
        <f t="shared" si="304"/>
        <v>-5.270975461118757E-2</v>
      </c>
      <c r="F3029" s="40">
        <v>37529</v>
      </c>
      <c r="G3029" s="39">
        <v>2769.03</v>
      </c>
      <c r="H3029" s="39">
        <f t="shared" si="299"/>
        <v>1</v>
      </c>
      <c r="I3029" s="39">
        <f t="shared" si="300"/>
        <v>0</v>
      </c>
      <c r="K3029" s="40"/>
      <c r="Q3029" s="40">
        <v>37529</v>
      </c>
      <c r="R3029" s="39">
        <v>2769.03</v>
      </c>
      <c r="S3029" s="39">
        <f t="shared" si="301"/>
        <v>9</v>
      </c>
      <c r="T3029" s="39">
        <f t="shared" si="302"/>
        <v>2769.03</v>
      </c>
      <c r="U3029" s="39">
        <f t="shared" si="303"/>
        <v>2769.03</v>
      </c>
      <c r="V3029" s="40"/>
    </row>
    <row r="3030" spans="2:22" x14ac:dyDescent="0.35">
      <c r="B3030" s="40">
        <v>37530</v>
      </c>
      <c r="C3030" s="39">
        <v>2865.23</v>
      </c>
      <c r="D3030" s="219">
        <f t="shared" si="304"/>
        <v>3.4151547810288077E-2</v>
      </c>
      <c r="F3030" s="40">
        <v>37530</v>
      </c>
      <c r="G3030" s="39">
        <v>2865.23</v>
      </c>
      <c r="H3030" s="39">
        <f t="shared" si="299"/>
        <v>2</v>
      </c>
      <c r="I3030" s="39">
        <f t="shared" si="300"/>
        <v>0</v>
      </c>
      <c r="K3030" s="40"/>
      <c r="Q3030" s="40">
        <v>37530</v>
      </c>
      <c r="R3030" s="39">
        <v>2865.23</v>
      </c>
      <c r="S3030" s="39">
        <f t="shared" si="301"/>
        <v>10</v>
      </c>
      <c r="T3030" s="39">
        <f t="shared" si="302"/>
        <v>0</v>
      </c>
      <c r="U3030" s="39">
        <f t="shared" si="303"/>
        <v>0</v>
      </c>
      <c r="V3030" s="40"/>
    </row>
    <row r="3031" spans="2:22" x14ac:dyDescent="0.35">
      <c r="B3031" s="40">
        <v>37531</v>
      </c>
      <c r="C3031" s="39">
        <v>2926.74</v>
      </c>
      <c r="D3031" s="219">
        <f t="shared" si="304"/>
        <v>2.124054943599412E-2</v>
      </c>
      <c r="F3031" s="40">
        <v>37531</v>
      </c>
      <c r="G3031" s="39">
        <v>2926.74</v>
      </c>
      <c r="H3031" s="39">
        <f t="shared" si="299"/>
        <v>3</v>
      </c>
      <c r="I3031" s="39">
        <f t="shared" si="300"/>
        <v>0</v>
      </c>
      <c r="K3031" s="40"/>
      <c r="Q3031" s="40">
        <v>37531</v>
      </c>
      <c r="R3031" s="39">
        <v>2926.74</v>
      </c>
      <c r="S3031" s="39">
        <f t="shared" si="301"/>
        <v>10</v>
      </c>
      <c r="T3031" s="39">
        <f t="shared" si="302"/>
        <v>0</v>
      </c>
      <c r="U3031" s="39">
        <f t="shared" si="303"/>
        <v>0</v>
      </c>
      <c r="V3031" s="40"/>
    </row>
    <row r="3032" spans="2:22" x14ac:dyDescent="0.35">
      <c r="B3032" s="40">
        <v>37532</v>
      </c>
      <c r="C3032" s="39">
        <v>2813.3</v>
      </c>
      <c r="D3032" s="219">
        <f t="shared" si="304"/>
        <v>-3.953100408427189E-2</v>
      </c>
      <c r="F3032" s="40">
        <v>37532</v>
      </c>
      <c r="G3032" s="39">
        <v>2813.3</v>
      </c>
      <c r="H3032" s="39">
        <f t="shared" si="299"/>
        <v>4</v>
      </c>
      <c r="I3032" s="39">
        <f t="shared" si="300"/>
        <v>0</v>
      </c>
      <c r="K3032" s="40"/>
      <c r="Q3032" s="40">
        <v>37532</v>
      </c>
      <c r="R3032" s="39">
        <v>2813.3</v>
      </c>
      <c r="S3032" s="39">
        <f t="shared" si="301"/>
        <v>10</v>
      </c>
      <c r="T3032" s="39">
        <f t="shared" si="302"/>
        <v>0</v>
      </c>
      <c r="U3032" s="39">
        <f t="shared" si="303"/>
        <v>0</v>
      </c>
      <c r="V3032" s="40"/>
    </row>
    <row r="3033" spans="2:22" x14ac:dyDescent="0.35">
      <c r="B3033" s="40">
        <v>37533</v>
      </c>
      <c r="C3033" s="39">
        <v>2714.62</v>
      </c>
      <c r="D3033" s="219">
        <f t="shared" si="304"/>
        <v>-3.5706191105778697E-2</v>
      </c>
      <c r="F3033" s="40">
        <v>37533</v>
      </c>
      <c r="G3033" s="39">
        <v>2714.62</v>
      </c>
      <c r="H3033" s="39">
        <f t="shared" si="299"/>
        <v>5</v>
      </c>
      <c r="I3033" s="39">
        <f t="shared" si="300"/>
        <v>2714.62</v>
      </c>
      <c r="K3033" s="40"/>
      <c r="Q3033" s="40">
        <v>37533</v>
      </c>
      <c r="R3033" s="39">
        <v>2714.62</v>
      </c>
      <c r="S3033" s="39">
        <f t="shared" si="301"/>
        <v>10</v>
      </c>
      <c r="T3033" s="39">
        <f t="shared" si="302"/>
        <v>0</v>
      </c>
      <c r="U3033" s="39">
        <f t="shared" si="303"/>
        <v>0</v>
      </c>
      <c r="V3033" s="40"/>
    </row>
    <row r="3034" spans="2:22" x14ac:dyDescent="0.35">
      <c r="B3034" s="40">
        <v>37536</v>
      </c>
      <c r="C3034" s="39">
        <v>2667.39</v>
      </c>
      <c r="D3034" s="219">
        <f t="shared" si="304"/>
        <v>-1.7551514192456898E-2</v>
      </c>
      <c r="F3034" s="40">
        <v>37536</v>
      </c>
      <c r="G3034" s="39">
        <v>2667.39</v>
      </c>
      <c r="H3034" s="39">
        <f t="shared" si="299"/>
        <v>1</v>
      </c>
      <c r="I3034" s="39">
        <f t="shared" si="300"/>
        <v>0</v>
      </c>
      <c r="K3034" s="40"/>
      <c r="Q3034" s="40">
        <v>37536</v>
      </c>
      <c r="R3034" s="39">
        <v>2667.39</v>
      </c>
      <c r="S3034" s="39">
        <f t="shared" si="301"/>
        <v>10</v>
      </c>
      <c r="T3034" s="39">
        <f t="shared" si="302"/>
        <v>0</v>
      </c>
      <c r="U3034" s="39">
        <f t="shared" si="303"/>
        <v>0</v>
      </c>
      <c r="V3034" s="40"/>
    </row>
    <row r="3035" spans="2:22" x14ac:dyDescent="0.35">
      <c r="B3035" s="40">
        <v>37537</v>
      </c>
      <c r="C3035" s="39">
        <v>2622.09</v>
      </c>
      <c r="D3035" s="219">
        <f t="shared" si="304"/>
        <v>-1.7128756534883556E-2</v>
      </c>
      <c r="F3035" s="40">
        <v>37537</v>
      </c>
      <c r="G3035" s="39">
        <v>2622.09</v>
      </c>
      <c r="H3035" s="39">
        <f t="shared" si="299"/>
        <v>2</v>
      </c>
      <c r="I3035" s="39">
        <f t="shared" si="300"/>
        <v>0</v>
      </c>
      <c r="K3035" s="40"/>
      <c r="Q3035" s="40">
        <v>37537</v>
      </c>
      <c r="R3035" s="39">
        <v>2622.09</v>
      </c>
      <c r="S3035" s="39">
        <f t="shared" si="301"/>
        <v>10</v>
      </c>
      <c r="T3035" s="39">
        <f t="shared" si="302"/>
        <v>0</v>
      </c>
      <c r="U3035" s="39">
        <f t="shared" si="303"/>
        <v>0</v>
      </c>
      <c r="V3035" s="40"/>
    </row>
    <row r="3036" spans="2:22" x14ac:dyDescent="0.35">
      <c r="B3036" s="40">
        <v>37538</v>
      </c>
      <c r="C3036" s="39">
        <v>2597.88</v>
      </c>
      <c r="D3036" s="219">
        <f t="shared" si="304"/>
        <v>-9.2759818900102486E-3</v>
      </c>
      <c r="F3036" s="40">
        <v>37538</v>
      </c>
      <c r="G3036" s="39">
        <v>2597.88</v>
      </c>
      <c r="H3036" s="39">
        <f t="shared" si="299"/>
        <v>3</v>
      </c>
      <c r="I3036" s="39">
        <f t="shared" si="300"/>
        <v>0</v>
      </c>
      <c r="K3036" s="40"/>
      <c r="Q3036" s="40">
        <v>37538</v>
      </c>
      <c r="R3036" s="39">
        <v>2597.88</v>
      </c>
      <c r="S3036" s="39">
        <f t="shared" si="301"/>
        <v>10</v>
      </c>
      <c r="T3036" s="39">
        <f t="shared" si="302"/>
        <v>0</v>
      </c>
      <c r="U3036" s="39">
        <f t="shared" si="303"/>
        <v>0</v>
      </c>
      <c r="V3036" s="40"/>
    </row>
    <row r="3037" spans="2:22" x14ac:dyDescent="0.35">
      <c r="B3037" s="40">
        <v>37539</v>
      </c>
      <c r="C3037" s="39">
        <v>2733.19</v>
      </c>
      <c r="D3037" s="219">
        <f t="shared" si="304"/>
        <v>5.077369739753148E-2</v>
      </c>
      <c r="F3037" s="40">
        <v>37539</v>
      </c>
      <c r="G3037" s="39">
        <v>2733.19</v>
      </c>
      <c r="H3037" s="39">
        <f t="shared" si="299"/>
        <v>4</v>
      </c>
      <c r="I3037" s="39">
        <f t="shared" si="300"/>
        <v>0</v>
      </c>
      <c r="K3037" s="40"/>
      <c r="Q3037" s="40">
        <v>37539</v>
      </c>
      <c r="R3037" s="39">
        <v>2733.19</v>
      </c>
      <c r="S3037" s="39">
        <f t="shared" si="301"/>
        <v>10</v>
      </c>
      <c r="T3037" s="39">
        <f t="shared" si="302"/>
        <v>0</v>
      </c>
      <c r="U3037" s="39">
        <f t="shared" si="303"/>
        <v>0</v>
      </c>
      <c r="V3037" s="40"/>
    </row>
    <row r="3038" spans="2:22" x14ac:dyDescent="0.35">
      <c r="B3038" s="40">
        <v>37540</v>
      </c>
      <c r="C3038" s="39">
        <v>2930.74</v>
      </c>
      <c r="D3038" s="219">
        <f t="shared" si="304"/>
        <v>6.9785525665365639E-2</v>
      </c>
      <c r="F3038" s="40">
        <v>37540</v>
      </c>
      <c r="G3038" s="39">
        <v>2930.74</v>
      </c>
      <c r="H3038" s="39">
        <f t="shared" si="299"/>
        <v>5</v>
      </c>
      <c r="I3038" s="39">
        <f t="shared" si="300"/>
        <v>2930.74</v>
      </c>
      <c r="K3038" s="40"/>
      <c r="Q3038" s="40">
        <v>37540</v>
      </c>
      <c r="R3038" s="39">
        <v>2930.74</v>
      </c>
      <c r="S3038" s="39">
        <f t="shared" si="301"/>
        <v>10</v>
      </c>
      <c r="T3038" s="39">
        <f t="shared" si="302"/>
        <v>0</v>
      </c>
      <c r="U3038" s="39">
        <f t="shared" si="303"/>
        <v>0</v>
      </c>
      <c r="V3038" s="40"/>
    </row>
    <row r="3039" spans="2:22" x14ac:dyDescent="0.35">
      <c r="B3039" s="40">
        <v>37543</v>
      </c>
      <c r="C3039" s="39">
        <v>2850.11</v>
      </c>
      <c r="D3039" s="219">
        <f t="shared" si="304"/>
        <v>-2.7897360841137499E-2</v>
      </c>
      <c r="F3039" s="40">
        <v>37543</v>
      </c>
      <c r="G3039" s="39">
        <v>2850.11</v>
      </c>
      <c r="H3039" s="39">
        <f t="shared" si="299"/>
        <v>1</v>
      </c>
      <c r="I3039" s="39">
        <f t="shared" si="300"/>
        <v>0</v>
      </c>
      <c r="K3039" s="40"/>
      <c r="Q3039" s="40">
        <v>37543</v>
      </c>
      <c r="R3039" s="39">
        <v>2850.11</v>
      </c>
      <c r="S3039" s="39">
        <f t="shared" si="301"/>
        <v>10</v>
      </c>
      <c r="T3039" s="39">
        <f t="shared" si="302"/>
        <v>0</v>
      </c>
      <c r="U3039" s="39">
        <f t="shared" si="303"/>
        <v>0</v>
      </c>
      <c r="V3039" s="40"/>
    </row>
    <row r="3040" spans="2:22" x14ac:dyDescent="0.35">
      <c r="B3040" s="40">
        <v>37544</v>
      </c>
      <c r="C3040" s="39">
        <v>3048.27</v>
      </c>
      <c r="D3040" s="219">
        <f t="shared" si="304"/>
        <v>6.7216626551389561E-2</v>
      </c>
      <c r="F3040" s="40">
        <v>37544</v>
      </c>
      <c r="G3040" s="39">
        <v>3048.27</v>
      </c>
      <c r="H3040" s="39">
        <f t="shared" si="299"/>
        <v>2</v>
      </c>
      <c r="I3040" s="39">
        <f t="shared" si="300"/>
        <v>0</v>
      </c>
      <c r="K3040" s="40"/>
      <c r="Q3040" s="40">
        <v>37544</v>
      </c>
      <c r="R3040" s="39">
        <v>3048.27</v>
      </c>
      <c r="S3040" s="39">
        <f t="shared" si="301"/>
        <v>10</v>
      </c>
      <c r="T3040" s="39">
        <f t="shared" si="302"/>
        <v>0</v>
      </c>
      <c r="U3040" s="39">
        <f t="shared" si="303"/>
        <v>0</v>
      </c>
      <c r="V3040" s="40"/>
    </row>
    <row r="3041" spans="2:22" x14ac:dyDescent="0.35">
      <c r="B3041" s="40">
        <v>37545</v>
      </c>
      <c r="C3041" s="39">
        <v>3008.93</v>
      </c>
      <c r="D3041" s="219">
        <f t="shared" si="304"/>
        <v>-1.298968274374898E-2</v>
      </c>
      <c r="F3041" s="40">
        <v>37545</v>
      </c>
      <c r="G3041" s="39">
        <v>3008.93</v>
      </c>
      <c r="H3041" s="39">
        <f t="shared" si="299"/>
        <v>3</v>
      </c>
      <c r="I3041" s="39">
        <f t="shared" si="300"/>
        <v>0</v>
      </c>
      <c r="K3041" s="40"/>
      <c r="Q3041" s="40">
        <v>37545</v>
      </c>
      <c r="R3041" s="39">
        <v>3008.93</v>
      </c>
      <c r="S3041" s="39">
        <f t="shared" si="301"/>
        <v>10</v>
      </c>
      <c r="T3041" s="39">
        <f t="shared" si="302"/>
        <v>0</v>
      </c>
      <c r="U3041" s="39">
        <f t="shared" si="303"/>
        <v>0</v>
      </c>
      <c r="V3041" s="40"/>
    </row>
    <row r="3042" spans="2:22" x14ac:dyDescent="0.35">
      <c r="B3042" s="40">
        <v>37546</v>
      </c>
      <c r="C3042" s="39">
        <v>3172.46</v>
      </c>
      <c r="D3042" s="219">
        <f t="shared" si="304"/>
        <v>5.2922778339283459E-2</v>
      </c>
      <c r="F3042" s="40">
        <v>37546</v>
      </c>
      <c r="G3042" s="39">
        <v>3172.46</v>
      </c>
      <c r="H3042" s="39">
        <f t="shared" si="299"/>
        <v>4</v>
      </c>
      <c r="I3042" s="39">
        <f t="shared" si="300"/>
        <v>0</v>
      </c>
      <c r="K3042" s="40"/>
      <c r="Q3042" s="40">
        <v>37546</v>
      </c>
      <c r="R3042" s="39">
        <v>3172.46</v>
      </c>
      <c r="S3042" s="39">
        <f t="shared" si="301"/>
        <v>10</v>
      </c>
      <c r="T3042" s="39">
        <f t="shared" si="302"/>
        <v>0</v>
      </c>
      <c r="U3042" s="39">
        <f t="shared" si="303"/>
        <v>0</v>
      </c>
      <c r="V3042" s="40"/>
    </row>
    <row r="3043" spans="2:22" x14ac:dyDescent="0.35">
      <c r="B3043" s="40">
        <v>37547</v>
      </c>
      <c r="C3043" s="39">
        <v>3163.67</v>
      </c>
      <c r="D3043" s="219">
        <f t="shared" si="304"/>
        <v>-2.7745660644409855E-3</v>
      </c>
      <c r="F3043" s="40">
        <v>37547</v>
      </c>
      <c r="G3043" s="39">
        <v>3163.67</v>
      </c>
      <c r="H3043" s="39">
        <f t="shared" si="299"/>
        <v>5</v>
      </c>
      <c r="I3043" s="39">
        <f t="shared" si="300"/>
        <v>3163.67</v>
      </c>
      <c r="K3043" s="40"/>
      <c r="Q3043" s="40">
        <v>37547</v>
      </c>
      <c r="R3043" s="39">
        <v>3163.67</v>
      </c>
      <c r="S3043" s="39">
        <f t="shared" si="301"/>
        <v>10</v>
      </c>
      <c r="T3043" s="39">
        <f t="shared" si="302"/>
        <v>0</v>
      </c>
      <c r="U3043" s="39">
        <f t="shared" si="303"/>
        <v>0</v>
      </c>
      <c r="V3043" s="40"/>
    </row>
    <row r="3044" spans="2:22" x14ac:dyDescent="0.35">
      <c r="B3044" s="40">
        <v>37550</v>
      </c>
      <c r="C3044" s="39">
        <v>3282.67</v>
      </c>
      <c r="D3044" s="219">
        <f t="shared" si="304"/>
        <v>3.6924369538688315E-2</v>
      </c>
      <c r="F3044" s="40">
        <v>37550</v>
      </c>
      <c r="G3044" s="39">
        <v>3282.67</v>
      </c>
      <c r="H3044" s="39">
        <f t="shared" si="299"/>
        <v>1</v>
      </c>
      <c r="I3044" s="39">
        <f t="shared" si="300"/>
        <v>0</v>
      </c>
      <c r="K3044" s="40"/>
      <c r="Q3044" s="40">
        <v>37550</v>
      </c>
      <c r="R3044" s="39">
        <v>3282.67</v>
      </c>
      <c r="S3044" s="39">
        <f t="shared" si="301"/>
        <v>10</v>
      </c>
      <c r="T3044" s="39">
        <f t="shared" si="302"/>
        <v>0</v>
      </c>
      <c r="U3044" s="39">
        <f t="shared" si="303"/>
        <v>0</v>
      </c>
      <c r="V3044" s="40"/>
    </row>
    <row r="3045" spans="2:22" x14ac:dyDescent="0.35">
      <c r="B3045" s="40">
        <v>37551</v>
      </c>
      <c r="C3045" s="39">
        <v>3155.97</v>
      </c>
      <c r="D3045" s="219">
        <f t="shared" si="304"/>
        <v>-3.9361218413107003E-2</v>
      </c>
      <c r="F3045" s="40">
        <v>37551</v>
      </c>
      <c r="G3045" s="39">
        <v>3155.97</v>
      </c>
      <c r="H3045" s="39">
        <f t="shared" si="299"/>
        <v>2</v>
      </c>
      <c r="I3045" s="39">
        <f t="shared" si="300"/>
        <v>0</v>
      </c>
      <c r="K3045" s="40"/>
      <c r="Q3045" s="40">
        <v>37551</v>
      </c>
      <c r="R3045" s="39">
        <v>3155.97</v>
      </c>
      <c r="S3045" s="39">
        <f t="shared" si="301"/>
        <v>10</v>
      </c>
      <c r="T3045" s="39">
        <f t="shared" si="302"/>
        <v>0</v>
      </c>
      <c r="U3045" s="39">
        <f t="shared" si="303"/>
        <v>0</v>
      </c>
      <c r="V3045" s="40"/>
    </row>
    <row r="3046" spans="2:22" x14ac:dyDescent="0.35">
      <c r="B3046" s="40">
        <v>37552</v>
      </c>
      <c r="C3046" s="39">
        <v>3015.42</v>
      </c>
      <c r="D3046" s="219">
        <f t="shared" si="304"/>
        <v>-4.5556773275119526E-2</v>
      </c>
      <c r="F3046" s="40">
        <v>37552</v>
      </c>
      <c r="G3046" s="39">
        <v>3015.42</v>
      </c>
      <c r="H3046" s="39">
        <f t="shared" si="299"/>
        <v>3</v>
      </c>
      <c r="I3046" s="39">
        <f t="shared" si="300"/>
        <v>0</v>
      </c>
      <c r="K3046" s="40"/>
      <c r="Q3046" s="40">
        <v>37552</v>
      </c>
      <c r="R3046" s="39">
        <v>3015.42</v>
      </c>
      <c r="S3046" s="39">
        <f t="shared" si="301"/>
        <v>10</v>
      </c>
      <c r="T3046" s="39">
        <f t="shared" si="302"/>
        <v>0</v>
      </c>
      <c r="U3046" s="39">
        <f t="shared" si="303"/>
        <v>0</v>
      </c>
      <c r="V3046" s="40"/>
    </row>
    <row r="3047" spans="2:22" x14ac:dyDescent="0.35">
      <c r="B3047" s="40">
        <v>37553</v>
      </c>
      <c r="C3047" s="39">
        <v>3090.01</v>
      </c>
      <c r="D3047" s="219">
        <f t="shared" si="304"/>
        <v>2.4435203190465465E-2</v>
      </c>
      <c r="F3047" s="40">
        <v>37553</v>
      </c>
      <c r="G3047" s="39">
        <v>3090.01</v>
      </c>
      <c r="H3047" s="39">
        <f t="shared" si="299"/>
        <v>4</v>
      </c>
      <c r="I3047" s="39">
        <f t="shared" si="300"/>
        <v>0</v>
      </c>
      <c r="K3047" s="40"/>
      <c r="Q3047" s="40">
        <v>37553</v>
      </c>
      <c r="R3047" s="39">
        <v>3090.01</v>
      </c>
      <c r="S3047" s="39">
        <f t="shared" si="301"/>
        <v>10</v>
      </c>
      <c r="T3047" s="39">
        <f t="shared" si="302"/>
        <v>0</v>
      </c>
      <c r="U3047" s="39">
        <f t="shared" si="303"/>
        <v>0</v>
      </c>
      <c r="V3047" s="40"/>
    </row>
    <row r="3048" spans="2:22" x14ac:dyDescent="0.35">
      <c r="B3048" s="40">
        <v>37554</v>
      </c>
      <c r="C3048" s="39">
        <v>3102.01</v>
      </c>
      <c r="D3048" s="219">
        <f t="shared" si="304"/>
        <v>3.8759613254067313E-3</v>
      </c>
      <c r="F3048" s="40">
        <v>37554</v>
      </c>
      <c r="G3048" s="39">
        <v>3102.01</v>
      </c>
      <c r="H3048" s="39">
        <f t="shared" si="299"/>
        <v>5</v>
      </c>
      <c r="I3048" s="39">
        <f t="shared" si="300"/>
        <v>3102.01</v>
      </c>
      <c r="K3048" s="40"/>
      <c r="Q3048" s="40">
        <v>37554</v>
      </c>
      <c r="R3048" s="39">
        <v>3102.01</v>
      </c>
      <c r="S3048" s="39">
        <f t="shared" si="301"/>
        <v>10</v>
      </c>
      <c r="T3048" s="39">
        <f t="shared" si="302"/>
        <v>0</v>
      </c>
      <c r="U3048" s="39">
        <f t="shared" si="303"/>
        <v>0</v>
      </c>
      <c r="V3048" s="40"/>
    </row>
    <row r="3049" spans="2:22" x14ac:dyDescent="0.35">
      <c r="B3049" s="40">
        <v>37557</v>
      </c>
      <c r="C3049" s="39">
        <v>3198.96</v>
      </c>
      <c r="D3049" s="219">
        <f t="shared" si="304"/>
        <v>3.0775468505956371E-2</v>
      </c>
      <c r="F3049" s="40">
        <v>37557</v>
      </c>
      <c r="G3049" s="39">
        <v>3198.96</v>
      </c>
      <c r="H3049" s="39">
        <f t="shared" si="299"/>
        <v>1</v>
      </c>
      <c r="I3049" s="39">
        <f t="shared" si="300"/>
        <v>0</v>
      </c>
      <c r="K3049" s="40"/>
      <c r="Q3049" s="40">
        <v>37557</v>
      </c>
      <c r="R3049" s="39">
        <v>3198.96</v>
      </c>
      <c r="S3049" s="39">
        <f t="shared" si="301"/>
        <v>10</v>
      </c>
      <c r="T3049" s="39">
        <f t="shared" si="302"/>
        <v>0</v>
      </c>
      <c r="U3049" s="39">
        <f t="shared" si="303"/>
        <v>0</v>
      </c>
      <c r="V3049" s="40"/>
    </row>
    <row r="3050" spans="2:22" x14ac:dyDescent="0.35">
      <c r="B3050" s="40">
        <v>37558</v>
      </c>
      <c r="C3050" s="39">
        <v>3022.01</v>
      </c>
      <c r="D3050" s="219">
        <f t="shared" si="304"/>
        <v>-5.6903584069819227E-2</v>
      </c>
      <c r="F3050" s="40">
        <v>37558</v>
      </c>
      <c r="G3050" s="39">
        <v>3022.01</v>
      </c>
      <c r="H3050" s="39">
        <f t="shared" si="299"/>
        <v>2</v>
      </c>
      <c r="I3050" s="39">
        <f t="shared" si="300"/>
        <v>0</v>
      </c>
      <c r="K3050" s="40"/>
      <c r="Q3050" s="40">
        <v>37558</v>
      </c>
      <c r="R3050" s="39">
        <v>3022.01</v>
      </c>
      <c r="S3050" s="39">
        <f t="shared" si="301"/>
        <v>10</v>
      </c>
      <c r="T3050" s="39">
        <f t="shared" si="302"/>
        <v>0</v>
      </c>
      <c r="U3050" s="39">
        <f t="shared" si="303"/>
        <v>0</v>
      </c>
      <c r="V3050" s="40"/>
    </row>
    <row r="3051" spans="2:22" x14ac:dyDescent="0.35">
      <c r="B3051" s="40">
        <v>37559</v>
      </c>
      <c r="C3051" s="39">
        <v>3113.59</v>
      </c>
      <c r="D3051" s="219">
        <f t="shared" si="304"/>
        <v>2.9854228376134009E-2</v>
      </c>
      <c r="F3051" s="40">
        <v>37559</v>
      </c>
      <c r="G3051" s="39">
        <v>3113.59</v>
      </c>
      <c r="H3051" s="39">
        <f t="shared" si="299"/>
        <v>3</v>
      </c>
      <c r="I3051" s="39">
        <f t="shared" si="300"/>
        <v>0</v>
      </c>
      <c r="K3051" s="40"/>
      <c r="Q3051" s="40">
        <v>37559</v>
      </c>
      <c r="R3051" s="39">
        <v>3113.59</v>
      </c>
      <c r="S3051" s="39">
        <f t="shared" si="301"/>
        <v>10</v>
      </c>
      <c r="T3051" s="39">
        <f t="shared" si="302"/>
        <v>0</v>
      </c>
      <c r="U3051" s="39">
        <f t="shared" si="303"/>
        <v>0</v>
      </c>
      <c r="V3051" s="40"/>
    </row>
    <row r="3052" spans="2:22" x14ac:dyDescent="0.35">
      <c r="B3052" s="40">
        <v>37560</v>
      </c>
      <c r="C3052" s="39">
        <v>3152.85</v>
      </c>
      <c r="D3052" s="219">
        <f t="shared" si="304"/>
        <v>1.2530404403911387E-2</v>
      </c>
      <c r="F3052" s="40">
        <v>37560</v>
      </c>
      <c r="G3052" s="39">
        <v>3152.85</v>
      </c>
      <c r="H3052" s="39">
        <f t="shared" si="299"/>
        <v>4</v>
      </c>
      <c r="I3052" s="39">
        <f t="shared" si="300"/>
        <v>0</v>
      </c>
      <c r="K3052" s="40"/>
      <c r="Q3052" s="40">
        <v>37560</v>
      </c>
      <c r="R3052" s="39">
        <v>3152.85</v>
      </c>
      <c r="S3052" s="39">
        <f t="shared" si="301"/>
        <v>10</v>
      </c>
      <c r="T3052" s="39">
        <f t="shared" si="302"/>
        <v>3152.85</v>
      </c>
      <c r="U3052" s="39">
        <f t="shared" si="303"/>
        <v>3152.85</v>
      </c>
      <c r="V3052" s="40"/>
    </row>
    <row r="3053" spans="2:22" x14ac:dyDescent="0.35">
      <c r="B3053" s="40">
        <v>37561</v>
      </c>
      <c r="C3053" s="39">
        <v>3165.16</v>
      </c>
      <c r="D3053" s="219">
        <f t="shared" si="304"/>
        <v>3.8968015490128301E-3</v>
      </c>
      <c r="F3053" s="40">
        <v>37561</v>
      </c>
      <c r="G3053" s="39">
        <v>3165.16</v>
      </c>
      <c r="H3053" s="39">
        <f t="shared" si="299"/>
        <v>5</v>
      </c>
      <c r="I3053" s="39">
        <f t="shared" si="300"/>
        <v>3165.16</v>
      </c>
      <c r="K3053" s="40"/>
      <c r="Q3053" s="40">
        <v>37561</v>
      </c>
      <c r="R3053" s="39">
        <v>3165.16</v>
      </c>
      <c r="S3053" s="39">
        <f t="shared" si="301"/>
        <v>11</v>
      </c>
      <c r="T3053" s="39">
        <f t="shared" si="302"/>
        <v>0</v>
      </c>
      <c r="U3053" s="39">
        <f t="shared" si="303"/>
        <v>0</v>
      </c>
      <c r="V3053" s="40"/>
    </row>
    <row r="3054" spans="2:22" x14ac:dyDescent="0.35">
      <c r="B3054" s="40">
        <v>37564</v>
      </c>
      <c r="C3054" s="39">
        <v>3327.94</v>
      </c>
      <c r="D3054" s="219">
        <f t="shared" si="304"/>
        <v>5.0149886709312398E-2</v>
      </c>
      <c r="F3054" s="40">
        <v>37564</v>
      </c>
      <c r="G3054" s="39">
        <v>3327.94</v>
      </c>
      <c r="H3054" s="39">
        <f t="shared" si="299"/>
        <v>1</v>
      </c>
      <c r="I3054" s="39">
        <f t="shared" si="300"/>
        <v>0</v>
      </c>
      <c r="K3054" s="40"/>
      <c r="Q3054" s="40">
        <v>37564</v>
      </c>
      <c r="R3054" s="39">
        <v>3327.94</v>
      </c>
      <c r="S3054" s="39">
        <f t="shared" si="301"/>
        <v>11</v>
      </c>
      <c r="T3054" s="39">
        <f t="shared" si="302"/>
        <v>0</v>
      </c>
      <c r="U3054" s="39">
        <f t="shared" si="303"/>
        <v>0</v>
      </c>
      <c r="V3054" s="40"/>
    </row>
    <row r="3055" spans="2:22" x14ac:dyDescent="0.35">
      <c r="B3055" s="40">
        <v>37565</v>
      </c>
      <c r="C3055" s="39">
        <v>3351.32</v>
      </c>
      <c r="D3055" s="219">
        <f t="shared" si="304"/>
        <v>7.000804128059388E-3</v>
      </c>
      <c r="F3055" s="40">
        <v>37565</v>
      </c>
      <c r="G3055" s="39">
        <v>3351.32</v>
      </c>
      <c r="H3055" s="39">
        <f t="shared" si="299"/>
        <v>2</v>
      </c>
      <c r="I3055" s="39">
        <f t="shared" si="300"/>
        <v>0</v>
      </c>
      <c r="K3055" s="40"/>
      <c r="Q3055" s="40">
        <v>37565</v>
      </c>
      <c r="R3055" s="39">
        <v>3351.32</v>
      </c>
      <c r="S3055" s="39">
        <f t="shared" si="301"/>
        <v>11</v>
      </c>
      <c r="T3055" s="39">
        <f t="shared" si="302"/>
        <v>0</v>
      </c>
      <c r="U3055" s="39">
        <f t="shared" si="303"/>
        <v>0</v>
      </c>
      <c r="V3055" s="40"/>
    </row>
    <row r="3056" spans="2:22" x14ac:dyDescent="0.35">
      <c r="B3056" s="40">
        <v>37566</v>
      </c>
      <c r="C3056" s="39">
        <v>3298.84</v>
      </c>
      <c r="D3056" s="219">
        <f t="shared" si="304"/>
        <v>-1.5783406553359382E-2</v>
      </c>
      <c r="F3056" s="40">
        <v>37566</v>
      </c>
      <c r="G3056" s="39">
        <v>3298.84</v>
      </c>
      <c r="H3056" s="39">
        <f t="shared" si="299"/>
        <v>3</v>
      </c>
      <c r="I3056" s="39">
        <f t="shared" si="300"/>
        <v>0</v>
      </c>
      <c r="K3056" s="40"/>
      <c r="Q3056" s="40">
        <v>37566</v>
      </c>
      <c r="R3056" s="39">
        <v>3298.84</v>
      </c>
      <c r="S3056" s="39">
        <f t="shared" si="301"/>
        <v>11</v>
      </c>
      <c r="T3056" s="39">
        <f t="shared" si="302"/>
        <v>0</v>
      </c>
      <c r="U3056" s="39">
        <f t="shared" si="303"/>
        <v>0</v>
      </c>
      <c r="V3056" s="40"/>
    </row>
    <row r="3057" spans="2:22" x14ac:dyDescent="0.35">
      <c r="B3057" s="40">
        <v>37567</v>
      </c>
      <c r="C3057" s="39">
        <v>3155.66</v>
      </c>
      <c r="D3057" s="219">
        <f t="shared" si="304"/>
        <v>-4.4373225650242723E-2</v>
      </c>
      <c r="F3057" s="40">
        <v>37567</v>
      </c>
      <c r="G3057" s="39">
        <v>3155.66</v>
      </c>
      <c r="H3057" s="39">
        <f t="shared" si="299"/>
        <v>4</v>
      </c>
      <c r="I3057" s="39">
        <f t="shared" si="300"/>
        <v>0</v>
      </c>
      <c r="K3057" s="40"/>
      <c r="Q3057" s="40">
        <v>37567</v>
      </c>
      <c r="R3057" s="39">
        <v>3155.66</v>
      </c>
      <c r="S3057" s="39">
        <f t="shared" si="301"/>
        <v>11</v>
      </c>
      <c r="T3057" s="39">
        <f t="shared" si="302"/>
        <v>0</v>
      </c>
      <c r="U3057" s="39">
        <f t="shared" si="303"/>
        <v>0</v>
      </c>
      <c r="V3057" s="40"/>
    </row>
    <row r="3058" spans="2:22" x14ac:dyDescent="0.35">
      <c r="B3058" s="40">
        <v>37568</v>
      </c>
      <c r="C3058" s="39">
        <v>3079.1</v>
      </c>
      <c r="D3058" s="219">
        <f t="shared" si="304"/>
        <v>-2.4560319382484125E-2</v>
      </c>
      <c r="F3058" s="40">
        <v>37568</v>
      </c>
      <c r="G3058" s="39">
        <v>3079.1</v>
      </c>
      <c r="H3058" s="39">
        <f t="shared" si="299"/>
        <v>5</v>
      </c>
      <c r="I3058" s="39">
        <f t="shared" si="300"/>
        <v>3079.1</v>
      </c>
      <c r="K3058" s="40"/>
      <c r="Q3058" s="40">
        <v>37568</v>
      </c>
      <c r="R3058" s="39">
        <v>3079.1</v>
      </c>
      <c r="S3058" s="39">
        <f t="shared" si="301"/>
        <v>11</v>
      </c>
      <c r="T3058" s="39">
        <f t="shared" si="302"/>
        <v>0</v>
      </c>
      <c r="U3058" s="39">
        <f t="shared" si="303"/>
        <v>0</v>
      </c>
      <c r="V3058" s="40"/>
    </row>
    <row r="3059" spans="2:22" x14ac:dyDescent="0.35">
      <c r="B3059" s="40">
        <v>37571</v>
      </c>
      <c r="C3059" s="39">
        <v>3042.06</v>
      </c>
      <c r="D3059" s="219">
        <f t="shared" si="304"/>
        <v>-1.210242898379388E-2</v>
      </c>
      <c r="F3059" s="40">
        <v>37571</v>
      </c>
      <c r="G3059" s="39">
        <v>3042.06</v>
      </c>
      <c r="H3059" s="39">
        <f t="shared" si="299"/>
        <v>1</v>
      </c>
      <c r="I3059" s="39">
        <f t="shared" si="300"/>
        <v>0</v>
      </c>
      <c r="K3059" s="40"/>
      <c r="Q3059" s="40">
        <v>37571</v>
      </c>
      <c r="R3059" s="39">
        <v>3042.06</v>
      </c>
      <c r="S3059" s="39">
        <f t="shared" si="301"/>
        <v>11</v>
      </c>
      <c r="T3059" s="39">
        <f t="shared" si="302"/>
        <v>0</v>
      </c>
      <c r="U3059" s="39">
        <f t="shared" si="303"/>
        <v>0</v>
      </c>
      <c r="V3059" s="40"/>
    </row>
    <row r="3060" spans="2:22" x14ac:dyDescent="0.35">
      <c r="B3060" s="40">
        <v>37572</v>
      </c>
      <c r="C3060" s="39">
        <v>3115.88</v>
      </c>
      <c r="D3060" s="219">
        <f t="shared" si="304"/>
        <v>2.3976698847046778E-2</v>
      </c>
      <c r="F3060" s="40">
        <v>37572</v>
      </c>
      <c r="G3060" s="39">
        <v>3115.88</v>
      </c>
      <c r="H3060" s="39">
        <f t="shared" si="299"/>
        <v>2</v>
      </c>
      <c r="I3060" s="39">
        <f t="shared" si="300"/>
        <v>0</v>
      </c>
      <c r="K3060" s="40"/>
      <c r="Q3060" s="40">
        <v>37572</v>
      </c>
      <c r="R3060" s="39">
        <v>3115.88</v>
      </c>
      <c r="S3060" s="39">
        <f t="shared" si="301"/>
        <v>11</v>
      </c>
      <c r="T3060" s="39">
        <f t="shared" si="302"/>
        <v>0</v>
      </c>
      <c r="U3060" s="39">
        <f t="shared" si="303"/>
        <v>0</v>
      </c>
      <c r="V3060" s="40"/>
    </row>
    <row r="3061" spans="2:22" x14ac:dyDescent="0.35">
      <c r="B3061" s="40">
        <v>37573</v>
      </c>
      <c r="C3061" s="39">
        <v>3066.42</v>
      </c>
      <c r="D3061" s="219">
        <f t="shared" si="304"/>
        <v>-1.6000858986287145E-2</v>
      </c>
      <c r="F3061" s="40">
        <v>37573</v>
      </c>
      <c r="G3061" s="39">
        <v>3066.42</v>
      </c>
      <c r="H3061" s="39">
        <f t="shared" si="299"/>
        <v>3</v>
      </c>
      <c r="I3061" s="39">
        <f t="shared" si="300"/>
        <v>0</v>
      </c>
      <c r="K3061" s="40"/>
      <c r="Q3061" s="40">
        <v>37573</v>
      </c>
      <c r="R3061" s="39">
        <v>3066.42</v>
      </c>
      <c r="S3061" s="39">
        <f t="shared" si="301"/>
        <v>11</v>
      </c>
      <c r="T3061" s="39">
        <f t="shared" si="302"/>
        <v>0</v>
      </c>
      <c r="U3061" s="39">
        <f t="shared" si="303"/>
        <v>0</v>
      </c>
      <c r="V3061" s="40"/>
    </row>
    <row r="3062" spans="2:22" x14ac:dyDescent="0.35">
      <c r="B3062" s="40">
        <v>37574</v>
      </c>
      <c r="C3062" s="39">
        <v>3188.39</v>
      </c>
      <c r="D3062" s="219">
        <f t="shared" si="304"/>
        <v>3.900532982814809E-2</v>
      </c>
      <c r="F3062" s="40">
        <v>37574</v>
      </c>
      <c r="G3062" s="39">
        <v>3188.39</v>
      </c>
      <c r="H3062" s="39">
        <f t="shared" si="299"/>
        <v>4</v>
      </c>
      <c r="I3062" s="39">
        <f t="shared" si="300"/>
        <v>0</v>
      </c>
      <c r="K3062" s="40"/>
      <c r="Q3062" s="40">
        <v>37574</v>
      </c>
      <c r="R3062" s="39">
        <v>3188.39</v>
      </c>
      <c r="S3062" s="39">
        <f t="shared" si="301"/>
        <v>11</v>
      </c>
      <c r="T3062" s="39">
        <f t="shared" si="302"/>
        <v>0</v>
      </c>
      <c r="U3062" s="39">
        <f t="shared" si="303"/>
        <v>0</v>
      </c>
      <c r="V3062" s="40"/>
    </row>
    <row r="3063" spans="2:22" x14ac:dyDescent="0.35">
      <c r="B3063" s="40">
        <v>37575</v>
      </c>
      <c r="C3063" s="39">
        <v>3191.76</v>
      </c>
      <c r="D3063" s="219">
        <f t="shared" si="304"/>
        <v>1.0564015935066544E-3</v>
      </c>
      <c r="F3063" s="40">
        <v>37575</v>
      </c>
      <c r="G3063" s="39">
        <v>3191.76</v>
      </c>
      <c r="H3063" s="39">
        <f t="shared" ref="H3063:H3126" si="305">WEEKDAY(F3063,2)</f>
        <v>5</v>
      </c>
      <c r="I3063" s="39">
        <f t="shared" ref="I3063:I3126" si="306">IF(H3063&gt;H3064,G3063,0)</f>
        <v>3191.76</v>
      </c>
      <c r="K3063" s="40"/>
      <c r="Q3063" s="40">
        <v>37575</v>
      </c>
      <c r="R3063" s="39">
        <v>3191.76</v>
      </c>
      <c r="S3063" s="39">
        <f t="shared" ref="S3063:S3126" si="307">MONTH(Q3063)</f>
        <v>11</v>
      </c>
      <c r="T3063" s="39">
        <f t="shared" ref="T3063:T3126" si="308">IF(S3064&lt;&gt;S3063,R3063,0)</f>
        <v>0</v>
      </c>
      <c r="U3063" s="39">
        <f t="shared" ref="U3063:U3126" si="309">IF(S3064=S3063,0,R3063)</f>
        <v>0</v>
      </c>
      <c r="V3063" s="40"/>
    </row>
    <row r="3064" spans="2:22" x14ac:dyDescent="0.35">
      <c r="B3064" s="40">
        <v>37578</v>
      </c>
      <c r="C3064" s="39">
        <v>3218.36</v>
      </c>
      <c r="D3064" s="219">
        <f t="shared" ref="D3064:D3127" si="310">LN(C3064/C3063)</f>
        <v>8.2994242494074926E-3</v>
      </c>
      <c r="F3064" s="40">
        <v>37578</v>
      </c>
      <c r="G3064" s="39">
        <v>3218.36</v>
      </c>
      <c r="H3064" s="39">
        <f t="shared" si="305"/>
        <v>1</v>
      </c>
      <c r="I3064" s="39">
        <f t="shared" si="306"/>
        <v>0</v>
      </c>
      <c r="K3064" s="40"/>
      <c r="Q3064" s="40">
        <v>37578</v>
      </c>
      <c r="R3064" s="39">
        <v>3218.36</v>
      </c>
      <c r="S3064" s="39">
        <f t="shared" si="307"/>
        <v>11</v>
      </c>
      <c r="T3064" s="39">
        <f t="shared" si="308"/>
        <v>0</v>
      </c>
      <c r="U3064" s="39">
        <f t="shared" si="309"/>
        <v>0</v>
      </c>
      <c r="V3064" s="40"/>
    </row>
    <row r="3065" spans="2:22" x14ac:dyDescent="0.35">
      <c r="B3065" s="40">
        <v>37579</v>
      </c>
      <c r="C3065" s="39">
        <v>3206.93</v>
      </c>
      <c r="D3065" s="219">
        <f t="shared" si="310"/>
        <v>-3.557819820372508E-3</v>
      </c>
      <c r="F3065" s="40">
        <v>37579</v>
      </c>
      <c r="G3065" s="39">
        <v>3206.93</v>
      </c>
      <c r="H3065" s="39">
        <f t="shared" si="305"/>
        <v>2</v>
      </c>
      <c r="I3065" s="39">
        <f t="shared" si="306"/>
        <v>0</v>
      </c>
      <c r="K3065" s="40"/>
      <c r="Q3065" s="40">
        <v>37579</v>
      </c>
      <c r="R3065" s="39">
        <v>3206.93</v>
      </c>
      <c r="S3065" s="39">
        <f t="shared" si="307"/>
        <v>11</v>
      </c>
      <c r="T3065" s="39">
        <f t="shared" si="308"/>
        <v>0</v>
      </c>
      <c r="U3065" s="39">
        <f t="shared" si="309"/>
        <v>0</v>
      </c>
      <c r="V3065" s="40"/>
    </row>
    <row r="3066" spans="2:22" x14ac:dyDescent="0.35">
      <c r="B3066" s="40">
        <v>37580</v>
      </c>
      <c r="C3066" s="39">
        <v>3212.99</v>
      </c>
      <c r="D3066" s="219">
        <f t="shared" si="310"/>
        <v>1.88787455290896E-3</v>
      </c>
      <c r="F3066" s="40">
        <v>37580</v>
      </c>
      <c r="G3066" s="39">
        <v>3212.99</v>
      </c>
      <c r="H3066" s="39">
        <f t="shared" si="305"/>
        <v>3</v>
      </c>
      <c r="I3066" s="39">
        <f t="shared" si="306"/>
        <v>0</v>
      </c>
      <c r="K3066" s="40"/>
      <c r="Q3066" s="40">
        <v>37580</v>
      </c>
      <c r="R3066" s="39">
        <v>3212.99</v>
      </c>
      <c r="S3066" s="39">
        <f t="shared" si="307"/>
        <v>11</v>
      </c>
      <c r="T3066" s="39">
        <f t="shared" si="308"/>
        <v>0</v>
      </c>
      <c r="U3066" s="39">
        <f t="shared" si="309"/>
        <v>0</v>
      </c>
      <c r="V3066" s="40"/>
    </row>
    <row r="3067" spans="2:22" x14ac:dyDescent="0.35">
      <c r="B3067" s="40">
        <v>37581</v>
      </c>
      <c r="C3067" s="39">
        <v>3304.63</v>
      </c>
      <c r="D3067" s="219">
        <f t="shared" si="310"/>
        <v>2.8122547675276225E-2</v>
      </c>
      <c r="F3067" s="40">
        <v>37581</v>
      </c>
      <c r="G3067" s="39">
        <v>3304.63</v>
      </c>
      <c r="H3067" s="39">
        <f t="shared" si="305"/>
        <v>4</v>
      </c>
      <c r="I3067" s="39">
        <f t="shared" si="306"/>
        <v>0</v>
      </c>
      <c r="K3067" s="40"/>
      <c r="Q3067" s="40">
        <v>37581</v>
      </c>
      <c r="R3067" s="39">
        <v>3304.63</v>
      </c>
      <c r="S3067" s="39">
        <f t="shared" si="307"/>
        <v>11</v>
      </c>
      <c r="T3067" s="39">
        <f t="shared" si="308"/>
        <v>0</v>
      </c>
      <c r="U3067" s="39">
        <f t="shared" si="309"/>
        <v>0</v>
      </c>
      <c r="V3067" s="40"/>
    </row>
    <row r="3068" spans="2:22" x14ac:dyDescent="0.35">
      <c r="B3068" s="40">
        <v>37582</v>
      </c>
      <c r="C3068" s="39">
        <v>3320.88</v>
      </c>
      <c r="D3068" s="219">
        <f t="shared" si="310"/>
        <v>4.90529259900106E-3</v>
      </c>
      <c r="F3068" s="40">
        <v>37582</v>
      </c>
      <c r="G3068" s="39">
        <v>3320.88</v>
      </c>
      <c r="H3068" s="39">
        <f t="shared" si="305"/>
        <v>5</v>
      </c>
      <c r="I3068" s="39">
        <f t="shared" si="306"/>
        <v>3320.88</v>
      </c>
      <c r="K3068" s="40"/>
      <c r="Q3068" s="40">
        <v>37582</v>
      </c>
      <c r="R3068" s="39">
        <v>3320.88</v>
      </c>
      <c r="S3068" s="39">
        <f t="shared" si="307"/>
        <v>11</v>
      </c>
      <c r="T3068" s="39">
        <f t="shared" si="308"/>
        <v>0</v>
      </c>
      <c r="U3068" s="39">
        <f t="shared" si="309"/>
        <v>0</v>
      </c>
      <c r="V3068" s="40"/>
    </row>
    <row r="3069" spans="2:22" x14ac:dyDescent="0.35">
      <c r="B3069" s="40">
        <v>37585</v>
      </c>
      <c r="C3069" s="39">
        <v>3299.24</v>
      </c>
      <c r="D3069" s="219">
        <f t="shared" si="310"/>
        <v>-6.5376691287854193E-3</v>
      </c>
      <c r="F3069" s="40">
        <v>37585</v>
      </c>
      <c r="G3069" s="39">
        <v>3299.24</v>
      </c>
      <c r="H3069" s="39">
        <f t="shared" si="305"/>
        <v>1</v>
      </c>
      <c r="I3069" s="39">
        <f t="shared" si="306"/>
        <v>0</v>
      </c>
      <c r="K3069" s="40"/>
      <c r="Q3069" s="40">
        <v>37585</v>
      </c>
      <c r="R3069" s="39">
        <v>3299.24</v>
      </c>
      <c r="S3069" s="39">
        <f t="shared" si="307"/>
        <v>11</v>
      </c>
      <c r="T3069" s="39">
        <f t="shared" si="308"/>
        <v>0</v>
      </c>
      <c r="U3069" s="39">
        <f t="shared" si="309"/>
        <v>0</v>
      </c>
      <c r="V3069" s="40"/>
    </row>
    <row r="3070" spans="2:22" x14ac:dyDescent="0.35">
      <c r="B3070" s="40">
        <v>37586</v>
      </c>
      <c r="C3070" s="39">
        <v>3191.63</v>
      </c>
      <c r="D3070" s="219">
        <f t="shared" si="310"/>
        <v>-3.3160380836359332E-2</v>
      </c>
      <c r="F3070" s="40">
        <v>37586</v>
      </c>
      <c r="G3070" s="39">
        <v>3191.63</v>
      </c>
      <c r="H3070" s="39">
        <f t="shared" si="305"/>
        <v>2</v>
      </c>
      <c r="I3070" s="39">
        <f t="shared" si="306"/>
        <v>0</v>
      </c>
      <c r="K3070" s="40"/>
      <c r="Q3070" s="40">
        <v>37586</v>
      </c>
      <c r="R3070" s="39">
        <v>3191.63</v>
      </c>
      <c r="S3070" s="39">
        <f t="shared" si="307"/>
        <v>11</v>
      </c>
      <c r="T3070" s="39">
        <f t="shared" si="308"/>
        <v>0</v>
      </c>
      <c r="U3070" s="39">
        <f t="shared" si="309"/>
        <v>0</v>
      </c>
      <c r="V3070" s="40"/>
    </row>
    <row r="3071" spans="2:22" x14ac:dyDescent="0.35">
      <c r="B3071" s="40">
        <v>37587</v>
      </c>
      <c r="C3071" s="39">
        <v>3346.14</v>
      </c>
      <c r="D3071" s="219">
        <f t="shared" si="310"/>
        <v>4.727568461154899E-2</v>
      </c>
      <c r="F3071" s="40">
        <v>37587</v>
      </c>
      <c r="G3071" s="39">
        <v>3346.14</v>
      </c>
      <c r="H3071" s="39">
        <f t="shared" si="305"/>
        <v>3</v>
      </c>
      <c r="I3071" s="39">
        <f t="shared" si="306"/>
        <v>0</v>
      </c>
      <c r="K3071" s="40"/>
      <c r="Q3071" s="40">
        <v>37587</v>
      </c>
      <c r="R3071" s="39">
        <v>3346.14</v>
      </c>
      <c r="S3071" s="39">
        <f t="shared" si="307"/>
        <v>11</v>
      </c>
      <c r="T3071" s="39">
        <f t="shared" si="308"/>
        <v>0</v>
      </c>
      <c r="U3071" s="39">
        <f t="shared" si="309"/>
        <v>0</v>
      </c>
      <c r="V3071" s="40"/>
    </row>
    <row r="3072" spans="2:22" x14ac:dyDescent="0.35">
      <c r="B3072" s="40">
        <v>37588</v>
      </c>
      <c r="C3072" s="39">
        <v>3360.76</v>
      </c>
      <c r="D3072" s="219">
        <f t="shared" si="310"/>
        <v>4.3596961805885161E-3</v>
      </c>
      <c r="F3072" s="40">
        <v>37588</v>
      </c>
      <c r="G3072" s="39">
        <v>3360.76</v>
      </c>
      <c r="H3072" s="39">
        <f t="shared" si="305"/>
        <v>4</v>
      </c>
      <c r="I3072" s="39">
        <f t="shared" si="306"/>
        <v>0</v>
      </c>
      <c r="K3072" s="40"/>
      <c r="Q3072" s="40">
        <v>37588</v>
      </c>
      <c r="R3072" s="39">
        <v>3360.76</v>
      </c>
      <c r="S3072" s="39">
        <f t="shared" si="307"/>
        <v>11</v>
      </c>
      <c r="T3072" s="39">
        <f t="shared" si="308"/>
        <v>0</v>
      </c>
      <c r="U3072" s="39">
        <f t="shared" si="309"/>
        <v>0</v>
      </c>
      <c r="V3072" s="40"/>
    </row>
    <row r="3073" spans="2:22" x14ac:dyDescent="0.35">
      <c r="B3073" s="40">
        <v>37589</v>
      </c>
      <c r="C3073" s="39">
        <v>3320.32</v>
      </c>
      <c r="D3073" s="219">
        <f t="shared" si="310"/>
        <v>-1.2105975048316509E-2</v>
      </c>
      <c r="F3073" s="40">
        <v>37589</v>
      </c>
      <c r="G3073" s="39">
        <v>3320.32</v>
      </c>
      <c r="H3073" s="39">
        <f t="shared" si="305"/>
        <v>5</v>
      </c>
      <c r="I3073" s="39">
        <f t="shared" si="306"/>
        <v>3320.32</v>
      </c>
      <c r="K3073" s="40"/>
      <c r="Q3073" s="40">
        <v>37589</v>
      </c>
      <c r="R3073" s="39">
        <v>3320.32</v>
      </c>
      <c r="S3073" s="39">
        <f t="shared" si="307"/>
        <v>11</v>
      </c>
      <c r="T3073" s="39">
        <f t="shared" si="308"/>
        <v>3320.32</v>
      </c>
      <c r="U3073" s="39">
        <f t="shared" si="309"/>
        <v>3320.32</v>
      </c>
      <c r="V3073" s="40"/>
    </row>
    <row r="3074" spans="2:22" x14ac:dyDescent="0.35">
      <c r="B3074" s="40">
        <v>37592</v>
      </c>
      <c r="C3074" s="39">
        <v>3380.2</v>
      </c>
      <c r="D3074" s="219">
        <f t="shared" si="310"/>
        <v>1.7873715516212644E-2</v>
      </c>
      <c r="F3074" s="40">
        <v>37592</v>
      </c>
      <c r="G3074" s="39">
        <v>3380.2</v>
      </c>
      <c r="H3074" s="39">
        <f t="shared" si="305"/>
        <v>1</v>
      </c>
      <c r="I3074" s="39">
        <f t="shared" si="306"/>
        <v>0</v>
      </c>
      <c r="K3074" s="40"/>
      <c r="Q3074" s="40">
        <v>37592</v>
      </c>
      <c r="R3074" s="39">
        <v>3380.2</v>
      </c>
      <c r="S3074" s="39">
        <f t="shared" si="307"/>
        <v>12</v>
      </c>
      <c r="T3074" s="39">
        <f t="shared" si="308"/>
        <v>0</v>
      </c>
      <c r="U3074" s="39">
        <f t="shared" si="309"/>
        <v>0</v>
      </c>
      <c r="V3074" s="40"/>
    </row>
    <row r="3075" spans="2:22" x14ac:dyDescent="0.35">
      <c r="B3075" s="40">
        <v>37593</v>
      </c>
      <c r="C3075" s="39">
        <v>3280.49</v>
      </c>
      <c r="D3075" s="219">
        <f t="shared" si="310"/>
        <v>-2.9942077859647087E-2</v>
      </c>
      <c r="F3075" s="40">
        <v>37593</v>
      </c>
      <c r="G3075" s="39">
        <v>3280.49</v>
      </c>
      <c r="H3075" s="39">
        <f t="shared" si="305"/>
        <v>2</v>
      </c>
      <c r="I3075" s="39">
        <f t="shared" si="306"/>
        <v>0</v>
      </c>
      <c r="K3075" s="40"/>
      <c r="Q3075" s="40">
        <v>37593</v>
      </c>
      <c r="R3075" s="39">
        <v>3280.49</v>
      </c>
      <c r="S3075" s="39">
        <f t="shared" si="307"/>
        <v>12</v>
      </c>
      <c r="T3075" s="39">
        <f t="shared" si="308"/>
        <v>0</v>
      </c>
      <c r="U3075" s="39">
        <f t="shared" si="309"/>
        <v>0</v>
      </c>
      <c r="V3075" s="40"/>
    </row>
    <row r="3076" spans="2:22" x14ac:dyDescent="0.35">
      <c r="B3076" s="40">
        <v>37594</v>
      </c>
      <c r="C3076" s="39">
        <v>3320.75</v>
      </c>
      <c r="D3076" s="219">
        <f t="shared" si="310"/>
        <v>1.2197859548132224E-2</v>
      </c>
      <c r="F3076" s="40">
        <v>37594</v>
      </c>
      <c r="G3076" s="39">
        <v>3320.75</v>
      </c>
      <c r="H3076" s="39">
        <f t="shared" si="305"/>
        <v>3</v>
      </c>
      <c r="I3076" s="39">
        <f t="shared" si="306"/>
        <v>0</v>
      </c>
      <c r="K3076" s="40"/>
      <c r="Q3076" s="40">
        <v>37594</v>
      </c>
      <c r="R3076" s="39">
        <v>3320.75</v>
      </c>
      <c r="S3076" s="39">
        <f t="shared" si="307"/>
        <v>12</v>
      </c>
      <c r="T3076" s="39">
        <f t="shared" si="308"/>
        <v>0</v>
      </c>
      <c r="U3076" s="39">
        <f t="shared" si="309"/>
        <v>0</v>
      </c>
      <c r="V3076" s="40"/>
    </row>
    <row r="3077" spans="2:22" x14ac:dyDescent="0.35">
      <c r="B3077" s="40">
        <v>37595</v>
      </c>
      <c r="C3077" s="39">
        <v>3224.74</v>
      </c>
      <c r="D3077" s="219">
        <f t="shared" si="310"/>
        <v>-2.9338334187758081E-2</v>
      </c>
      <c r="F3077" s="40">
        <v>37595</v>
      </c>
      <c r="G3077" s="39">
        <v>3224.74</v>
      </c>
      <c r="H3077" s="39">
        <f t="shared" si="305"/>
        <v>4</v>
      </c>
      <c r="I3077" s="39">
        <f t="shared" si="306"/>
        <v>0</v>
      </c>
      <c r="K3077" s="40"/>
      <c r="Q3077" s="40">
        <v>37595</v>
      </c>
      <c r="R3077" s="39">
        <v>3224.74</v>
      </c>
      <c r="S3077" s="39">
        <f t="shared" si="307"/>
        <v>12</v>
      </c>
      <c r="T3077" s="39">
        <f t="shared" si="308"/>
        <v>0</v>
      </c>
      <c r="U3077" s="39">
        <f t="shared" si="309"/>
        <v>0</v>
      </c>
      <c r="V3077" s="40"/>
    </row>
    <row r="3078" spans="2:22" x14ac:dyDescent="0.35">
      <c r="B3078" s="40">
        <v>37596</v>
      </c>
      <c r="C3078" s="39">
        <v>3207.53</v>
      </c>
      <c r="D3078" s="219">
        <f t="shared" si="310"/>
        <v>-5.3511563000811025E-3</v>
      </c>
      <c r="F3078" s="40">
        <v>37596</v>
      </c>
      <c r="G3078" s="39">
        <v>3207.53</v>
      </c>
      <c r="H3078" s="39">
        <f t="shared" si="305"/>
        <v>5</v>
      </c>
      <c r="I3078" s="39">
        <f t="shared" si="306"/>
        <v>3207.53</v>
      </c>
      <c r="K3078" s="40"/>
      <c r="Q3078" s="40">
        <v>37596</v>
      </c>
      <c r="R3078" s="39">
        <v>3207.53</v>
      </c>
      <c r="S3078" s="39">
        <f t="shared" si="307"/>
        <v>12</v>
      </c>
      <c r="T3078" s="39">
        <f t="shared" si="308"/>
        <v>0</v>
      </c>
      <c r="U3078" s="39">
        <f t="shared" si="309"/>
        <v>0</v>
      </c>
      <c r="V3078" s="40"/>
    </row>
    <row r="3079" spans="2:22" x14ac:dyDescent="0.35">
      <c r="B3079" s="40">
        <v>37599</v>
      </c>
      <c r="C3079" s="39">
        <v>3065.57</v>
      </c>
      <c r="D3079" s="219">
        <f t="shared" si="310"/>
        <v>-4.5267647808641537E-2</v>
      </c>
      <c r="F3079" s="40">
        <v>37599</v>
      </c>
      <c r="G3079" s="39">
        <v>3065.57</v>
      </c>
      <c r="H3079" s="39">
        <f t="shared" si="305"/>
        <v>1</v>
      </c>
      <c r="I3079" s="39">
        <f t="shared" si="306"/>
        <v>0</v>
      </c>
      <c r="K3079" s="40"/>
      <c r="Q3079" s="40">
        <v>37599</v>
      </c>
      <c r="R3079" s="39">
        <v>3065.57</v>
      </c>
      <c r="S3079" s="39">
        <f t="shared" si="307"/>
        <v>12</v>
      </c>
      <c r="T3079" s="39">
        <f t="shared" si="308"/>
        <v>0</v>
      </c>
      <c r="U3079" s="39">
        <f t="shared" si="309"/>
        <v>0</v>
      </c>
      <c r="V3079" s="40"/>
    </row>
    <row r="3080" spans="2:22" x14ac:dyDescent="0.35">
      <c r="B3080" s="40">
        <v>37600</v>
      </c>
      <c r="C3080" s="39">
        <v>3167.99</v>
      </c>
      <c r="D3080" s="219">
        <f t="shared" si="310"/>
        <v>3.2863794647545887E-2</v>
      </c>
      <c r="F3080" s="40">
        <v>37600</v>
      </c>
      <c r="G3080" s="39">
        <v>3167.99</v>
      </c>
      <c r="H3080" s="39">
        <f t="shared" si="305"/>
        <v>2</v>
      </c>
      <c r="I3080" s="39">
        <f t="shared" si="306"/>
        <v>0</v>
      </c>
      <c r="K3080" s="40"/>
      <c r="Q3080" s="40">
        <v>37600</v>
      </c>
      <c r="R3080" s="39">
        <v>3167.99</v>
      </c>
      <c r="S3080" s="39">
        <f t="shared" si="307"/>
        <v>12</v>
      </c>
      <c r="T3080" s="39">
        <f t="shared" si="308"/>
        <v>0</v>
      </c>
      <c r="U3080" s="39">
        <f t="shared" si="309"/>
        <v>0</v>
      </c>
      <c r="V3080" s="40"/>
    </row>
    <row r="3081" spans="2:22" x14ac:dyDescent="0.35">
      <c r="B3081" s="40">
        <v>37601</v>
      </c>
      <c r="C3081" s="39">
        <v>3196.05</v>
      </c>
      <c r="D3081" s="219">
        <f t="shared" si="310"/>
        <v>8.8183549558072082E-3</v>
      </c>
      <c r="F3081" s="40">
        <v>37601</v>
      </c>
      <c r="G3081" s="39">
        <v>3196.05</v>
      </c>
      <c r="H3081" s="39">
        <f t="shared" si="305"/>
        <v>3</v>
      </c>
      <c r="I3081" s="39">
        <f t="shared" si="306"/>
        <v>0</v>
      </c>
      <c r="K3081" s="40"/>
      <c r="Q3081" s="40">
        <v>37601</v>
      </c>
      <c r="R3081" s="39">
        <v>3196.05</v>
      </c>
      <c r="S3081" s="39">
        <f t="shared" si="307"/>
        <v>12</v>
      </c>
      <c r="T3081" s="39">
        <f t="shared" si="308"/>
        <v>0</v>
      </c>
      <c r="U3081" s="39">
        <f t="shared" si="309"/>
        <v>0</v>
      </c>
      <c r="V3081" s="40"/>
    </row>
    <row r="3082" spans="2:22" x14ac:dyDescent="0.35">
      <c r="B3082" s="40">
        <v>37602</v>
      </c>
      <c r="C3082" s="39">
        <v>3111.88</v>
      </c>
      <c r="D3082" s="219">
        <f t="shared" si="310"/>
        <v>-2.6688627175985732E-2</v>
      </c>
      <c r="F3082" s="40">
        <v>37602</v>
      </c>
      <c r="G3082" s="39">
        <v>3111.88</v>
      </c>
      <c r="H3082" s="39">
        <f t="shared" si="305"/>
        <v>4</v>
      </c>
      <c r="I3082" s="39">
        <f t="shared" si="306"/>
        <v>0</v>
      </c>
      <c r="K3082" s="40"/>
      <c r="Q3082" s="40">
        <v>37602</v>
      </c>
      <c r="R3082" s="39">
        <v>3111.88</v>
      </c>
      <c r="S3082" s="39">
        <f t="shared" si="307"/>
        <v>12</v>
      </c>
      <c r="T3082" s="39">
        <f t="shared" si="308"/>
        <v>0</v>
      </c>
      <c r="U3082" s="39">
        <f t="shared" si="309"/>
        <v>0</v>
      </c>
      <c r="V3082" s="40"/>
    </row>
    <row r="3083" spans="2:22" x14ac:dyDescent="0.35">
      <c r="B3083" s="40">
        <v>37603</v>
      </c>
      <c r="C3083" s="39">
        <v>3077.06</v>
      </c>
      <c r="D3083" s="219">
        <f t="shared" si="310"/>
        <v>-1.1252449499058416E-2</v>
      </c>
      <c r="F3083" s="40">
        <v>37603</v>
      </c>
      <c r="G3083" s="39">
        <v>3077.06</v>
      </c>
      <c r="H3083" s="39">
        <f t="shared" si="305"/>
        <v>5</v>
      </c>
      <c r="I3083" s="39">
        <f t="shared" si="306"/>
        <v>3077.06</v>
      </c>
      <c r="K3083" s="40"/>
      <c r="Q3083" s="40">
        <v>37603</v>
      </c>
      <c r="R3083" s="39">
        <v>3077.06</v>
      </c>
      <c r="S3083" s="39">
        <f t="shared" si="307"/>
        <v>12</v>
      </c>
      <c r="T3083" s="39">
        <f t="shared" si="308"/>
        <v>0</v>
      </c>
      <c r="U3083" s="39">
        <f t="shared" si="309"/>
        <v>0</v>
      </c>
      <c r="V3083" s="40"/>
    </row>
    <row r="3084" spans="2:22" x14ac:dyDescent="0.35">
      <c r="B3084" s="40">
        <v>37606</v>
      </c>
      <c r="C3084" s="39">
        <v>3205.29</v>
      </c>
      <c r="D3084" s="219">
        <f t="shared" si="310"/>
        <v>4.0827974236278514E-2</v>
      </c>
      <c r="F3084" s="40">
        <v>37606</v>
      </c>
      <c r="G3084" s="39">
        <v>3205.29</v>
      </c>
      <c r="H3084" s="39">
        <f t="shared" si="305"/>
        <v>1</v>
      </c>
      <c r="I3084" s="39">
        <f t="shared" si="306"/>
        <v>0</v>
      </c>
      <c r="K3084" s="40"/>
      <c r="Q3084" s="40">
        <v>37606</v>
      </c>
      <c r="R3084" s="39">
        <v>3205.29</v>
      </c>
      <c r="S3084" s="39">
        <f t="shared" si="307"/>
        <v>12</v>
      </c>
      <c r="T3084" s="39">
        <f t="shared" si="308"/>
        <v>0</v>
      </c>
      <c r="U3084" s="39">
        <f t="shared" si="309"/>
        <v>0</v>
      </c>
      <c r="V3084" s="40"/>
    </row>
    <row r="3085" spans="2:22" x14ac:dyDescent="0.35">
      <c r="B3085" s="40">
        <v>37607</v>
      </c>
      <c r="C3085" s="39">
        <v>3139.97</v>
      </c>
      <c r="D3085" s="219">
        <f t="shared" si="310"/>
        <v>-2.0589324164188912E-2</v>
      </c>
      <c r="F3085" s="40">
        <v>37607</v>
      </c>
      <c r="G3085" s="39">
        <v>3139.97</v>
      </c>
      <c r="H3085" s="39">
        <f t="shared" si="305"/>
        <v>2</v>
      </c>
      <c r="I3085" s="39">
        <f t="shared" si="306"/>
        <v>0</v>
      </c>
      <c r="K3085" s="40"/>
      <c r="Q3085" s="40">
        <v>37607</v>
      </c>
      <c r="R3085" s="39">
        <v>3139.97</v>
      </c>
      <c r="S3085" s="39">
        <f t="shared" si="307"/>
        <v>12</v>
      </c>
      <c r="T3085" s="39">
        <f t="shared" si="308"/>
        <v>0</v>
      </c>
      <c r="U3085" s="39">
        <f t="shared" si="309"/>
        <v>0</v>
      </c>
      <c r="V3085" s="40"/>
    </row>
    <row r="3086" spans="2:22" x14ac:dyDescent="0.35">
      <c r="B3086" s="40">
        <v>37608</v>
      </c>
      <c r="C3086" s="39">
        <v>3022.69</v>
      </c>
      <c r="D3086" s="219">
        <f t="shared" si="310"/>
        <v>-3.8066082333993792E-2</v>
      </c>
      <c r="F3086" s="40">
        <v>37608</v>
      </c>
      <c r="G3086" s="39">
        <v>3022.69</v>
      </c>
      <c r="H3086" s="39">
        <f t="shared" si="305"/>
        <v>3</v>
      </c>
      <c r="I3086" s="39">
        <f t="shared" si="306"/>
        <v>0</v>
      </c>
      <c r="K3086" s="40"/>
      <c r="Q3086" s="40">
        <v>37608</v>
      </c>
      <c r="R3086" s="39">
        <v>3022.69</v>
      </c>
      <c r="S3086" s="39">
        <f t="shared" si="307"/>
        <v>12</v>
      </c>
      <c r="T3086" s="39">
        <f t="shared" si="308"/>
        <v>0</v>
      </c>
      <c r="U3086" s="39">
        <f t="shared" si="309"/>
        <v>0</v>
      </c>
      <c r="V3086" s="40"/>
    </row>
    <row r="3087" spans="2:22" x14ac:dyDescent="0.35">
      <c r="B3087" s="40">
        <v>37609</v>
      </c>
      <c r="C3087" s="39">
        <v>2961.41</v>
      </c>
      <c r="D3087" s="219">
        <f t="shared" si="310"/>
        <v>-2.048165713236752E-2</v>
      </c>
      <c r="F3087" s="40">
        <v>37609</v>
      </c>
      <c r="G3087" s="39">
        <v>2961.41</v>
      </c>
      <c r="H3087" s="39">
        <f t="shared" si="305"/>
        <v>4</v>
      </c>
      <c r="I3087" s="39">
        <f t="shared" si="306"/>
        <v>0</v>
      </c>
      <c r="K3087" s="40"/>
      <c r="Q3087" s="40">
        <v>37609</v>
      </c>
      <c r="R3087" s="39">
        <v>2961.41</v>
      </c>
      <c r="S3087" s="39">
        <f t="shared" si="307"/>
        <v>12</v>
      </c>
      <c r="T3087" s="39">
        <f t="shared" si="308"/>
        <v>0</v>
      </c>
      <c r="U3087" s="39">
        <f t="shared" si="309"/>
        <v>0</v>
      </c>
      <c r="V3087" s="40"/>
    </row>
    <row r="3088" spans="2:22" x14ac:dyDescent="0.35">
      <c r="B3088" s="40">
        <v>37610</v>
      </c>
      <c r="C3088" s="39">
        <v>3024.22</v>
      </c>
      <c r="D3088" s="219">
        <f t="shared" si="310"/>
        <v>2.0987700725756508E-2</v>
      </c>
      <c r="F3088" s="40">
        <v>37610</v>
      </c>
      <c r="G3088" s="39">
        <v>3024.22</v>
      </c>
      <c r="H3088" s="39">
        <f t="shared" si="305"/>
        <v>5</v>
      </c>
      <c r="I3088" s="39">
        <f t="shared" si="306"/>
        <v>3024.22</v>
      </c>
      <c r="K3088" s="40"/>
      <c r="Q3088" s="40">
        <v>37610</v>
      </c>
      <c r="R3088" s="39">
        <v>3024.22</v>
      </c>
      <c r="S3088" s="39">
        <f t="shared" si="307"/>
        <v>12</v>
      </c>
      <c r="T3088" s="39">
        <f t="shared" si="308"/>
        <v>0</v>
      </c>
      <c r="U3088" s="39">
        <f t="shared" si="309"/>
        <v>0</v>
      </c>
      <c r="V3088" s="40"/>
    </row>
    <row r="3089" spans="2:22" x14ac:dyDescent="0.35">
      <c r="B3089" s="40">
        <v>37613</v>
      </c>
      <c r="C3089" s="39">
        <v>3000.84</v>
      </c>
      <c r="D3089" s="219">
        <f t="shared" si="310"/>
        <v>-7.7609575183631273E-3</v>
      </c>
      <c r="F3089" s="40">
        <v>37613</v>
      </c>
      <c r="G3089" s="39">
        <v>3000.84</v>
      </c>
      <c r="H3089" s="39">
        <f t="shared" si="305"/>
        <v>1</v>
      </c>
      <c r="I3089" s="39">
        <f t="shared" si="306"/>
        <v>0</v>
      </c>
      <c r="K3089" s="40"/>
      <c r="Q3089" s="40">
        <v>37613</v>
      </c>
      <c r="R3089" s="39">
        <v>3000.84</v>
      </c>
      <c r="S3089" s="39">
        <f t="shared" si="307"/>
        <v>12</v>
      </c>
      <c r="T3089" s="39">
        <f t="shared" si="308"/>
        <v>0</v>
      </c>
      <c r="U3089" s="39">
        <f t="shared" si="309"/>
        <v>0</v>
      </c>
      <c r="V3089" s="40"/>
    </row>
    <row r="3090" spans="2:22" x14ac:dyDescent="0.35">
      <c r="B3090" s="40">
        <v>37617</v>
      </c>
      <c r="C3090" s="39">
        <v>2840</v>
      </c>
      <c r="D3090" s="219">
        <f t="shared" si="310"/>
        <v>-5.5088197302310848E-2</v>
      </c>
      <c r="F3090" s="40">
        <v>37617</v>
      </c>
      <c r="G3090" s="39">
        <v>2840</v>
      </c>
      <c r="H3090" s="39">
        <f t="shared" si="305"/>
        <v>5</v>
      </c>
      <c r="I3090" s="39">
        <f t="shared" si="306"/>
        <v>2840</v>
      </c>
      <c r="K3090" s="40"/>
      <c r="Q3090" s="40">
        <v>37617</v>
      </c>
      <c r="R3090" s="39">
        <v>2840</v>
      </c>
      <c r="S3090" s="39">
        <f t="shared" si="307"/>
        <v>12</v>
      </c>
      <c r="T3090" s="39">
        <f t="shared" si="308"/>
        <v>0</v>
      </c>
      <c r="U3090" s="39">
        <f t="shared" si="309"/>
        <v>0</v>
      </c>
      <c r="V3090" s="40"/>
    </row>
    <row r="3091" spans="2:22" x14ac:dyDescent="0.35">
      <c r="B3091" s="40">
        <v>37620</v>
      </c>
      <c r="C3091" s="39">
        <v>2892.63</v>
      </c>
      <c r="D3091" s="219">
        <f t="shared" si="310"/>
        <v>1.8362070722861546E-2</v>
      </c>
      <c r="F3091" s="40">
        <v>37620</v>
      </c>
      <c r="G3091" s="39">
        <v>2892.63</v>
      </c>
      <c r="H3091" s="39">
        <f t="shared" si="305"/>
        <v>1</v>
      </c>
      <c r="I3091" s="39">
        <f t="shared" si="306"/>
        <v>0</v>
      </c>
      <c r="K3091" s="40"/>
      <c r="Q3091" s="40">
        <v>37620</v>
      </c>
      <c r="R3091" s="39">
        <v>2892.63</v>
      </c>
      <c r="S3091" s="39">
        <f t="shared" si="307"/>
        <v>12</v>
      </c>
      <c r="T3091" s="39">
        <f t="shared" si="308"/>
        <v>2892.63</v>
      </c>
      <c r="U3091" s="39">
        <f t="shared" si="309"/>
        <v>2892.63</v>
      </c>
      <c r="V3091" s="40"/>
    </row>
    <row r="3092" spans="2:22" x14ac:dyDescent="0.35">
      <c r="B3092" s="40">
        <v>37623</v>
      </c>
      <c r="C3092" s="39">
        <v>3105.04</v>
      </c>
      <c r="D3092" s="219">
        <f t="shared" si="310"/>
        <v>7.0860474854152936E-2</v>
      </c>
      <c r="F3092" s="40">
        <v>37623</v>
      </c>
      <c r="G3092" s="39">
        <v>3105.04</v>
      </c>
      <c r="H3092" s="39">
        <f t="shared" si="305"/>
        <v>4</v>
      </c>
      <c r="I3092" s="39">
        <f t="shared" si="306"/>
        <v>0</v>
      </c>
      <c r="K3092" s="40"/>
      <c r="Q3092" s="40">
        <v>37623</v>
      </c>
      <c r="R3092" s="39">
        <v>3105.04</v>
      </c>
      <c r="S3092" s="39">
        <f t="shared" si="307"/>
        <v>1</v>
      </c>
      <c r="T3092" s="39">
        <f t="shared" si="308"/>
        <v>0</v>
      </c>
      <c r="U3092" s="39">
        <f t="shared" si="309"/>
        <v>0</v>
      </c>
      <c r="V3092" s="40"/>
    </row>
    <row r="3093" spans="2:22" x14ac:dyDescent="0.35">
      <c r="B3093" s="40">
        <v>37624</v>
      </c>
      <c r="C3093" s="39">
        <v>3092.94</v>
      </c>
      <c r="D3093" s="219">
        <f t="shared" si="310"/>
        <v>-3.9045028774476295E-3</v>
      </c>
      <c r="F3093" s="40">
        <v>37624</v>
      </c>
      <c r="G3093" s="39">
        <v>3092.94</v>
      </c>
      <c r="H3093" s="39">
        <f t="shared" si="305"/>
        <v>5</v>
      </c>
      <c r="I3093" s="39">
        <f t="shared" si="306"/>
        <v>3092.94</v>
      </c>
      <c r="K3093" s="40"/>
      <c r="Q3093" s="40">
        <v>37624</v>
      </c>
      <c r="R3093" s="39">
        <v>3092.94</v>
      </c>
      <c r="S3093" s="39">
        <f t="shared" si="307"/>
        <v>1</v>
      </c>
      <c r="T3093" s="39">
        <f t="shared" si="308"/>
        <v>0</v>
      </c>
      <c r="U3093" s="39">
        <f t="shared" si="309"/>
        <v>0</v>
      </c>
      <c r="V3093" s="40"/>
    </row>
    <row r="3094" spans="2:22" x14ac:dyDescent="0.35">
      <c r="B3094" s="40">
        <v>37627</v>
      </c>
      <c r="C3094" s="39">
        <v>3157.25</v>
      </c>
      <c r="D3094" s="219">
        <f t="shared" si="310"/>
        <v>2.0579300671461069E-2</v>
      </c>
      <c r="F3094" s="40">
        <v>37627</v>
      </c>
      <c r="G3094" s="39">
        <v>3157.25</v>
      </c>
      <c r="H3094" s="39">
        <f t="shared" si="305"/>
        <v>1</v>
      </c>
      <c r="I3094" s="39">
        <f t="shared" si="306"/>
        <v>0</v>
      </c>
      <c r="K3094" s="40"/>
      <c r="Q3094" s="40">
        <v>37627</v>
      </c>
      <c r="R3094" s="39">
        <v>3157.25</v>
      </c>
      <c r="S3094" s="39">
        <f t="shared" si="307"/>
        <v>1</v>
      </c>
      <c r="T3094" s="39">
        <f t="shared" si="308"/>
        <v>0</v>
      </c>
      <c r="U3094" s="39">
        <f t="shared" si="309"/>
        <v>0</v>
      </c>
      <c r="V3094" s="40"/>
    </row>
    <row r="3095" spans="2:22" x14ac:dyDescent="0.35">
      <c r="B3095" s="40">
        <v>37628</v>
      </c>
      <c r="C3095" s="39">
        <v>3112.77</v>
      </c>
      <c r="D3095" s="219">
        <f t="shared" si="310"/>
        <v>-1.4188390527666982E-2</v>
      </c>
      <c r="F3095" s="40">
        <v>37628</v>
      </c>
      <c r="G3095" s="39">
        <v>3112.77</v>
      </c>
      <c r="H3095" s="39">
        <f t="shared" si="305"/>
        <v>2</v>
      </c>
      <c r="I3095" s="39">
        <f t="shared" si="306"/>
        <v>0</v>
      </c>
      <c r="K3095" s="40"/>
      <c r="Q3095" s="40">
        <v>37628</v>
      </c>
      <c r="R3095" s="39">
        <v>3112.77</v>
      </c>
      <c r="S3095" s="39">
        <f t="shared" si="307"/>
        <v>1</v>
      </c>
      <c r="T3095" s="39">
        <f t="shared" si="308"/>
        <v>0</v>
      </c>
      <c r="U3095" s="39">
        <f t="shared" si="309"/>
        <v>0</v>
      </c>
      <c r="V3095" s="40"/>
    </row>
    <row r="3096" spans="2:22" x14ac:dyDescent="0.35">
      <c r="B3096" s="40">
        <v>37629</v>
      </c>
      <c r="C3096" s="39">
        <v>2993</v>
      </c>
      <c r="D3096" s="219">
        <f t="shared" si="310"/>
        <v>-3.9236776145913498E-2</v>
      </c>
      <c r="F3096" s="40">
        <v>37629</v>
      </c>
      <c r="G3096" s="39">
        <v>2993</v>
      </c>
      <c r="H3096" s="39">
        <f t="shared" si="305"/>
        <v>3</v>
      </c>
      <c r="I3096" s="39">
        <f t="shared" si="306"/>
        <v>0</v>
      </c>
      <c r="K3096" s="40"/>
      <c r="Q3096" s="40">
        <v>37629</v>
      </c>
      <c r="R3096" s="39">
        <v>2993</v>
      </c>
      <c r="S3096" s="39">
        <f t="shared" si="307"/>
        <v>1</v>
      </c>
      <c r="T3096" s="39">
        <f t="shared" si="308"/>
        <v>0</v>
      </c>
      <c r="U3096" s="39">
        <f t="shared" si="309"/>
        <v>0</v>
      </c>
      <c r="V3096" s="40"/>
    </row>
    <row r="3097" spans="2:22" x14ac:dyDescent="0.35">
      <c r="B3097" s="40">
        <v>37630</v>
      </c>
      <c r="C3097" s="39">
        <v>3037.68</v>
      </c>
      <c r="D3097" s="219">
        <f t="shared" si="310"/>
        <v>1.4817837299603637E-2</v>
      </c>
      <c r="F3097" s="40">
        <v>37630</v>
      </c>
      <c r="G3097" s="39">
        <v>3037.68</v>
      </c>
      <c r="H3097" s="39">
        <f t="shared" si="305"/>
        <v>4</v>
      </c>
      <c r="I3097" s="39">
        <f t="shared" si="306"/>
        <v>0</v>
      </c>
      <c r="K3097" s="40"/>
      <c r="Q3097" s="40">
        <v>37630</v>
      </c>
      <c r="R3097" s="39">
        <v>3037.68</v>
      </c>
      <c r="S3097" s="39">
        <f t="shared" si="307"/>
        <v>1</v>
      </c>
      <c r="T3097" s="39">
        <f t="shared" si="308"/>
        <v>0</v>
      </c>
      <c r="U3097" s="39">
        <f t="shared" si="309"/>
        <v>0</v>
      </c>
      <c r="V3097" s="40"/>
    </row>
    <row r="3098" spans="2:22" x14ac:dyDescent="0.35">
      <c r="B3098" s="40">
        <v>37631</v>
      </c>
      <c r="C3098" s="39">
        <v>3037.33</v>
      </c>
      <c r="D3098" s="219">
        <f t="shared" si="310"/>
        <v>-1.1522614790339591E-4</v>
      </c>
      <c r="F3098" s="40">
        <v>37631</v>
      </c>
      <c r="G3098" s="39">
        <v>3037.33</v>
      </c>
      <c r="H3098" s="39">
        <f t="shared" si="305"/>
        <v>5</v>
      </c>
      <c r="I3098" s="39">
        <f t="shared" si="306"/>
        <v>3037.33</v>
      </c>
      <c r="K3098" s="40"/>
      <c r="Q3098" s="40">
        <v>37631</v>
      </c>
      <c r="R3098" s="39">
        <v>3037.33</v>
      </c>
      <c r="S3098" s="39">
        <f t="shared" si="307"/>
        <v>1</v>
      </c>
      <c r="T3098" s="39">
        <f t="shared" si="308"/>
        <v>0</v>
      </c>
      <c r="U3098" s="39">
        <f t="shared" si="309"/>
        <v>0</v>
      </c>
      <c r="V3098" s="40"/>
    </row>
    <row r="3099" spans="2:22" x14ac:dyDescent="0.35">
      <c r="B3099" s="40">
        <v>37634</v>
      </c>
      <c r="C3099" s="39">
        <v>3060.65</v>
      </c>
      <c r="D3099" s="219">
        <f t="shared" si="310"/>
        <v>7.648471685108074E-3</v>
      </c>
      <c r="F3099" s="40">
        <v>37634</v>
      </c>
      <c r="G3099" s="39">
        <v>3060.65</v>
      </c>
      <c r="H3099" s="39">
        <f t="shared" si="305"/>
        <v>1</v>
      </c>
      <c r="I3099" s="39">
        <f t="shared" si="306"/>
        <v>0</v>
      </c>
      <c r="K3099" s="40"/>
      <c r="Q3099" s="40">
        <v>37634</v>
      </c>
      <c r="R3099" s="39">
        <v>3060.65</v>
      </c>
      <c r="S3099" s="39">
        <f t="shared" si="307"/>
        <v>1</v>
      </c>
      <c r="T3099" s="39">
        <f t="shared" si="308"/>
        <v>0</v>
      </c>
      <c r="U3099" s="39">
        <f t="shared" si="309"/>
        <v>0</v>
      </c>
      <c r="V3099" s="40"/>
    </row>
    <row r="3100" spans="2:22" x14ac:dyDescent="0.35">
      <c r="B3100" s="40">
        <v>37635</v>
      </c>
      <c r="C3100" s="39">
        <v>3098.72</v>
      </c>
      <c r="D3100" s="219">
        <f t="shared" si="310"/>
        <v>1.2361811289914419E-2</v>
      </c>
      <c r="F3100" s="40">
        <v>37635</v>
      </c>
      <c r="G3100" s="39">
        <v>3098.72</v>
      </c>
      <c r="H3100" s="39">
        <f t="shared" si="305"/>
        <v>2</v>
      </c>
      <c r="I3100" s="39">
        <f t="shared" si="306"/>
        <v>0</v>
      </c>
      <c r="K3100" s="40"/>
      <c r="Q3100" s="40">
        <v>37635</v>
      </c>
      <c r="R3100" s="39">
        <v>3098.72</v>
      </c>
      <c r="S3100" s="39">
        <f t="shared" si="307"/>
        <v>1</v>
      </c>
      <c r="T3100" s="39">
        <f t="shared" si="308"/>
        <v>0</v>
      </c>
      <c r="U3100" s="39">
        <f t="shared" si="309"/>
        <v>0</v>
      </c>
      <c r="V3100" s="40"/>
    </row>
    <row r="3101" spans="2:22" x14ac:dyDescent="0.35">
      <c r="B3101" s="40">
        <v>37636</v>
      </c>
      <c r="C3101" s="39">
        <v>3049.4</v>
      </c>
      <c r="D3101" s="219">
        <f t="shared" si="310"/>
        <v>-1.6044273041615011E-2</v>
      </c>
      <c r="F3101" s="40">
        <v>37636</v>
      </c>
      <c r="G3101" s="39">
        <v>3049.4</v>
      </c>
      <c r="H3101" s="39">
        <f t="shared" si="305"/>
        <v>3</v>
      </c>
      <c r="I3101" s="39">
        <f t="shared" si="306"/>
        <v>0</v>
      </c>
      <c r="K3101" s="40"/>
      <c r="Q3101" s="40">
        <v>37636</v>
      </c>
      <c r="R3101" s="39">
        <v>3049.4</v>
      </c>
      <c r="S3101" s="39">
        <f t="shared" si="307"/>
        <v>1</v>
      </c>
      <c r="T3101" s="39">
        <f t="shared" si="308"/>
        <v>0</v>
      </c>
      <c r="U3101" s="39">
        <f t="shared" si="309"/>
        <v>0</v>
      </c>
      <c r="V3101" s="40"/>
    </row>
    <row r="3102" spans="2:22" x14ac:dyDescent="0.35">
      <c r="B3102" s="40">
        <v>37637</v>
      </c>
      <c r="C3102" s="39">
        <v>3054.11</v>
      </c>
      <c r="D3102" s="219">
        <f t="shared" si="310"/>
        <v>1.543374528734125E-3</v>
      </c>
      <c r="F3102" s="40">
        <v>37637</v>
      </c>
      <c r="G3102" s="39">
        <v>3054.11</v>
      </c>
      <c r="H3102" s="39">
        <f t="shared" si="305"/>
        <v>4</v>
      </c>
      <c r="I3102" s="39">
        <f t="shared" si="306"/>
        <v>0</v>
      </c>
      <c r="K3102" s="40"/>
      <c r="Q3102" s="40">
        <v>37637</v>
      </c>
      <c r="R3102" s="39">
        <v>3054.11</v>
      </c>
      <c r="S3102" s="39">
        <f t="shared" si="307"/>
        <v>1</v>
      </c>
      <c r="T3102" s="39">
        <f t="shared" si="308"/>
        <v>0</v>
      </c>
      <c r="U3102" s="39">
        <f t="shared" si="309"/>
        <v>0</v>
      </c>
      <c r="V3102" s="40"/>
    </row>
    <row r="3103" spans="2:22" x14ac:dyDescent="0.35">
      <c r="B3103" s="40">
        <v>37638</v>
      </c>
      <c r="C3103" s="39">
        <v>2918.82</v>
      </c>
      <c r="D3103" s="219">
        <f t="shared" si="310"/>
        <v>-4.5308799467538734E-2</v>
      </c>
      <c r="F3103" s="40">
        <v>37638</v>
      </c>
      <c r="G3103" s="39">
        <v>2918.82</v>
      </c>
      <c r="H3103" s="39">
        <f t="shared" si="305"/>
        <v>5</v>
      </c>
      <c r="I3103" s="39">
        <f t="shared" si="306"/>
        <v>2918.82</v>
      </c>
      <c r="K3103" s="40"/>
      <c r="Q3103" s="40">
        <v>37638</v>
      </c>
      <c r="R3103" s="39">
        <v>2918.82</v>
      </c>
      <c r="S3103" s="39">
        <f t="shared" si="307"/>
        <v>1</v>
      </c>
      <c r="T3103" s="39">
        <f t="shared" si="308"/>
        <v>0</v>
      </c>
      <c r="U3103" s="39">
        <f t="shared" si="309"/>
        <v>0</v>
      </c>
      <c r="V3103" s="40"/>
    </row>
    <row r="3104" spans="2:22" x14ac:dyDescent="0.35">
      <c r="B3104" s="40">
        <v>37641</v>
      </c>
      <c r="C3104" s="39">
        <v>2893.55</v>
      </c>
      <c r="D3104" s="219">
        <f t="shared" si="310"/>
        <v>-8.6953030238152186E-3</v>
      </c>
      <c r="F3104" s="40">
        <v>37641</v>
      </c>
      <c r="G3104" s="39">
        <v>2893.55</v>
      </c>
      <c r="H3104" s="39">
        <f t="shared" si="305"/>
        <v>1</v>
      </c>
      <c r="I3104" s="39">
        <f t="shared" si="306"/>
        <v>0</v>
      </c>
      <c r="K3104" s="40"/>
      <c r="Q3104" s="40">
        <v>37641</v>
      </c>
      <c r="R3104" s="39">
        <v>2893.55</v>
      </c>
      <c r="S3104" s="39">
        <f t="shared" si="307"/>
        <v>1</v>
      </c>
      <c r="T3104" s="39">
        <f t="shared" si="308"/>
        <v>0</v>
      </c>
      <c r="U3104" s="39">
        <f t="shared" si="309"/>
        <v>0</v>
      </c>
      <c r="V3104" s="40"/>
    </row>
    <row r="3105" spans="2:22" x14ac:dyDescent="0.35">
      <c r="B3105" s="40">
        <v>37642</v>
      </c>
      <c r="C3105" s="39">
        <v>2870.57</v>
      </c>
      <c r="D3105" s="219">
        <f t="shared" si="310"/>
        <v>-7.9735056693576757E-3</v>
      </c>
      <c r="F3105" s="40">
        <v>37642</v>
      </c>
      <c r="G3105" s="39">
        <v>2870.57</v>
      </c>
      <c r="H3105" s="39">
        <f t="shared" si="305"/>
        <v>2</v>
      </c>
      <c r="I3105" s="39">
        <f t="shared" si="306"/>
        <v>0</v>
      </c>
      <c r="K3105" s="40"/>
      <c r="Q3105" s="40">
        <v>37642</v>
      </c>
      <c r="R3105" s="39">
        <v>2870.57</v>
      </c>
      <c r="S3105" s="39">
        <f t="shared" si="307"/>
        <v>1</v>
      </c>
      <c r="T3105" s="39">
        <f t="shared" si="308"/>
        <v>0</v>
      </c>
      <c r="U3105" s="39">
        <f t="shared" si="309"/>
        <v>0</v>
      </c>
      <c r="V3105" s="40"/>
    </row>
    <row r="3106" spans="2:22" x14ac:dyDescent="0.35">
      <c r="B3106" s="40">
        <v>37643</v>
      </c>
      <c r="C3106" s="39">
        <v>2803.25</v>
      </c>
      <c r="D3106" s="219">
        <f t="shared" si="310"/>
        <v>-2.37311579648391E-2</v>
      </c>
      <c r="F3106" s="40">
        <v>37643</v>
      </c>
      <c r="G3106" s="39">
        <v>2803.25</v>
      </c>
      <c r="H3106" s="39">
        <f t="shared" si="305"/>
        <v>3</v>
      </c>
      <c r="I3106" s="39">
        <f t="shared" si="306"/>
        <v>0</v>
      </c>
      <c r="K3106" s="40"/>
      <c r="Q3106" s="40">
        <v>37643</v>
      </c>
      <c r="R3106" s="39">
        <v>2803.25</v>
      </c>
      <c r="S3106" s="39">
        <f t="shared" si="307"/>
        <v>1</v>
      </c>
      <c r="T3106" s="39">
        <f t="shared" si="308"/>
        <v>0</v>
      </c>
      <c r="U3106" s="39">
        <f t="shared" si="309"/>
        <v>0</v>
      </c>
      <c r="V3106" s="40"/>
    </row>
    <row r="3107" spans="2:22" x14ac:dyDescent="0.35">
      <c r="B3107" s="40">
        <v>37644</v>
      </c>
      <c r="C3107" s="39">
        <v>2811.22</v>
      </c>
      <c r="D3107" s="219">
        <f t="shared" si="310"/>
        <v>2.8390944660801232E-3</v>
      </c>
      <c r="F3107" s="40">
        <v>37644</v>
      </c>
      <c r="G3107" s="39">
        <v>2811.22</v>
      </c>
      <c r="H3107" s="39">
        <f t="shared" si="305"/>
        <v>4</v>
      </c>
      <c r="I3107" s="39">
        <f t="shared" si="306"/>
        <v>0</v>
      </c>
      <c r="K3107" s="40"/>
      <c r="Q3107" s="40">
        <v>37644</v>
      </c>
      <c r="R3107" s="39">
        <v>2811.22</v>
      </c>
      <c r="S3107" s="39">
        <f t="shared" si="307"/>
        <v>1</v>
      </c>
      <c r="T3107" s="39">
        <f t="shared" si="308"/>
        <v>0</v>
      </c>
      <c r="U3107" s="39">
        <f t="shared" si="309"/>
        <v>0</v>
      </c>
      <c r="V3107" s="40"/>
    </row>
    <row r="3108" spans="2:22" x14ac:dyDescent="0.35">
      <c r="B3108" s="40">
        <v>37645</v>
      </c>
      <c r="C3108" s="39">
        <v>2717.82</v>
      </c>
      <c r="D3108" s="219">
        <f t="shared" si="310"/>
        <v>-3.3788464454527017E-2</v>
      </c>
      <c r="F3108" s="40">
        <v>37645</v>
      </c>
      <c r="G3108" s="39">
        <v>2717.82</v>
      </c>
      <c r="H3108" s="39">
        <f t="shared" si="305"/>
        <v>5</v>
      </c>
      <c r="I3108" s="39">
        <f t="shared" si="306"/>
        <v>2717.82</v>
      </c>
      <c r="K3108" s="40"/>
      <c r="Q3108" s="40">
        <v>37645</v>
      </c>
      <c r="R3108" s="39">
        <v>2717.82</v>
      </c>
      <c r="S3108" s="39">
        <f t="shared" si="307"/>
        <v>1</v>
      </c>
      <c r="T3108" s="39">
        <f t="shared" si="308"/>
        <v>0</v>
      </c>
      <c r="U3108" s="39">
        <f t="shared" si="309"/>
        <v>0</v>
      </c>
      <c r="V3108" s="40"/>
    </row>
    <row r="3109" spans="2:22" x14ac:dyDescent="0.35">
      <c r="B3109" s="40">
        <v>37648</v>
      </c>
      <c r="C3109" s="39">
        <v>2643.8</v>
      </c>
      <c r="D3109" s="219">
        <f t="shared" si="310"/>
        <v>-2.7612812207243716E-2</v>
      </c>
      <c r="F3109" s="40">
        <v>37648</v>
      </c>
      <c r="G3109" s="39">
        <v>2643.8</v>
      </c>
      <c r="H3109" s="39">
        <f t="shared" si="305"/>
        <v>1</v>
      </c>
      <c r="I3109" s="39">
        <f t="shared" si="306"/>
        <v>0</v>
      </c>
      <c r="K3109" s="40"/>
      <c r="Q3109" s="40">
        <v>37648</v>
      </c>
      <c r="R3109" s="39">
        <v>2643.8</v>
      </c>
      <c r="S3109" s="39">
        <f t="shared" si="307"/>
        <v>1</v>
      </c>
      <c r="T3109" s="39">
        <f t="shared" si="308"/>
        <v>0</v>
      </c>
      <c r="U3109" s="39">
        <f t="shared" si="309"/>
        <v>0</v>
      </c>
      <c r="V3109" s="40"/>
    </row>
    <row r="3110" spans="2:22" x14ac:dyDescent="0.35">
      <c r="B3110" s="40">
        <v>37649</v>
      </c>
      <c r="C3110" s="39">
        <v>2671.36</v>
      </c>
      <c r="D3110" s="219">
        <f t="shared" si="310"/>
        <v>1.0370429863427287E-2</v>
      </c>
      <c r="F3110" s="40">
        <v>37649</v>
      </c>
      <c r="G3110" s="39">
        <v>2671.36</v>
      </c>
      <c r="H3110" s="39">
        <f t="shared" si="305"/>
        <v>2</v>
      </c>
      <c r="I3110" s="39">
        <f t="shared" si="306"/>
        <v>0</v>
      </c>
      <c r="K3110" s="40"/>
      <c r="Q3110" s="40">
        <v>37649</v>
      </c>
      <c r="R3110" s="39">
        <v>2671.36</v>
      </c>
      <c r="S3110" s="39">
        <f t="shared" si="307"/>
        <v>1</v>
      </c>
      <c r="T3110" s="39">
        <f t="shared" si="308"/>
        <v>0</v>
      </c>
      <c r="U3110" s="39">
        <f t="shared" si="309"/>
        <v>0</v>
      </c>
      <c r="V3110" s="40"/>
    </row>
    <row r="3111" spans="2:22" x14ac:dyDescent="0.35">
      <c r="B3111" s="40">
        <v>37650</v>
      </c>
      <c r="C3111" s="39">
        <v>2706.57</v>
      </c>
      <c r="D3111" s="219">
        <f t="shared" si="310"/>
        <v>1.3094444555402811E-2</v>
      </c>
      <c r="F3111" s="40">
        <v>37650</v>
      </c>
      <c r="G3111" s="39">
        <v>2706.57</v>
      </c>
      <c r="H3111" s="39">
        <f t="shared" si="305"/>
        <v>3</v>
      </c>
      <c r="I3111" s="39">
        <f t="shared" si="306"/>
        <v>0</v>
      </c>
      <c r="K3111" s="40"/>
      <c r="Q3111" s="40">
        <v>37650</v>
      </c>
      <c r="R3111" s="39">
        <v>2706.57</v>
      </c>
      <c r="S3111" s="39">
        <f t="shared" si="307"/>
        <v>1</v>
      </c>
      <c r="T3111" s="39">
        <f t="shared" si="308"/>
        <v>0</v>
      </c>
      <c r="U3111" s="39">
        <f t="shared" si="309"/>
        <v>0</v>
      </c>
      <c r="V3111" s="40"/>
    </row>
    <row r="3112" spans="2:22" x14ac:dyDescent="0.35">
      <c r="B3112" s="40">
        <v>37651</v>
      </c>
      <c r="C3112" s="39">
        <v>2693.78</v>
      </c>
      <c r="D3112" s="219">
        <f t="shared" si="310"/>
        <v>-4.7367388831348473E-3</v>
      </c>
      <c r="F3112" s="40">
        <v>37651</v>
      </c>
      <c r="G3112" s="39">
        <v>2693.78</v>
      </c>
      <c r="H3112" s="39">
        <f t="shared" si="305"/>
        <v>4</v>
      </c>
      <c r="I3112" s="39">
        <f t="shared" si="306"/>
        <v>0</v>
      </c>
      <c r="K3112" s="40"/>
      <c r="Q3112" s="40">
        <v>37651</v>
      </c>
      <c r="R3112" s="39">
        <v>2693.78</v>
      </c>
      <c r="S3112" s="39">
        <f t="shared" si="307"/>
        <v>1</v>
      </c>
      <c r="T3112" s="39">
        <f t="shared" si="308"/>
        <v>0</v>
      </c>
      <c r="U3112" s="39">
        <f t="shared" si="309"/>
        <v>0</v>
      </c>
      <c r="V3112" s="40"/>
    </row>
    <row r="3113" spans="2:22" x14ac:dyDescent="0.35">
      <c r="B3113" s="40">
        <v>37652</v>
      </c>
      <c r="C3113" s="39">
        <v>2747.83</v>
      </c>
      <c r="D3113" s="219">
        <f t="shared" si="310"/>
        <v>1.9866097574423522E-2</v>
      </c>
      <c r="F3113" s="40">
        <v>37652</v>
      </c>
      <c r="G3113" s="39">
        <v>2747.83</v>
      </c>
      <c r="H3113" s="39">
        <f t="shared" si="305"/>
        <v>5</v>
      </c>
      <c r="I3113" s="39">
        <f t="shared" si="306"/>
        <v>2747.83</v>
      </c>
      <c r="K3113" s="40"/>
      <c r="Q3113" s="40">
        <v>37652</v>
      </c>
      <c r="R3113" s="39">
        <v>2747.83</v>
      </c>
      <c r="S3113" s="39">
        <f t="shared" si="307"/>
        <v>1</v>
      </c>
      <c r="T3113" s="39">
        <f t="shared" si="308"/>
        <v>2747.83</v>
      </c>
      <c r="U3113" s="39">
        <f t="shared" si="309"/>
        <v>2747.83</v>
      </c>
      <c r="V3113" s="40"/>
    </row>
    <row r="3114" spans="2:22" x14ac:dyDescent="0.35">
      <c r="B3114" s="40">
        <v>37655</v>
      </c>
      <c r="C3114" s="39">
        <v>2751.99</v>
      </c>
      <c r="D3114" s="219">
        <f t="shared" si="310"/>
        <v>1.512777070283855E-3</v>
      </c>
      <c r="F3114" s="40">
        <v>37655</v>
      </c>
      <c r="G3114" s="39">
        <v>2751.99</v>
      </c>
      <c r="H3114" s="39">
        <f t="shared" si="305"/>
        <v>1</v>
      </c>
      <c r="I3114" s="39">
        <f t="shared" si="306"/>
        <v>0</v>
      </c>
      <c r="K3114" s="40"/>
      <c r="Q3114" s="40">
        <v>37655</v>
      </c>
      <c r="R3114" s="39">
        <v>2751.99</v>
      </c>
      <c r="S3114" s="39">
        <f t="shared" si="307"/>
        <v>2</v>
      </c>
      <c r="T3114" s="39">
        <f t="shared" si="308"/>
        <v>0</v>
      </c>
      <c r="U3114" s="39">
        <f t="shared" si="309"/>
        <v>0</v>
      </c>
      <c r="V3114" s="40"/>
    </row>
    <row r="3115" spans="2:22" x14ac:dyDescent="0.35">
      <c r="B3115" s="40">
        <v>37656</v>
      </c>
      <c r="C3115" s="39">
        <v>2632.98</v>
      </c>
      <c r="D3115" s="219">
        <f t="shared" si="310"/>
        <v>-4.4208001756456547E-2</v>
      </c>
      <c r="F3115" s="40">
        <v>37656</v>
      </c>
      <c r="G3115" s="39">
        <v>2632.98</v>
      </c>
      <c r="H3115" s="39">
        <f t="shared" si="305"/>
        <v>2</v>
      </c>
      <c r="I3115" s="39">
        <f t="shared" si="306"/>
        <v>0</v>
      </c>
      <c r="K3115" s="40"/>
      <c r="Q3115" s="40">
        <v>37656</v>
      </c>
      <c r="R3115" s="39">
        <v>2632.98</v>
      </c>
      <c r="S3115" s="39">
        <f t="shared" si="307"/>
        <v>2</v>
      </c>
      <c r="T3115" s="39">
        <f t="shared" si="308"/>
        <v>0</v>
      </c>
      <c r="U3115" s="39">
        <f t="shared" si="309"/>
        <v>0</v>
      </c>
      <c r="V3115" s="40"/>
    </row>
    <row r="3116" spans="2:22" x14ac:dyDescent="0.35">
      <c r="B3116" s="40">
        <v>37657</v>
      </c>
      <c r="C3116" s="39">
        <v>2725.88</v>
      </c>
      <c r="D3116" s="219">
        <f t="shared" si="310"/>
        <v>3.4675027175380034E-2</v>
      </c>
      <c r="F3116" s="40">
        <v>37657</v>
      </c>
      <c r="G3116" s="39">
        <v>2725.88</v>
      </c>
      <c r="H3116" s="39">
        <f t="shared" si="305"/>
        <v>3</v>
      </c>
      <c r="I3116" s="39">
        <f t="shared" si="306"/>
        <v>0</v>
      </c>
      <c r="K3116" s="40"/>
      <c r="Q3116" s="40">
        <v>37657</v>
      </c>
      <c r="R3116" s="39">
        <v>2725.88</v>
      </c>
      <c r="S3116" s="39">
        <f t="shared" si="307"/>
        <v>2</v>
      </c>
      <c r="T3116" s="39">
        <f t="shared" si="308"/>
        <v>0</v>
      </c>
      <c r="U3116" s="39">
        <f t="shared" si="309"/>
        <v>0</v>
      </c>
      <c r="V3116" s="40"/>
    </row>
    <row r="3117" spans="2:22" x14ac:dyDescent="0.35">
      <c r="B3117" s="40">
        <v>37658</v>
      </c>
      <c r="C3117" s="39">
        <v>2649</v>
      </c>
      <c r="D3117" s="219">
        <f t="shared" si="310"/>
        <v>-2.8609101472555687E-2</v>
      </c>
      <c r="F3117" s="40">
        <v>37658</v>
      </c>
      <c r="G3117" s="39">
        <v>2649</v>
      </c>
      <c r="H3117" s="39">
        <f t="shared" si="305"/>
        <v>4</v>
      </c>
      <c r="I3117" s="39">
        <f t="shared" si="306"/>
        <v>0</v>
      </c>
      <c r="K3117" s="40"/>
      <c r="Q3117" s="40">
        <v>37658</v>
      </c>
      <c r="R3117" s="39">
        <v>2649</v>
      </c>
      <c r="S3117" s="39">
        <f t="shared" si="307"/>
        <v>2</v>
      </c>
      <c r="T3117" s="39">
        <f t="shared" si="308"/>
        <v>0</v>
      </c>
      <c r="U3117" s="39">
        <f t="shared" si="309"/>
        <v>0</v>
      </c>
      <c r="V3117" s="40"/>
    </row>
    <row r="3118" spans="2:22" x14ac:dyDescent="0.35">
      <c r="B3118" s="40">
        <v>37659</v>
      </c>
      <c r="C3118" s="39">
        <v>2569.34</v>
      </c>
      <c r="D3118" s="219">
        <f t="shared" si="310"/>
        <v>-3.0533153702490441E-2</v>
      </c>
      <c r="F3118" s="40">
        <v>37659</v>
      </c>
      <c r="G3118" s="39">
        <v>2569.34</v>
      </c>
      <c r="H3118" s="39">
        <f t="shared" si="305"/>
        <v>5</v>
      </c>
      <c r="I3118" s="39">
        <f t="shared" si="306"/>
        <v>2569.34</v>
      </c>
      <c r="K3118" s="40"/>
      <c r="Q3118" s="40">
        <v>37659</v>
      </c>
      <c r="R3118" s="39">
        <v>2569.34</v>
      </c>
      <c r="S3118" s="39">
        <f t="shared" si="307"/>
        <v>2</v>
      </c>
      <c r="T3118" s="39">
        <f t="shared" si="308"/>
        <v>0</v>
      </c>
      <c r="U3118" s="39">
        <f t="shared" si="309"/>
        <v>0</v>
      </c>
      <c r="V3118" s="40"/>
    </row>
    <row r="3119" spans="2:22" x14ac:dyDescent="0.35">
      <c r="B3119" s="40">
        <v>37662</v>
      </c>
      <c r="C3119" s="39">
        <v>2586.09</v>
      </c>
      <c r="D3119" s="219">
        <f t="shared" si="310"/>
        <v>6.4980259408435699E-3</v>
      </c>
      <c r="F3119" s="40">
        <v>37662</v>
      </c>
      <c r="G3119" s="39">
        <v>2586.09</v>
      </c>
      <c r="H3119" s="39">
        <f t="shared" si="305"/>
        <v>1</v>
      </c>
      <c r="I3119" s="39">
        <f t="shared" si="306"/>
        <v>0</v>
      </c>
      <c r="K3119" s="40"/>
      <c r="Q3119" s="40">
        <v>37662</v>
      </c>
      <c r="R3119" s="39">
        <v>2586.09</v>
      </c>
      <c r="S3119" s="39">
        <f t="shared" si="307"/>
        <v>2</v>
      </c>
      <c r="T3119" s="39">
        <f t="shared" si="308"/>
        <v>0</v>
      </c>
      <c r="U3119" s="39">
        <f t="shared" si="309"/>
        <v>0</v>
      </c>
      <c r="V3119" s="40"/>
    </row>
    <row r="3120" spans="2:22" x14ac:dyDescent="0.35">
      <c r="B3120" s="40">
        <v>37663</v>
      </c>
      <c r="C3120" s="39">
        <v>2627</v>
      </c>
      <c r="D3120" s="219">
        <f t="shared" si="310"/>
        <v>1.5695428175117068E-2</v>
      </c>
      <c r="F3120" s="40">
        <v>37663</v>
      </c>
      <c r="G3120" s="39">
        <v>2627</v>
      </c>
      <c r="H3120" s="39">
        <f t="shared" si="305"/>
        <v>2</v>
      </c>
      <c r="I3120" s="39">
        <f t="shared" si="306"/>
        <v>0</v>
      </c>
      <c r="K3120" s="40"/>
      <c r="Q3120" s="40">
        <v>37663</v>
      </c>
      <c r="R3120" s="39">
        <v>2627</v>
      </c>
      <c r="S3120" s="39">
        <f t="shared" si="307"/>
        <v>2</v>
      </c>
      <c r="T3120" s="39">
        <f t="shared" si="308"/>
        <v>0</v>
      </c>
      <c r="U3120" s="39">
        <f t="shared" si="309"/>
        <v>0</v>
      </c>
      <c r="V3120" s="40"/>
    </row>
    <row r="3121" spans="2:22" x14ac:dyDescent="0.35">
      <c r="B3121" s="40">
        <v>37664</v>
      </c>
      <c r="C3121" s="39">
        <v>2571.25</v>
      </c>
      <c r="D3121" s="219">
        <f t="shared" si="310"/>
        <v>-2.145034871837297E-2</v>
      </c>
      <c r="F3121" s="40">
        <v>37664</v>
      </c>
      <c r="G3121" s="39">
        <v>2571.25</v>
      </c>
      <c r="H3121" s="39">
        <f t="shared" si="305"/>
        <v>3</v>
      </c>
      <c r="I3121" s="39">
        <f t="shared" si="306"/>
        <v>0</v>
      </c>
      <c r="K3121" s="40"/>
      <c r="Q3121" s="40">
        <v>37664</v>
      </c>
      <c r="R3121" s="39">
        <v>2571.25</v>
      </c>
      <c r="S3121" s="39">
        <f t="shared" si="307"/>
        <v>2</v>
      </c>
      <c r="T3121" s="39">
        <f t="shared" si="308"/>
        <v>0</v>
      </c>
      <c r="U3121" s="39">
        <f t="shared" si="309"/>
        <v>0</v>
      </c>
      <c r="V3121" s="40"/>
    </row>
    <row r="3122" spans="2:22" x14ac:dyDescent="0.35">
      <c r="B3122" s="40">
        <v>37665</v>
      </c>
      <c r="C3122" s="39">
        <v>2555.27</v>
      </c>
      <c r="D3122" s="219">
        <f t="shared" si="310"/>
        <v>-6.2342687658160289E-3</v>
      </c>
      <c r="F3122" s="40">
        <v>37665</v>
      </c>
      <c r="G3122" s="39">
        <v>2555.27</v>
      </c>
      <c r="H3122" s="39">
        <f t="shared" si="305"/>
        <v>4</v>
      </c>
      <c r="I3122" s="39">
        <f t="shared" si="306"/>
        <v>0</v>
      </c>
      <c r="K3122" s="40"/>
      <c r="Q3122" s="40">
        <v>37665</v>
      </c>
      <c r="R3122" s="39">
        <v>2555.27</v>
      </c>
      <c r="S3122" s="39">
        <f t="shared" si="307"/>
        <v>2</v>
      </c>
      <c r="T3122" s="39">
        <f t="shared" si="308"/>
        <v>0</v>
      </c>
      <c r="U3122" s="39">
        <f t="shared" si="309"/>
        <v>0</v>
      </c>
      <c r="V3122" s="40"/>
    </row>
    <row r="3123" spans="2:22" x14ac:dyDescent="0.35">
      <c r="B3123" s="40">
        <v>37666</v>
      </c>
      <c r="C3123" s="39">
        <v>2674.46</v>
      </c>
      <c r="D3123" s="219">
        <f t="shared" si="310"/>
        <v>4.5589597591556431E-2</v>
      </c>
      <c r="F3123" s="40">
        <v>37666</v>
      </c>
      <c r="G3123" s="39">
        <v>2674.46</v>
      </c>
      <c r="H3123" s="39">
        <f t="shared" si="305"/>
        <v>5</v>
      </c>
      <c r="I3123" s="39">
        <f t="shared" si="306"/>
        <v>2674.46</v>
      </c>
      <c r="K3123" s="40"/>
      <c r="Q3123" s="40">
        <v>37666</v>
      </c>
      <c r="R3123" s="39">
        <v>2674.46</v>
      </c>
      <c r="S3123" s="39">
        <f t="shared" si="307"/>
        <v>2</v>
      </c>
      <c r="T3123" s="39">
        <f t="shared" si="308"/>
        <v>0</v>
      </c>
      <c r="U3123" s="39">
        <f t="shared" si="309"/>
        <v>0</v>
      </c>
      <c r="V3123" s="40"/>
    </row>
    <row r="3124" spans="2:22" x14ac:dyDescent="0.35">
      <c r="B3124" s="40">
        <v>37669</v>
      </c>
      <c r="C3124" s="39">
        <v>2708.97</v>
      </c>
      <c r="D3124" s="219">
        <f t="shared" si="310"/>
        <v>1.2820998033747784E-2</v>
      </c>
      <c r="F3124" s="40">
        <v>37669</v>
      </c>
      <c r="G3124" s="39">
        <v>2708.97</v>
      </c>
      <c r="H3124" s="39">
        <f t="shared" si="305"/>
        <v>1</v>
      </c>
      <c r="I3124" s="39">
        <f t="shared" si="306"/>
        <v>0</v>
      </c>
      <c r="K3124" s="40"/>
      <c r="Q3124" s="40">
        <v>37669</v>
      </c>
      <c r="R3124" s="39">
        <v>2708.97</v>
      </c>
      <c r="S3124" s="39">
        <f t="shared" si="307"/>
        <v>2</v>
      </c>
      <c r="T3124" s="39">
        <f t="shared" si="308"/>
        <v>0</v>
      </c>
      <c r="U3124" s="39">
        <f t="shared" si="309"/>
        <v>0</v>
      </c>
      <c r="V3124" s="40"/>
    </row>
    <row r="3125" spans="2:22" x14ac:dyDescent="0.35">
      <c r="B3125" s="40">
        <v>37670</v>
      </c>
      <c r="C3125" s="39">
        <v>2740.14</v>
      </c>
      <c r="D3125" s="219">
        <f t="shared" si="310"/>
        <v>1.144052514067239E-2</v>
      </c>
      <c r="F3125" s="40">
        <v>37670</v>
      </c>
      <c r="G3125" s="39">
        <v>2740.14</v>
      </c>
      <c r="H3125" s="39">
        <f t="shared" si="305"/>
        <v>2</v>
      </c>
      <c r="I3125" s="39">
        <f t="shared" si="306"/>
        <v>0</v>
      </c>
      <c r="K3125" s="40"/>
      <c r="Q3125" s="40">
        <v>37670</v>
      </c>
      <c r="R3125" s="39">
        <v>2740.14</v>
      </c>
      <c r="S3125" s="39">
        <f t="shared" si="307"/>
        <v>2</v>
      </c>
      <c r="T3125" s="39">
        <f t="shared" si="308"/>
        <v>0</v>
      </c>
      <c r="U3125" s="39">
        <f t="shared" si="309"/>
        <v>0</v>
      </c>
      <c r="V3125" s="40"/>
    </row>
    <row r="3126" spans="2:22" x14ac:dyDescent="0.35">
      <c r="B3126" s="40">
        <v>37671</v>
      </c>
      <c r="C3126" s="39">
        <v>2624.65</v>
      </c>
      <c r="D3126" s="219">
        <f t="shared" si="310"/>
        <v>-4.3061460164615629E-2</v>
      </c>
      <c r="F3126" s="40">
        <v>37671</v>
      </c>
      <c r="G3126" s="39">
        <v>2624.65</v>
      </c>
      <c r="H3126" s="39">
        <f t="shared" si="305"/>
        <v>3</v>
      </c>
      <c r="I3126" s="39">
        <f t="shared" si="306"/>
        <v>0</v>
      </c>
      <c r="K3126" s="40"/>
      <c r="Q3126" s="40">
        <v>37671</v>
      </c>
      <c r="R3126" s="39">
        <v>2624.65</v>
      </c>
      <c r="S3126" s="39">
        <f t="shared" si="307"/>
        <v>2</v>
      </c>
      <c r="T3126" s="39">
        <f t="shared" si="308"/>
        <v>0</v>
      </c>
      <c r="U3126" s="39">
        <f t="shared" si="309"/>
        <v>0</v>
      </c>
      <c r="V3126" s="40"/>
    </row>
    <row r="3127" spans="2:22" x14ac:dyDescent="0.35">
      <c r="B3127" s="40">
        <v>37672</v>
      </c>
      <c r="C3127" s="39">
        <v>2591.2600000000002</v>
      </c>
      <c r="D3127" s="219">
        <f t="shared" si="310"/>
        <v>-1.2803309918827759E-2</v>
      </c>
      <c r="F3127" s="40">
        <v>37672</v>
      </c>
      <c r="G3127" s="39">
        <v>2591.2600000000002</v>
      </c>
      <c r="H3127" s="39">
        <f t="shared" ref="H3127:H3190" si="311">WEEKDAY(F3127,2)</f>
        <v>4</v>
      </c>
      <c r="I3127" s="39">
        <f t="shared" ref="I3127:I3190" si="312">IF(H3127&gt;H3128,G3127,0)</f>
        <v>0</v>
      </c>
      <c r="K3127" s="40"/>
      <c r="Q3127" s="40">
        <v>37672</v>
      </c>
      <c r="R3127" s="39">
        <v>2591.2600000000002</v>
      </c>
      <c r="S3127" s="39">
        <f t="shared" ref="S3127:S3190" si="313">MONTH(Q3127)</f>
        <v>2</v>
      </c>
      <c r="T3127" s="39">
        <f t="shared" ref="T3127:T3190" si="314">IF(S3128&lt;&gt;S3127,R3127,0)</f>
        <v>0</v>
      </c>
      <c r="U3127" s="39">
        <f t="shared" ref="U3127:U3190" si="315">IF(S3128=S3127,0,R3127)</f>
        <v>0</v>
      </c>
      <c r="V3127" s="40"/>
    </row>
    <row r="3128" spans="2:22" x14ac:dyDescent="0.35">
      <c r="B3128" s="40">
        <v>37673</v>
      </c>
      <c r="C3128" s="39">
        <v>2648.87</v>
      </c>
      <c r="D3128" s="219">
        <f t="shared" ref="D3128:D3191" si="316">LN(C3128/C3127)</f>
        <v>2.1988890061274694E-2</v>
      </c>
      <c r="F3128" s="40">
        <v>37673</v>
      </c>
      <c r="G3128" s="39">
        <v>2648.87</v>
      </c>
      <c r="H3128" s="39">
        <f t="shared" si="311"/>
        <v>5</v>
      </c>
      <c r="I3128" s="39">
        <f t="shared" si="312"/>
        <v>2648.87</v>
      </c>
      <c r="K3128" s="40"/>
      <c r="Q3128" s="40">
        <v>37673</v>
      </c>
      <c r="R3128" s="39">
        <v>2648.87</v>
      </c>
      <c r="S3128" s="39">
        <f t="shared" si="313"/>
        <v>2</v>
      </c>
      <c r="T3128" s="39">
        <f t="shared" si="314"/>
        <v>0</v>
      </c>
      <c r="U3128" s="39">
        <f t="shared" si="315"/>
        <v>0</v>
      </c>
      <c r="V3128" s="40"/>
    </row>
    <row r="3129" spans="2:22" x14ac:dyDescent="0.35">
      <c r="B3129" s="40">
        <v>37676</v>
      </c>
      <c r="C3129" s="39">
        <v>2571.35</v>
      </c>
      <c r="D3129" s="219">
        <f t="shared" si="316"/>
        <v>-2.9702081144556285E-2</v>
      </c>
      <c r="F3129" s="40">
        <v>37676</v>
      </c>
      <c r="G3129" s="39">
        <v>2571.35</v>
      </c>
      <c r="H3129" s="39">
        <f t="shared" si="311"/>
        <v>1</v>
      </c>
      <c r="I3129" s="39">
        <f t="shared" si="312"/>
        <v>0</v>
      </c>
      <c r="K3129" s="40"/>
      <c r="Q3129" s="40">
        <v>37676</v>
      </c>
      <c r="R3129" s="39">
        <v>2571.35</v>
      </c>
      <c r="S3129" s="39">
        <f t="shared" si="313"/>
        <v>2</v>
      </c>
      <c r="T3129" s="39">
        <f t="shared" si="314"/>
        <v>0</v>
      </c>
      <c r="U3129" s="39">
        <f t="shared" si="315"/>
        <v>0</v>
      </c>
      <c r="V3129" s="40"/>
    </row>
    <row r="3130" spans="2:22" x14ac:dyDescent="0.35">
      <c r="B3130" s="40">
        <v>37677</v>
      </c>
      <c r="C3130" s="39">
        <v>2485.5</v>
      </c>
      <c r="D3130" s="219">
        <f t="shared" si="316"/>
        <v>-3.3957206265875006E-2</v>
      </c>
      <c r="F3130" s="40">
        <v>37677</v>
      </c>
      <c r="G3130" s="39">
        <v>2485.5</v>
      </c>
      <c r="H3130" s="39">
        <f t="shared" si="311"/>
        <v>2</v>
      </c>
      <c r="I3130" s="39">
        <f t="shared" si="312"/>
        <v>0</v>
      </c>
      <c r="K3130" s="40"/>
      <c r="Q3130" s="40">
        <v>37677</v>
      </c>
      <c r="R3130" s="39">
        <v>2485.5</v>
      </c>
      <c r="S3130" s="39">
        <f t="shared" si="313"/>
        <v>2</v>
      </c>
      <c r="T3130" s="39">
        <f t="shared" si="314"/>
        <v>0</v>
      </c>
      <c r="U3130" s="39">
        <f t="shared" si="315"/>
        <v>0</v>
      </c>
      <c r="V3130" s="40"/>
    </row>
    <row r="3131" spans="2:22" x14ac:dyDescent="0.35">
      <c r="B3131" s="40">
        <v>37678</v>
      </c>
      <c r="C3131" s="39">
        <v>2450.1999999999998</v>
      </c>
      <c r="D3131" s="219">
        <f t="shared" si="316"/>
        <v>-1.4304192674657159E-2</v>
      </c>
      <c r="F3131" s="40">
        <v>37678</v>
      </c>
      <c r="G3131" s="39">
        <v>2450.1999999999998</v>
      </c>
      <c r="H3131" s="39">
        <f t="shared" si="311"/>
        <v>3</v>
      </c>
      <c r="I3131" s="39">
        <f t="shared" si="312"/>
        <v>0</v>
      </c>
      <c r="K3131" s="40"/>
      <c r="Q3131" s="40">
        <v>37678</v>
      </c>
      <c r="R3131" s="39">
        <v>2450.1999999999998</v>
      </c>
      <c r="S3131" s="39">
        <f t="shared" si="313"/>
        <v>2</v>
      </c>
      <c r="T3131" s="39">
        <f t="shared" si="314"/>
        <v>0</v>
      </c>
      <c r="U3131" s="39">
        <f t="shared" si="315"/>
        <v>0</v>
      </c>
      <c r="V3131" s="40"/>
    </row>
    <row r="3132" spans="2:22" x14ac:dyDescent="0.35">
      <c r="B3132" s="40">
        <v>37679</v>
      </c>
      <c r="C3132" s="39">
        <v>2513.2199999999998</v>
      </c>
      <c r="D3132" s="219">
        <f t="shared" si="316"/>
        <v>2.5395145618912967E-2</v>
      </c>
      <c r="F3132" s="40">
        <v>37679</v>
      </c>
      <c r="G3132" s="39">
        <v>2513.2199999999998</v>
      </c>
      <c r="H3132" s="39">
        <f t="shared" si="311"/>
        <v>4</v>
      </c>
      <c r="I3132" s="39">
        <f t="shared" si="312"/>
        <v>0</v>
      </c>
      <c r="K3132" s="40"/>
      <c r="Q3132" s="40">
        <v>37679</v>
      </c>
      <c r="R3132" s="39">
        <v>2513.2199999999998</v>
      </c>
      <c r="S3132" s="39">
        <f t="shared" si="313"/>
        <v>2</v>
      </c>
      <c r="T3132" s="39">
        <f t="shared" si="314"/>
        <v>0</v>
      </c>
      <c r="U3132" s="39">
        <f t="shared" si="315"/>
        <v>0</v>
      </c>
      <c r="V3132" s="40"/>
    </row>
    <row r="3133" spans="2:22" x14ac:dyDescent="0.35">
      <c r="B3133" s="40">
        <v>37680</v>
      </c>
      <c r="C3133" s="39">
        <v>2547.0500000000002</v>
      </c>
      <c r="D3133" s="219">
        <f t="shared" si="316"/>
        <v>1.3371027246148526E-2</v>
      </c>
      <c r="F3133" s="40">
        <v>37680</v>
      </c>
      <c r="G3133" s="39">
        <v>2547.0500000000002</v>
      </c>
      <c r="H3133" s="39">
        <f t="shared" si="311"/>
        <v>5</v>
      </c>
      <c r="I3133" s="39">
        <f t="shared" si="312"/>
        <v>2547.0500000000002</v>
      </c>
      <c r="K3133" s="40"/>
      <c r="Q3133" s="40">
        <v>37680</v>
      </c>
      <c r="R3133" s="39">
        <v>2547.0500000000002</v>
      </c>
      <c r="S3133" s="39">
        <f t="shared" si="313"/>
        <v>2</v>
      </c>
      <c r="T3133" s="39">
        <f t="shared" si="314"/>
        <v>2547.0500000000002</v>
      </c>
      <c r="U3133" s="39">
        <f t="shared" si="315"/>
        <v>2547.0500000000002</v>
      </c>
      <c r="V3133" s="40"/>
    </row>
    <row r="3134" spans="2:22" x14ac:dyDescent="0.35">
      <c r="B3134" s="40">
        <v>37683</v>
      </c>
      <c r="C3134" s="39">
        <v>2549.65</v>
      </c>
      <c r="D3134" s="219">
        <f t="shared" si="316"/>
        <v>1.0202681050635162E-3</v>
      </c>
      <c r="F3134" s="40">
        <v>37683</v>
      </c>
      <c r="G3134" s="39">
        <v>2549.65</v>
      </c>
      <c r="H3134" s="39">
        <f t="shared" si="311"/>
        <v>1</v>
      </c>
      <c r="I3134" s="39">
        <f t="shared" si="312"/>
        <v>0</v>
      </c>
      <c r="K3134" s="40"/>
      <c r="Q3134" s="40">
        <v>37683</v>
      </c>
      <c r="R3134" s="39">
        <v>2549.65</v>
      </c>
      <c r="S3134" s="39">
        <f t="shared" si="313"/>
        <v>3</v>
      </c>
      <c r="T3134" s="39">
        <f t="shared" si="314"/>
        <v>0</v>
      </c>
      <c r="U3134" s="39">
        <f t="shared" si="315"/>
        <v>0</v>
      </c>
      <c r="V3134" s="40"/>
    </row>
    <row r="3135" spans="2:22" x14ac:dyDescent="0.35">
      <c r="B3135" s="40">
        <v>37684</v>
      </c>
      <c r="C3135" s="39">
        <v>2501.0300000000002</v>
      </c>
      <c r="D3135" s="219">
        <f t="shared" si="316"/>
        <v>-1.9253447822598486E-2</v>
      </c>
      <c r="F3135" s="40">
        <v>37684</v>
      </c>
      <c r="G3135" s="39">
        <v>2501.0300000000002</v>
      </c>
      <c r="H3135" s="39">
        <f t="shared" si="311"/>
        <v>2</v>
      </c>
      <c r="I3135" s="39">
        <f t="shared" si="312"/>
        <v>0</v>
      </c>
      <c r="K3135" s="40"/>
      <c r="Q3135" s="40">
        <v>37684</v>
      </c>
      <c r="R3135" s="39">
        <v>2501.0300000000002</v>
      </c>
      <c r="S3135" s="39">
        <f t="shared" si="313"/>
        <v>3</v>
      </c>
      <c r="T3135" s="39">
        <f t="shared" si="314"/>
        <v>0</v>
      </c>
      <c r="U3135" s="39">
        <f t="shared" si="315"/>
        <v>0</v>
      </c>
      <c r="V3135" s="40"/>
    </row>
    <row r="3136" spans="2:22" x14ac:dyDescent="0.35">
      <c r="B3136" s="40">
        <v>37685</v>
      </c>
      <c r="C3136" s="39">
        <v>2498.02</v>
      </c>
      <c r="D3136" s="219">
        <f t="shared" si="316"/>
        <v>-1.2042289490004938E-3</v>
      </c>
      <c r="F3136" s="40">
        <v>37685</v>
      </c>
      <c r="G3136" s="39">
        <v>2498.02</v>
      </c>
      <c r="H3136" s="39">
        <f t="shared" si="311"/>
        <v>3</v>
      </c>
      <c r="I3136" s="39">
        <f t="shared" si="312"/>
        <v>0</v>
      </c>
      <c r="K3136" s="40"/>
      <c r="Q3136" s="40">
        <v>37685</v>
      </c>
      <c r="R3136" s="39">
        <v>2498.02</v>
      </c>
      <c r="S3136" s="39">
        <f t="shared" si="313"/>
        <v>3</v>
      </c>
      <c r="T3136" s="39">
        <f t="shared" si="314"/>
        <v>0</v>
      </c>
      <c r="U3136" s="39">
        <f t="shared" si="315"/>
        <v>0</v>
      </c>
      <c r="V3136" s="40"/>
    </row>
    <row r="3137" spans="2:22" x14ac:dyDescent="0.35">
      <c r="B3137" s="40">
        <v>37686</v>
      </c>
      <c r="C3137" s="39">
        <v>2437.5100000000002</v>
      </c>
      <c r="D3137" s="219">
        <f t="shared" si="316"/>
        <v>-2.4521391630906563E-2</v>
      </c>
      <c r="F3137" s="40">
        <v>37686</v>
      </c>
      <c r="G3137" s="39">
        <v>2437.5100000000002</v>
      </c>
      <c r="H3137" s="39">
        <f t="shared" si="311"/>
        <v>4</v>
      </c>
      <c r="I3137" s="39">
        <f t="shared" si="312"/>
        <v>0</v>
      </c>
      <c r="K3137" s="40"/>
      <c r="Q3137" s="40">
        <v>37686</v>
      </c>
      <c r="R3137" s="39">
        <v>2437.5100000000002</v>
      </c>
      <c r="S3137" s="39">
        <f t="shared" si="313"/>
        <v>3</v>
      </c>
      <c r="T3137" s="39">
        <f t="shared" si="314"/>
        <v>0</v>
      </c>
      <c r="U3137" s="39">
        <f t="shared" si="315"/>
        <v>0</v>
      </c>
      <c r="V3137" s="40"/>
    </row>
    <row r="3138" spans="2:22" x14ac:dyDescent="0.35">
      <c r="B3138" s="40">
        <v>37687</v>
      </c>
      <c r="C3138" s="39">
        <v>2431.66</v>
      </c>
      <c r="D3138" s="219">
        <f t="shared" si="316"/>
        <v>-2.4028747465095835E-3</v>
      </c>
      <c r="F3138" s="40">
        <v>37687</v>
      </c>
      <c r="G3138" s="39">
        <v>2431.66</v>
      </c>
      <c r="H3138" s="39">
        <f t="shared" si="311"/>
        <v>5</v>
      </c>
      <c r="I3138" s="39">
        <f t="shared" si="312"/>
        <v>2431.66</v>
      </c>
      <c r="K3138" s="40"/>
      <c r="Q3138" s="40">
        <v>37687</v>
      </c>
      <c r="R3138" s="39">
        <v>2431.66</v>
      </c>
      <c r="S3138" s="39">
        <f t="shared" si="313"/>
        <v>3</v>
      </c>
      <c r="T3138" s="39">
        <f t="shared" si="314"/>
        <v>0</v>
      </c>
      <c r="U3138" s="39">
        <f t="shared" si="315"/>
        <v>0</v>
      </c>
      <c r="V3138" s="40"/>
    </row>
    <row r="3139" spans="2:22" x14ac:dyDescent="0.35">
      <c r="B3139" s="40">
        <v>37690</v>
      </c>
      <c r="C3139" s="39">
        <v>2329.04</v>
      </c>
      <c r="D3139" s="219">
        <f t="shared" si="316"/>
        <v>-4.3117986191210336E-2</v>
      </c>
      <c r="F3139" s="40">
        <v>37690</v>
      </c>
      <c r="G3139" s="39">
        <v>2329.04</v>
      </c>
      <c r="H3139" s="39">
        <f t="shared" si="311"/>
        <v>1</v>
      </c>
      <c r="I3139" s="39">
        <f t="shared" si="312"/>
        <v>0</v>
      </c>
      <c r="K3139" s="40"/>
      <c r="Q3139" s="40">
        <v>37690</v>
      </c>
      <c r="R3139" s="39">
        <v>2329.04</v>
      </c>
      <c r="S3139" s="39">
        <f t="shared" si="313"/>
        <v>3</v>
      </c>
      <c r="T3139" s="39">
        <f t="shared" si="314"/>
        <v>0</v>
      </c>
      <c r="U3139" s="39">
        <f t="shared" si="315"/>
        <v>0</v>
      </c>
      <c r="V3139" s="40"/>
    </row>
    <row r="3140" spans="2:22" x14ac:dyDescent="0.35">
      <c r="B3140" s="40">
        <v>37691</v>
      </c>
      <c r="C3140" s="39">
        <v>2305.3000000000002</v>
      </c>
      <c r="D3140" s="219">
        <f t="shared" si="316"/>
        <v>-1.0245345684419137E-2</v>
      </c>
      <c r="F3140" s="40">
        <v>37691</v>
      </c>
      <c r="G3140" s="39">
        <v>2305.3000000000002</v>
      </c>
      <c r="H3140" s="39">
        <f t="shared" si="311"/>
        <v>2</v>
      </c>
      <c r="I3140" s="39">
        <f t="shared" si="312"/>
        <v>0</v>
      </c>
      <c r="K3140" s="40"/>
      <c r="Q3140" s="40">
        <v>37691</v>
      </c>
      <c r="R3140" s="39">
        <v>2305.3000000000002</v>
      </c>
      <c r="S3140" s="39">
        <f t="shared" si="313"/>
        <v>3</v>
      </c>
      <c r="T3140" s="39">
        <f t="shared" si="314"/>
        <v>0</v>
      </c>
      <c r="U3140" s="39">
        <f t="shared" si="315"/>
        <v>0</v>
      </c>
      <c r="V3140" s="40"/>
    </row>
    <row r="3141" spans="2:22" x14ac:dyDescent="0.35">
      <c r="B3141" s="40">
        <v>37692</v>
      </c>
      <c r="C3141" s="39">
        <v>2202.96</v>
      </c>
      <c r="D3141" s="219">
        <f t="shared" si="316"/>
        <v>-4.5408909226605086E-2</v>
      </c>
      <c r="F3141" s="40">
        <v>37692</v>
      </c>
      <c r="G3141" s="39">
        <v>2202.96</v>
      </c>
      <c r="H3141" s="39">
        <f t="shared" si="311"/>
        <v>3</v>
      </c>
      <c r="I3141" s="39">
        <f t="shared" si="312"/>
        <v>0</v>
      </c>
      <c r="K3141" s="40"/>
      <c r="Q3141" s="40">
        <v>37692</v>
      </c>
      <c r="R3141" s="39">
        <v>2202.96</v>
      </c>
      <c r="S3141" s="39">
        <f t="shared" si="313"/>
        <v>3</v>
      </c>
      <c r="T3141" s="39">
        <f t="shared" si="314"/>
        <v>0</v>
      </c>
      <c r="U3141" s="39">
        <f t="shared" si="315"/>
        <v>0</v>
      </c>
      <c r="V3141" s="40"/>
    </row>
    <row r="3142" spans="2:22" x14ac:dyDescent="0.35">
      <c r="B3142" s="40">
        <v>37693</v>
      </c>
      <c r="C3142" s="39">
        <v>2354.31</v>
      </c>
      <c r="D3142" s="219">
        <f t="shared" si="316"/>
        <v>6.6445780309980038E-2</v>
      </c>
      <c r="F3142" s="40">
        <v>37693</v>
      </c>
      <c r="G3142" s="39">
        <v>2354.31</v>
      </c>
      <c r="H3142" s="39">
        <f t="shared" si="311"/>
        <v>4</v>
      </c>
      <c r="I3142" s="39">
        <f t="shared" si="312"/>
        <v>0</v>
      </c>
      <c r="K3142" s="40"/>
      <c r="Q3142" s="40">
        <v>37693</v>
      </c>
      <c r="R3142" s="39">
        <v>2354.31</v>
      </c>
      <c r="S3142" s="39">
        <f t="shared" si="313"/>
        <v>3</v>
      </c>
      <c r="T3142" s="39">
        <f t="shared" si="314"/>
        <v>0</v>
      </c>
      <c r="U3142" s="39">
        <f t="shared" si="315"/>
        <v>0</v>
      </c>
      <c r="V3142" s="40"/>
    </row>
    <row r="3143" spans="2:22" x14ac:dyDescent="0.35">
      <c r="B3143" s="40">
        <v>37694</v>
      </c>
      <c r="C3143" s="39">
        <v>2403.19</v>
      </c>
      <c r="D3143" s="219">
        <f t="shared" si="316"/>
        <v>2.0549330553724238E-2</v>
      </c>
      <c r="F3143" s="40">
        <v>37694</v>
      </c>
      <c r="G3143" s="39">
        <v>2403.19</v>
      </c>
      <c r="H3143" s="39">
        <f t="shared" si="311"/>
        <v>5</v>
      </c>
      <c r="I3143" s="39">
        <f t="shared" si="312"/>
        <v>2403.19</v>
      </c>
      <c r="K3143" s="40"/>
      <c r="Q3143" s="40">
        <v>37694</v>
      </c>
      <c r="R3143" s="39">
        <v>2403.19</v>
      </c>
      <c r="S3143" s="39">
        <f t="shared" si="313"/>
        <v>3</v>
      </c>
      <c r="T3143" s="39">
        <f t="shared" si="314"/>
        <v>0</v>
      </c>
      <c r="U3143" s="39">
        <f t="shared" si="315"/>
        <v>0</v>
      </c>
      <c r="V3143" s="40"/>
    </row>
    <row r="3144" spans="2:22" x14ac:dyDescent="0.35">
      <c r="B3144" s="40">
        <v>37697</v>
      </c>
      <c r="C3144" s="39">
        <v>2487.12</v>
      </c>
      <c r="D3144" s="219">
        <f t="shared" si="316"/>
        <v>3.432839310142223E-2</v>
      </c>
      <c r="F3144" s="40">
        <v>37697</v>
      </c>
      <c r="G3144" s="39">
        <v>2487.12</v>
      </c>
      <c r="H3144" s="39">
        <f t="shared" si="311"/>
        <v>1</v>
      </c>
      <c r="I3144" s="39">
        <f t="shared" si="312"/>
        <v>0</v>
      </c>
      <c r="K3144" s="40"/>
      <c r="Q3144" s="40">
        <v>37697</v>
      </c>
      <c r="R3144" s="39">
        <v>2487.12</v>
      </c>
      <c r="S3144" s="39">
        <f t="shared" si="313"/>
        <v>3</v>
      </c>
      <c r="T3144" s="39">
        <f t="shared" si="314"/>
        <v>0</v>
      </c>
      <c r="U3144" s="39">
        <f t="shared" si="315"/>
        <v>0</v>
      </c>
      <c r="V3144" s="40"/>
    </row>
    <row r="3145" spans="2:22" x14ac:dyDescent="0.35">
      <c r="B3145" s="40">
        <v>37698</v>
      </c>
      <c r="C3145" s="39">
        <v>2584.61</v>
      </c>
      <c r="D3145" s="219">
        <f t="shared" si="316"/>
        <v>3.8449211610183713E-2</v>
      </c>
      <c r="F3145" s="40">
        <v>37698</v>
      </c>
      <c r="G3145" s="39">
        <v>2584.61</v>
      </c>
      <c r="H3145" s="39">
        <f t="shared" si="311"/>
        <v>2</v>
      </c>
      <c r="I3145" s="39">
        <f t="shared" si="312"/>
        <v>0</v>
      </c>
      <c r="K3145" s="40"/>
      <c r="Q3145" s="40">
        <v>37698</v>
      </c>
      <c r="R3145" s="39">
        <v>2584.61</v>
      </c>
      <c r="S3145" s="39">
        <f t="shared" si="313"/>
        <v>3</v>
      </c>
      <c r="T3145" s="39">
        <f t="shared" si="314"/>
        <v>0</v>
      </c>
      <c r="U3145" s="39">
        <f t="shared" si="315"/>
        <v>0</v>
      </c>
      <c r="V3145" s="40"/>
    </row>
    <row r="3146" spans="2:22" x14ac:dyDescent="0.35">
      <c r="B3146" s="40">
        <v>37699</v>
      </c>
      <c r="C3146" s="39">
        <v>2615.2199999999998</v>
      </c>
      <c r="D3146" s="219">
        <f t="shared" si="316"/>
        <v>1.1773597825156702E-2</v>
      </c>
      <c r="F3146" s="40">
        <v>37699</v>
      </c>
      <c r="G3146" s="39">
        <v>2615.2199999999998</v>
      </c>
      <c r="H3146" s="39">
        <f t="shared" si="311"/>
        <v>3</v>
      </c>
      <c r="I3146" s="39">
        <f t="shared" si="312"/>
        <v>0</v>
      </c>
      <c r="K3146" s="40"/>
      <c r="Q3146" s="40">
        <v>37699</v>
      </c>
      <c r="R3146" s="39">
        <v>2615.2199999999998</v>
      </c>
      <c r="S3146" s="39">
        <f t="shared" si="313"/>
        <v>3</v>
      </c>
      <c r="T3146" s="39">
        <f t="shared" si="314"/>
        <v>0</v>
      </c>
      <c r="U3146" s="39">
        <f t="shared" si="315"/>
        <v>0</v>
      </c>
      <c r="V3146" s="40"/>
    </row>
    <row r="3147" spans="2:22" x14ac:dyDescent="0.35">
      <c r="B3147" s="40">
        <v>37700</v>
      </c>
      <c r="C3147" s="39">
        <v>2604.85</v>
      </c>
      <c r="D3147" s="219">
        <f t="shared" si="316"/>
        <v>-3.9731320237236245E-3</v>
      </c>
      <c r="F3147" s="40">
        <v>37700</v>
      </c>
      <c r="G3147" s="39">
        <v>2604.85</v>
      </c>
      <c r="H3147" s="39">
        <f t="shared" si="311"/>
        <v>4</v>
      </c>
      <c r="I3147" s="39">
        <f t="shared" si="312"/>
        <v>0</v>
      </c>
      <c r="K3147" s="40"/>
      <c r="Q3147" s="40">
        <v>37700</v>
      </c>
      <c r="R3147" s="39">
        <v>2604.85</v>
      </c>
      <c r="S3147" s="39">
        <f t="shared" si="313"/>
        <v>3</v>
      </c>
      <c r="T3147" s="39">
        <f t="shared" si="314"/>
        <v>0</v>
      </c>
      <c r="U3147" s="39">
        <f t="shared" si="315"/>
        <v>0</v>
      </c>
      <c r="V3147" s="40"/>
    </row>
    <row r="3148" spans="2:22" x14ac:dyDescent="0.35">
      <c r="B3148" s="40">
        <v>37701</v>
      </c>
      <c r="C3148" s="39">
        <v>2715.06</v>
      </c>
      <c r="D3148" s="219">
        <f t="shared" si="316"/>
        <v>4.1438960615671878E-2</v>
      </c>
      <c r="F3148" s="40">
        <v>37701</v>
      </c>
      <c r="G3148" s="39">
        <v>2715.06</v>
      </c>
      <c r="H3148" s="39">
        <f t="shared" si="311"/>
        <v>5</v>
      </c>
      <c r="I3148" s="39">
        <f t="shared" si="312"/>
        <v>2715.06</v>
      </c>
      <c r="K3148" s="40"/>
      <c r="Q3148" s="40">
        <v>37701</v>
      </c>
      <c r="R3148" s="39">
        <v>2715.06</v>
      </c>
      <c r="S3148" s="39">
        <f t="shared" si="313"/>
        <v>3</v>
      </c>
      <c r="T3148" s="39">
        <f t="shared" si="314"/>
        <v>0</v>
      </c>
      <c r="U3148" s="39">
        <f t="shared" si="315"/>
        <v>0</v>
      </c>
      <c r="V3148" s="40"/>
    </row>
    <row r="3149" spans="2:22" x14ac:dyDescent="0.35">
      <c r="B3149" s="40">
        <v>37704</v>
      </c>
      <c r="C3149" s="39">
        <v>2548.37</v>
      </c>
      <c r="D3149" s="219">
        <f t="shared" si="316"/>
        <v>-6.336011349061213E-2</v>
      </c>
      <c r="F3149" s="40">
        <v>37704</v>
      </c>
      <c r="G3149" s="39">
        <v>2548.37</v>
      </c>
      <c r="H3149" s="39">
        <f t="shared" si="311"/>
        <v>1</v>
      </c>
      <c r="I3149" s="39">
        <f t="shared" si="312"/>
        <v>0</v>
      </c>
      <c r="K3149" s="40"/>
      <c r="Q3149" s="40">
        <v>37704</v>
      </c>
      <c r="R3149" s="39">
        <v>2548.37</v>
      </c>
      <c r="S3149" s="39">
        <f t="shared" si="313"/>
        <v>3</v>
      </c>
      <c r="T3149" s="39">
        <f t="shared" si="314"/>
        <v>0</v>
      </c>
      <c r="U3149" s="39">
        <f t="shared" si="315"/>
        <v>0</v>
      </c>
      <c r="V3149" s="40"/>
    </row>
    <row r="3150" spans="2:22" x14ac:dyDescent="0.35">
      <c r="B3150" s="40">
        <v>37705</v>
      </c>
      <c r="C3150" s="39">
        <v>2636.1</v>
      </c>
      <c r="D3150" s="219">
        <f t="shared" si="316"/>
        <v>3.3846613089158845E-2</v>
      </c>
      <c r="F3150" s="40">
        <v>37705</v>
      </c>
      <c r="G3150" s="39">
        <v>2636.1</v>
      </c>
      <c r="H3150" s="39">
        <f t="shared" si="311"/>
        <v>2</v>
      </c>
      <c r="I3150" s="39">
        <f t="shared" si="312"/>
        <v>0</v>
      </c>
      <c r="K3150" s="40"/>
      <c r="Q3150" s="40">
        <v>37705</v>
      </c>
      <c r="R3150" s="39">
        <v>2636.1</v>
      </c>
      <c r="S3150" s="39">
        <f t="shared" si="313"/>
        <v>3</v>
      </c>
      <c r="T3150" s="39">
        <f t="shared" si="314"/>
        <v>0</v>
      </c>
      <c r="U3150" s="39">
        <f t="shared" si="315"/>
        <v>0</v>
      </c>
      <c r="V3150" s="40"/>
    </row>
    <row r="3151" spans="2:22" x14ac:dyDescent="0.35">
      <c r="B3151" s="40">
        <v>37706</v>
      </c>
      <c r="C3151" s="39">
        <v>2579.33</v>
      </c>
      <c r="D3151" s="219">
        <f t="shared" si="316"/>
        <v>-2.1770876901991438E-2</v>
      </c>
      <c r="F3151" s="40">
        <v>37706</v>
      </c>
      <c r="G3151" s="39">
        <v>2579.33</v>
      </c>
      <c r="H3151" s="39">
        <f t="shared" si="311"/>
        <v>3</v>
      </c>
      <c r="I3151" s="39">
        <f t="shared" si="312"/>
        <v>0</v>
      </c>
      <c r="K3151" s="40"/>
      <c r="Q3151" s="40">
        <v>37706</v>
      </c>
      <c r="R3151" s="39">
        <v>2579.33</v>
      </c>
      <c r="S3151" s="39">
        <f t="shared" si="313"/>
        <v>3</v>
      </c>
      <c r="T3151" s="39">
        <f t="shared" si="314"/>
        <v>0</v>
      </c>
      <c r="U3151" s="39">
        <f t="shared" si="315"/>
        <v>0</v>
      </c>
      <c r="V3151" s="40"/>
    </row>
    <row r="3152" spans="2:22" x14ac:dyDescent="0.35">
      <c r="B3152" s="40">
        <v>37707</v>
      </c>
      <c r="C3152" s="39">
        <v>2584.0500000000002</v>
      </c>
      <c r="D3152" s="219">
        <f t="shared" si="316"/>
        <v>1.8282602925722962E-3</v>
      </c>
      <c r="F3152" s="40">
        <v>37707</v>
      </c>
      <c r="G3152" s="39">
        <v>2584.0500000000002</v>
      </c>
      <c r="H3152" s="39">
        <f t="shared" si="311"/>
        <v>4</v>
      </c>
      <c r="I3152" s="39">
        <f t="shared" si="312"/>
        <v>0</v>
      </c>
      <c r="K3152" s="40"/>
      <c r="Q3152" s="40">
        <v>37707</v>
      </c>
      <c r="R3152" s="39">
        <v>2584.0500000000002</v>
      </c>
      <c r="S3152" s="39">
        <f t="shared" si="313"/>
        <v>3</v>
      </c>
      <c r="T3152" s="39">
        <f t="shared" si="314"/>
        <v>0</v>
      </c>
      <c r="U3152" s="39">
        <f t="shared" si="315"/>
        <v>0</v>
      </c>
      <c r="V3152" s="40"/>
    </row>
    <row r="3153" spans="2:22" x14ac:dyDescent="0.35">
      <c r="B3153" s="40">
        <v>37708</v>
      </c>
      <c r="C3153" s="39">
        <v>2520.84</v>
      </c>
      <c r="D3153" s="219">
        <f t="shared" si="316"/>
        <v>-2.4765756264898506E-2</v>
      </c>
      <c r="F3153" s="40">
        <v>37708</v>
      </c>
      <c r="G3153" s="39">
        <v>2520.84</v>
      </c>
      <c r="H3153" s="39">
        <f t="shared" si="311"/>
        <v>5</v>
      </c>
      <c r="I3153" s="39">
        <f t="shared" si="312"/>
        <v>2520.84</v>
      </c>
      <c r="K3153" s="40"/>
      <c r="Q3153" s="40">
        <v>37708</v>
      </c>
      <c r="R3153" s="39">
        <v>2520.84</v>
      </c>
      <c r="S3153" s="39">
        <f t="shared" si="313"/>
        <v>3</v>
      </c>
      <c r="T3153" s="39">
        <f t="shared" si="314"/>
        <v>0</v>
      </c>
      <c r="U3153" s="39">
        <f t="shared" si="315"/>
        <v>0</v>
      </c>
      <c r="V3153" s="40"/>
    </row>
    <row r="3154" spans="2:22" x14ac:dyDescent="0.35">
      <c r="B3154" s="40">
        <v>37711</v>
      </c>
      <c r="C3154" s="39">
        <v>2423.87</v>
      </c>
      <c r="D3154" s="219">
        <f t="shared" si="316"/>
        <v>-3.9226742907579985E-2</v>
      </c>
      <c r="F3154" s="40">
        <v>37711</v>
      </c>
      <c r="G3154" s="39">
        <v>2423.87</v>
      </c>
      <c r="H3154" s="39">
        <f t="shared" si="311"/>
        <v>1</v>
      </c>
      <c r="I3154" s="39">
        <f t="shared" si="312"/>
        <v>0</v>
      </c>
      <c r="K3154" s="40"/>
      <c r="Q3154" s="40">
        <v>37711</v>
      </c>
      <c r="R3154" s="39">
        <v>2423.87</v>
      </c>
      <c r="S3154" s="39">
        <f t="shared" si="313"/>
        <v>3</v>
      </c>
      <c r="T3154" s="39">
        <f t="shared" si="314"/>
        <v>2423.87</v>
      </c>
      <c r="U3154" s="39">
        <f t="shared" si="315"/>
        <v>2423.87</v>
      </c>
      <c r="V3154" s="40"/>
    </row>
    <row r="3155" spans="2:22" x14ac:dyDescent="0.35">
      <c r="B3155" s="40">
        <v>37712</v>
      </c>
      <c r="C3155" s="39">
        <v>2450.19</v>
      </c>
      <c r="D3155" s="219">
        <f t="shared" si="316"/>
        <v>1.0800136164246556E-2</v>
      </c>
      <c r="F3155" s="40">
        <v>37712</v>
      </c>
      <c r="G3155" s="39">
        <v>2450.19</v>
      </c>
      <c r="H3155" s="39">
        <f t="shared" si="311"/>
        <v>2</v>
      </c>
      <c r="I3155" s="39">
        <f t="shared" si="312"/>
        <v>0</v>
      </c>
      <c r="K3155" s="40"/>
      <c r="Q3155" s="40">
        <v>37712</v>
      </c>
      <c r="R3155" s="39">
        <v>2450.19</v>
      </c>
      <c r="S3155" s="39">
        <f t="shared" si="313"/>
        <v>4</v>
      </c>
      <c r="T3155" s="39">
        <f t="shared" si="314"/>
        <v>0</v>
      </c>
      <c r="U3155" s="39">
        <f t="shared" si="315"/>
        <v>0</v>
      </c>
      <c r="V3155" s="40"/>
    </row>
    <row r="3156" spans="2:22" x14ac:dyDescent="0.35">
      <c r="B3156" s="40">
        <v>37713</v>
      </c>
      <c r="C3156" s="39">
        <v>2589.35</v>
      </c>
      <c r="D3156" s="219">
        <f t="shared" si="316"/>
        <v>5.5241306393313705E-2</v>
      </c>
      <c r="F3156" s="40">
        <v>37713</v>
      </c>
      <c r="G3156" s="39">
        <v>2589.35</v>
      </c>
      <c r="H3156" s="39">
        <f t="shared" si="311"/>
        <v>3</v>
      </c>
      <c r="I3156" s="39">
        <f t="shared" si="312"/>
        <v>0</v>
      </c>
      <c r="K3156" s="40"/>
      <c r="Q3156" s="40">
        <v>37713</v>
      </c>
      <c r="R3156" s="39">
        <v>2589.35</v>
      </c>
      <c r="S3156" s="39">
        <f t="shared" si="313"/>
        <v>4</v>
      </c>
      <c r="T3156" s="39">
        <f t="shared" si="314"/>
        <v>0</v>
      </c>
      <c r="U3156" s="39">
        <f t="shared" si="315"/>
        <v>0</v>
      </c>
      <c r="V3156" s="40"/>
    </row>
    <row r="3157" spans="2:22" x14ac:dyDescent="0.35">
      <c r="B3157" s="40">
        <v>37714</v>
      </c>
      <c r="C3157" s="39">
        <v>2569.81</v>
      </c>
      <c r="D3157" s="219">
        <f t="shared" si="316"/>
        <v>-7.5749127503479284E-3</v>
      </c>
      <c r="F3157" s="40">
        <v>37714</v>
      </c>
      <c r="G3157" s="39">
        <v>2569.81</v>
      </c>
      <c r="H3157" s="39">
        <f t="shared" si="311"/>
        <v>4</v>
      </c>
      <c r="I3157" s="39">
        <f t="shared" si="312"/>
        <v>0</v>
      </c>
      <c r="K3157" s="40"/>
      <c r="Q3157" s="40">
        <v>37714</v>
      </c>
      <c r="R3157" s="39">
        <v>2569.81</v>
      </c>
      <c r="S3157" s="39">
        <f t="shared" si="313"/>
        <v>4</v>
      </c>
      <c r="T3157" s="39">
        <f t="shared" si="314"/>
        <v>0</v>
      </c>
      <c r="U3157" s="39">
        <f t="shared" si="315"/>
        <v>0</v>
      </c>
      <c r="V3157" s="40"/>
    </row>
    <row r="3158" spans="2:22" x14ac:dyDescent="0.35">
      <c r="B3158" s="40">
        <v>37715</v>
      </c>
      <c r="C3158" s="39">
        <v>2654.07</v>
      </c>
      <c r="D3158" s="219">
        <f t="shared" si="316"/>
        <v>3.2262344631701891E-2</v>
      </c>
      <c r="F3158" s="40">
        <v>37715</v>
      </c>
      <c r="G3158" s="39">
        <v>2654.07</v>
      </c>
      <c r="H3158" s="39">
        <f t="shared" si="311"/>
        <v>5</v>
      </c>
      <c r="I3158" s="39">
        <f t="shared" si="312"/>
        <v>2654.07</v>
      </c>
      <c r="K3158" s="40"/>
      <c r="Q3158" s="40">
        <v>37715</v>
      </c>
      <c r="R3158" s="39">
        <v>2654.07</v>
      </c>
      <c r="S3158" s="39">
        <f t="shared" si="313"/>
        <v>4</v>
      </c>
      <c r="T3158" s="39">
        <f t="shared" si="314"/>
        <v>0</v>
      </c>
      <c r="U3158" s="39">
        <f t="shared" si="315"/>
        <v>0</v>
      </c>
      <c r="V3158" s="40"/>
    </row>
    <row r="3159" spans="2:22" x14ac:dyDescent="0.35">
      <c r="B3159" s="40">
        <v>37718</v>
      </c>
      <c r="C3159" s="39">
        <v>2808.94</v>
      </c>
      <c r="D3159" s="219">
        <f t="shared" si="316"/>
        <v>5.671287713463357E-2</v>
      </c>
      <c r="F3159" s="40">
        <v>37718</v>
      </c>
      <c r="G3159" s="39">
        <v>2808.94</v>
      </c>
      <c r="H3159" s="39">
        <f t="shared" si="311"/>
        <v>1</v>
      </c>
      <c r="I3159" s="39">
        <f t="shared" si="312"/>
        <v>0</v>
      </c>
      <c r="K3159" s="40"/>
      <c r="Q3159" s="40">
        <v>37718</v>
      </c>
      <c r="R3159" s="39">
        <v>2808.94</v>
      </c>
      <c r="S3159" s="39">
        <f t="shared" si="313"/>
        <v>4</v>
      </c>
      <c r="T3159" s="39">
        <f t="shared" si="314"/>
        <v>0</v>
      </c>
      <c r="U3159" s="39">
        <f t="shared" si="315"/>
        <v>0</v>
      </c>
      <c r="V3159" s="40"/>
    </row>
    <row r="3160" spans="2:22" x14ac:dyDescent="0.35">
      <c r="B3160" s="40">
        <v>37719</v>
      </c>
      <c r="C3160" s="39">
        <v>2767.79</v>
      </c>
      <c r="D3160" s="219">
        <f t="shared" si="316"/>
        <v>-1.4758020154070467E-2</v>
      </c>
      <c r="F3160" s="40">
        <v>37719</v>
      </c>
      <c r="G3160" s="39">
        <v>2767.79</v>
      </c>
      <c r="H3160" s="39">
        <f t="shared" si="311"/>
        <v>2</v>
      </c>
      <c r="I3160" s="39">
        <f t="shared" si="312"/>
        <v>0</v>
      </c>
      <c r="K3160" s="40"/>
      <c r="Q3160" s="40">
        <v>37719</v>
      </c>
      <c r="R3160" s="39">
        <v>2767.79</v>
      </c>
      <c r="S3160" s="39">
        <f t="shared" si="313"/>
        <v>4</v>
      </c>
      <c r="T3160" s="39">
        <f t="shared" si="314"/>
        <v>0</v>
      </c>
      <c r="U3160" s="39">
        <f t="shared" si="315"/>
        <v>0</v>
      </c>
      <c r="V3160" s="40"/>
    </row>
    <row r="3161" spans="2:22" x14ac:dyDescent="0.35">
      <c r="B3161" s="40">
        <v>37720</v>
      </c>
      <c r="C3161" s="39">
        <v>2734.1</v>
      </c>
      <c r="D3161" s="219">
        <f t="shared" si="316"/>
        <v>-1.2246853747724181E-2</v>
      </c>
      <c r="F3161" s="40">
        <v>37720</v>
      </c>
      <c r="G3161" s="39">
        <v>2734.1</v>
      </c>
      <c r="H3161" s="39">
        <f t="shared" si="311"/>
        <v>3</v>
      </c>
      <c r="I3161" s="39">
        <f t="shared" si="312"/>
        <v>0</v>
      </c>
      <c r="K3161" s="40"/>
      <c r="Q3161" s="40">
        <v>37720</v>
      </c>
      <c r="R3161" s="39">
        <v>2734.1</v>
      </c>
      <c r="S3161" s="39">
        <f t="shared" si="313"/>
        <v>4</v>
      </c>
      <c r="T3161" s="39">
        <f t="shared" si="314"/>
        <v>0</v>
      </c>
      <c r="U3161" s="39">
        <f t="shared" si="315"/>
        <v>0</v>
      </c>
      <c r="V3161" s="40"/>
    </row>
    <row r="3162" spans="2:22" x14ac:dyDescent="0.35">
      <c r="B3162" s="40">
        <v>37721</v>
      </c>
      <c r="C3162" s="39">
        <v>2697.1</v>
      </c>
      <c r="D3162" s="219">
        <f t="shared" si="316"/>
        <v>-1.3625192372337386E-2</v>
      </c>
      <c r="F3162" s="40">
        <v>37721</v>
      </c>
      <c r="G3162" s="39">
        <v>2697.1</v>
      </c>
      <c r="H3162" s="39">
        <f t="shared" si="311"/>
        <v>4</v>
      </c>
      <c r="I3162" s="39">
        <f t="shared" si="312"/>
        <v>0</v>
      </c>
      <c r="K3162" s="40"/>
      <c r="Q3162" s="40">
        <v>37721</v>
      </c>
      <c r="R3162" s="39">
        <v>2697.1</v>
      </c>
      <c r="S3162" s="39">
        <f t="shared" si="313"/>
        <v>4</v>
      </c>
      <c r="T3162" s="39">
        <f t="shared" si="314"/>
        <v>0</v>
      </c>
      <c r="U3162" s="39">
        <f t="shared" si="315"/>
        <v>0</v>
      </c>
      <c r="V3162" s="40"/>
    </row>
    <row r="3163" spans="2:22" x14ac:dyDescent="0.35">
      <c r="B3163" s="40">
        <v>37722</v>
      </c>
      <c r="C3163" s="39">
        <v>2733.95</v>
      </c>
      <c r="D3163" s="219">
        <f t="shared" si="316"/>
        <v>1.3570328206853272E-2</v>
      </c>
      <c r="F3163" s="40">
        <v>37722</v>
      </c>
      <c r="G3163" s="39">
        <v>2733.95</v>
      </c>
      <c r="H3163" s="39">
        <f t="shared" si="311"/>
        <v>5</v>
      </c>
      <c r="I3163" s="39">
        <f t="shared" si="312"/>
        <v>2733.95</v>
      </c>
      <c r="K3163" s="40"/>
      <c r="Q3163" s="40">
        <v>37722</v>
      </c>
      <c r="R3163" s="39">
        <v>2733.95</v>
      </c>
      <c r="S3163" s="39">
        <f t="shared" si="313"/>
        <v>4</v>
      </c>
      <c r="T3163" s="39">
        <f t="shared" si="314"/>
        <v>0</v>
      </c>
      <c r="U3163" s="39">
        <f t="shared" si="315"/>
        <v>0</v>
      </c>
      <c r="V3163" s="40"/>
    </row>
    <row r="3164" spans="2:22" x14ac:dyDescent="0.35">
      <c r="B3164" s="40">
        <v>37725</v>
      </c>
      <c r="C3164" s="39">
        <v>2776.78</v>
      </c>
      <c r="D3164" s="219">
        <f t="shared" si="316"/>
        <v>1.5544533092067398E-2</v>
      </c>
      <c r="F3164" s="40">
        <v>37725</v>
      </c>
      <c r="G3164" s="39">
        <v>2776.78</v>
      </c>
      <c r="H3164" s="39">
        <f t="shared" si="311"/>
        <v>1</v>
      </c>
      <c r="I3164" s="39">
        <f t="shared" si="312"/>
        <v>0</v>
      </c>
      <c r="K3164" s="40"/>
      <c r="Q3164" s="40">
        <v>37725</v>
      </c>
      <c r="R3164" s="39">
        <v>2776.78</v>
      </c>
      <c r="S3164" s="39">
        <f t="shared" si="313"/>
        <v>4</v>
      </c>
      <c r="T3164" s="39">
        <f t="shared" si="314"/>
        <v>0</v>
      </c>
      <c r="U3164" s="39">
        <f t="shared" si="315"/>
        <v>0</v>
      </c>
      <c r="V3164" s="40"/>
    </row>
    <row r="3165" spans="2:22" x14ac:dyDescent="0.35">
      <c r="B3165" s="40">
        <v>37726</v>
      </c>
      <c r="C3165" s="39">
        <v>2834.12</v>
      </c>
      <c r="D3165" s="219">
        <f t="shared" si="316"/>
        <v>2.043950034596417E-2</v>
      </c>
      <c r="F3165" s="40">
        <v>37726</v>
      </c>
      <c r="G3165" s="39">
        <v>2834.12</v>
      </c>
      <c r="H3165" s="39">
        <f t="shared" si="311"/>
        <v>2</v>
      </c>
      <c r="I3165" s="39">
        <f t="shared" si="312"/>
        <v>0</v>
      </c>
      <c r="K3165" s="40"/>
      <c r="Q3165" s="40">
        <v>37726</v>
      </c>
      <c r="R3165" s="39">
        <v>2834.12</v>
      </c>
      <c r="S3165" s="39">
        <f t="shared" si="313"/>
        <v>4</v>
      </c>
      <c r="T3165" s="39">
        <f t="shared" si="314"/>
        <v>0</v>
      </c>
      <c r="U3165" s="39">
        <f t="shared" si="315"/>
        <v>0</v>
      </c>
      <c r="V3165" s="40"/>
    </row>
    <row r="3166" spans="2:22" x14ac:dyDescent="0.35">
      <c r="B3166" s="40">
        <v>37727</v>
      </c>
      <c r="C3166" s="39">
        <v>2824.68</v>
      </c>
      <c r="D3166" s="219">
        <f t="shared" si="316"/>
        <v>-3.3363995040740294E-3</v>
      </c>
      <c r="F3166" s="40">
        <v>37727</v>
      </c>
      <c r="G3166" s="39">
        <v>2824.68</v>
      </c>
      <c r="H3166" s="39">
        <f t="shared" si="311"/>
        <v>3</v>
      </c>
      <c r="I3166" s="39">
        <f t="shared" si="312"/>
        <v>0</v>
      </c>
      <c r="K3166" s="40"/>
      <c r="Q3166" s="40">
        <v>37727</v>
      </c>
      <c r="R3166" s="39">
        <v>2824.68</v>
      </c>
      <c r="S3166" s="39">
        <f t="shared" si="313"/>
        <v>4</v>
      </c>
      <c r="T3166" s="39">
        <f t="shared" si="314"/>
        <v>0</v>
      </c>
      <c r="U3166" s="39">
        <f t="shared" si="315"/>
        <v>0</v>
      </c>
      <c r="V3166" s="40"/>
    </row>
    <row r="3167" spans="2:22" x14ac:dyDescent="0.35">
      <c r="B3167" s="40">
        <v>37728</v>
      </c>
      <c r="C3167" s="39">
        <v>2899.78</v>
      </c>
      <c r="D3167" s="219">
        <f t="shared" si="316"/>
        <v>2.6239788199691673E-2</v>
      </c>
      <c r="F3167" s="40">
        <v>37728</v>
      </c>
      <c r="G3167" s="39">
        <v>2899.78</v>
      </c>
      <c r="H3167" s="39">
        <f t="shared" si="311"/>
        <v>4</v>
      </c>
      <c r="I3167" s="39">
        <f t="shared" si="312"/>
        <v>2899.78</v>
      </c>
      <c r="K3167" s="40"/>
      <c r="Q3167" s="40">
        <v>37728</v>
      </c>
      <c r="R3167" s="39">
        <v>2899.78</v>
      </c>
      <c r="S3167" s="39">
        <f t="shared" si="313"/>
        <v>4</v>
      </c>
      <c r="T3167" s="39">
        <f t="shared" si="314"/>
        <v>0</v>
      </c>
      <c r="U3167" s="39">
        <f t="shared" si="315"/>
        <v>0</v>
      </c>
      <c r="V3167" s="40"/>
    </row>
    <row r="3168" spans="2:22" x14ac:dyDescent="0.35">
      <c r="B3168" s="40">
        <v>37733</v>
      </c>
      <c r="C3168" s="39">
        <v>2960.96</v>
      </c>
      <c r="D3168" s="219">
        <f t="shared" si="316"/>
        <v>2.0878668032737753E-2</v>
      </c>
      <c r="F3168" s="40">
        <v>37733</v>
      </c>
      <c r="G3168" s="39">
        <v>2960.96</v>
      </c>
      <c r="H3168" s="39">
        <f t="shared" si="311"/>
        <v>2</v>
      </c>
      <c r="I3168" s="39">
        <f t="shared" si="312"/>
        <v>0</v>
      </c>
      <c r="K3168" s="40"/>
      <c r="Q3168" s="40">
        <v>37733</v>
      </c>
      <c r="R3168" s="39">
        <v>2960.96</v>
      </c>
      <c r="S3168" s="39">
        <f t="shared" si="313"/>
        <v>4</v>
      </c>
      <c r="T3168" s="39">
        <f t="shared" si="314"/>
        <v>0</v>
      </c>
      <c r="U3168" s="39">
        <f t="shared" si="315"/>
        <v>0</v>
      </c>
      <c r="V3168" s="40"/>
    </row>
    <row r="3169" spans="2:22" x14ac:dyDescent="0.35">
      <c r="B3169" s="40">
        <v>37734</v>
      </c>
      <c r="C3169" s="39">
        <v>2974.4</v>
      </c>
      <c r="D3169" s="219">
        <f t="shared" si="316"/>
        <v>4.5287979065141313E-3</v>
      </c>
      <c r="F3169" s="40">
        <v>37734</v>
      </c>
      <c r="G3169" s="39">
        <v>2974.4</v>
      </c>
      <c r="H3169" s="39">
        <f t="shared" si="311"/>
        <v>3</v>
      </c>
      <c r="I3169" s="39">
        <f t="shared" si="312"/>
        <v>0</v>
      </c>
      <c r="K3169" s="40"/>
      <c r="Q3169" s="40">
        <v>37734</v>
      </c>
      <c r="R3169" s="39">
        <v>2974.4</v>
      </c>
      <c r="S3169" s="39">
        <f t="shared" si="313"/>
        <v>4</v>
      </c>
      <c r="T3169" s="39">
        <f t="shared" si="314"/>
        <v>0</v>
      </c>
      <c r="U3169" s="39">
        <f t="shared" si="315"/>
        <v>0</v>
      </c>
      <c r="V3169" s="40"/>
    </row>
    <row r="3170" spans="2:22" x14ac:dyDescent="0.35">
      <c r="B3170" s="40">
        <v>37735</v>
      </c>
      <c r="C3170" s="39">
        <v>2891.62</v>
      </c>
      <c r="D3170" s="219">
        <f t="shared" si="316"/>
        <v>-2.8225439278983869E-2</v>
      </c>
      <c r="F3170" s="40">
        <v>37735</v>
      </c>
      <c r="G3170" s="39">
        <v>2891.62</v>
      </c>
      <c r="H3170" s="39">
        <f t="shared" si="311"/>
        <v>4</v>
      </c>
      <c r="I3170" s="39">
        <f t="shared" si="312"/>
        <v>0</v>
      </c>
      <c r="K3170" s="40"/>
      <c r="Q3170" s="40">
        <v>37735</v>
      </c>
      <c r="R3170" s="39">
        <v>2891.62</v>
      </c>
      <c r="S3170" s="39">
        <f t="shared" si="313"/>
        <v>4</v>
      </c>
      <c r="T3170" s="39">
        <f t="shared" si="314"/>
        <v>0</v>
      </c>
      <c r="U3170" s="39">
        <f t="shared" si="315"/>
        <v>0</v>
      </c>
      <c r="V3170" s="40"/>
    </row>
    <row r="3171" spans="2:22" x14ac:dyDescent="0.35">
      <c r="B3171" s="40">
        <v>37736</v>
      </c>
      <c r="C3171" s="39">
        <v>2838.23</v>
      </c>
      <c r="D3171" s="219">
        <f t="shared" si="316"/>
        <v>-1.8636280263993596E-2</v>
      </c>
      <c r="F3171" s="40">
        <v>37736</v>
      </c>
      <c r="G3171" s="39">
        <v>2838.23</v>
      </c>
      <c r="H3171" s="39">
        <f t="shared" si="311"/>
        <v>5</v>
      </c>
      <c r="I3171" s="39">
        <f t="shared" si="312"/>
        <v>2838.23</v>
      </c>
      <c r="K3171" s="40"/>
      <c r="Q3171" s="40">
        <v>37736</v>
      </c>
      <c r="R3171" s="39">
        <v>2838.23</v>
      </c>
      <c r="S3171" s="39">
        <f t="shared" si="313"/>
        <v>4</v>
      </c>
      <c r="T3171" s="39">
        <f t="shared" si="314"/>
        <v>0</v>
      </c>
      <c r="U3171" s="39">
        <f t="shared" si="315"/>
        <v>0</v>
      </c>
      <c r="V3171" s="40"/>
    </row>
    <row r="3172" spans="2:22" x14ac:dyDescent="0.35">
      <c r="B3172" s="40">
        <v>37739</v>
      </c>
      <c r="C3172" s="39">
        <v>2953.92</v>
      </c>
      <c r="D3172" s="219">
        <f t="shared" si="316"/>
        <v>3.9952483377584481E-2</v>
      </c>
      <c r="F3172" s="40">
        <v>37739</v>
      </c>
      <c r="G3172" s="39">
        <v>2953.92</v>
      </c>
      <c r="H3172" s="39">
        <f t="shared" si="311"/>
        <v>1</v>
      </c>
      <c r="I3172" s="39">
        <f t="shared" si="312"/>
        <v>0</v>
      </c>
      <c r="K3172" s="40"/>
      <c r="Q3172" s="40">
        <v>37739</v>
      </c>
      <c r="R3172" s="39">
        <v>2953.92</v>
      </c>
      <c r="S3172" s="39">
        <f t="shared" si="313"/>
        <v>4</v>
      </c>
      <c r="T3172" s="39">
        <f t="shared" si="314"/>
        <v>0</v>
      </c>
      <c r="U3172" s="39">
        <f t="shared" si="315"/>
        <v>0</v>
      </c>
      <c r="V3172" s="40"/>
    </row>
    <row r="3173" spans="2:22" x14ac:dyDescent="0.35">
      <c r="B3173" s="40">
        <v>37740</v>
      </c>
      <c r="C3173" s="39">
        <v>2908.96</v>
      </c>
      <c r="D3173" s="219">
        <f t="shared" si="316"/>
        <v>-1.5337472830824022E-2</v>
      </c>
      <c r="F3173" s="40">
        <v>37740</v>
      </c>
      <c r="G3173" s="39">
        <v>2908.96</v>
      </c>
      <c r="H3173" s="39">
        <f t="shared" si="311"/>
        <v>2</v>
      </c>
      <c r="I3173" s="39">
        <f t="shared" si="312"/>
        <v>0</v>
      </c>
      <c r="K3173" s="40"/>
      <c r="Q3173" s="40">
        <v>37740</v>
      </c>
      <c r="R3173" s="39">
        <v>2908.96</v>
      </c>
      <c r="S3173" s="39">
        <f t="shared" si="313"/>
        <v>4</v>
      </c>
      <c r="T3173" s="39">
        <f t="shared" si="314"/>
        <v>0</v>
      </c>
      <c r="U3173" s="39">
        <f t="shared" si="315"/>
        <v>0</v>
      </c>
      <c r="V3173" s="40"/>
    </row>
    <row r="3174" spans="2:22" x14ac:dyDescent="0.35">
      <c r="B3174" s="40">
        <v>37741</v>
      </c>
      <c r="C3174" s="39">
        <v>2942.04</v>
      </c>
      <c r="D3174" s="219">
        <f t="shared" si="316"/>
        <v>1.1307589291058772E-2</v>
      </c>
      <c r="F3174" s="40">
        <v>37741</v>
      </c>
      <c r="G3174" s="39">
        <v>2942.04</v>
      </c>
      <c r="H3174" s="39">
        <f t="shared" si="311"/>
        <v>3</v>
      </c>
      <c r="I3174" s="39">
        <f t="shared" si="312"/>
        <v>0</v>
      </c>
      <c r="K3174" s="40"/>
      <c r="Q3174" s="40">
        <v>37741</v>
      </c>
      <c r="R3174" s="39">
        <v>2942.04</v>
      </c>
      <c r="S3174" s="39">
        <f t="shared" si="313"/>
        <v>4</v>
      </c>
      <c r="T3174" s="39">
        <f t="shared" si="314"/>
        <v>2942.04</v>
      </c>
      <c r="U3174" s="39">
        <f t="shared" si="315"/>
        <v>2942.04</v>
      </c>
      <c r="V3174" s="40"/>
    </row>
    <row r="3175" spans="2:22" x14ac:dyDescent="0.35">
      <c r="B3175" s="40">
        <v>37743</v>
      </c>
      <c r="C3175" s="39">
        <v>2986</v>
      </c>
      <c r="D3175" s="219">
        <f t="shared" si="316"/>
        <v>1.4831480837114231E-2</v>
      </c>
      <c r="F3175" s="40">
        <v>37743</v>
      </c>
      <c r="G3175" s="39">
        <v>2986</v>
      </c>
      <c r="H3175" s="39">
        <f t="shared" si="311"/>
        <v>5</v>
      </c>
      <c r="I3175" s="39">
        <f t="shared" si="312"/>
        <v>2986</v>
      </c>
      <c r="K3175" s="40"/>
      <c r="Q3175" s="40">
        <v>37743</v>
      </c>
      <c r="R3175" s="39">
        <v>2986</v>
      </c>
      <c r="S3175" s="39">
        <f t="shared" si="313"/>
        <v>5</v>
      </c>
      <c r="T3175" s="39">
        <f t="shared" si="314"/>
        <v>0</v>
      </c>
      <c r="U3175" s="39">
        <f t="shared" si="315"/>
        <v>0</v>
      </c>
      <c r="V3175" s="40"/>
    </row>
    <row r="3176" spans="2:22" x14ac:dyDescent="0.35">
      <c r="B3176" s="40">
        <v>37746</v>
      </c>
      <c r="C3176" s="39">
        <v>3013.04</v>
      </c>
      <c r="D3176" s="219">
        <f t="shared" si="316"/>
        <v>9.0148367478883763E-3</v>
      </c>
      <c r="F3176" s="40">
        <v>37746</v>
      </c>
      <c r="G3176" s="39">
        <v>3013.04</v>
      </c>
      <c r="H3176" s="39">
        <f t="shared" si="311"/>
        <v>1</v>
      </c>
      <c r="I3176" s="39">
        <f t="shared" si="312"/>
        <v>0</v>
      </c>
      <c r="K3176" s="40"/>
      <c r="Q3176" s="40">
        <v>37746</v>
      </c>
      <c r="R3176" s="39">
        <v>3013.04</v>
      </c>
      <c r="S3176" s="39">
        <f t="shared" si="313"/>
        <v>5</v>
      </c>
      <c r="T3176" s="39">
        <f t="shared" si="314"/>
        <v>0</v>
      </c>
      <c r="U3176" s="39">
        <f t="shared" si="315"/>
        <v>0</v>
      </c>
      <c r="V3176" s="40"/>
    </row>
    <row r="3177" spans="2:22" x14ac:dyDescent="0.35">
      <c r="B3177" s="40">
        <v>37747</v>
      </c>
      <c r="C3177" s="39">
        <v>3066.95</v>
      </c>
      <c r="D3177" s="219">
        <f t="shared" si="316"/>
        <v>1.7734046558531849E-2</v>
      </c>
      <c r="F3177" s="40">
        <v>37747</v>
      </c>
      <c r="G3177" s="39">
        <v>3066.95</v>
      </c>
      <c r="H3177" s="39">
        <f t="shared" si="311"/>
        <v>2</v>
      </c>
      <c r="I3177" s="39">
        <f t="shared" si="312"/>
        <v>0</v>
      </c>
      <c r="K3177" s="40"/>
      <c r="Q3177" s="40">
        <v>37747</v>
      </c>
      <c r="R3177" s="39">
        <v>3066.95</v>
      </c>
      <c r="S3177" s="39">
        <f t="shared" si="313"/>
        <v>5</v>
      </c>
      <c r="T3177" s="39">
        <f t="shared" si="314"/>
        <v>0</v>
      </c>
      <c r="U3177" s="39">
        <f t="shared" si="315"/>
        <v>0</v>
      </c>
      <c r="V3177" s="40"/>
    </row>
    <row r="3178" spans="2:22" x14ac:dyDescent="0.35">
      <c r="B3178" s="40">
        <v>37748</v>
      </c>
      <c r="C3178" s="39">
        <v>3005.64</v>
      </c>
      <c r="D3178" s="219">
        <f t="shared" si="316"/>
        <v>-2.019305874353701E-2</v>
      </c>
      <c r="F3178" s="40">
        <v>37748</v>
      </c>
      <c r="G3178" s="39">
        <v>3005.64</v>
      </c>
      <c r="H3178" s="39">
        <f t="shared" si="311"/>
        <v>3</v>
      </c>
      <c r="I3178" s="39">
        <f t="shared" si="312"/>
        <v>0</v>
      </c>
      <c r="K3178" s="40"/>
      <c r="Q3178" s="40">
        <v>37748</v>
      </c>
      <c r="R3178" s="39">
        <v>3005.64</v>
      </c>
      <c r="S3178" s="39">
        <f t="shared" si="313"/>
        <v>5</v>
      </c>
      <c r="T3178" s="39">
        <f t="shared" si="314"/>
        <v>0</v>
      </c>
      <c r="U3178" s="39">
        <f t="shared" si="315"/>
        <v>0</v>
      </c>
      <c r="V3178" s="40"/>
    </row>
    <row r="3179" spans="2:22" x14ac:dyDescent="0.35">
      <c r="B3179" s="40">
        <v>37749</v>
      </c>
      <c r="C3179" s="39">
        <v>2886.08</v>
      </c>
      <c r="D3179" s="219">
        <f t="shared" si="316"/>
        <v>-4.0591343684675693E-2</v>
      </c>
      <c r="F3179" s="40">
        <v>37749</v>
      </c>
      <c r="G3179" s="39">
        <v>2886.08</v>
      </c>
      <c r="H3179" s="39">
        <f t="shared" si="311"/>
        <v>4</v>
      </c>
      <c r="I3179" s="39">
        <f t="shared" si="312"/>
        <v>0</v>
      </c>
      <c r="K3179" s="40"/>
      <c r="Q3179" s="40">
        <v>37749</v>
      </c>
      <c r="R3179" s="39">
        <v>2886.08</v>
      </c>
      <c r="S3179" s="39">
        <f t="shared" si="313"/>
        <v>5</v>
      </c>
      <c r="T3179" s="39">
        <f t="shared" si="314"/>
        <v>0</v>
      </c>
      <c r="U3179" s="39">
        <f t="shared" si="315"/>
        <v>0</v>
      </c>
      <c r="V3179" s="40"/>
    </row>
    <row r="3180" spans="2:22" x14ac:dyDescent="0.35">
      <c r="B3180" s="40">
        <v>37750</v>
      </c>
      <c r="C3180" s="39">
        <v>2956.59</v>
      </c>
      <c r="D3180" s="219">
        <f t="shared" si="316"/>
        <v>2.4137397220515742E-2</v>
      </c>
      <c r="F3180" s="40">
        <v>37750</v>
      </c>
      <c r="G3180" s="39">
        <v>2956.59</v>
      </c>
      <c r="H3180" s="39">
        <f t="shared" si="311"/>
        <v>5</v>
      </c>
      <c r="I3180" s="39">
        <f t="shared" si="312"/>
        <v>2956.59</v>
      </c>
      <c r="K3180" s="40"/>
      <c r="Q3180" s="40">
        <v>37750</v>
      </c>
      <c r="R3180" s="39">
        <v>2956.59</v>
      </c>
      <c r="S3180" s="39">
        <f t="shared" si="313"/>
        <v>5</v>
      </c>
      <c r="T3180" s="39">
        <f t="shared" si="314"/>
        <v>0</v>
      </c>
      <c r="U3180" s="39">
        <f t="shared" si="315"/>
        <v>0</v>
      </c>
      <c r="V3180" s="40"/>
    </row>
    <row r="3181" spans="2:22" x14ac:dyDescent="0.35">
      <c r="B3181" s="40">
        <v>37753</v>
      </c>
      <c r="C3181" s="39">
        <v>2937.26</v>
      </c>
      <c r="D3181" s="219">
        <f t="shared" si="316"/>
        <v>-6.5594032109047807E-3</v>
      </c>
      <c r="F3181" s="40">
        <v>37753</v>
      </c>
      <c r="G3181" s="39">
        <v>2937.26</v>
      </c>
      <c r="H3181" s="39">
        <f t="shared" si="311"/>
        <v>1</v>
      </c>
      <c r="I3181" s="39">
        <f t="shared" si="312"/>
        <v>0</v>
      </c>
      <c r="K3181" s="40"/>
      <c r="Q3181" s="40">
        <v>37753</v>
      </c>
      <c r="R3181" s="39">
        <v>2937.26</v>
      </c>
      <c r="S3181" s="39">
        <f t="shared" si="313"/>
        <v>5</v>
      </c>
      <c r="T3181" s="39">
        <f t="shared" si="314"/>
        <v>0</v>
      </c>
      <c r="U3181" s="39">
        <f t="shared" si="315"/>
        <v>0</v>
      </c>
      <c r="V3181" s="40"/>
    </row>
    <row r="3182" spans="2:22" x14ac:dyDescent="0.35">
      <c r="B3182" s="40">
        <v>37754</v>
      </c>
      <c r="C3182" s="39">
        <v>2909.95</v>
      </c>
      <c r="D3182" s="219">
        <f t="shared" si="316"/>
        <v>-9.3412750996147813E-3</v>
      </c>
      <c r="F3182" s="40">
        <v>37754</v>
      </c>
      <c r="G3182" s="39">
        <v>2909.95</v>
      </c>
      <c r="H3182" s="39">
        <f t="shared" si="311"/>
        <v>2</v>
      </c>
      <c r="I3182" s="39">
        <f t="shared" si="312"/>
        <v>0</v>
      </c>
      <c r="K3182" s="40"/>
      <c r="Q3182" s="40">
        <v>37754</v>
      </c>
      <c r="R3182" s="39">
        <v>2909.95</v>
      </c>
      <c r="S3182" s="39">
        <f t="shared" si="313"/>
        <v>5</v>
      </c>
      <c r="T3182" s="39">
        <f t="shared" si="314"/>
        <v>0</v>
      </c>
      <c r="U3182" s="39">
        <f t="shared" si="315"/>
        <v>0</v>
      </c>
      <c r="V3182" s="40"/>
    </row>
    <row r="3183" spans="2:22" x14ac:dyDescent="0.35">
      <c r="B3183" s="40">
        <v>37755</v>
      </c>
      <c r="C3183" s="39">
        <v>2926.03</v>
      </c>
      <c r="D3183" s="219">
        <f t="shared" si="316"/>
        <v>5.5106565451593491E-3</v>
      </c>
      <c r="F3183" s="40">
        <v>37755</v>
      </c>
      <c r="G3183" s="39">
        <v>2926.03</v>
      </c>
      <c r="H3183" s="39">
        <f t="shared" si="311"/>
        <v>3</v>
      </c>
      <c r="I3183" s="39">
        <f t="shared" si="312"/>
        <v>0</v>
      </c>
      <c r="K3183" s="40"/>
      <c r="Q3183" s="40">
        <v>37755</v>
      </c>
      <c r="R3183" s="39">
        <v>2926.03</v>
      </c>
      <c r="S3183" s="39">
        <f t="shared" si="313"/>
        <v>5</v>
      </c>
      <c r="T3183" s="39">
        <f t="shared" si="314"/>
        <v>0</v>
      </c>
      <c r="U3183" s="39">
        <f t="shared" si="315"/>
        <v>0</v>
      </c>
      <c r="V3183" s="40"/>
    </row>
    <row r="3184" spans="2:22" x14ac:dyDescent="0.35">
      <c r="B3184" s="40">
        <v>37756</v>
      </c>
      <c r="C3184" s="39">
        <v>2989.38</v>
      </c>
      <c r="D3184" s="219">
        <f t="shared" si="316"/>
        <v>2.1419452591088219E-2</v>
      </c>
      <c r="F3184" s="40">
        <v>37756</v>
      </c>
      <c r="G3184" s="39">
        <v>2989.38</v>
      </c>
      <c r="H3184" s="39">
        <f t="shared" si="311"/>
        <v>4</v>
      </c>
      <c r="I3184" s="39">
        <f t="shared" si="312"/>
        <v>0</v>
      </c>
      <c r="K3184" s="40"/>
      <c r="Q3184" s="40">
        <v>37756</v>
      </c>
      <c r="R3184" s="39">
        <v>2989.38</v>
      </c>
      <c r="S3184" s="39">
        <f t="shared" si="313"/>
        <v>5</v>
      </c>
      <c r="T3184" s="39">
        <f t="shared" si="314"/>
        <v>0</v>
      </c>
      <c r="U3184" s="39">
        <f t="shared" si="315"/>
        <v>0</v>
      </c>
      <c r="V3184" s="40"/>
    </row>
    <row r="3185" spans="2:22" x14ac:dyDescent="0.35">
      <c r="B3185" s="40">
        <v>37757</v>
      </c>
      <c r="C3185" s="39">
        <v>2989.08</v>
      </c>
      <c r="D3185" s="219">
        <f t="shared" si="316"/>
        <v>-1.003602935377728E-4</v>
      </c>
      <c r="F3185" s="40">
        <v>37757</v>
      </c>
      <c r="G3185" s="39">
        <v>2989.08</v>
      </c>
      <c r="H3185" s="39">
        <f t="shared" si="311"/>
        <v>5</v>
      </c>
      <c r="I3185" s="39">
        <f t="shared" si="312"/>
        <v>2989.08</v>
      </c>
      <c r="K3185" s="40"/>
      <c r="Q3185" s="40">
        <v>37757</v>
      </c>
      <c r="R3185" s="39">
        <v>2989.08</v>
      </c>
      <c r="S3185" s="39">
        <f t="shared" si="313"/>
        <v>5</v>
      </c>
      <c r="T3185" s="39">
        <f t="shared" si="314"/>
        <v>0</v>
      </c>
      <c r="U3185" s="39">
        <f t="shared" si="315"/>
        <v>0</v>
      </c>
      <c r="V3185" s="40"/>
    </row>
    <row r="3186" spans="2:22" x14ac:dyDescent="0.35">
      <c r="B3186" s="40">
        <v>37760</v>
      </c>
      <c r="C3186" s="39">
        <v>2850.68</v>
      </c>
      <c r="D3186" s="219">
        <f t="shared" si="316"/>
        <v>-4.7408085435740974E-2</v>
      </c>
      <c r="F3186" s="40">
        <v>37760</v>
      </c>
      <c r="G3186" s="39">
        <v>2850.68</v>
      </c>
      <c r="H3186" s="39">
        <f t="shared" si="311"/>
        <v>1</v>
      </c>
      <c r="I3186" s="39">
        <f t="shared" si="312"/>
        <v>0</v>
      </c>
      <c r="K3186" s="40"/>
      <c r="Q3186" s="40">
        <v>37760</v>
      </c>
      <c r="R3186" s="39">
        <v>2850.68</v>
      </c>
      <c r="S3186" s="39">
        <f t="shared" si="313"/>
        <v>5</v>
      </c>
      <c r="T3186" s="39">
        <f t="shared" si="314"/>
        <v>0</v>
      </c>
      <c r="U3186" s="39">
        <f t="shared" si="315"/>
        <v>0</v>
      </c>
      <c r="V3186" s="40"/>
    </row>
    <row r="3187" spans="2:22" x14ac:dyDescent="0.35">
      <c r="B3187" s="40">
        <v>37761</v>
      </c>
      <c r="C3187" s="39">
        <v>2838.93</v>
      </c>
      <c r="D3187" s="219">
        <f t="shared" si="316"/>
        <v>-4.1303416945297575E-3</v>
      </c>
      <c r="F3187" s="40">
        <v>37761</v>
      </c>
      <c r="G3187" s="39">
        <v>2838.93</v>
      </c>
      <c r="H3187" s="39">
        <f t="shared" si="311"/>
        <v>2</v>
      </c>
      <c r="I3187" s="39">
        <f t="shared" si="312"/>
        <v>0</v>
      </c>
      <c r="K3187" s="40"/>
      <c r="Q3187" s="40">
        <v>37761</v>
      </c>
      <c r="R3187" s="39">
        <v>2838.93</v>
      </c>
      <c r="S3187" s="39">
        <f t="shared" si="313"/>
        <v>5</v>
      </c>
      <c r="T3187" s="39">
        <f t="shared" si="314"/>
        <v>0</v>
      </c>
      <c r="U3187" s="39">
        <f t="shared" si="315"/>
        <v>0</v>
      </c>
      <c r="V3187" s="40"/>
    </row>
    <row r="3188" spans="2:22" x14ac:dyDescent="0.35">
      <c r="B3188" s="40">
        <v>37762</v>
      </c>
      <c r="C3188" s="39">
        <v>2827.25</v>
      </c>
      <c r="D3188" s="219">
        <f t="shared" si="316"/>
        <v>-4.122712848342089E-3</v>
      </c>
      <c r="F3188" s="40">
        <v>37762</v>
      </c>
      <c r="G3188" s="39">
        <v>2827.25</v>
      </c>
      <c r="H3188" s="39">
        <f t="shared" si="311"/>
        <v>3</v>
      </c>
      <c r="I3188" s="39">
        <f t="shared" si="312"/>
        <v>0</v>
      </c>
      <c r="K3188" s="40"/>
      <c r="Q3188" s="40">
        <v>37762</v>
      </c>
      <c r="R3188" s="39">
        <v>2827.25</v>
      </c>
      <c r="S3188" s="39">
        <f t="shared" si="313"/>
        <v>5</v>
      </c>
      <c r="T3188" s="39">
        <f t="shared" si="314"/>
        <v>0</v>
      </c>
      <c r="U3188" s="39">
        <f t="shared" si="315"/>
        <v>0</v>
      </c>
      <c r="V3188" s="40"/>
    </row>
    <row r="3189" spans="2:22" x14ac:dyDescent="0.35">
      <c r="B3189" s="40">
        <v>37763</v>
      </c>
      <c r="C3189" s="39">
        <v>2865.21</v>
      </c>
      <c r="D3189" s="219">
        <f t="shared" si="316"/>
        <v>1.3337138140524439E-2</v>
      </c>
      <c r="F3189" s="40">
        <v>37763</v>
      </c>
      <c r="G3189" s="39">
        <v>2865.21</v>
      </c>
      <c r="H3189" s="39">
        <f t="shared" si="311"/>
        <v>4</v>
      </c>
      <c r="I3189" s="39">
        <f t="shared" si="312"/>
        <v>0</v>
      </c>
      <c r="K3189" s="40"/>
      <c r="Q3189" s="40">
        <v>37763</v>
      </c>
      <c r="R3189" s="39">
        <v>2865.21</v>
      </c>
      <c r="S3189" s="39">
        <f t="shared" si="313"/>
        <v>5</v>
      </c>
      <c r="T3189" s="39">
        <f t="shared" si="314"/>
        <v>0</v>
      </c>
      <c r="U3189" s="39">
        <f t="shared" si="315"/>
        <v>0</v>
      </c>
      <c r="V3189" s="40"/>
    </row>
    <row r="3190" spans="2:22" x14ac:dyDescent="0.35">
      <c r="B3190" s="40">
        <v>37764</v>
      </c>
      <c r="C3190" s="39">
        <v>2822.83</v>
      </c>
      <c r="D3190" s="219">
        <f t="shared" si="316"/>
        <v>-1.4901718076258778E-2</v>
      </c>
      <c r="F3190" s="40">
        <v>37764</v>
      </c>
      <c r="G3190" s="39">
        <v>2822.83</v>
      </c>
      <c r="H3190" s="39">
        <f t="shared" si="311"/>
        <v>5</v>
      </c>
      <c r="I3190" s="39">
        <f t="shared" si="312"/>
        <v>2822.83</v>
      </c>
      <c r="K3190" s="40"/>
      <c r="Q3190" s="40">
        <v>37764</v>
      </c>
      <c r="R3190" s="39">
        <v>2822.83</v>
      </c>
      <c r="S3190" s="39">
        <f t="shared" si="313"/>
        <v>5</v>
      </c>
      <c r="T3190" s="39">
        <f t="shared" si="314"/>
        <v>0</v>
      </c>
      <c r="U3190" s="39">
        <f t="shared" si="315"/>
        <v>0</v>
      </c>
      <c r="V3190" s="40"/>
    </row>
    <row r="3191" spans="2:22" x14ac:dyDescent="0.35">
      <c r="B3191" s="40">
        <v>37767</v>
      </c>
      <c r="C3191" s="39">
        <v>2828.28</v>
      </c>
      <c r="D3191" s="219">
        <f t="shared" si="316"/>
        <v>1.9288252005947959E-3</v>
      </c>
      <c r="F3191" s="40">
        <v>37767</v>
      </c>
      <c r="G3191" s="39">
        <v>2828.28</v>
      </c>
      <c r="H3191" s="39">
        <f t="shared" ref="H3191:H3254" si="317">WEEKDAY(F3191,2)</f>
        <v>1</v>
      </c>
      <c r="I3191" s="39">
        <f t="shared" ref="I3191:I3254" si="318">IF(H3191&gt;H3192,G3191,0)</f>
        <v>0</v>
      </c>
      <c r="K3191" s="40"/>
      <c r="Q3191" s="40">
        <v>37767</v>
      </c>
      <c r="R3191" s="39">
        <v>2828.28</v>
      </c>
      <c r="S3191" s="39">
        <f t="shared" ref="S3191:S3254" si="319">MONTH(Q3191)</f>
        <v>5</v>
      </c>
      <c r="T3191" s="39">
        <f t="shared" ref="T3191:T3254" si="320">IF(S3192&lt;&gt;S3191,R3191,0)</f>
        <v>0</v>
      </c>
      <c r="U3191" s="39">
        <f t="shared" ref="U3191:U3254" si="321">IF(S3192=S3191,0,R3191)</f>
        <v>0</v>
      </c>
      <c r="V3191" s="40"/>
    </row>
    <row r="3192" spans="2:22" x14ac:dyDescent="0.35">
      <c r="B3192" s="40">
        <v>37768</v>
      </c>
      <c r="C3192" s="39">
        <v>2873.6</v>
      </c>
      <c r="D3192" s="219">
        <f t="shared" ref="D3192:D3255" si="322">LN(C3192/C3191)</f>
        <v>1.5896846091583577E-2</v>
      </c>
      <c r="F3192" s="40">
        <v>37768</v>
      </c>
      <c r="G3192" s="39">
        <v>2873.6</v>
      </c>
      <c r="H3192" s="39">
        <f t="shared" si="317"/>
        <v>2</v>
      </c>
      <c r="I3192" s="39">
        <f t="shared" si="318"/>
        <v>0</v>
      </c>
      <c r="K3192" s="40"/>
      <c r="Q3192" s="40">
        <v>37768</v>
      </c>
      <c r="R3192" s="39">
        <v>2873.6</v>
      </c>
      <c r="S3192" s="39">
        <f t="shared" si="319"/>
        <v>5</v>
      </c>
      <c r="T3192" s="39">
        <f t="shared" si="320"/>
        <v>0</v>
      </c>
      <c r="U3192" s="39">
        <f t="shared" si="321"/>
        <v>0</v>
      </c>
      <c r="V3192" s="40"/>
    </row>
    <row r="3193" spans="2:22" x14ac:dyDescent="0.35">
      <c r="B3193" s="40">
        <v>37769</v>
      </c>
      <c r="C3193" s="39">
        <v>2919.54</v>
      </c>
      <c r="D3193" s="219">
        <f t="shared" si="322"/>
        <v>1.5860470498048996E-2</v>
      </c>
      <c r="F3193" s="40">
        <v>37769</v>
      </c>
      <c r="G3193" s="39">
        <v>2919.54</v>
      </c>
      <c r="H3193" s="39">
        <f t="shared" si="317"/>
        <v>3</v>
      </c>
      <c r="I3193" s="39">
        <f t="shared" si="318"/>
        <v>0</v>
      </c>
      <c r="K3193" s="40"/>
      <c r="Q3193" s="40">
        <v>37769</v>
      </c>
      <c r="R3193" s="39">
        <v>2919.54</v>
      </c>
      <c r="S3193" s="39">
        <f t="shared" si="319"/>
        <v>5</v>
      </c>
      <c r="T3193" s="39">
        <f t="shared" si="320"/>
        <v>0</v>
      </c>
      <c r="U3193" s="39">
        <f t="shared" si="321"/>
        <v>0</v>
      </c>
      <c r="V3193" s="40"/>
    </row>
    <row r="3194" spans="2:22" x14ac:dyDescent="0.35">
      <c r="B3194" s="40">
        <v>37770</v>
      </c>
      <c r="C3194" s="39">
        <v>2906.71</v>
      </c>
      <c r="D3194" s="219">
        <f t="shared" si="322"/>
        <v>-4.4042122252598804E-3</v>
      </c>
      <c r="F3194" s="40">
        <v>37770</v>
      </c>
      <c r="G3194" s="39">
        <v>2906.71</v>
      </c>
      <c r="H3194" s="39">
        <f t="shared" si="317"/>
        <v>4</v>
      </c>
      <c r="I3194" s="39">
        <f t="shared" si="318"/>
        <v>0</v>
      </c>
      <c r="K3194" s="40"/>
      <c r="Q3194" s="40">
        <v>37770</v>
      </c>
      <c r="R3194" s="39">
        <v>2906.71</v>
      </c>
      <c r="S3194" s="39">
        <f t="shared" si="319"/>
        <v>5</v>
      </c>
      <c r="T3194" s="39">
        <f t="shared" si="320"/>
        <v>0</v>
      </c>
      <c r="U3194" s="39">
        <f t="shared" si="321"/>
        <v>0</v>
      </c>
      <c r="V3194" s="40"/>
    </row>
    <row r="3195" spans="2:22" x14ac:dyDescent="0.35">
      <c r="B3195" s="40">
        <v>37771</v>
      </c>
      <c r="C3195" s="39">
        <v>2982.68</v>
      </c>
      <c r="D3195" s="219">
        <f t="shared" si="322"/>
        <v>2.580036782393608E-2</v>
      </c>
      <c r="F3195" s="40">
        <v>37771</v>
      </c>
      <c r="G3195" s="39">
        <v>2982.68</v>
      </c>
      <c r="H3195" s="39">
        <f t="shared" si="317"/>
        <v>5</v>
      </c>
      <c r="I3195" s="39">
        <f t="shared" si="318"/>
        <v>2982.68</v>
      </c>
      <c r="K3195" s="40"/>
      <c r="Q3195" s="40">
        <v>37771</v>
      </c>
      <c r="R3195" s="39">
        <v>2982.68</v>
      </c>
      <c r="S3195" s="39">
        <f t="shared" si="319"/>
        <v>5</v>
      </c>
      <c r="T3195" s="39">
        <f t="shared" si="320"/>
        <v>2982.68</v>
      </c>
      <c r="U3195" s="39">
        <f t="shared" si="321"/>
        <v>2982.68</v>
      </c>
      <c r="V3195" s="40"/>
    </row>
    <row r="3196" spans="2:22" x14ac:dyDescent="0.35">
      <c r="B3196" s="40">
        <v>37774</v>
      </c>
      <c r="C3196" s="39">
        <v>3064.56</v>
      </c>
      <c r="D3196" s="219">
        <f t="shared" si="322"/>
        <v>2.7081777579929796E-2</v>
      </c>
      <c r="F3196" s="40">
        <v>37774</v>
      </c>
      <c r="G3196" s="39">
        <v>3064.56</v>
      </c>
      <c r="H3196" s="39">
        <f t="shared" si="317"/>
        <v>1</v>
      </c>
      <c r="I3196" s="39">
        <f t="shared" si="318"/>
        <v>0</v>
      </c>
      <c r="K3196" s="40"/>
      <c r="Q3196" s="40">
        <v>37774</v>
      </c>
      <c r="R3196" s="39">
        <v>3064.56</v>
      </c>
      <c r="S3196" s="39">
        <f t="shared" si="319"/>
        <v>6</v>
      </c>
      <c r="T3196" s="39">
        <f t="shared" si="320"/>
        <v>0</v>
      </c>
      <c r="U3196" s="39">
        <f t="shared" si="321"/>
        <v>0</v>
      </c>
      <c r="V3196" s="40"/>
    </row>
    <row r="3197" spans="2:22" x14ac:dyDescent="0.35">
      <c r="B3197" s="40">
        <v>37775</v>
      </c>
      <c r="C3197" s="39">
        <v>3026.82</v>
      </c>
      <c r="D3197" s="219">
        <f t="shared" si="322"/>
        <v>-1.2391439347569071E-2</v>
      </c>
      <c r="F3197" s="40">
        <v>37775</v>
      </c>
      <c r="G3197" s="39">
        <v>3026.82</v>
      </c>
      <c r="H3197" s="39">
        <f t="shared" si="317"/>
        <v>2</v>
      </c>
      <c r="I3197" s="39">
        <f t="shared" si="318"/>
        <v>0</v>
      </c>
      <c r="K3197" s="40"/>
      <c r="Q3197" s="40">
        <v>37775</v>
      </c>
      <c r="R3197" s="39">
        <v>3026.82</v>
      </c>
      <c r="S3197" s="39">
        <f t="shared" si="319"/>
        <v>6</v>
      </c>
      <c r="T3197" s="39">
        <f t="shared" si="320"/>
        <v>0</v>
      </c>
      <c r="U3197" s="39">
        <f t="shared" si="321"/>
        <v>0</v>
      </c>
      <c r="V3197" s="40"/>
    </row>
    <row r="3198" spans="2:22" x14ac:dyDescent="0.35">
      <c r="B3198" s="40">
        <v>37776</v>
      </c>
      <c r="C3198" s="39">
        <v>3080.02</v>
      </c>
      <c r="D3198" s="219">
        <f t="shared" si="322"/>
        <v>1.742352701606463E-2</v>
      </c>
      <c r="F3198" s="40">
        <v>37776</v>
      </c>
      <c r="G3198" s="39">
        <v>3080.02</v>
      </c>
      <c r="H3198" s="39">
        <f t="shared" si="317"/>
        <v>3</v>
      </c>
      <c r="I3198" s="39">
        <f t="shared" si="318"/>
        <v>0</v>
      </c>
      <c r="K3198" s="40"/>
      <c r="Q3198" s="40">
        <v>37776</v>
      </c>
      <c r="R3198" s="39">
        <v>3080.02</v>
      </c>
      <c r="S3198" s="39">
        <f t="shared" si="319"/>
        <v>6</v>
      </c>
      <c r="T3198" s="39">
        <f t="shared" si="320"/>
        <v>0</v>
      </c>
      <c r="U3198" s="39">
        <f t="shared" si="321"/>
        <v>0</v>
      </c>
      <c r="V3198" s="40"/>
    </row>
    <row r="3199" spans="2:22" x14ac:dyDescent="0.35">
      <c r="B3199" s="40">
        <v>37777</v>
      </c>
      <c r="C3199" s="39">
        <v>3039.76</v>
      </c>
      <c r="D3199" s="219">
        <f t="shared" si="322"/>
        <v>-1.3157525537692045E-2</v>
      </c>
      <c r="F3199" s="40">
        <v>37777</v>
      </c>
      <c r="G3199" s="39">
        <v>3039.76</v>
      </c>
      <c r="H3199" s="39">
        <f t="shared" si="317"/>
        <v>4</v>
      </c>
      <c r="I3199" s="39">
        <f t="shared" si="318"/>
        <v>0</v>
      </c>
      <c r="K3199" s="40"/>
      <c r="Q3199" s="40">
        <v>37777</v>
      </c>
      <c r="R3199" s="39">
        <v>3039.76</v>
      </c>
      <c r="S3199" s="39">
        <f t="shared" si="319"/>
        <v>6</v>
      </c>
      <c r="T3199" s="39">
        <f t="shared" si="320"/>
        <v>0</v>
      </c>
      <c r="U3199" s="39">
        <f t="shared" si="321"/>
        <v>0</v>
      </c>
      <c r="V3199" s="40"/>
    </row>
    <row r="3200" spans="2:22" x14ac:dyDescent="0.35">
      <c r="B3200" s="40">
        <v>37778</v>
      </c>
      <c r="C3200" s="39">
        <v>3127.46</v>
      </c>
      <c r="D3200" s="219">
        <f t="shared" si="322"/>
        <v>2.8442608575752145E-2</v>
      </c>
      <c r="F3200" s="40">
        <v>37778</v>
      </c>
      <c r="G3200" s="39">
        <v>3127.46</v>
      </c>
      <c r="H3200" s="39">
        <f t="shared" si="317"/>
        <v>5</v>
      </c>
      <c r="I3200" s="39">
        <f t="shared" si="318"/>
        <v>3127.46</v>
      </c>
      <c r="K3200" s="40"/>
      <c r="Q3200" s="40">
        <v>37778</v>
      </c>
      <c r="R3200" s="39">
        <v>3127.46</v>
      </c>
      <c r="S3200" s="39">
        <f t="shared" si="319"/>
        <v>6</v>
      </c>
      <c r="T3200" s="39">
        <f t="shared" si="320"/>
        <v>0</v>
      </c>
      <c r="U3200" s="39">
        <f t="shared" si="321"/>
        <v>0</v>
      </c>
      <c r="V3200" s="40"/>
    </row>
    <row r="3201" spans="2:22" x14ac:dyDescent="0.35">
      <c r="B3201" s="40">
        <v>37781</v>
      </c>
      <c r="C3201" s="39">
        <v>3094.76</v>
      </c>
      <c r="D3201" s="219">
        <f t="shared" si="322"/>
        <v>-1.0510814805613231E-2</v>
      </c>
      <c r="F3201" s="40">
        <v>37781</v>
      </c>
      <c r="G3201" s="39">
        <v>3094.76</v>
      </c>
      <c r="H3201" s="39">
        <f t="shared" si="317"/>
        <v>1</v>
      </c>
      <c r="I3201" s="39">
        <f t="shared" si="318"/>
        <v>0</v>
      </c>
      <c r="K3201" s="40"/>
      <c r="Q3201" s="40">
        <v>37781</v>
      </c>
      <c r="R3201" s="39">
        <v>3094.76</v>
      </c>
      <c r="S3201" s="39">
        <f t="shared" si="319"/>
        <v>6</v>
      </c>
      <c r="T3201" s="39">
        <f t="shared" si="320"/>
        <v>0</v>
      </c>
      <c r="U3201" s="39">
        <f t="shared" si="321"/>
        <v>0</v>
      </c>
      <c r="V3201" s="40"/>
    </row>
    <row r="3202" spans="2:22" x14ac:dyDescent="0.35">
      <c r="B3202" s="40">
        <v>37782</v>
      </c>
      <c r="C3202" s="39">
        <v>3140.34</v>
      </c>
      <c r="D3202" s="219">
        <f t="shared" si="322"/>
        <v>1.4620715609714785E-2</v>
      </c>
      <c r="F3202" s="40">
        <v>37782</v>
      </c>
      <c r="G3202" s="39">
        <v>3140.34</v>
      </c>
      <c r="H3202" s="39">
        <f t="shared" si="317"/>
        <v>2</v>
      </c>
      <c r="I3202" s="39">
        <f t="shared" si="318"/>
        <v>0</v>
      </c>
      <c r="K3202" s="40"/>
      <c r="Q3202" s="40">
        <v>37782</v>
      </c>
      <c r="R3202" s="39">
        <v>3140.34</v>
      </c>
      <c r="S3202" s="39">
        <f t="shared" si="319"/>
        <v>6</v>
      </c>
      <c r="T3202" s="39">
        <f t="shared" si="320"/>
        <v>0</v>
      </c>
      <c r="U3202" s="39">
        <f t="shared" si="321"/>
        <v>0</v>
      </c>
      <c r="V3202" s="40"/>
    </row>
    <row r="3203" spans="2:22" x14ac:dyDescent="0.35">
      <c r="B3203" s="40">
        <v>37783</v>
      </c>
      <c r="C3203" s="39">
        <v>3178.15</v>
      </c>
      <c r="D3203" s="219">
        <f t="shared" si="322"/>
        <v>1.19681921841464E-2</v>
      </c>
      <c r="F3203" s="40">
        <v>37783</v>
      </c>
      <c r="G3203" s="39">
        <v>3178.15</v>
      </c>
      <c r="H3203" s="39">
        <f t="shared" si="317"/>
        <v>3</v>
      </c>
      <c r="I3203" s="39">
        <f t="shared" si="318"/>
        <v>0</v>
      </c>
      <c r="K3203" s="40"/>
      <c r="Q3203" s="40">
        <v>37783</v>
      </c>
      <c r="R3203" s="39">
        <v>3178.15</v>
      </c>
      <c r="S3203" s="39">
        <f t="shared" si="319"/>
        <v>6</v>
      </c>
      <c r="T3203" s="39">
        <f t="shared" si="320"/>
        <v>0</v>
      </c>
      <c r="U3203" s="39">
        <f t="shared" si="321"/>
        <v>0</v>
      </c>
      <c r="V3203" s="40"/>
    </row>
    <row r="3204" spans="2:22" x14ac:dyDescent="0.35">
      <c r="B3204" s="40">
        <v>37784</v>
      </c>
      <c r="C3204" s="39">
        <v>3219.47</v>
      </c>
      <c r="D3204" s="219">
        <f t="shared" si="322"/>
        <v>1.2917483238369949E-2</v>
      </c>
      <c r="F3204" s="40">
        <v>37784</v>
      </c>
      <c r="G3204" s="39">
        <v>3219.47</v>
      </c>
      <c r="H3204" s="39">
        <f t="shared" si="317"/>
        <v>4</v>
      </c>
      <c r="I3204" s="39">
        <f t="shared" si="318"/>
        <v>0</v>
      </c>
      <c r="K3204" s="40"/>
      <c r="Q3204" s="40">
        <v>37784</v>
      </c>
      <c r="R3204" s="39">
        <v>3219.47</v>
      </c>
      <c r="S3204" s="39">
        <f t="shared" si="319"/>
        <v>6</v>
      </c>
      <c r="T3204" s="39">
        <f t="shared" si="320"/>
        <v>0</v>
      </c>
      <c r="U3204" s="39">
        <f t="shared" si="321"/>
        <v>0</v>
      </c>
      <c r="V3204" s="40"/>
    </row>
    <row r="3205" spans="2:22" x14ac:dyDescent="0.35">
      <c r="B3205" s="40">
        <v>37785</v>
      </c>
      <c r="C3205" s="39">
        <v>3168.71</v>
      </c>
      <c r="D3205" s="219">
        <f t="shared" si="322"/>
        <v>-1.5892184732051406E-2</v>
      </c>
      <c r="F3205" s="40">
        <v>37785</v>
      </c>
      <c r="G3205" s="39">
        <v>3168.71</v>
      </c>
      <c r="H3205" s="39">
        <f t="shared" si="317"/>
        <v>5</v>
      </c>
      <c r="I3205" s="39">
        <f t="shared" si="318"/>
        <v>3168.71</v>
      </c>
      <c r="K3205" s="40"/>
      <c r="Q3205" s="40">
        <v>37785</v>
      </c>
      <c r="R3205" s="39">
        <v>3168.71</v>
      </c>
      <c r="S3205" s="39">
        <f t="shared" si="319"/>
        <v>6</v>
      </c>
      <c r="T3205" s="39">
        <f t="shared" si="320"/>
        <v>0</v>
      </c>
      <c r="U3205" s="39">
        <f t="shared" si="321"/>
        <v>0</v>
      </c>
      <c r="V3205" s="40"/>
    </row>
    <row r="3206" spans="2:22" x14ac:dyDescent="0.35">
      <c r="B3206" s="40">
        <v>37788</v>
      </c>
      <c r="C3206" s="39">
        <v>3264.5</v>
      </c>
      <c r="D3206" s="219">
        <f t="shared" si="322"/>
        <v>2.97820466410307E-2</v>
      </c>
      <c r="F3206" s="40">
        <v>37788</v>
      </c>
      <c r="G3206" s="39">
        <v>3264.5</v>
      </c>
      <c r="H3206" s="39">
        <f t="shared" si="317"/>
        <v>1</v>
      </c>
      <c r="I3206" s="39">
        <f t="shared" si="318"/>
        <v>0</v>
      </c>
      <c r="K3206" s="40"/>
      <c r="Q3206" s="40">
        <v>37788</v>
      </c>
      <c r="R3206" s="39">
        <v>3264.5</v>
      </c>
      <c r="S3206" s="39">
        <f t="shared" si="319"/>
        <v>6</v>
      </c>
      <c r="T3206" s="39">
        <f t="shared" si="320"/>
        <v>0</v>
      </c>
      <c r="U3206" s="39">
        <f t="shared" si="321"/>
        <v>0</v>
      </c>
      <c r="V3206" s="40"/>
    </row>
    <row r="3207" spans="2:22" x14ac:dyDescent="0.35">
      <c r="B3207" s="40">
        <v>37789</v>
      </c>
      <c r="C3207" s="39">
        <v>3286.48</v>
      </c>
      <c r="D3207" s="219">
        <f t="shared" si="322"/>
        <v>6.7104715571329352E-3</v>
      </c>
      <c r="F3207" s="40">
        <v>37789</v>
      </c>
      <c r="G3207" s="39">
        <v>3286.48</v>
      </c>
      <c r="H3207" s="39">
        <f t="shared" si="317"/>
        <v>2</v>
      </c>
      <c r="I3207" s="39">
        <f t="shared" si="318"/>
        <v>0</v>
      </c>
      <c r="K3207" s="40"/>
      <c r="Q3207" s="40">
        <v>37789</v>
      </c>
      <c r="R3207" s="39">
        <v>3286.48</v>
      </c>
      <c r="S3207" s="39">
        <f t="shared" si="319"/>
        <v>6</v>
      </c>
      <c r="T3207" s="39">
        <f t="shared" si="320"/>
        <v>0</v>
      </c>
      <c r="U3207" s="39">
        <f t="shared" si="321"/>
        <v>0</v>
      </c>
      <c r="V3207" s="40"/>
    </row>
    <row r="3208" spans="2:22" x14ac:dyDescent="0.35">
      <c r="B3208" s="40">
        <v>37790</v>
      </c>
      <c r="C3208" s="39">
        <v>3304.15</v>
      </c>
      <c r="D3208" s="219">
        <f t="shared" si="322"/>
        <v>5.3621709422594166E-3</v>
      </c>
      <c r="F3208" s="40">
        <v>37790</v>
      </c>
      <c r="G3208" s="39">
        <v>3304.15</v>
      </c>
      <c r="H3208" s="39">
        <f t="shared" si="317"/>
        <v>3</v>
      </c>
      <c r="I3208" s="39">
        <f t="shared" si="318"/>
        <v>0</v>
      </c>
      <c r="K3208" s="40"/>
      <c r="Q3208" s="40">
        <v>37790</v>
      </c>
      <c r="R3208" s="39">
        <v>3304.15</v>
      </c>
      <c r="S3208" s="39">
        <f t="shared" si="319"/>
        <v>6</v>
      </c>
      <c r="T3208" s="39">
        <f t="shared" si="320"/>
        <v>0</v>
      </c>
      <c r="U3208" s="39">
        <f t="shared" si="321"/>
        <v>0</v>
      </c>
      <c r="V3208" s="40"/>
    </row>
    <row r="3209" spans="2:22" x14ac:dyDescent="0.35">
      <c r="B3209" s="40">
        <v>37791</v>
      </c>
      <c r="C3209" s="39">
        <v>3247.11</v>
      </c>
      <c r="D3209" s="219">
        <f t="shared" si="322"/>
        <v>-1.7413884171745737E-2</v>
      </c>
      <c r="F3209" s="40">
        <v>37791</v>
      </c>
      <c r="G3209" s="39">
        <v>3247.11</v>
      </c>
      <c r="H3209" s="39">
        <f t="shared" si="317"/>
        <v>4</v>
      </c>
      <c r="I3209" s="39">
        <f t="shared" si="318"/>
        <v>0</v>
      </c>
      <c r="K3209" s="40"/>
      <c r="Q3209" s="40">
        <v>37791</v>
      </c>
      <c r="R3209" s="39">
        <v>3247.11</v>
      </c>
      <c r="S3209" s="39">
        <f t="shared" si="319"/>
        <v>6</v>
      </c>
      <c r="T3209" s="39">
        <f t="shared" si="320"/>
        <v>0</v>
      </c>
      <c r="U3209" s="39">
        <f t="shared" si="321"/>
        <v>0</v>
      </c>
      <c r="V3209" s="40"/>
    </row>
    <row r="3210" spans="2:22" x14ac:dyDescent="0.35">
      <c r="B3210" s="40">
        <v>37792</v>
      </c>
      <c r="C3210" s="39">
        <v>3238.98</v>
      </c>
      <c r="D3210" s="219">
        <f t="shared" si="322"/>
        <v>-2.5069045473609204E-3</v>
      </c>
      <c r="F3210" s="40">
        <v>37792</v>
      </c>
      <c r="G3210" s="39">
        <v>3238.98</v>
      </c>
      <c r="H3210" s="39">
        <f t="shared" si="317"/>
        <v>5</v>
      </c>
      <c r="I3210" s="39">
        <f t="shared" si="318"/>
        <v>3238.98</v>
      </c>
      <c r="K3210" s="40"/>
      <c r="Q3210" s="40">
        <v>37792</v>
      </c>
      <c r="R3210" s="39">
        <v>3238.98</v>
      </c>
      <c r="S3210" s="39">
        <f t="shared" si="319"/>
        <v>6</v>
      </c>
      <c r="T3210" s="39">
        <f t="shared" si="320"/>
        <v>0</v>
      </c>
      <c r="U3210" s="39">
        <f t="shared" si="321"/>
        <v>0</v>
      </c>
      <c r="V3210" s="40"/>
    </row>
    <row r="3211" spans="2:22" x14ac:dyDescent="0.35">
      <c r="B3211" s="40">
        <v>37795</v>
      </c>
      <c r="C3211" s="39">
        <v>3186.39</v>
      </c>
      <c r="D3211" s="219">
        <f t="shared" si="322"/>
        <v>-1.6369850882400089E-2</v>
      </c>
      <c r="F3211" s="40">
        <v>37795</v>
      </c>
      <c r="G3211" s="39">
        <v>3186.39</v>
      </c>
      <c r="H3211" s="39">
        <f t="shared" si="317"/>
        <v>1</v>
      </c>
      <c r="I3211" s="39">
        <f t="shared" si="318"/>
        <v>0</v>
      </c>
      <c r="K3211" s="40"/>
      <c r="Q3211" s="40">
        <v>37795</v>
      </c>
      <c r="R3211" s="39">
        <v>3186.39</v>
      </c>
      <c r="S3211" s="39">
        <f t="shared" si="319"/>
        <v>6</v>
      </c>
      <c r="T3211" s="39">
        <f t="shared" si="320"/>
        <v>0</v>
      </c>
      <c r="U3211" s="39">
        <f t="shared" si="321"/>
        <v>0</v>
      </c>
      <c r="V3211" s="40"/>
    </row>
    <row r="3212" spans="2:22" x14ac:dyDescent="0.35">
      <c r="B3212" s="40">
        <v>37796</v>
      </c>
      <c r="C3212" s="39">
        <v>3217.34</v>
      </c>
      <c r="D3212" s="219">
        <f t="shared" si="322"/>
        <v>9.6663166594996904E-3</v>
      </c>
      <c r="F3212" s="40">
        <v>37796</v>
      </c>
      <c r="G3212" s="39">
        <v>3217.34</v>
      </c>
      <c r="H3212" s="39">
        <f t="shared" si="317"/>
        <v>2</v>
      </c>
      <c r="I3212" s="39">
        <f t="shared" si="318"/>
        <v>0</v>
      </c>
      <c r="K3212" s="40"/>
      <c r="Q3212" s="40">
        <v>37796</v>
      </c>
      <c r="R3212" s="39">
        <v>3217.34</v>
      </c>
      <c r="S3212" s="39">
        <f t="shared" si="319"/>
        <v>6</v>
      </c>
      <c r="T3212" s="39">
        <f t="shared" si="320"/>
        <v>0</v>
      </c>
      <c r="U3212" s="39">
        <f t="shared" si="321"/>
        <v>0</v>
      </c>
      <c r="V3212" s="40"/>
    </row>
    <row r="3213" spans="2:22" x14ac:dyDescent="0.35">
      <c r="B3213" s="40">
        <v>37797</v>
      </c>
      <c r="C3213" s="39">
        <v>3198.82</v>
      </c>
      <c r="D3213" s="219">
        <f t="shared" si="322"/>
        <v>-5.7729394012549099E-3</v>
      </c>
      <c r="F3213" s="40">
        <v>37797</v>
      </c>
      <c r="G3213" s="39">
        <v>3198.82</v>
      </c>
      <c r="H3213" s="39">
        <f t="shared" si="317"/>
        <v>3</v>
      </c>
      <c r="I3213" s="39">
        <f t="shared" si="318"/>
        <v>0</v>
      </c>
      <c r="K3213" s="40"/>
      <c r="Q3213" s="40">
        <v>37797</v>
      </c>
      <c r="R3213" s="39">
        <v>3198.82</v>
      </c>
      <c r="S3213" s="39">
        <f t="shared" si="319"/>
        <v>6</v>
      </c>
      <c r="T3213" s="39">
        <f t="shared" si="320"/>
        <v>0</v>
      </c>
      <c r="U3213" s="39">
        <f t="shared" si="321"/>
        <v>0</v>
      </c>
      <c r="V3213" s="40"/>
    </row>
    <row r="3214" spans="2:22" x14ac:dyDescent="0.35">
      <c r="B3214" s="40">
        <v>37798</v>
      </c>
      <c r="C3214" s="39">
        <v>3241.22</v>
      </c>
      <c r="D3214" s="219">
        <f t="shared" si="322"/>
        <v>1.3167810338829793E-2</v>
      </c>
      <c r="F3214" s="40">
        <v>37798</v>
      </c>
      <c r="G3214" s="39">
        <v>3241.22</v>
      </c>
      <c r="H3214" s="39">
        <f t="shared" si="317"/>
        <v>4</v>
      </c>
      <c r="I3214" s="39">
        <f t="shared" si="318"/>
        <v>0</v>
      </c>
      <c r="K3214" s="40"/>
      <c r="Q3214" s="40">
        <v>37798</v>
      </c>
      <c r="R3214" s="39">
        <v>3241.22</v>
      </c>
      <c r="S3214" s="39">
        <f t="shared" si="319"/>
        <v>6</v>
      </c>
      <c r="T3214" s="39">
        <f t="shared" si="320"/>
        <v>0</v>
      </c>
      <c r="U3214" s="39">
        <f t="shared" si="321"/>
        <v>0</v>
      </c>
      <c r="V3214" s="40"/>
    </row>
    <row r="3215" spans="2:22" x14ac:dyDescent="0.35">
      <c r="B3215" s="40">
        <v>37799</v>
      </c>
      <c r="C3215" s="39">
        <v>3224.66</v>
      </c>
      <c r="D3215" s="219">
        <f t="shared" si="322"/>
        <v>-5.122283806113433E-3</v>
      </c>
      <c r="F3215" s="40">
        <v>37799</v>
      </c>
      <c r="G3215" s="39">
        <v>3224.66</v>
      </c>
      <c r="H3215" s="39">
        <f t="shared" si="317"/>
        <v>5</v>
      </c>
      <c r="I3215" s="39">
        <f t="shared" si="318"/>
        <v>3224.66</v>
      </c>
      <c r="K3215" s="40"/>
      <c r="Q3215" s="40">
        <v>37799</v>
      </c>
      <c r="R3215" s="39">
        <v>3224.66</v>
      </c>
      <c r="S3215" s="39">
        <f t="shared" si="319"/>
        <v>6</v>
      </c>
      <c r="T3215" s="39">
        <f t="shared" si="320"/>
        <v>0</v>
      </c>
      <c r="U3215" s="39">
        <f t="shared" si="321"/>
        <v>0</v>
      </c>
      <c r="V3215" s="40"/>
    </row>
    <row r="3216" spans="2:22" x14ac:dyDescent="0.35">
      <c r="B3216" s="40">
        <v>37802</v>
      </c>
      <c r="C3216" s="39">
        <v>3220.58</v>
      </c>
      <c r="D3216" s="219">
        <f t="shared" si="322"/>
        <v>-1.2660507738984888E-3</v>
      </c>
      <c r="F3216" s="40">
        <v>37802</v>
      </c>
      <c r="G3216" s="39">
        <v>3220.58</v>
      </c>
      <c r="H3216" s="39">
        <f t="shared" si="317"/>
        <v>1</v>
      </c>
      <c r="I3216" s="39">
        <f t="shared" si="318"/>
        <v>0</v>
      </c>
      <c r="K3216" s="40"/>
      <c r="Q3216" s="40">
        <v>37802</v>
      </c>
      <c r="R3216" s="39">
        <v>3220.58</v>
      </c>
      <c r="S3216" s="39">
        <f t="shared" si="319"/>
        <v>6</v>
      </c>
      <c r="T3216" s="39">
        <f t="shared" si="320"/>
        <v>3220.58</v>
      </c>
      <c r="U3216" s="39">
        <f t="shared" si="321"/>
        <v>3220.58</v>
      </c>
      <c r="V3216" s="40"/>
    </row>
    <row r="3217" spans="2:22" x14ac:dyDescent="0.35">
      <c r="B3217" s="40">
        <v>37803</v>
      </c>
      <c r="C3217" s="39">
        <v>3146.55</v>
      </c>
      <c r="D3217" s="219">
        <f t="shared" si="322"/>
        <v>-2.325485302872788E-2</v>
      </c>
      <c r="F3217" s="40">
        <v>37803</v>
      </c>
      <c r="G3217" s="39">
        <v>3146.55</v>
      </c>
      <c r="H3217" s="39">
        <f t="shared" si="317"/>
        <v>2</v>
      </c>
      <c r="I3217" s="39">
        <f t="shared" si="318"/>
        <v>0</v>
      </c>
      <c r="K3217" s="40"/>
      <c r="Q3217" s="40">
        <v>37803</v>
      </c>
      <c r="R3217" s="39">
        <v>3146.55</v>
      </c>
      <c r="S3217" s="39">
        <f t="shared" si="319"/>
        <v>7</v>
      </c>
      <c r="T3217" s="39">
        <f t="shared" si="320"/>
        <v>0</v>
      </c>
      <c r="U3217" s="39">
        <f t="shared" si="321"/>
        <v>0</v>
      </c>
      <c r="V3217" s="40"/>
    </row>
    <row r="3218" spans="2:22" x14ac:dyDescent="0.35">
      <c r="B3218" s="40">
        <v>37804</v>
      </c>
      <c r="C3218" s="39">
        <v>3241.04</v>
      </c>
      <c r="D3218" s="219">
        <f t="shared" si="322"/>
        <v>2.9587651422271967E-2</v>
      </c>
      <c r="F3218" s="40">
        <v>37804</v>
      </c>
      <c r="G3218" s="39">
        <v>3241.04</v>
      </c>
      <c r="H3218" s="39">
        <f t="shared" si="317"/>
        <v>3</v>
      </c>
      <c r="I3218" s="39">
        <f t="shared" si="318"/>
        <v>0</v>
      </c>
      <c r="K3218" s="40"/>
      <c r="Q3218" s="40">
        <v>37804</v>
      </c>
      <c r="R3218" s="39">
        <v>3241.04</v>
      </c>
      <c r="S3218" s="39">
        <f t="shared" si="319"/>
        <v>7</v>
      </c>
      <c r="T3218" s="39">
        <f t="shared" si="320"/>
        <v>0</v>
      </c>
      <c r="U3218" s="39">
        <f t="shared" si="321"/>
        <v>0</v>
      </c>
      <c r="V3218" s="40"/>
    </row>
    <row r="3219" spans="2:22" x14ac:dyDescent="0.35">
      <c r="B3219" s="40">
        <v>37805</v>
      </c>
      <c r="C3219" s="39">
        <v>3241.92</v>
      </c>
      <c r="D3219" s="219">
        <f t="shared" si="322"/>
        <v>2.7148093013209423E-4</v>
      </c>
      <c r="F3219" s="40">
        <v>37805</v>
      </c>
      <c r="G3219" s="39">
        <v>3241.92</v>
      </c>
      <c r="H3219" s="39">
        <f t="shared" si="317"/>
        <v>4</v>
      </c>
      <c r="I3219" s="39">
        <f t="shared" si="318"/>
        <v>0</v>
      </c>
      <c r="K3219" s="40"/>
      <c r="Q3219" s="40">
        <v>37805</v>
      </c>
      <c r="R3219" s="39">
        <v>3241.92</v>
      </c>
      <c r="S3219" s="39">
        <f t="shared" si="319"/>
        <v>7</v>
      </c>
      <c r="T3219" s="39">
        <f t="shared" si="320"/>
        <v>0</v>
      </c>
      <c r="U3219" s="39">
        <f t="shared" si="321"/>
        <v>0</v>
      </c>
      <c r="V3219" s="40"/>
    </row>
    <row r="3220" spans="2:22" x14ac:dyDescent="0.35">
      <c r="B3220" s="40">
        <v>37806</v>
      </c>
      <c r="C3220" s="39">
        <v>3239.61</v>
      </c>
      <c r="D3220" s="219">
        <f t="shared" si="322"/>
        <v>-7.1279469440223482E-4</v>
      </c>
      <c r="F3220" s="40">
        <v>37806</v>
      </c>
      <c r="G3220" s="39">
        <v>3239.61</v>
      </c>
      <c r="H3220" s="39">
        <f t="shared" si="317"/>
        <v>5</v>
      </c>
      <c r="I3220" s="39">
        <f t="shared" si="318"/>
        <v>3239.61</v>
      </c>
      <c r="K3220" s="40"/>
      <c r="Q3220" s="40">
        <v>37806</v>
      </c>
      <c r="R3220" s="39">
        <v>3239.61</v>
      </c>
      <c r="S3220" s="39">
        <f t="shared" si="319"/>
        <v>7</v>
      </c>
      <c r="T3220" s="39">
        <f t="shared" si="320"/>
        <v>0</v>
      </c>
      <c r="U3220" s="39">
        <f t="shared" si="321"/>
        <v>0</v>
      </c>
      <c r="V3220" s="40"/>
    </row>
    <row r="3221" spans="2:22" x14ac:dyDescent="0.35">
      <c r="B3221" s="40">
        <v>37809</v>
      </c>
      <c r="C3221" s="39">
        <v>3332.87</v>
      </c>
      <c r="D3221" s="219">
        <f t="shared" si="322"/>
        <v>2.8380842475767477E-2</v>
      </c>
      <c r="F3221" s="40">
        <v>37809</v>
      </c>
      <c r="G3221" s="39">
        <v>3332.87</v>
      </c>
      <c r="H3221" s="39">
        <f t="shared" si="317"/>
        <v>1</v>
      </c>
      <c r="I3221" s="39">
        <f t="shared" si="318"/>
        <v>0</v>
      </c>
      <c r="K3221" s="40"/>
      <c r="Q3221" s="40">
        <v>37809</v>
      </c>
      <c r="R3221" s="39">
        <v>3332.87</v>
      </c>
      <c r="S3221" s="39">
        <f t="shared" si="319"/>
        <v>7</v>
      </c>
      <c r="T3221" s="39">
        <f t="shared" si="320"/>
        <v>0</v>
      </c>
      <c r="U3221" s="39">
        <f t="shared" si="321"/>
        <v>0</v>
      </c>
      <c r="V3221" s="40"/>
    </row>
    <row r="3222" spans="2:22" x14ac:dyDescent="0.35">
      <c r="B3222" s="40">
        <v>37810</v>
      </c>
      <c r="C3222" s="39">
        <v>3344.46</v>
      </c>
      <c r="D3222" s="219">
        <f t="shared" si="322"/>
        <v>3.4714509060440805E-3</v>
      </c>
      <c r="F3222" s="40">
        <v>37810</v>
      </c>
      <c r="G3222" s="39">
        <v>3344.46</v>
      </c>
      <c r="H3222" s="39">
        <f t="shared" si="317"/>
        <v>2</v>
      </c>
      <c r="I3222" s="39">
        <f t="shared" si="318"/>
        <v>0</v>
      </c>
      <c r="K3222" s="40"/>
      <c r="Q3222" s="40">
        <v>37810</v>
      </c>
      <c r="R3222" s="39">
        <v>3344.46</v>
      </c>
      <c r="S3222" s="39">
        <f t="shared" si="319"/>
        <v>7</v>
      </c>
      <c r="T3222" s="39">
        <f t="shared" si="320"/>
        <v>0</v>
      </c>
      <c r="U3222" s="39">
        <f t="shared" si="321"/>
        <v>0</v>
      </c>
      <c r="V3222" s="40"/>
    </row>
    <row r="3223" spans="2:22" x14ac:dyDescent="0.35">
      <c r="B3223" s="40">
        <v>37811</v>
      </c>
      <c r="C3223" s="39">
        <v>3322.43</v>
      </c>
      <c r="D3223" s="219">
        <f t="shared" si="322"/>
        <v>-6.6088026598005783E-3</v>
      </c>
      <c r="F3223" s="40">
        <v>37811</v>
      </c>
      <c r="G3223" s="39">
        <v>3322.43</v>
      </c>
      <c r="H3223" s="39">
        <f t="shared" si="317"/>
        <v>3</v>
      </c>
      <c r="I3223" s="39">
        <f t="shared" si="318"/>
        <v>0</v>
      </c>
      <c r="K3223" s="40"/>
      <c r="Q3223" s="40">
        <v>37811</v>
      </c>
      <c r="R3223" s="39">
        <v>3322.43</v>
      </c>
      <c r="S3223" s="39">
        <f t="shared" si="319"/>
        <v>7</v>
      </c>
      <c r="T3223" s="39">
        <f t="shared" si="320"/>
        <v>0</v>
      </c>
      <c r="U3223" s="39">
        <f t="shared" si="321"/>
        <v>0</v>
      </c>
      <c r="V3223" s="40"/>
    </row>
    <row r="3224" spans="2:22" x14ac:dyDescent="0.35">
      <c r="B3224" s="40">
        <v>37812</v>
      </c>
      <c r="C3224" s="39">
        <v>3269.84</v>
      </c>
      <c r="D3224" s="219">
        <f t="shared" si="322"/>
        <v>-1.5955388862325698E-2</v>
      </c>
      <c r="F3224" s="40">
        <v>37812</v>
      </c>
      <c r="G3224" s="39">
        <v>3269.84</v>
      </c>
      <c r="H3224" s="39">
        <f t="shared" si="317"/>
        <v>4</v>
      </c>
      <c r="I3224" s="39">
        <f t="shared" si="318"/>
        <v>0</v>
      </c>
      <c r="K3224" s="40"/>
      <c r="Q3224" s="40">
        <v>37812</v>
      </c>
      <c r="R3224" s="39">
        <v>3269.84</v>
      </c>
      <c r="S3224" s="39">
        <f t="shared" si="319"/>
        <v>7</v>
      </c>
      <c r="T3224" s="39">
        <f t="shared" si="320"/>
        <v>0</v>
      </c>
      <c r="U3224" s="39">
        <f t="shared" si="321"/>
        <v>0</v>
      </c>
      <c r="V3224" s="40"/>
    </row>
    <row r="3225" spans="2:22" x14ac:dyDescent="0.35">
      <c r="B3225" s="40">
        <v>37813</v>
      </c>
      <c r="C3225" s="39">
        <v>3326.51</v>
      </c>
      <c r="D3225" s="219">
        <f t="shared" si="322"/>
        <v>1.7182652309461626E-2</v>
      </c>
      <c r="F3225" s="40">
        <v>37813</v>
      </c>
      <c r="G3225" s="39">
        <v>3326.51</v>
      </c>
      <c r="H3225" s="39">
        <f t="shared" si="317"/>
        <v>5</v>
      </c>
      <c r="I3225" s="39">
        <f t="shared" si="318"/>
        <v>3326.51</v>
      </c>
      <c r="K3225" s="40"/>
      <c r="Q3225" s="40">
        <v>37813</v>
      </c>
      <c r="R3225" s="39">
        <v>3326.51</v>
      </c>
      <c r="S3225" s="39">
        <f t="shared" si="319"/>
        <v>7</v>
      </c>
      <c r="T3225" s="39">
        <f t="shared" si="320"/>
        <v>0</v>
      </c>
      <c r="U3225" s="39">
        <f t="shared" si="321"/>
        <v>0</v>
      </c>
      <c r="V3225" s="40"/>
    </row>
    <row r="3226" spans="2:22" x14ac:dyDescent="0.35">
      <c r="B3226" s="40">
        <v>37816</v>
      </c>
      <c r="C3226" s="39">
        <v>3396.07</v>
      </c>
      <c r="D3226" s="219">
        <f t="shared" si="322"/>
        <v>2.0695174364023242E-2</v>
      </c>
      <c r="F3226" s="40">
        <v>37816</v>
      </c>
      <c r="G3226" s="39">
        <v>3396.07</v>
      </c>
      <c r="H3226" s="39">
        <f t="shared" si="317"/>
        <v>1</v>
      </c>
      <c r="I3226" s="39">
        <f t="shared" si="318"/>
        <v>0</v>
      </c>
      <c r="K3226" s="40"/>
      <c r="Q3226" s="40">
        <v>37816</v>
      </c>
      <c r="R3226" s="39">
        <v>3396.07</v>
      </c>
      <c r="S3226" s="39">
        <f t="shared" si="319"/>
        <v>7</v>
      </c>
      <c r="T3226" s="39">
        <f t="shared" si="320"/>
        <v>0</v>
      </c>
      <c r="U3226" s="39">
        <f t="shared" si="321"/>
        <v>0</v>
      </c>
      <c r="V3226" s="40"/>
    </row>
    <row r="3227" spans="2:22" x14ac:dyDescent="0.35">
      <c r="B3227" s="40">
        <v>37817</v>
      </c>
      <c r="C3227" s="39">
        <v>3384.69</v>
      </c>
      <c r="D3227" s="219">
        <f t="shared" si="322"/>
        <v>-3.3565590536709013E-3</v>
      </c>
      <c r="F3227" s="40">
        <v>37817</v>
      </c>
      <c r="G3227" s="39">
        <v>3384.69</v>
      </c>
      <c r="H3227" s="39">
        <f t="shared" si="317"/>
        <v>2</v>
      </c>
      <c r="I3227" s="39">
        <f t="shared" si="318"/>
        <v>0</v>
      </c>
      <c r="K3227" s="40"/>
      <c r="Q3227" s="40">
        <v>37817</v>
      </c>
      <c r="R3227" s="39">
        <v>3384.69</v>
      </c>
      <c r="S3227" s="39">
        <f t="shared" si="319"/>
        <v>7</v>
      </c>
      <c r="T3227" s="39">
        <f t="shared" si="320"/>
        <v>0</v>
      </c>
      <c r="U3227" s="39">
        <f t="shared" si="321"/>
        <v>0</v>
      </c>
      <c r="V3227" s="40"/>
    </row>
    <row r="3228" spans="2:22" x14ac:dyDescent="0.35">
      <c r="B3228" s="40">
        <v>37818</v>
      </c>
      <c r="C3228" s="39">
        <v>3387.64</v>
      </c>
      <c r="D3228" s="219">
        <f t="shared" si="322"/>
        <v>8.7119209683553223E-4</v>
      </c>
      <c r="F3228" s="40">
        <v>37818</v>
      </c>
      <c r="G3228" s="39">
        <v>3387.64</v>
      </c>
      <c r="H3228" s="39">
        <f t="shared" si="317"/>
        <v>3</v>
      </c>
      <c r="I3228" s="39">
        <f t="shared" si="318"/>
        <v>0</v>
      </c>
      <c r="K3228" s="40"/>
      <c r="Q3228" s="40">
        <v>37818</v>
      </c>
      <c r="R3228" s="39">
        <v>3387.64</v>
      </c>
      <c r="S3228" s="39">
        <f t="shared" si="319"/>
        <v>7</v>
      </c>
      <c r="T3228" s="39">
        <f t="shared" si="320"/>
        <v>0</v>
      </c>
      <c r="U3228" s="39">
        <f t="shared" si="321"/>
        <v>0</v>
      </c>
      <c r="V3228" s="40"/>
    </row>
    <row r="3229" spans="2:22" x14ac:dyDescent="0.35">
      <c r="B3229" s="40">
        <v>37819</v>
      </c>
      <c r="C3229" s="39">
        <v>3330.68</v>
      </c>
      <c r="D3229" s="219">
        <f t="shared" si="322"/>
        <v>-1.6957026415391974E-2</v>
      </c>
      <c r="F3229" s="40">
        <v>37819</v>
      </c>
      <c r="G3229" s="39">
        <v>3330.68</v>
      </c>
      <c r="H3229" s="39">
        <f t="shared" si="317"/>
        <v>4</v>
      </c>
      <c r="I3229" s="39">
        <f t="shared" si="318"/>
        <v>0</v>
      </c>
      <c r="K3229" s="40"/>
      <c r="Q3229" s="40">
        <v>37819</v>
      </c>
      <c r="R3229" s="39">
        <v>3330.68</v>
      </c>
      <c r="S3229" s="39">
        <f t="shared" si="319"/>
        <v>7</v>
      </c>
      <c r="T3229" s="39">
        <f t="shared" si="320"/>
        <v>0</v>
      </c>
      <c r="U3229" s="39">
        <f t="shared" si="321"/>
        <v>0</v>
      </c>
      <c r="V3229" s="40"/>
    </row>
    <row r="3230" spans="2:22" x14ac:dyDescent="0.35">
      <c r="B3230" s="40">
        <v>37820</v>
      </c>
      <c r="C3230" s="39">
        <v>3366.71</v>
      </c>
      <c r="D3230" s="219">
        <f t="shared" si="322"/>
        <v>1.0759519033682489E-2</v>
      </c>
      <c r="F3230" s="40">
        <v>37820</v>
      </c>
      <c r="G3230" s="39">
        <v>3366.71</v>
      </c>
      <c r="H3230" s="39">
        <f t="shared" si="317"/>
        <v>5</v>
      </c>
      <c r="I3230" s="39">
        <f t="shared" si="318"/>
        <v>3366.71</v>
      </c>
      <c r="K3230" s="40"/>
      <c r="Q3230" s="40">
        <v>37820</v>
      </c>
      <c r="R3230" s="39">
        <v>3366.71</v>
      </c>
      <c r="S3230" s="39">
        <f t="shared" si="319"/>
        <v>7</v>
      </c>
      <c r="T3230" s="39">
        <f t="shared" si="320"/>
        <v>0</v>
      </c>
      <c r="U3230" s="39">
        <f t="shared" si="321"/>
        <v>0</v>
      </c>
      <c r="V3230" s="40"/>
    </row>
    <row r="3231" spans="2:22" x14ac:dyDescent="0.35">
      <c r="B3231" s="40">
        <v>37823</v>
      </c>
      <c r="C3231" s="39">
        <v>3287</v>
      </c>
      <c r="D3231" s="219">
        <f t="shared" si="322"/>
        <v>-2.3960711701316192E-2</v>
      </c>
      <c r="F3231" s="40">
        <v>37823</v>
      </c>
      <c r="G3231" s="39">
        <v>3287</v>
      </c>
      <c r="H3231" s="39">
        <f t="shared" si="317"/>
        <v>1</v>
      </c>
      <c r="I3231" s="39">
        <f t="shared" si="318"/>
        <v>0</v>
      </c>
      <c r="K3231" s="40"/>
      <c r="Q3231" s="40">
        <v>37823</v>
      </c>
      <c r="R3231" s="39">
        <v>3287</v>
      </c>
      <c r="S3231" s="39">
        <f t="shared" si="319"/>
        <v>7</v>
      </c>
      <c r="T3231" s="39">
        <f t="shared" si="320"/>
        <v>0</v>
      </c>
      <c r="U3231" s="39">
        <f t="shared" si="321"/>
        <v>0</v>
      </c>
      <c r="V3231" s="40"/>
    </row>
    <row r="3232" spans="2:22" x14ac:dyDescent="0.35">
      <c r="B3232" s="40">
        <v>37824</v>
      </c>
      <c r="C3232" s="39">
        <v>3318.15</v>
      </c>
      <c r="D3232" s="219">
        <f t="shared" si="322"/>
        <v>9.4321040209220091E-3</v>
      </c>
      <c r="F3232" s="40">
        <v>37824</v>
      </c>
      <c r="G3232" s="39">
        <v>3318.15</v>
      </c>
      <c r="H3232" s="39">
        <f t="shared" si="317"/>
        <v>2</v>
      </c>
      <c r="I3232" s="39">
        <f t="shared" si="318"/>
        <v>0</v>
      </c>
      <c r="K3232" s="40"/>
      <c r="Q3232" s="40">
        <v>37824</v>
      </c>
      <c r="R3232" s="39">
        <v>3318.15</v>
      </c>
      <c r="S3232" s="39">
        <f t="shared" si="319"/>
        <v>7</v>
      </c>
      <c r="T3232" s="39">
        <f t="shared" si="320"/>
        <v>0</v>
      </c>
      <c r="U3232" s="39">
        <f t="shared" si="321"/>
        <v>0</v>
      </c>
      <c r="V3232" s="40"/>
    </row>
    <row r="3233" spans="2:22" x14ac:dyDescent="0.35">
      <c r="B3233" s="40">
        <v>37825</v>
      </c>
      <c r="C3233" s="39">
        <v>3304.48</v>
      </c>
      <c r="D3233" s="219">
        <f t="shared" si="322"/>
        <v>-4.1282751458014844E-3</v>
      </c>
      <c r="F3233" s="40">
        <v>37825</v>
      </c>
      <c r="G3233" s="39">
        <v>3304.48</v>
      </c>
      <c r="H3233" s="39">
        <f t="shared" si="317"/>
        <v>3</v>
      </c>
      <c r="I3233" s="39">
        <f t="shared" si="318"/>
        <v>0</v>
      </c>
      <c r="K3233" s="40"/>
      <c r="Q3233" s="40">
        <v>37825</v>
      </c>
      <c r="R3233" s="39">
        <v>3304.48</v>
      </c>
      <c r="S3233" s="39">
        <f t="shared" si="319"/>
        <v>7</v>
      </c>
      <c r="T3233" s="39">
        <f t="shared" si="320"/>
        <v>0</v>
      </c>
      <c r="U3233" s="39">
        <f t="shared" si="321"/>
        <v>0</v>
      </c>
      <c r="V3233" s="40"/>
    </row>
    <row r="3234" spans="2:22" x14ac:dyDescent="0.35">
      <c r="B3234" s="40">
        <v>37826</v>
      </c>
      <c r="C3234" s="39">
        <v>3374.82</v>
      </c>
      <c r="D3234" s="219">
        <f t="shared" si="322"/>
        <v>2.1062866011684344E-2</v>
      </c>
      <c r="F3234" s="40">
        <v>37826</v>
      </c>
      <c r="G3234" s="39">
        <v>3374.82</v>
      </c>
      <c r="H3234" s="39">
        <f t="shared" si="317"/>
        <v>4</v>
      </c>
      <c r="I3234" s="39">
        <f t="shared" si="318"/>
        <v>0</v>
      </c>
      <c r="K3234" s="40"/>
      <c r="Q3234" s="40">
        <v>37826</v>
      </c>
      <c r="R3234" s="39">
        <v>3374.82</v>
      </c>
      <c r="S3234" s="39">
        <f t="shared" si="319"/>
        <v>7</v>
      </c>
      <c r="T3234" s="39">
        <f t="shared" si="320"/>
        <v>0</v>
      </c>
      <c r="U3234" s="39">
        <f t="shared" si="321"/>
        <v>0</v>
      </c>
      <c r="V3234" s="40"/>
    </row>
    <row r="3235" spans="2:22" x14ac:dyDescent="0.35">
      <c r="B3235" s="40">
        <v>37827</v>
      </c>
      <c r="C3235" s="39">
        <v>3356.89</v>
      </c>
      <c r="D3235" s="219">
        <f t="shared" si="322"/>
        <v>-5.3270394596528891E-3</v>
      </c>
      <c r="F3235" s="40">
        <v>37827</v>
      </c>
      <c r="G3235" s="39">
        <v>3356.89</v>
      </c>
      <c r="H3235" s="39">
        <f t="shared" si="317"/>
        <v>5</v>
      </c>
      <c r="I3235" s="39">
        <f t="shared" si="318"/>
        <v>3356.89</v>
      </c>
      <c r="K3235" s="40"/>
      <c r="Q3235" s="40">
        <v>37827</v>
      </c>
      <c r="R3235" s="39">
        <v>3356.89</v>
      </c>
      <c r="S3235" s="39">
        <f t="shared" si="319"/>
        <v>7</v>
      </c>
      <c r="T3235" s="39">
        <f t="shared" si="320"/>
        <v>0</v>
      </c>
      <c r="U3235" s="39">
        <f t="shared" si="321"/>
        <v>0</v>
      </c>
      <c r="V3235" s="40"/>
    </row>
    <row r="3236" spans="2:22" x14ac:dyDescent="0.35">
      <c r="B3236" s="40">
        <v>37830</v>
      </c>
      <c r="C3236" s="39">
        <v>3417.77</v>
      </c>
      <c r="D3236" s="219">
        <f t="shared" si="322"/>
        <v>1.7973341506695498E-2</v>
      </c>
      <c r="F3236" s="40">
        <v>37830</v>
      </c>
      <c r="G3236" s="39">
        <v>3417.77</v>
      </c>
      <c r="H3236" s="39">
        <f t="shared" si="317"/>
        <v>1</v>
      </c>
      <c r="I3236" s="39">
        <f t="shared" si="318"/>
        <v>0</v>
      </c>
      <c r="K3236" s="40"/>
      <c r="Q3236" s="40">
        <v>37830</v>
      </c>
      <c r="R3236" s="39">
        <v>3417.77</v>
      </c>
      <c r="S3236" s="39">
        <f t="shared" si="319"/>
        <v>7</v>
      </c>
      <c r="T3236" s="39">
        <f t="shared" si="320"/>
        <v>0</v>
      </c>
      <c r="U3236" s="39">
        <f t="shared" si="321"/>
        <v>0</v>
      </c>
      <c r="V3236" s="40"/>
    </row>
    <row r="3237" spans="2:22" x14ac:dyDescent="0.35">
      <c r="B3237" s="40">
        <v>37831</v>
      </c>
      <c r="C3237" s="39">
        <v>3428.12</v>
      </c>
      <c r="D3237" s="219">
        <f t="shared" si="322"/>
        <v>3.0237143412195082E-3</v>
      </c>
      <c r="F3237" s="40">
        <v>37831</v>
      </c>
      <c r="G3237" s="39">
        <v>3428.12</v>
      </c>
      <c r="H3237" s="39">
        <f t="shared" si="317"/>
        <v>2</v>
      </c>
      <c r="I3237" s="39">
        <f t="shared" si="318"/>
        <v>0</v>
      </c>
      <c r="K3237" s="40"/>
      <c r="Q3237" s="40">
        <v>37831</v>
      </c>
      <c r="R3237" s="39">
        <v>3428.12</v>
      </c>
      <c r="S3237" s="39">
        <f t="shared" si="319"/>
        <v>7</v>
      </c>
      <c r="T3237" s="39">
        <f t="shared" si="320"/>
        <v>0</v>
      </c>
      <c r="U3237" s="39">
        <f t="shared" si="321"/>
        <v>0</v>
      </c>
      <c r="V3237" s="40"/>
    </row>
    <row r="3238" spans="2:22" x14ac:dyDescent="0.35">
      <c r="B3238" s="40">
        <v>37832</v>
      </c>
      <c r="C3238" s="39">
        <v>3429.03</v>
      </c>
      <c r="D3238" s="219">
        <f t="shared" si="322"/>
        <v>2.6541639174949361E-4</v>
      </c>
      <c r="F3238" s="40">
        <v>37832</v>
      </c>
      <c r="G3238" s="39">
        <v>3429.03</v>
      </c>
      <c r="H3238" s="39">
        <f t="shared" si="317"/>
        <v>3</v>
      </c>
      <c r="I3238" s="39">
        <f t="shared" si="318"/>
        <v>0</v>
      </c>
      <c r="K3238" s="40"/>
      <c r="Q3238" s="40">
        <v>37832</v>
      </c>
      <c r="R3238" s="39">
        <v>3429.03</v>
      </c>
      <c r="S3238" s="39">
        <f t="shared" si="319"/>
        <v>7</v>
      </c>
      <c r="T3238" s="39">
        <f t="shared" si="320"/>
        <v>0</v>
      </c>
      <c r="U3238" s="39">
        <f t="shared" si="321"/>
        <v>0</v>
      </c>
      <c r="V3238" s="40"/>
    </row>
    <row r="3239" spans="2:22" x14ac:dyDescent="0.35">
      <c r="B3239" s="40">
        <v>37833</v>
      </c>
      <c r="C3239" s="39">
        <v>3487.86</v>
      </c>
      <c r="D3239" s="219">
        <f t="shared" si="322"/>
        <v>1.7010945277620117E-2</v>
      </c>
      <c r="F3239" s="40">
        <v>37833</v>
      </c>
      <c r="G3239" s="39">
        <v>3487.86</v>
      </c>
      <c r="H3239" s="39">
        <f t="shared" si="317"/>
        <v>4</v>
      </c>
      <c r="I3239" s="39">
        <f t="shared" si="318"/>
        <v>0</v>
      </c>
      <c r="K3239" s="40"/>
      <c r="Q3239" s="40">
        <v>37833</v>
      </c>
      <c r="R3239" s="39">
        <v>3487.86</v>
      </c>
      <c r="S3239" s="39">
        <f t="shared" si="319"/>
        <v>7</v>
      </c>
      <c r="T3239" s="39">
        <f t="shared" si="320"/>
        <v>3487.86</v>
      </c>
      <c r="U3239" s="39">
        <f t="shared" si="321"/>
        <v>3487.86</v>
      </c>
      <c r="V3239" s="40"/>
    </row>
    <row r="3240" spans="2:22" x14ac:dyDescent="0.35">
      <c r="B3240" s="40">
        <v>37834</v>
      </c>
      <c r="C3240" s="39">
        <v>3438.89</v>
      </c>
      <c r="D3240" s="219">
        <f t="shared" si="322"/>
        <v>-1.4139622730408226E-2</v>
      </c>
      <c r="F3240" s="40">
        <v>37834</v>
      </c>
      <c r="G3240" s="39">
        <v>3438.89</v>
      </c>
      <c r="H3240" s="39">
        <f t="shared" si="317"/>
        <v>5</v>
      </c>
      <c r="I3240" s="39">
        <f t="shared" si="318"/>
        <v>3438.89</v>
      </c>
      <c r="K3240" s="40"/>
      <c r="Q3240" s="40">
        <v>37834</v>
      </c>
      <c r="R3240" s="39">
        <v>3438.89</v>
      </c>
      <c r="S3240" s="39">
        <f t="shared" si="319"/>
        <v>8</v>
      </c>
      <c r="T3240" s="39">
        <f t="shared" si="320"/>
        <v>0</v>
      </c>
      <c r="U3240" s="39">
        <f t="shared" si="321"/>
        <v>0</v>
      </c>
      <c r="V3240" s="40"/>
    </row>
    <row r="3241" spans="2:22" x14ac:dyDescent="0.35">
      <c r="B3241" s="40">
        <v>37837</v>
      </c>
      <c r="C3241" s="39">
        <v>3405.31</v>
      </c>
      <c r="D3241" s="219">
        <f t="shared" si="322"/>
        <v>-9.8127668543248128E-3</v>
      </c>
      <c r="F3241" s="40">
        <v>37837</v>
      </c>
      <c r="G3241" s="39">
        <v>3405.31</v>
      </c>
      <c r="H3241" s="39">
        <f t="shared" si="317"/>
        <v>1</v>
      </c>
      <c r="I3241" s="39">
        <f t="shared" si="318"/>
        <v>0</v>
      </c>
      <c r="K3241" s="40"/>
      <c r="Q3241" s="40">
        <v>37837</v>
      </c>
      <c r="R3241" s="39">
        <v>3405.31</v>
      </c>
      <c r="S3241" s="39">
        <f t="shared" si="319"/>
        <v>8</v>
      </c>
      <c r="T3241" s="39">
        <f t="shared" si="320"/>
        <v>0</v>
      </c>
      <c r="U3241" s="39">
        <f t="shared" si="321"/>
        <v>0</v>
      </c>
      <c r="V3241" s="40"/>
    </row>
    <row r="3242" spans="2:22" x14ac:dyDescent="0.35">
      <c r="B3242" s="40">
        <v>37838</v>
      </c>
      <c r="C3242" s="39">
        <v>3438.36</v>
      </c>
      <c r="D3242" s="219">
        <f t="shared" si="322"/>
        <v>9.6586354788335306E-3</v>
      </c>
      <c r="F3242" s="40">
        <v>37838</v>
      </c>
      <c r="G3242" s="39">
        <v>3438.36</v>
      </c>
      <c r="H3242" s="39">
        <f t="shared" si="317"/>
        <v>2</v>
      </c>
      <c r="I3242" s="39">
        <f t="shared" si="318"/>
        <v>0</v>
      </c>
      <c r="K3242" s="40"/>
      <c r="Q3242" s="40">
        <v>37838</v>
      </c>
      <c r="R3242" s="39">
        <v>3438.36</v>
      </c>
      <c r="S3242" s="39">
        <f t="shared" si="319"/>
        <v>8</v>
      </c>
      <c r="T3242" s="39">
        <f t="shared" si="320"/>
        <v>0</v>
      </c>
      <c r="U3242" s="39">
        <f t="shared" si="321"/>
        <v>0</v>
      </c>
      <c r="V3242" s="40"/>
    </row>
    <row r="3243" spans="2:22" x14ac:dyDescent="0.35">
      <c r="B3243" s="40">
        <v>37839</v>
      </c>
      <c r="C3243" s="39">
        <v>3375.66</v>
      </c>
      <c r="D3243" s="219">
        <f t="shared" si="322"/>
        <v>-1.8403752759065757E-2</v>
      </c>
      <c r="F3243" s="40">
        <v>37839</v>
      </c>
      <c r="G3243" s="39">
        <v>3375.66</v>
      </c>
      <c r="H3243" s="39">
        <f t="shared" si="317"/>
        <v>3</v>
      </c>
      <c r="I3243" s="39">
        <f t="shared" si="318"/>
        <v>0</v>
      </c>
      <c r="K3243" s="40"/>
      <c r="Q3243" s="40">
        <v>37839</v>
      </c>
      <c r="R3243" s="39">
        <v>3375.66</v>
      </c>
      <c r="S3243" s="39">
        <f t="shared" si="319"/>
        <v>8</v>
      </c>
      <c r="T3243" s="39">
        <f t="shared" si="320"/>
        <v>0</v>
      </c>
      <c r="U3243" s="39">
        <f t="shared" si="321"/>
        <v>0</v>
      </c>
      <c r="V3243" s="40"/>
    </row>
    <row r="3244" spans="2:22" x14ac:dyDescent="0.35">
      <c r="B3244" s="40">
        <v>37840</v>
      </c>
      <c r="C3244" s="39">
        <v>3331.89</v>
      </c>
      <c r="D3244" s="219">
        <f t="shared" si="322"/>
        <v>-1.3051150207187171E-2</v>
      </c>
      <c r="F3244" s="40">
        <v>37840</v>
      </c>
      <c r="G3244" s="39">
        <v>3331.89</v>
      </c>
      <c r="H3244" s="39">
        <f t="shared" si="317"/>
        <v>4</v>
      </c>
      <c r="I3244" s="39">
        <f t="shared" si="318"/>
        <v>0</v>
      </c>
      <c r="K3244" s="40"/>
      <c r="Q3244" s="40">
        <v>37840</v>
      </c>
      <c r="R3244" s="39">
        <v>3331.89</v>
      </c>
      <c r="S3244" s="39">
        <f t="shared" si="319"/>
        <v>8</v>
      </c>
      <c r="T3244" s="39">
        <f t="shared" si="320"/>
        <v>0</v>
      </c>
      <c r="U3244" s="39">
        <f t="shared" si="321"/>
        <v>0</v>
      </c>
      <c r="V3244" s="40"/>
    </row>
    <row r="3245" spans="2:22" x14ac:dyDescent="0.35">
      <c r="B3245" s="40">
        <v>37841</v>
      </c>
      <c r="C3245" s="39">
        <v>3332.24</v>
      </c>
      <c r="D3245" s="219">
        <f t="shared" si="322"/>
        <v>1.0503996780434E-4</v>
      </c>
      <c r="F3245" s="40">
        <v>37841</v>
      </c>
      <c r="G3245" s="39">
        <v>3332.24</v>
      </c>
      <c r="H3245" s="39">
        <f t="shared" si="317"/>
        <v>5</v>
      </c>
      <c r="I3245" s="39">
        <f t="shared" si="318"/>
        <v>3332.24</v>
      </c>
      <c r="K3245" s="40"/>
      <c r="Q3245" s="40">
        <v>37841</v>
      </c>
      <c r="R3245" s="39">
        <v>3332.24</v>
      </c>
      <c r="S3245" s="39">
        <f t="shared" si="319"/>
        <v>8</v>
      </c>
      <c r="T3245" s="39">
        <f t="shared" si="320"/>
        <v>0</v>
      </c>
      <c r="U3245" s="39">
        <f t="shared" si="321"/>
        <v>0</v>
      </c>
      <c r="V3245" s="40"/>
    </row>
    <row r="3246" spans="2:22" x14ac:dyDescent="0.35">
      <c r="B3246" s="40">
        <v>37844</v>
      </c>
      <c r="C3246" s="39">
        <v>3339.58</v>
      </c>
      <c r="D3246" s="219">
        <f t="shared" si="322"/>
        <v>2.2003000564385913E-3</v>
      </c>
      <c r="F3246" s="40">
        <v>37844</v>
      </c>
      <c r="G3246" s="39">
        <v>3339.58</v>
      </c>
      <c r="H3246" s="39">
        <f t="shared" si="317"/>
        <v>1</v>
      </c>
      <c r="I3246" s="39">
        <f t="shared" si="318"/>
        <v>0</v>
      </c>
      <c r="K3246" s="40"/>
      <c r="Q3246" s="40">
        <v>37844</v>
      </c>
      <c r="R3246" s="39">
        <v>3339.58</v>
      </c>
      <c r="S3246" s="39">
        <f t="shared" si="319"/>
        <v>8</v>
      </c>
      <c r="T3246" s="39">
        <f t="shared" si="320"/>
        <v>0</v>
      </c>
      <c r="U3246" s="39">
        <f t="shared" si="321"/>
        <v>0</v>
      </c>
      <c r="V3246" s="40"/>
    </row>
    <row r="3247" spans="2:22" x14ac:dyDescent="0.35">
      <c r="B3247" s="40">
        <v>37845</v>
      </c>
      <c r="C3247" s="39">
        <v>3381.71</v>
      </c>
      <c r="D3247" s="219">
        <f t="shared" si="322"/>
        <v>1.2536448143142505E-2</v>
      </c>
      <c r="F3247" s="40">
        <v>37845</v>
      </c>
      <c r="G3247" s="39">
        <v>3381.71</v>
      </c>
      <c r="H3247" s="39">
        <f t="shared" si="317"/>
        <v>2</v>
      </c>
      <c r="I3247" s="39">
        <f t="shared" si="318"/>
        <v>0</v>
      </c>
      <c r="K3247" s="40"/>
      <c r="Q3247" s="40">
        <v>37845</v>
      </c>
      <c r="R3247" s="39">
        <v>3381.71</v>
      </c>
      <c r="S3247" s="39">
        <f t="shared" si="319"/>
        <v>8</v>
      </c>
      <c r="T3247" s="39">
        <f t="shared" si="320"/>
        <v>0</v>
      </c>
      <c r="U3247" s="39">
        <f t="shared" si="321"/>
        <v>0</v>
      </c>
      <c r="V3247" s="40"/>
    </row>
    <row r="3248" spans="2:22" x14ac:dyDescent="0.35">
      <c r="B3248" s="40">
        <v>37846</v>
      </c>
      <c r="C3248" s="39">
        <v>3398.89</v>
      </c>
      <c r="D3248" s="219">
        <f t="shared" si="322"/>
        <v>5.0674090090047563E-3</v>
      </c>
      <c r="F3248" s="40">
        <v>37846</v>
      </c>
      <c r="G3248" s="39">
        <v>3398.89</v>
      </c>
      <c r="H3248" s="39">
        <f t="shared" si="317"/>
        <v>3</v>
      </c>
      <c r="I3248" s="39">
        <f t="shared" si="318"/>
        <v>0</v>
      </c>
      <c r="K3248" s="40"/>
      <c r="Q3248" s="40">
        <v>37846</v>
      </c>
      <c r="R3248" s="39">
        <v>3398.89</v>
      </c>
      <c r="S3248" s="39">
        <f t="shared" si="319"/>
        <v>8</v>
      </c>
      <c r="T3248" s="39">
        <f t="shared" si="320"/>
        <v>0</v>
      </c>
      <c r="U3248" s="39">
        <f t="shared" si="321"/>
        <v>0</v>
      </c>
      <c r="V3248" s="40"/>
    </row>
    <row r="3249" spans="2:22" x14ac:dyDescent="0.35">
      <c r="B3249" s="40">
        <v>37847</v>
      </c>
      <c r="C3249" s="39">
        <v>3452.7</v>
      </c>
      <c r="D3249" s="219">
        <f t="shared" si="322"/>
        <v>1.5707625929661646E-2</v>
      </c>
      <c r="F3249" s="40">
        <v>37847</v>
      </c>
      <c r="G3249" s="39">
        <v>3452.7</v>
      </c>
      <c r="H3249" s="39">
        <f t="shared" si="317"/>
        <v>4</v>
      </c>
      <c r="I3249" s="39">
        <f t="shared" si="318"/>
        <v>0</v>
      </c>
      <c r="K3249" s="40"/>
      <c r="Q3249" s="40">
        <v>37847</v>
      </c>
      <c r="R3249" s="39">
        <v>3452.7</v>
      </c>
      <c r="S3249" s="39">
        <f t="shared" si="319"/>
        <v>8</v>
      </c>
      <c r="T3249" s="39">
        <f t="shared" si="320"/>
        <v>0</v>
      </c>
      <c r="U3249" s="39">
        <f t="shared" si="321"/>
        <v>0</v>
      </c>
      <c r="V3249" s="40"/>
    </row>
    <row r="3250" spans="2:22" x14ac:dyDescent="0.35">
      <c r="B3250" s="40">
        <v>37848</v>
      </c>
      <c r="C3250" s="39">
        <v>3443.93</v>
      </c>
      <c r="D3250" s="219">
        <f t="shared" si="322"/>
        <v>-2.543272504745394E-3</v>
      </c>
      <c r="F3250" s="40">
        <v>37848</v>
      </c>
      <c r="G3250" s="39">
        <v>3443.93</v>
      </c>
      <c r="H3250" s="39">
        <f t="shared" si="317"/>
        <v>5</v>
      </c>
      <c r="I3250" s="39">
        <f t="shared" si="318"/>
        <v>3443.93</v>
      </c>
      <c r="K3250" s="40"/>
      <c r="Q3250" s="40">
        <v>37848</v>
      </c>
      <c r="R3250" s="39">
        <v>3443.93</v>
      </c>
      <c r="S3250" s="39">
        <f t="shared" si="319"/>
        <v>8</v>
      </c>
      <c r="T3250" s="39">
        <f t="shared" si="320"/>
        <v>0</v>
      </c>
      <c r="U3250" s="39">
        <f t="shared" si="321"/>
        <v>0</v>
      </c>
      <c r="V3250" s="40"/>
    </row>
    <row r="3251" spans="2:22" x14ac:dyDescent="0.35">
      <c r="B3251" s="40">
        <v>37851</v>
      </c>
      <c r="C3251" s="39">
        <v>3507.23</v>
      </c>
      <c r="D3251" s="219">
        <f t="shared" si="322"/>
        <v>1.8213290971365169E-2</v>
      </c>
      <c r="F3251" s="40">
        <v>37851</v>
      </c>
      <c r="G3251" s="39">
        <v>3507.23</v>
      </c>
      <c r="H3251" s="39">
        <f t="shared" si="317"/>
        <v>1</v>
      </c>
      <c r="I3251" s="39">
        <f t="shared" si="318"/>
        <v>0</v>
      </c>
      <c r="K3251" s="40"/>
      <c r="Q3251" s="40">
        <v>37851</v>
      </c>
      <c r="R3251" s="39">
        <v>3507.23</v>
      </c>
      <c r="S3251" s="39">
        <f t="shared" si="319"/>
        <v>8</v>
      </c>
      <c r="T3251" s="39">
        <f t="shared" si="320"/>
        <v>0</v>
      </c>
      <c r="U3251" s="39">
        <f t="shared" si="321"/>
        <v>0</v>
      </c>
      <c r="V3251" s="40"/>
    </row>
    <row r="3252" spans="2:22" x14ac:dyDescent="0.35">
      <c r="B3252" s="40">
        <v>37852</v>
      </c>
      <c r="C3252" s="39">
        <v>3504.53</v>
      </c>
      <c r="D3252" s="219">
        <f t="shared" si="322"/>
        <v>-7.7013478312124939E-4</v>
      </c>
      <c r="F3252" s="40">
        <v>37852</v>
      </c>
      <c r="G3252" s="39">
        <v>3504.53</v>
      </c>
      <c r="H3252" s="39">
        <f t="shared" si="317"/>
        <v>2</v>
      </c>
      <c r="I3252" s="39">
        <f t="shared" si="318"/>
        <v>0</v>
      </c>
      <c r="K3252" s="40"/>
      <c r="Q3252" s="40">
        <v>37852</v>
      </c>
      <c r="R3252" s="39">
        <v>3504.53</v>
      </c>
      <c r="S3252" s="39">
        <f t="shared" si="319"/>
        <v>8</v>
      </c>
      <c r="T3252" s="39">
        <f t="shared" si="320"/>
        <v>0</v>
      </c>
      <c r="U3252" s="39">
        <f t="shared" si="321"/>
        <v>0</v>
      </c>
      <c r="V3252" s="40"/>
    </row>
    <row r="3253" spans="2:22" x14ac:dyDescent="0.35">
      <c r="B3253" s="40">
        <v>37853</v>
      </c>
      <c r="C3253" s="39">
        <v>3501.23</v>
      </c>
      <c r="D3253" s="219">
        <f t="shared" si="322"/>
        <v>-9.4208201367669878E-4</v>
      </c>
      <c r="F3253" s="40">
        <v>37853</v>
      </c>
      <c r="G3253" s="39">
        <v>3501.23</v>
      </c>
      <c r="H3253" s="39">
        <f t="shared" si="317"/>
        <v>3</v>
      </c>
      <c r="I3253" s="39">
        <f t="shared" si="318"/>
        <v>0</v>
      </c>
      <c r="K3253" s="40"/>
      <c r="Q3253" s="40">
        <v>37853</v>
      </c>
      <c r="R3253" s="39">
        <v>3501.23</v>
      </c>
      <c r="S3253" s="39">
        <f t="shared" si="319"/>
        <v>8</v>
      </c>
      <c r="T3253" s="39">
        <f t="shared" si="320"/>
        <v>0</v>
      </c>
      <c r="U3253" s="39">
        <f t="shared" si="321"/>
        <v>0</v>
      </c>
      <c r="V3253" s="40"/>
    </row>
    <row r="3254" spans="2:22" x14ac:dyDescent="0.35">
      <c r="B3254" s="40">
        <v>37854</v>
      </c>
      <c r="C3254" s="39">
        <v>3565.47</v>
      </c>
      <c r="D3254" s="219">
        <f t="shared" si="322"/>
        <v>1.8181547153398338E-2</v>
      </c>
      <c r="F3254" s="40">
        <v>37854</v>
      </c>
      <c r="G3254" s="39">
        <v>3565.47</v>
      </c>
      <c r="H3254" s="39">
        <f t="shared" si="317"/>
        <v>4</v>
      </c>
      <c r="I3254" s="39">
        <f t="shared" si="318"/>
        <v>0</v>
      </c>
      <c r="K3254" s="40"/>
      <c r="Q3254" s="40">
        <v>37854</v>
      </c>
      <c r="R3254" s="39">
        <v>3565.47</v>
      </c>
      <c r="S3254" s="39">
        <f t="shared" si="319"/>
        <v>8</v>
      </c>
      <c r="T3254" s="39">
        <f t="shared" si="320"/>
        <v>0</v>
      </c>
      <c r="U3254" s="39">
        <f t="shared" si="321"/>
        <v>0</v>
      </c>
      <c r="V3254" s="40"/>
    </row>
    <row r="3255" spans="2:22" x14ac:dyDescent="0.35">
      <c r="B3255" s="40">
        <v>37855</v>
      </c>
      <c r="C3255" s="39">
        <v>3549.05</v>
      </c>
      <c r="D3255" s="219">
        <f t="shared" si="322"/>
        <v>-4.6159204428932741E-3</v>
      </c>
      <c r="F3255" s="40">
        <v>37855</v>
      </c>
      <c r="G3255" s="39">
        <v>3549.05</v>
      </c>
      <c r="H3255" s="39">
        <f t="shared" ref="H3255:H3318" si="323">WEEKDAY(F3255,2)</f>
        <v>5</v>
      </c>
      <c r="I3255" s="39">
        <f t="shared" ref="I3255:I3318" si="324">IF(H3255&gt;H3256,G3255,0)</f>
        <v>3549.05</v>
      </c>
      <c r="K3255" s="40"/>
      <c r="Q3255" s="40">
        <v>37855</v>
      </c>
      <c r="R3255" s="39">
        <v>3549.05</v>
      </c>
      <c r="S3255" s="39">
        <f t="shared" ref="S3255:S3318" si="325">MONTH(Q3255)</f>
        <v>8</v>
      </c>
      <c r="T3255" s="39">
        <f t="shared" ref="T3255:T3318" si="326">IF(S3256&lt;&gt;S3255,R3255,0)</f>
        <v>0</v>
      </c>
      <c r="U3255" s="39">
        <f t="shared" ref="U3255:U3318" si="327">IF(S3256=S3255,0,R3255)</f>
        <v>0</v>
      </c>
      <c r="V3255" s="40"/>
    </row>
    <row r="3256" spans="2:22" x14ac:dyDescent="0.35">
      <c r="B3256" s="40">
        <v>37858</v>
      </c>
      <c r="C3256" s="39">
        <v>3500.09</v>
      </c>
      <c r="D3256" s="219">
        <f t="shared" ref="D3256:D3319" si="328">LN(C3256/C3255)</f>
        <v>-1.3891279590268977E-2</v>
      </c>
      <c r="F3256" s="40">
        <v>37858</v>
      </c>
      <c r="G3256" s="39">
        <v>3500.09</v>
      </c>
      <c r="H3256" s="39">
        <f t="shared" si="323"/>
        <v>1</v>
      </c>
      <c r="I3256" s="39">
        <f t="shared" si="324"/>
        <v>0</v>
      </c>
      <c r="K3256" s="40"/>
      <c r="Q3256" s="40">
        <v>37858</v>
      </c>
      <c r="R3256" s="39">
        <v>3500.09</v>
      </c>
      <c r="S3256" s="39">
        <f t="shared" si="325"/>
        <v>8</v>
      </c>
      <c r="T3256" s="39">
        <f t="shared" si="326"/>
        <v>0</v>
      </c>
      <c r="U3256" s="39">
        <f t="shared" si="327"/>
        <v>0</v>
      </c>
      <c r="V3256" s="40"/>
    </row>
    <row r="3257" spans="2:22" x14ac:dyDescent="0.35">
      <c r="B3257" s="40">
        <v>37859</v>
      </c>
      <c r="C3257" s="39">
        <v>3455.48</v>
      </c>
      <c r="D3257" s="219">
        <f t="shared" si="328"/>
        <v>-1.2827305792316739E-2</v>
      </c>
      <c r="F3257" s="40">
        <v>37859</v>
      </c>
      <c r="G3257" s="39">
        <v>3455.48</v>
      </c>
      <c r="H3257" s="39">
        <f t="shared" si="323"/>
        <v>2</v>
      </c>
      <c r="I3257" s="39">
        <f t="shared" si="324"/>
        <v>0</v>
      </c>
      <c r="K3257" s="40"/>
      <c r="Q3257" s="40">
        <v>37859</v>
      </c>
      <c r="R3257" s="39">
        <v>3455.48</v>
      </c>
      <c r="S3257" s="39">
        <f t="shared" si="325"/>
        <v>8</v>
      </c>
      <c r="T3257" s="39">
        <f t="shared" si="326"/>
        <v>0</v>
      </c>
      <c r="U3257" s="39">
        <f t="shared" si="327"/>
        <v>0</v>
      </c>
      <c r="V3257" s="40"/>
    </row>
    <row r="3258" spans="2:22" x14ac:dyDescent="0.35">
      <c r="B3258" s="40">
        <v>37860</v>
      </c>
      <c r="C3258" s="39">
        <v>3483.08</v>
      </c>
      <c r="D3258" s="219">
        <f t="shared" si="328"/>
        <v>7.9555831670675911E-3</v>
      </c>
      <c r="F3258" s="40">
        <v>37860</v>
      </c>
      <c r="G3258" s="39">
        <v>3483.08</v>
      </c>
      <c r="H3258" s="39">
        <f t="shared" si="323"/>
        <v>3</v>
      </c>
      <c r="I3258" s="39">
        <f t="shared" si="324"/>
        <v>0</v>
      </c>
      <c r="K3258" s="40"/>
      <c r="Q3258" s="40">
        <v>37860</v>
      </c>
      <c r="R3258" s="39">
        <v>3483.08</v>
      </c>
      <c r="S3258" s="39">
        <f t="shared" si="325"/>
        <v>8</v>
      </c>
      <c r="T3258" s="39">
        <f t="shared" si="326"/>
        <v>0</v>
      </c>
      <c r="U3258" s="39">
        <f t="shared" si="327"/>
        <v>0</v>
      </c>
      <c r="V3258" s="40"/>
    </row>
    <row r="3259" spans="2:22" x14ac:dyDescent="0.35">
      <c r="B3259" s="40">
        <v>37861</v>
      </c>
      <c r="C3259" s="39">
        <v>3492.67</v>
      </c>
      <c r="D3259" s="219">
        <f t="shared" si="328"/>
        <v>2.749526872843249E-3</v>
      </c>
      <c r="F3259" s="40">
        <v>37861</v>
      </c>
      <c r="G3259" s="39">
        <v>3492.67</v>
      </c>
      <c r="H3259" s="39">
        <f t="shared" si="323"/>
        <v>4</v>
      </c>
      <c r="I3259" s="39">
        <f t="shared" si="324"/>
        <v>0</v>
      </c>
      <c r="K3259" s="40"/>
      <c r="Q3259" s="40">
        <v>37861</v>
      </c>
      <c r="R3259" s="39">
        <v>3492.67</v>
      </c>
      <c r="S3259" s="39">
        <f t="shared" si="325"/>
        <v>8</v>
      </c>
      <c r="T3259" s="39">
        <f t="shared" si="326"/>
        <v>0</v>
      </c>
      <c r="U3259" s="39">
        <f t="shared" si="327"/>
        <v>0</v>
      </c>
      <c r="V3259" s="40"/>
    </row>
    <row r="3260" spans="2:22" x14ac:dyDescent="0.35">
      <c r="B3260" s="40">
        <v>37862</v>
      </c>
      <c r="C3260" s="39">
        <v>3484.58</v>
      </c>
      <c r="D3260" s="219">
        <f t="shared" si="328"/>
        <v>-2.3189662475621643E-3</v>
      </c>
      <c r="F3260" s="40">
        <v>37862</v>
      </c>
      <c r="G3260" s="39">
        <v>3484.58</v>
      </c>
      <c r="H3260" s="39">
        <f t="shared" si="323"/>
        <v>5</v>
      </c>
      <c r="I3260" s="39">
        <f t="shared" si="324"/>
        <v>3484.58</v>
      </c>
      <c r="K3260" s="40"/>
      <c r="Q3260" s="40">
        <v>37862</v>
      </c>
      <c r="R3260" s="39">
        <v>3484.58</v>
      </c>
      <c r="S3260" s="39">
        <f t="shared" si="325"/>
        <v>8</v>
      </c>
      <c r="T3260" s="39">
        <f t="shared" si="326"/>
        <v>3484.58</v>
      </c>
      <c r="U3260" s="39">
        <f t="shared" si="327"/>
        <v>3484.58</v>
      </c>
      <c r="V3260" s="40"/>
    </row>
    <row r="3261" spans="2:22" x14ac:dyDescent="0.35">
      <c r="B3261" s="40">
        <v>37865</v>
      </c>
      <c r="C3261" s="39">
        <v>3571.22</v>
      </c>
      <c r="D3261" s="219">
        <f t="shared" si="328"/>
        <v>2.4559753657033251E-2</v>
      </c>
      <c r="F3261" s="40">
        <v>37865</v>
      </c>
      <c r="G3261" s="39">
        <v>3571.22</v>
      </c>
      <c r="H3261" s="39">
        <f t="shared" si="323"/>
        <v>1</v>
      </c>
      <c r="I3261" s="39">
        <f t="shared" si="324"/>
        <v>0</v>
      </c>
      <c r="K3261" s="40"/>
      <c r="Q3261" s="40">
        <v>37865</v>
      </c>
      <c r="R3261" s="39">
        <v>3571.22</v>
      </c>
      <c r="S3261" s="39">
        <f t="shared" si="325"/>
        <v>9</v>
      </c>
      <c r="T3261" s="39">
        <f t="shared" si="326"/>
        <v>0</v>
      </c>
      <c r="U3261" s="39">
        <f t="shared" si="327"/>
        <v>0</v>
      </c>
      <c r="V3261" s="40"/>
    </row>
    <row r="3262" spans="2:22" x14ac:dyDescent="0.35">
      <c r="B3262" s="40">
        <v>37866</v>
      </c>
      <c r="C3262" s="39">
        <v>3567.2</v>
      </c>
      <c r="D3262" s="219">
        <f t="shared" si="328"/>
        <v>-1.1262997764112329E-3</v>
      </c>
      <c r="F3262" s="40">
        <v>37866</v>
      </c>
      <c r="G3262" s="39">
        <v>3567.2</v>
      </c>
      <c r="H3262" s="39">
        <f t="shared" si="323"/>
        <v>2</v>
      </c>
      <c r="I3262" s="39">
        <f t="shared" si="324"/>
        <v>0</v>
      </c>
      <c r="K3262" s="40"/>
      <c r="Q3262" s="40">
        <v>37866</v>
      </c>
      <c r="R3262" s="39">
        <v>3567.2</v>
      </c>
      <c r="S3262" s="39">
        <f t="shared" si="325"/>
        <v>9</v>
      </c>
      <c r="T3262" s="39">
        <f t="shared" si="326"/>
        <v>0</v>
      </c>
      <c r="U3262" s="39">
        <f t="shared" si="327"/>
        <v>0</v>
      </c>
      <c r="V3262" s="40"/>
    </row>
    <row r="3263" spans="2:22" x14ac:dyDescent="0.35">
      <c r="B3263" s="40">
        <v>37867</v>
      </c>
      <c r="C3263" s="39">
        <v>3647.51</v>
      </c>
      <c r="D3263" s="219">
        <f t="shared" si="328"/>
        <v>2.2263768683754001E-2</v>
      </c>
      <c r="F3263" s="40">
        <v>37867</v>
      </c>
      <c r="G3263" s="39">
        <v>3647.51</v>
      </c>
      <c r="H3263" s="39">
        <f t="shared" si="323"/>
        <v>3</v>
      </c>
      <c r="I3263" s="39">
        <f t="shared" si="324"/>
        <v>0</v>
      </c>
      <c r="K3263" s="40"/>
      <c r="Q3263" s="40">
        <v>37867</v>
      </c>
      <c r="R3263" s="39">
        <v>3647.51</v>
      </c>
      <c r="S3263" s="39">
        <f t="shared" si="325"/>
        <v>9</v>
      </c>
      <c r="T3263" s="39">
        <f t="shared" si="326"/>
        <v>0</v>
      </c>
      <c r="U3263" s="39">
        <f t="shared" si="327"/>
        <v>0</v>
      </c>
      <c r="V3263" s="40"/>
    </row>
    <row r="3264" spans="2:22" x14ac:dyDescent="0.35">
      <c r="B3264" s="40">
        <v>37868</v>
      </c>
      <c r="C3264" s="39">
        <v>3668.67</v>
      </c>
      <c r="D3264" s="219">
        <f t="shared" si="328"/>
        <v>5.7844555494724397E-3</v>
      </c>
      <c r="F3264" s="40">
        <v>37868</v>
      </c>
      <c r="G3264" s="39">
        <v>3668.67</v>
      </c>
      <c r="H3264" s="39">
        <f t="shared" si="323"/>
        <v>4</v>
      </c>
      <c r="I3264" s="39">
        <f t="shared" si="324"/>
        <v>0</v>
      </c>
      <c r="K3264" s="40"/>
      <c r="Q3264" s="40">
        <v>37868</v>
      </c>
      <c r="R3264" s="39">
        <v>3668.67</v>
      </c>
      <c r="S3264" s="39">
        <f t="shared" si="325"/>
        <v>9</v>
      </c>
      <c r="T3264" s="39">
        <f t="shared" si="326"/>
        <v>0</v>
      </c>
      <c r="U3264" s="39">
        <f t="shared" si="327"/>
        <v>0</v>
      </c>
      <c r="V3264" s="40"/>
    </row>
    <row r="3265" spans="2:22" x14ac:dyDescent="0.35">
      <c r="B3265" s="40">
        <v>37869</v>
      </c>
      <c r="C3265" s="39">
        <v>3607.71</v>
      </c>
      <c r="D3265" s="219">
        <f t="shared" si="328"/>
        <v>-1.6755976534511399E-2</v>
      </c>
      <c r="F3265" s="40">
        <v>37869</v>
      </c>
      <c r="G3265" s="39">
        <v>3607.71</v>
      </c>
      <c r="H3265" s="39">
        <f t="shared" si="323"/>
        <v>5</v>
      </c>
      <c r="I3265" s="39">
        <f t="shared" si="324"/>
        <v>3607.71</v>
      </c>
      <c r="K3265" s="40"/>
      <c r="Q3265" s="40">
        <v>37869</v>
      </c>
      <c r="R3265" s="39">
        <v>3607.71</v>
      </c>
      <c r="S3265" s="39">
        <f t="shared" si="325"/>
        <v>9</v>
      </c>
      <c r="T3265" s="39">
        <f t="shared" si="326"/>
        <v>0</v>
      </c>
      <c r="U3265" s="39">
        <f t="shared" si="327"/>
        <v>0</v>
      </c>
      <c r="V3265" s="40"/>
    </row>
    <row r="3266" spans="2:22" x14ac:dyDescent="0.35">
      <c r="B3266" s="40">
        <v>37872</v>
      </c>
      <c r="C3266" s="39">
        <v>3641.53</v>
      </c>
      <c r="D3266" s="219">
        <f t="shared" si="328"/>
        <v>9.3307009753646041E-3</v>
      </c>
      <c r="F3266" s="40">
        <v>37872</v>
      </c>
      <c r="G3266" s="39">
        <v>3641.53</v>
      </c>
      <c r="H3266" s="39">
        <f t="shared" si="323"/>
        <v>1</v>
      </c>
      <c r="I3266" s="39">
        <f t="shared" si="324"/>
        <v>0</v>
      </c>
      <c r="K3266" s="40"/>
      <c r="Q3266" s="40">
        <v>37872</v>
      </c>
      <c r="R3266" s="39">
        <v>3641.53</v>
      </c>
      <c r="S3266" s="39">
        <f t="shared" si="325"/>
        <v>9</v>
      </c>
      <c r="T3266" s="39">
        <f t="shared" si="326"/>
        <v>0</v>
      </c>
      <c r="U3266" s="39">
        <f t="shared" si="327"/>
        <v>0</v>
      </c>
      <c r="V3266" s="40"/>
    </row>
    <row r="3267" spans="2:22" x14ac:dyDescent="0.35">
      <c r="B3267" s="40">
        <v>37873</v>
      </c>
      <c r="C3267" s="39">
        <v>3594.4</v>
      </c>
      <c r="D3267" s="219">
        <f t="shared" si="328"/>
        <v>-1.3026844231396337E-2</v>
      </c>
      <c r="F3267" s="40">
        <v>37873</v>
      </c>
      <c r="G3267" s="39">
        <v>3594.4</v>
      </c>
      <c r="H3267" s="39">
        <f t="shared" si="323"/>
        <v>2</v>
      </c>
      <c r="I3267" s="39">
        <f t="shared" si="324"/>
        <v>0</v>
      </c>
      <c r="K3267" s="40"/>
      <c r="Q3267" s="40">
        <v>37873</v>
      </c>
      <c r="R3267" s="39">
        <v>3594.4</v>
      </c>
      <c r="S3267" s="39">
        <f t="shared" si="325"/>
        <v>9</v>
      </c>
      <c r="T3267" s="39">
        <f t="shared" si="326"/>
        <v>0</v>
      </c>
      <c r="U3267" s="39">
        <f t="shared" si="327"/>
        <v>0</v>
      </c>
      <c r="V3267" s="40"/>
    </row>
    <row r="3268" spans="2:22" x14ac:dyDescent="0.35">
      <c r="B3268" s="40">
        <v>37874</v>
      </c>
      <c r="C3268" s="39">
        <v>3536.87</v>
      </c>
      <c r="D3268" s="219">
        <f t="shared" si="328"/>
        <v>-1.6134923537489347E-2</v>
      </c>
      <c r="F3268" s="40">
        <v>37874</v>
      </c>
      <c r="G3268" s="39">
        <v>3536.87</v>
      </c>
      <c r="H3268" s="39">
        <f t="shared" si="323"/>
        <v>3</v>
      </c>
      <c r="I3268" s="39">
        <f t="shared" si="324"/>
        <v>0</v>
      </c>
      <c r="K3268" s="40"/>
      <c r="Q3268" s="40">
        <v>37874</v>
      </c>
      <c r="R3268" s="39">
        <v>3536.87</v>
      </c>
      <c r="S3268" s="39">
        <f t="shared" si="325"/>
        <v>9</v>
      </c>
      <c r="T3268" s="39">
        <f t="shared" si="326"/>
        <v>0</v>
      </c>
      <c r="U3268" s="39">
        <f t="shared" si="327"/>
        <v>0</v>
      </c>
      <c r="V3268" s="40"/>
    </row>
    <row r="3269" spans="2:22" x14ac:dyDescent="0.35">
      <c r="B3269" s="40">
        <v>37875</v>
      </c>
      <c r="C3269" s="39">
        <v>3566.85</v>
      </c>
      <c r="D3269" s="219">
        <f t="shared" si="328"/>
        <v>8.4406981115550238E-3</v>
      </c>
      <c r="F3269" s="40">
        <v>37875</v>
      </c>
      <c r="G3269" s="39">
        <v>3566.85</v>
      </c>
      <c r="H3269" s="39">
        <f t="shared" si="323"/>
        <v>4</v>
      </c>
      <c r="I3269" s="39">
        <f t="shared" si="324"/>
        <v>0</v>
      </c>
      <c r="K3269" s="40"/>
      <c r="Q3269" s="40">
        <v>37875</v>
      </c>
      <c r="R3269" s="39">
        <v>3566.85</v>
      </c>
      <c r="S3269" s="39">
        <f t="shared" si="325"/>
        <v>9</v>
      </c>
      <c r="T3269" s="39">
        <f t="shared" si="326"/>
        <v>0</v>
      </c>
      <c r="U3269" s="39">
        <f t="shared" si="327"/>
        <v>0</v>
      </c>
      <c r="V3269" s="40"/>
    </row>
    <row r="3270" spans="2:22" x14ac:dyDescent="0.35">
      <c r="B3270" s="40">
        <v>37876</v>
      </c>
      <c r="C3270" s="39">
        <v>3508.06</v>
      </c>
      <c r="D3270" s="219">
        <f t="shared" si="328"/>
        <v>-1.661967522138208E-2</v>
      </c>
      <c r="F3270" s="40">
        <v>37876</v>
      </c>
      <c r="G3270" s="39">
        <v>3508.06</v>
      </c>
      <c r="H3270" s="39">
        <f t="shared" si="323"/>
        <v>5</v>
      </c>
      <c r="I3270" s="39">
        <f t="shared" si="324"/>
        <v>3508.06</v>
      </c>
      <c r="K3270" s="40"/>
      <c r="Q3270" s="40">
        <v>37876</v>
      </c>
      <c r="R3270" s="39">
        <v>3508.06</v>
      </c>
      <c r="S3270" s="39">
        <f t="shared" si="325"/>
        <v>9</v>
      </c>
      <c r="T3270" s="39">
        <f t="shared" si="326"/>
        <v>0</v>
      </c>
      <c r="U3270" s="39">
        <f t="shared" si="327"/>
        <v>0</v>
      </c>
      <c r="V3270" s="40"/>
    </row>
    <row r="3271" spans="2:22" x14ac:dyDescent="0.35">
      <c r="B3271" s="40">
        <v>37879</v>
      </c>
      <c r="C3271" s="39">
        <v>3516.31</v>
      </c>
      <c r="D3271" s="219">
        <f t="shared" si="328"/>
        <v>2.348966182982548E-3</v>
      </c>
      <c r="F3271" s="40">
        <v>37879</v>
      </c>
      <c r="G3271" s="39">
        <v>3516.31</v>
      </c>
      <c r="H3271" s="39">
        <f t="shared" si="323"/>
        <v>1</v>
      </c>
      <c r="I3271" s="39">
        <f t="shared" si="324"/>
        <v>0</v>
      </c>
      <c r="K3271" s="40"/>
      <c r="Q3271" s="40">
        <v>37879</v>
      </c>
      <c r="R3271" s="39">
        <v>3516.31</v>
      </c>
      <c r="S3271" s="39">
        <f t="shared" si="325"/>
        <v>9</v>
      </c>
      <c r="T3271" s="39">
        <f t="shared" si="326"/>
        <v>0</v>
      </c>
      <c r="U3271" s="39">
        <f t="shared" si="327"/>
        <v>0</v>
      </c>
      <c r="V3271" s="40"/>
    </row>
    <row r="3272" spans="2:22" x14ac:dyDescent="0.35">
      <c r="B3272" s="40">
        <v>37880</v>
      </c>
      <c r="C3272" s="39">
        <v>3564.75</v>
      </c>
      <c r="D3272" s="219">
        <f t="shared" si="328"/>
        <v>1.3681780870612245E-2</v>
      </c>
      <c r="F3272" s="40">
        <v>37880</v>
      </c>
      <c r="G3272" s="39">
        <v>3564.75</v>
      </c>
      <c r="H3272" s="39">
        <f t="shared" si="323"/>
        <v>2</v>
      </c>
      <c r="I3272" s="39">
        <f t="shared" si="324"/>
        <v>0</v>
      </c>
      <c r="K3272" s="40"/>
      <c r="Q3272" s="40">
        <v>37880</v>
      </c>
      <c r="R3272" s="39">
        <v>3564.75</v>
      </c>
      <c r="S3272" s="39">
        <f t="shared" si="325"/>
        <v>9</v>
      </c>
      <c r="T3272" s="39">
        <f t="shared" si="326"/>
        <v>0</v>
      </c>
      <c r="U3272" s="39">
        <f t="shared" si="327"/>
        <v>0</v>
      </c>
      <c r="V3272" s="40"/>
    </row>
    <row r="3273" spans="2:22" x14ac:dyDescent="0.35">
      <c r="B3273" s="40">
        <v>37881</v>
      </c>
      <c r="C3273" s="39">
        <v>3561.03</v>
      </c>
      <c r="D3273" s="219">
        <f t="shared" si="328"/>
        <v>-1.0440963201059207E-3</v>
      </c>
      <c r="F3273" s="40">
        <v>37881</v>
      </c>
      <c r="G3273" s="39">
        <v>3561.03</v>
      </c>
      <c r="H3273" s="39">
        <f t="shared" si="323"/>
        <v>3</v>
      </c>
      <c r="I3273" s="39">
        <f t="shared" si="324"/>
        <v>0</v>
      </c>
      <c r="K3273" s="40"/>
      <c r="Q3273" s="40">
        <v>37881</v>
      </c>
      <c r="R3273" s="39">
        <v>3561.03</v>
      </c>
      <c r="S3273" s="39">
        <f t="shared" si="325"/>
        <v>9</v>
      </c>
      <c r="T3273" s="39">
        <f t="shared" si="326"/>
        <v>0</v>
      </c>
      <c r="U3273" s="39">
        <f t="shared" si="327"/>
        <v>0</v>
      </c>
      <c r="V3273" s="40"/>
    </row>
    <row r="3274" spans="2:22" x14ac:dyDescent="0.35">
      <c r="B3274" s="40">
        <v>37882</v>
      </c>
      <c r="C3274" s="39">
        <v>3612.02</v>
      </c>
      <c r="D3274" s="219">
        <f t="shared" si="328"/>
        <v>1.4217343777984066E-2</v>
      </c>
      <c r="F3274" s="40">
        <v>37882</v>
      </c>
      <c r="G3274" s="39">
        <v>3612.02</v>
      </c>
      <c r="H3274" s="39">
        <f t="shared" si="323"/>
        <v>4</v>
      </c>
      <c r="I3274" s="39">
        <f t="shared" si="324"/>
        <v>0</v>
      </c>
      <c r="K3274" s="40"/>
      <c r="Q3274" s="40">
        <v>37882</v>
      </c>
      <c r="R3274" s="39">
        <v>3612.02</v>
      </c>
      <c r="S3274" s="39">
        <f t="shared" si="325"/>
        <v>9</v>
      </c>
      <c r="T3274" s="39">
        <f t="shared" si="326"/>
        <v>0</v>
      </c>
      <c r="U3274" s="39">
        <f t="shared" si="327"/>
        <v>0</v>
      </c>
      <c r="V3274" s="40"/>
    </row>
    <row r="3275" spans="2:22" x14ac:dyDescent="0.35">
      <c r="B3275" s="40">
        <v>37883</v>
      </c>
      <c r="C3275" s="39">
        <v>3578.7</v>
      </c>
      <c r="D3275" s="219">
        <f t="shared" si="328"/>
        <v>-9.2675666640969264E-3</v>
      </c>
      <c r="F3275" s="40">
        <v>37883</v>
      </c>
      <c r="G3275" s="39">
        <v>3578.7</v>
      </c>
      <c r="H3275" s="39">
        <f t="shared" si="323"/>
        <v>5</v>
      </c>
      <c r="I3275" s="39">
        <f t="shared" si="324"/>
        <v>3578.7</v>
      </c>
      <c r="K3275" s="40"/>
      <c r="Q3275" s="40">
        <v>37883</v>
      </c>
      <c r="R3275" s="39">
        <v>3578.7</v>
      </c>
      <c r="S3275" s="39">
        <f t="shared" si="325"/>
        <v>9</v>
      </c>
      <c r="T3275" s="39">
        <f t="shared" si="326"/>
        <v>0</v>
      </c>
      <c r="U3275" s="39">
        <f t="shared" si="327"/>
        <v>0</v>
      </c>
      <c r="V3275" s="40"/>
    </row>
    <row r="3276" spans="2:22" x14ac:dyDescent="0.35">
      <c r="B3276" s="40">
        <v>37886</v>
      </c>
      <c r="C3276" s="39">
        <v>3456.27</v>
      </c>
      <c r="D3276" s="219">
        <f t="shared" si="328"/>
        <v>-3.4809633083662389E-2</v>
      </c>
      <c r="F3276" s="40">
        <v>37886</v>
      </c>
      <c r="G3276" s="39">
        <v>3456.27</v>
      </c>
      <c r="H3276" s="39">
        <f t="shared" si="323"/>
        <v>1</v>
      </c>
      <c r="I3276" s="39">
        <f t="shared" si="324"/>
        <v>0</v>
      </c>
      <c r="K3276" s="40"/>
      <c r="Q3276" s="40">
        <v>37886</v>
      </c>
      <c r="R3276" s="39">
        <v>3456.27</v>
      </c>
      <c r="S3276" s="39">
        <f t="shared" si="325"/>
        <v>9</v>
      </c>
      <c r="T3276" s="39">
        <f t="shared" si="326"/>
        <v>0</v>
      </c>
      <c r="U3276" s="39">
        <f t="shared" si="327"/>
        <v>0</v>
      </c>
      <c r="V3276" s="40"/>
    </row>
    <row r="3277" spans="2:22" x14ac:dyDescent="0.35">
      <c r="B3277" s="40">
        <v>37887</v>
      </c>
      <c r="C3277" s="39">
        <v>3411.02</v>
      </c>
      <c r="D3277" s="219">
        <f t="shared" si="328"/>
        <v>-1.3178606087719064E-2</v>
      </c>
      <c r="F3277" s="40">
        <v>37887</v>
      </c>
      <c r="G3277" s="39">
        <v>3411.02</v>
      </c>
      <c r="H3277" s="39">
        <f t="shared" si="323"/>
        <v>2</v>
      </c>
      <c r="I3277" s="39">
        <f t="shared" si="324"/>
        <v>0</v>
      </c>
      <c r="K3277" s="40"/>
      <c r="Q3277" s="40">
        <v>37887</v>
      </c>
      <c r="R3277" s="39">
        <v>3411.02</v>
      </c>
      <c r="S3277" s="39">
        <f t="shared" si="325"/>
        <v>9</v>
      </c>
      <c r="T3277" s="39">
        <f t="shared" si="326"/>
        <v>0</v>
      </c>
      <c r="U3277" s="39">
        <f t="shared" si="327"/>
        <v>0</v>
      </c>
      <c r="V3277" s="40"/>
    </row>
    <row r="3278" spans="2:22" x14ac:dyDescent="0.35">
      <c r="B3278" s="40">
        <v>37888</v>
      </c>
      <c r="C3278" s="39">
        <v>3307.34</v>
      </c>
      <c r="D3278" s="219">
        <f t="shared" si="328"/>
        <v>-3.0867125871138674E-2</v>
      </c>
      <c r="F3278" s="40">
        <v>37888</v>
      </c>
      <c r="G3278" s="39">
        <v>3307.34</v>
      </c>
      <c r="H3278" s="39">
        <f t="shared" si="323"/>
        <v>3</v>
      </c>
      <c r="I3278" s="39">
        <f t="shared" si="324"/>
        <v>0</v>
      </c>
      <c r="K3278" s="40"/>
      <c r="Q3278" s="40">
        <v>37888</v>
      </c>
      <c r="R3278" s="39">
        <v>3307.34</v>
      </c>
      <c r="S3278" s="39">
        <f t="shared" si="325"/>
        <v>9</v>
      </c>
      <c r="T3278" s="39">
        <f t="shared" si="326"/>
        <v>0</v>
      </c>
      <c r="U3278" s="39">
        <f t="shared" si="327"/>
        <v>0</v>
      </c>
      <c r="V3278" s="40"/>
    </row>
    <row r="3279" spans="2:22" x14ac:dyDescent="0.35">
      <c r="B3279" s="40">
        <v>37889</v>
      </c>
      <c r="C3279" s="39">
        <v>3326.27</v>
      </c>
      <c r="D3279" s="219">
        <f t="shared" si="328"/>
        <v>5.7073151374841414E-3</v>
      </c>
      <c r="F3279" s="40">
        <v>37889</v>
      </c>
      <c r="G3279" s="39">
        <v>3326.27</v>
      </c>
      <c r="H3279" s="39">
        <f t="shared" si="323"/>
        <v>4</v>
      </c>
      <c r="I3279" s="39">
        <f t="shared" si="324"/>
        <v>0</v>
      </c>
      <c r="K3279" s="40"/>
      <c r="Q3279" s="40">
        <v>37889</v>
      </c>
      <c r="R3279" s="39">
        <v>3326.27</v>
      </c>
      <c r="S3279" s="39">
        <f t="shared" si="325"/>
        <v>9</v>
      </c>
      <c r="T3279" s="39">
        <f t="shared" si="326"/>
        <v>0</v>
      </c>
      <c r="U3279" s="39">
        <f t="shared" si="327"/>
        <v>0</v>
      </c>
      <c r="V3279" s="40"/>
    </row>
    <row r="3280" spans="2:22" x14ac:dyDescent="0.35">
      <c r="B3280" s="40">
        <v>37890</v>
      </c>
      <c r="C3280" s="39">
        <v>3324.85</v>
      </c>
      <c r="D3280" s="219">
        <f t="shared" si="328"/>
        <v>-4.2699576058627468E-4</v>
      </c>
      <c r="F3280" s="40">
        <v>37890</v>
      </c>
      <c r="G3280" s="39">
        <v>3324.85</v>
      </c>
      <c r="H3280" s="39">
        <f t="shared" si="323"/>
        <v>5</v>
      </c>
      <c r="I3280" s="39">
        <f t="shared" si="324"/>
        <v>3324.85</v>
      </c>
      <c r="K3280" s="40"/>
      <c r="Q3280" s="40">
        <v>37890</v>
      </c>
      <c r="R3280" s="39">
        <v>3324.85</v>
      </c>
      <c r="S3280" s="39">
        <f t="shared" si="325"/>
        <v>9</v>
      </c>
      <c r="T3280" s="39">
        <f t="shared" si="326"/>
        <v>0</v>
      </c>
      <c r="U3280" s="39">
        <f t="shared" si="327"/>
        <v>0</v>
      </c>
      <c r="V3280" s="40"/>
    </row>
    <row r="3281" spans="2:22" x14ac:dyDescent="0.35">
      <c r="B3281" s="40">
        <v>37893</v>
      </c>
      <c r="C3281" s="39">
        <v>3323.38</v>
      </c>
      <c r="D3281" s="219">
        <f t="shared" si="328"/>
        <v>-4.4222297482365933E-4</v>
      </c>
      <c r="F3281" s="40">
        <v>37893</v>
      </c>
      <c r="G3281" s="39">
        <v>3323.38</v>
      </c>
      <c r="H3281" s="39">
        <f t="shared" si="323"/>
        <v>1</v>
      </c>
      <c r="I3281" s="39">
        <f t="shared" si="324"/>
        <v>0</v>
      </c>
      <c r="K3281" s="40"/>
      <c r="Q3281" s="40">
        <v>37893</v>
      </c>
      <c r="R3281" s="39">
        <v>3323.38</v>
      </c>
      <c r="S3281" s="39">
        <f t="shared" si="325"/>
        <v>9</v>
      </c>
      <c r="T3281" s="39">
        <f t="shared" si="326"/>
        <v>0</v>
      </c>
      <c r="U3281" s="39">
        <f t="shared" si="327"/>
        <v>0</v>
      </c>
      <c r="V3281" s="40"/>
    </row>
    <row r="3282" spans="2:22" x14ac:dyDescent="0.35">
      <c r="B3282" s="40">
        <v>37894</v>
      </c>
      <c r="C3282" s="39">
        <v>3256.78</v>
      </c>
      <c r="D3282" s="219">
        <f t="shared" si="328"/>
        <v>-2.0243360142948617E-2</v>
      </c>
      <c r="F3282" s="40">
        <v>37894</v>
      </c>
      <c r="G3282" s="39">
        <v>3256.78</v>
      </c>
      <c r="H3282" s="39">
        <f t="shared" si="323"/>
        <v>2</v>
      </c>
      <c r="I3282" s="39">
        <f t="shared" si="324"/>
        <v>0</v>
      </c>
      <c r="K3282" s="40"/>
      <c r="Q3282" s="40">
        <v>37894</v>
      </c>
      <c r="R3282" s="39">
        <v>3256.78</v>
      </c>
      <c r="S3282" s="39">
        <f t="shared" si="325"/>
        <v>9</v>
      </c>
      <c r="T3282" s="39">
        <f t="shared" si="326"/>
        <v>3256.78</v>
      </c>
      <c r="U3282" s="39">
        <f t="shared" si="327"/>
        <v>3256.78</v>
      </c>
      <c r="V3282" s="40"/>
    </row>
    <row r="3283" spans="2:22" x14ac:dyDescent="0.35">
      <c r="B3283" s="40">
        <v>37895</v>
      </c>
      <c r="C3283" s="39">
        <v>3329.83</v>
      </c>
      <c r="D3283" s="219">
        <f t="shared" si="328"/>
        <v>2.2182274447674011E-2</v>
      </c>
      <c r="F3283" s="40">
        <v>37895</v>
      </c>
      <c r="G3283" s="39">
        <v>3329.83</v>
      </c>
      <c r="H3283" s="39">
        <f t="shared" si="323"/>
        <v>3</v>
      </c>
      <c r="I3283" s="39">
        <f t="shared" si="324"/>
        <v>0</v>
      </c>
      <c r="K3283" s="40"/>
      <c r="Q3283" s="40">
        <v>37895</v>
      </c>
      <c r="R3283" s="39">
        <v>3329.83</v>
      </c>
      <c r="S3283" s="39">
        <f t="shared" si="325"/>
        <v>10</v>
      </c>
      <c r="T3283" s="39">
        <f t="shared" si="326"/>
        <v>0</v>
      </c>
      <c r="U3283" s="39">
        <f t="shared" si="327"/>
        <v>0</v>
      </c>
      <c r="V3283" s="40"/>
    </row>
    <row r="3284" spans="2:22" x14ac:dyDescent="0.35">
      <c r="B3284" s="40">
        <v>37896</v>
      </c>
      <c r="C3284" s="39">
        <v>3276.64</v>
      </c>
      <c r="D3284" s="219">
        <f t="shared" si="328"/>
        <v>-1.6102744532287001E-2</v>
      </c>
      <c r="F3284" s="40">
        <v>37896</v>
      </c>
      <c r="G3284" s="39">
        <v>3276.64</v>
      </c>
      <c r="H3284" s="39">
        <f t="shared" si="323"/>
        <v>4</v>
      </c>
      <c r="I3284" s="39">
        <f t="shared" si="324"/>
        <v>0</v>
      </c>
      <c r="K3284" s="40"/>
      <c r="Q3284" s="40">
        <v>37896</v>
      </c>
      <c r="R3284" s="39">
        <v>3276.64</v>
      </c>
      <c r="S3284" s="39">
        <f t="shared" si="325"/>
        <v>10</v>
      </c>
      <c r="T3284" s="39">
        <f t="shared" si="326"/>
        <v>0</v>
      </c>
      <c r="U3284" s="39">
        <f t="shared" si="327"/>
        <v>0</v>
      </c>
      <c r="V3284" s="40"/>
    </row>
    <row r="3285" spans="2:22" x14ac:dyDescent="0.35">
      <c r="B3285" s="40">
        <v>37897</v>
      </c>
      <c r="C3285" s="39">
        <v>3419</v>
      </c>
      <c r="D3285" s="219">
        <f t="shared" si="328"/>
        <v>4.2529603551298978E-2</v>
      </c>
      <c r="F3285" s="40">
        <v>37897</v>
      </c>
      <c r="G3285" s="39">
        <v>3419</v>
      </c>
      <c r="H3285" s="39">
        <f t="shared" si="323"/>
        <v>5</v>
      </c>
      <c r="I3285" s="39">
        <f t="shared" si="324"/>
        <v>3419</v>
      </c>
      <c r="K3285" s="40"/>
      <c r="Q3285" s="40">
        <v>37897</v>
      </c>
      <c r="R3285" s="39">
        <v>3419</v>
      </c>
      <c r="S3285" s="39">
        <f t="shared" si="325"/>
        <v>10</v>
      </c>
      <c r="T3285" s="39">
        <f t="shared" si="326"/>
        <v>0</v>
      </c>
      <c r="U3285" s="39">
        <f t="shared" si="327"/>
        <v>0</v>
      </c>
      <c r="V3285" s="40"/>
    </row>
    <row r="3286" spans="2:22" x14ac:dyDescent="0.35">
      <c r="B3286" s="40">
        <v>37900</v>
      </c>
      <c r="C3286" s="39">
        <v>3404.91</v>
      </c>
      <c r="D3286" s="219">
        <f t="shared" si="328"/>
        <v>-4.129603123074325E-3</v>
      </c>
      <c r="F3286" s="40">
        <v>37900</v>
      </c>
      <c r="G3286" s="39">
        <v>3404.91</v>
      </c>
      <c r="H3286" s="39">
        <f t="shared" si="323"/>
        <v>1</v>
      </c>
      <c r="I3286" s="39">
        <f t="shared" si="324"/>
        <v>0</v>
      </c>
      <c r="K3286" s="40"/>
      <c r="Q3286" s="40">
        <v>37900</v>
      </c>
      <c r="R3286" s="39">
        <v>3404.91</v>
      </c>
      <c r="S3286" s="39">
        <f t="shared" si="325"/>
        <v>10</v>
      </c>
      <c r="T3286" s="39">
        <f t="shared" si="326"/>
        <v>0</v>
      </c>
      <c r="U3286" s="39">
        <f t="shared" si="327"/>
        <v>0</v>
      </c>
      <c r="V3286" s="40"/>
    </row>
    <row r="3287" spans="2:22" x14ac:dyDescent="0.35">
      <c r="B3287" s="40">
        <v>37901</v>
      </c>
      <c r="C3287" s="39">
        <v>3355.78</v>
      </c>
      <c r="D3287" s="219">
        <f t="shared" si="328"/>
        <v>-1.4534275309130384E-2</v>
      </c>
      <c r="F3287" s="40">
        <v>37901</v>
      </c>
      <c r="G3287" s="39">
        <v>3355.78</v>
      </c>
      <c r="H3287" s="39">
        <f t="shared" si="323"/>
        <v>2</v>
      </c>
      <c r="I3287" s="39">
        <f t="shared" si="324"/>
        <v>0</v>
      </c>
      <c r="K3287" s="40"/>
      <c r="Q3287" s="40">
        <v>37901</v>
      </c>
      <c r="R3287" s="39">
        <v>3355.78</v>
      </c>
      <c r="S3287" s="39">
        <f t="shared" si="325"/>
        <v>10</v>
      </c>
      <c r="T3287" s="39">
        <f t="shared" si="326"/>
        <v>0</v>
      </c>
      <c r="U3287" s="39">
        <f t="shared" si="327"/>
        <v>0</v>
      </c>
      <c r="V3287" s="40"/>
    </row>
    <row r="3288" spans="2:22" x14ac:dyDescent="0.35">
      <c r="B3288" s="40">
        <v>37902</v>
      </c>
      <c r="C3288" s="39">
        <v>3395.33</v>
      </c>
      <c r="D3288" s="219">
        <f t="shared" si="328"/>
        <v>1.1716725829218877E-2</v>
      </c>
      <c r="F3288" s="40">
        <v>37902</v>
      </c>
      <c r="G3288" s="39">
        <v>3395.33</v>
      </c>
      <c r="H3288" s="39">
        <f t="shared" si="323"/>
        <v>3</v>
      </c>
      <c r="I3288" s="39">
        <f t="shared" si="324"/>
        <v>0</v>
      </c>
      <c r="K3288" s="40"/>
      <c r="Q3288" s="40">
        <v>37902</v>
      </c>
      <c r="R3288" s="39">
        <v>3395.33</v>
      </c>
      <c r="S3288" s="39">
        <f t="shared" si="325"/>
        <v>10</v>
      </c>
      <c r="T3288" s="39">
        <f t="shared" si="326"/>
        <v>0</v>
      </c>
      <c r="U3288" s="39">
        <f t="shared" si="327"/>
        <v>0</v>
      </c>
      <c r="V3288" s="40"/>
    </row>
    <row r="3289" spans="2:22" x14ac:dyDescent="0.35">
      <c r="B3289" s="40">
        <v>37903</v>
      </c>
      <c r="C3289" s="39">
        <v>3481.9</v>
      </c>
      <c r="D3289" s="219">
        <f t="shared" si="328"/>
        <v>2.5177163752478197E-2</v>
      </c>
      <c r="F3289" s="40">
        <v>37903</v>
      </c>
      <c r="G3289" s="39">
        <v>3481.9</v>
      </c>
      <c r="H3289" s="39">
        <f t="shared" si="323"/>
        <v>4</v>
      </c>
      <c r="I3289" s="39">
        <f t="shared" si="324"/>
        <v>0</v>
      </c>
      <c r="K3289" s="40"/>
      <c r="Q3289" s="40">
        <v>37903</v>
      </c>
      <c r="R3289" s="39">
        <v>3481.9</v>
      </c>
      <c r="S3289" s="39">
        <f t="shared" si="325"/>
        <v>10</v>
      </c>
      <c r="T3289" s="39">
        <f t="shared" si="326"/>
        <v>0</v>
      </c>
      <c r="U3289" s="39">
        <f t="shared" si="327"/>
        <v>0</v>
      </c>
      <c r="V3289" s="40"/>
    </row>
    <row r="3290" spans="2:22" x14ac:dyDescent="0.35">
      <c r="B3290" s="40">
        <v>37904</v>
      </c>
      <c r="C3290" s="39">
        <v>3471.25</v>
      </c>
      <c r="D3290" s="219">
        <f t="shared" si="328"/>
        <v>-3.0633621677845545E-3</v>
      </c>
      <c r="F3290" s="40">
        <v>37904</v>
      </c>
      <c r="G3290" s="39">
        <v>3471.25</v>
      </c>
      <c r="H3290" s="39">
        <f t="shared" si="323"/>
        <v>5</v>
      </c>
      <c r="I3290" s="39">
        <f t="shared" si="324"/>
        <v>3471.25</v>
      </c>
      <c r="K3290" s="40"/>
      <c r="Q3290" s="40">
        <v>37904</v>
      </c>
      <c r="R3290" s="39">
        <v>3471.25</v>
      </c>
      <c r="S3290" s="39">
        <f t="shared" si="325"/>
        <v>10</v>
      </c>
      <c r="T3290" s="39">
        <f t="shared" si="326"/>
        <v>0</v>
      </c>
      <c r="U3290" s="39">
        <f t="shared" si="327"/>
        <v>0</v>
      </c>
      <c r="V3290" s="40"/>
    </row>
    <row r="3291" spans="2:22" x14ac:dyDescent="0.35">
      <c r="B3291" s="40">
        <v>37907</v>
      </c>
      <c r="C3291" s="39">
        <v>3538.39</v>
      </c>
      <c r="D3291" s="219">
        <f t="shared" si="328"/>
        <v>1.9157061793007336E-2</v>
      </c>
      <c r="F3291" s="40">
        <v>37907</v>
      </c>
      <c r="G3291" s="39">
        <v>3538.39</v>
      </c>
      <c r="H3291" s="39">
        <f t="shared" si="323"/>
        <v>1</v>
      </c>
      <c r="I3291" s="39">
        <f t="shared" si="324"/>
        <v>0</v>
      </c>
      <c r="K3291" s="40"/>
      <c r="Q3291" s="40">
        <v>37907</v>
      </c>
      <c r="R3291" s="39">
        <v>3538.39</v>
      </c>
      <c r="S3291" s="39">
        <f t="shared" si="325"/>
        <v>10</v>
      </c>
      <c r="T3291" s="39">
        <f t="shared" si="326"/>
        <v>0</v>
      </c>
      <c r="U3291" s="39">
        <f t="shared" si="327"/>
        <v>0</v>
      </c>
      <c r="V3291" s="40"/>
    </row>
    <row r="3292" spans="2:22" x14ac:dyDescent="0.35">
      <c r="B3292" s="40">
        <v>37908</v>
      </c>
      <c r="C3292" s="39">
        <v>3538.13</v>
      </c>
      <c r="D3292" s="219">
        <f t="shared" si="328"/>
        <v>-7.3482446207053306E-5</v>
      </c>
      <c r="F3292" s="40">
        <v>37908</v>
      </c>
      <c r="G3292" s="39">
        <v>3538.13</v>
      </c>
      <c r="H3292" s="39">
        <f t="shared" si="323"/>
        <v>2</v>
      </c>
      <c r="I3292" s="39">
        <f t="shared" si="324"/>
        <v>0</v>
      </c>
      <c r="K3292" s="40"/>
      <c r="Q3292" s="40">
        <v>37908</v>
      </c>
      <c r="R3292" s="39">
        <v>3538.13</v>
      </c>
      <c r="S3292" s="39">
        <f t="shared" si="325"/>
        <v>10</v>
      </c>
      <c r="T3292" s="39">
        <f t="shared" si="326"/>
        <v>0</v>
      </c>
      <c r="U3292" s="39">
        <f t="shared" si="327"/>
        <v>0</v>
      </c>
      <c r="V3292" s="40"/>
    </row>
    <row r="3293" spans="2:22" x14ac:dyDescent="0.35">
      <c r="B3293" s="40">
        <v>37909</v>
      </c>
      <c r="C3293" s="39">
        <v>3570.58</v>
      </c>
      <c r="D3293" s="219">
        <f t="shared" si="328"/>
        <v>9.1297085958629703E-3</v>
      </c>
      <c r="F3293" s="40">
        <v>37909</v>
      </c>
      <c r="G3293" s="39">
        <v>3570.58</v>
      </c>
      <c r="H3293" s="39">
        <f t="shared" si="323"/>
        <v>3</v>
      </c>
      <c r="I3293" s="39">
        <f t="shared" si="324"/>
        <v>0</v>
      </c>
      <c r="K3293" s="40"/>
      <c r="Q3293" s="40">
        <v>37909</v>
      </c>
      <c r="R3293" s="39">
        <v>3570.58</v>
      </c>
      <c r="S3293" s="39">
        <f t="shared" si="325"/>
        <v>10</v>
      </c>
      <c r="T3293" s="39">
        <f t="shared" si="326"/>
        <v>0</v>
      </c>
      <c r="U3293" s="39">
        <f t="shared" si="327"/>
        <v>0</v>
      </c>
      <c r="V3293" s="40"/>
    </row>
    <row r="3294" spans="2:22" x14ac:dyDescent="0.35">
      <c r="B3294" s="40">
        <v>37910</v>
      </c>
      <c r="C3294" s="39">
        <v>3577.72</v>
      </c>
      <c r="D3294" s="219">
        <f t="shared" si="328"/>
        <v>1.9976784338870354E-3</v>
      </c>
      <c r="F3294" s="40">
        <v>37910</v>
      </c>
      <c r="G3294" s="39">
        <v>3577.72</v>
      </c>
      <c r="H3294" s="39">
        <f t="shared" si="323"/>
        <v>4</v>
      </c>
      <c r="I3294" s="39">
        <f t="shared" si="324"/>
        <v>0</v>
      </c>
      <c r="K3294" s="40"/>
      <c r="Q3294" s="40">
        <v>37910</v>
      </c>
      <c r="R3294" s="39">
        <v>3577.72</v>
      </c>
      <c r="S3294" s="39">
        <f t="shared" si="325"/>
        <v>10</v>
      </c>
      <c r="T3294" s="39">
        <f t="shared" si="326"/>
        <v>0</v>
      </c>
      <c r="U3294" s="39">
        <f t="shared" si="327"/>
        <v>0</v>
      </c>
      <c r="V3294" s="40"/>
    </row>
    <row r="3295" spans="2:22" x14ac:dyDescent="0.35">
      <c r="B3295" s="40">
        <v>37911</v>
      </c>
      <c r="C3295" s="39">
        <v>3516.67</v>
      </c>
      <c r="D3295" s="219">
        <f t="shared" si="328"/>
        <v>-1.7211206894607357E-2</v>
      </c>
      <c r="F3295" s="40">
        <v>37911</v>
      </c>
      <c r="G3295" s="39">
        <v>3516.67</v>
      </c>
      <c r="H3295" s="39">
        <f t="shared" si="323"/>
        <v>5</v>
      </c>
      <c r="I3295" s="39">
        <f t="shared" si="324"/>
        <v>3516.67</v>
      </c>
      <c r="K3295" s="40"/>
      <c r="Q3295" s="40">
        <v>37911</v>
      </c>
      <c r="R3295" s="39">
        <v>3516.67</v>
      </c>
      <c r="S3295" s="39">
        <f t="shared" si="325"/>
        <v>10</v>
      </c>
      <c r="T3295" s="39">
        <f t="shared" si="326"/>
        <v>0</v>
      </c>
      <c r="U3295" s="39">
        <f t="shared" si="327"/>
        <v>0</v>
      </c>
      <c r="V3295" s="40"/>
    </row>
    <row r="3296" spans="2:22" x14ac:dyDescent="0.35">
      <c r="B3296" s="40">
        <v>37914</v>
      </c>
      <c r="C3296" s="39">
        <v>3559.33</v>
      </c>
      <c r="D3296" s="219">
        <f t="shared" si="328"/>
        <v>1.2057805783667637E-2</v>
      </c>
      <c r="F3296" s="40">
        <v>37914</v>
      </c>
      <c r="G3296" s="39">
        <v>3559.33</v>
      </c>
      <c r="H3296" s="39">
        <f t="shared" si="323"/>
        <v>1</v>
      </c>
      <c r="I3296" s="39">
        <f t="shared" si="324"/>
        <v>0</v>
      </c>
      <c r="K3296" s="40"/>
      <c r="Q3296" s="40">
        <v>37914</v>
      </c>
      <c r="R3296" s="39">
        <v>3559.33</v>
      </c>
      <c r="S3296" s="39">
        <f t="shared" si="325"/>
        <v>10</v>
      </c>
      <c r="T3296" s="39">
        <f t="shared" si="326"/>
        <v>0</v>
      </c>
      <c r="U3296" s="39">
        <f t="shared" si="327"/>
        <v>0</v>
      </c>
      <c r="V3296" s="40"/>
    </row>
    <row r="3297" spans="2:22" x14ac:dyDescent="0.35">
      <c r="B3297" s="40">
        <v>37915</v>
      </c>
      <c r="C3297" s="39">
        <v>3580.08</v>
      </c>
      <c r="D3297" s="219">
        <f t="shared" si="328"/>
        <v>5.8128216271648575E-3</v>
      </c>
      <c r="F3297" s="40">
        <v>37915</v>
      </c>
      <c r="G3297" s="39">
        <v>3580.08</v>
      </c>
      <c r="H3297" s="39">
        <f t="shared" si="323"/>
        <v>2</v>
      </c>
      <c r="I3297" s="39">
        <f t="shared" si="324"/>
        <v>0</v>
      </c>
      <c r="K3297" s="40"/>
      <c r="Q3297" s="40">
        <v>37915</v>
      </c>
      <c r="R3297" s="39">
        <v>3580.08</v>
      </c>
      <c r="S3297" s="39">
        <f t="shared" si="325"/>
        <v>10</v>
      </c>
      <c r="T3297" s="39">
        <f t="shared" si="326"/>
        <v>0</v>
      </c>
      <c r="U3297" s="39">
        <f t="shared" si="327"/>
        <v>0</v>
      </c>
      <c r="V3297" s="40"/>
    </row>
    <row r="3298" spans="2:22" x14ac:dyDescent="0.35">
      <c r="B3298" s="40">
        <v>37916</v>
      </c>
      <c r="C3298" s="39">
        <v>3490.6</v>
      </c>
      <c r="D3298" s="219">
        <f t="shared" si="328"/>
        <v>-2.5311505323048419E-2</v>
      </c>
      <c r="F3298" s="40">
        <v>37916</v>
      </c>
      <c r="G3298" s="39">
        <v>3490.6</v>
      </c>
      <c r="H3298" s="39">
        <f t="shared" si="323"/>
        <v>3</v>
      </c>
      <c r="I3298" s="39">
        <f t="shared" si="324"/>
        <v>0</v>
      </c>
      <c r="K3298" s="40"/>
      <c r="Q3298" s="40">
        <v>37916</v>
      </c>
      <c r="R3298" s="39">
        <v>3490.6</v>
      </c>
      <c r="S3298" s="39">
        <f t="shared" si="325"/>
        <v>10</v>
      </c>
      <c r="T3298" s="39">
        <f t="shared" si="326"/>
        <v>0</v>
      </c>
      <c r="U3298" s="39">
        <f t="shared" si="327"/>
        <v>0</v>
      </c>
      <c r="V3298" s="40"/>
    </row>
    <row r="3299" spans="2:22" x14ac:dyDescent="0.35">
      <c r="B3299" s="40">
        <v>37917</v>
      </c>
      <c r="C3299" s="39">
        <v>3497.14</v>
      </c>
      <c r="D3299" s="219">
        <f t="shared" si="328"/>
        <v>1.8718503864151089E-3</v>
      </c>
      <c r="F3299" s="40">
        <v>37917</v>
      </c>
      <c r="G3299" s="39">
        <v>3497.14</v>
      </c>
      <c r="H3299" s="39">
        <f t="shared" si="323"/>
        <v>4</v>
      </c>
      <c r="I3299" s="39">
        <f t="shared" si="324"/>
        <v>0</v>
      </c>
      <c r="K3299" s="40"/>
      <c r="Q3299" s="40">
        <v>37917</v>
      </c>
      <c r="R3299" s="39">
        <v>3497.14</v>
      </c>
      <c r="S3299" s="39">
        <f t="shared" si="325"/>
        <v>10</v>
      </c>
      <c r="T3299" s="39">
        <f t="shared" si="326"/>
        <v>0</v>
      </c>
      <c r="U3299" s="39">
        <f t="shared" si="327"/>
        <v>0</v>
      </c>
      <c r="V3299" s="40"/>
    </row>
    <row r="3300" spans="2:22" x14ac:dyDescent="0.35">
      <c r="B3300" s="40">
        <v>37918</v>
      </c>
      <c r="C3300" s="39">
        <v>3452.64</v>
      </c>
      <c r="D3300" s="219">
        <f t="shared" si="328"/>
        <v>-1.2806335789995484E-2</v>
      </c>
      <c r="F3300" s="40">
        <v>37918</v>
      </c>
      <c r="G3300" s="39">
        <v>3452.64</v>
      </c>
      <c r="H3300" s="39">
        <f t="shared" si="323"/>
        <v>5</v>
      </c>
      <c r="I3300" s="39">
        <f t="shared" si="324"/>
        <v>3452.64</v>
      </c>
      <c r="K3300" s="40"/>
      <c r="Q3300" s="40">
        <v>37918</v>
      </c>
      <c r="R3300" s="39">
        <v>3452.64</v>
      </c>
      <c r="S3300" s="39">
        <f t="shared" si="325"/>
        <v>10</v>
      </c>
      <c r="T3300" s="39">
        <f t="shared" si="326"/>
        <v>0</v>
      </c>
      <c r="U3300" s="39">
        <f t="shared" si="327"/>
        <v>0</v>
      </c>
      <c r="V3300" s="40"/>
    </row>
    <row r="3301" spans="2:22" x14ac:dyDescent="0.35">
      <c r="B3301" s="40">
        <v>37921</v>
      </c>
      <c r="C3301" s="39">
        <v>3517.1</v>
      </c>
      <c r="D3301" s="219">
        <f t="shared" si="328"/>
        <v>1.8497630606463016E-2</v>
      </c>
      <c r="F3301" s="40">
        <v>37921</v>
      </c>
      <c r="G3301" s="39">
        <v>3517.1</v>
      </c>
      <c r="H3301" s="39">
        <f t="shared" si="323"/>
        <v>1</v>
      </c>
      <c r="I3301" s="39">
        <f t="shared" si="324"/>
        <v>0</v>
      </c>
      <c r="K3301" s="40"/>
      <c r="Q3301" s="40">
        <v>37921</v>
      </c>
      <c r="R3301" s="39">
        <v>3517.1</v>
      </c>
      <c r="S3301" s="39">
        <f t="shared" si="325"/>
        <v>10</v>
      </c>
      <c r="T3301" s="39">
        <f t="shared" si="326"/>
        <v>0</v>
      </c>
      <c r="U3301" s="39">
        <f t="shared" si="327"/>
        <v>0</v>
      </c>
      <c r="V3301" s="40"/>
    </row>
    <row r="3302" spans="2:22" x14ac:dyDescent="0.35">
      <c r="B3302" s="40">
        <v>37922</v>
      </c>
      <c r="C3302" s="39">
        <v>3586.93</v>
      </c>
      <c r="D3302" s="219">
        <f t="shared" si="328"/>
        <v>1.9659897033274636E-2</v>
      </c>
      <c r="F3302" s="40">
        <v>37922</v>
      </c>
      <c r="G3302" s="39">
        <v>3586.93</v>
      </c>
      <c r="H3302" s="39">
        <f t="shared" si="323"/>
        <v>2</v>
      </c>
      <c r="I3302" s="39">
        <f t="shared" si="324"/>
        <v>0</v>
      </c>
      <c r="K3302" s="40"/>
      <c r="Q3302" s="40">
        <v>37922</v>
      </c>
      <c r="R3302" s="39">
        <v>3586.93</v>
      </c>
      <c r="S3302" s="39">
        <f t="shared" si="325"/>
        <v>10</v>
      </c>
      <c r="T3302" s="39">
        <f t="shared" si="326"/>
        <v>0</v>
      </c>
      <c r="U3302" s="39">
        <f t="shared" si="327"/>
        <v>0</v>
      </c>
      <c r="V3302" s="40"/>
    </row>
    <row r="3303" spans="2:22" x14ac:dyDescent="0.35">
      <c r="B3303" s="40">
        <v>37923</v>
      </c>
      <c r="C3303" s="39">
        <v>3615.42</v>
      </c>
      <c r="D3303" s="219">
        <f t="shared" si="328"/>
        <v>7.9113479899133882E-3</v>
      </c>
      <c r="F3303" s="40">
        <v>37923</v>
      </c>
      <c r="G3303" s="39">
        <v>3615.42</v>
      </c>
      <c r="H3303" s="39">
        <f t="shared" si="323"/>
        <v>3</v>
      </c>
      <c r="I3303" s="39">
        <f t="shared" si="324"/>
        <v>0</v>
      </c>
      <c r="K3303" s="40"/>
      <c r="Q3303" s="40">
        <v>37923</v>
      </c>
      <c r="R3303" s="39">
        <v>3615.42</v>
      </c>
      <c r="S3303" s="39">
        <f t="shared" si="325"/>
        <v>10</v>
      </c>
      <c r="T3303" s="39">
        <f t="shared" si="326"/>
        <v>0</v>
      </c>
      <c r="U3303" s="39">
        <f t="shared" si="327"/>
        <v>0</v>
      </c>
      <c r="V3303" s="40"/>
    </row>
    <row r="3304" spans="2:22" x14ac:dyDescent="0.35">
      <c r="B3304" s="40">
        <v>37924</v>
      </c>
      <c r="C3304" s="39">
        <v>3639.66</v>
      </c>
      <c r="D3304" s="219">
        <f t="shared" si="328"/>
        <v>6.68223925790545E-3</v>
      </c>
      <c r="F3304" s="40">
        <v>37924</v>
      </c>
      <c r="G3304" s="39">
        <v>3639.66</v>
      </c>
      <c r="H3304" s="39">
        <f t="shared" si="323"/>
        <v>4</v>
      </c>
      <c r="I3304" s="39">
        <f t="shared" si="324"/>
        <v>0</v>
      </c>
      <c r="K3304" s="40"/>
      <c r="Q3304" s="40">
        <v>37924</v>
      </c>
      <c r="R3304" s="39">
        <v>3639.66</v>
      </c>
      <c r="S3304" s="39">
        <f t="shared" si="325"/>
        <v>10</v>
      </c>
      <c r="T3304" s="39">
        <f t="shared" si="326"/>
        <v>0</v>
      </c>
      <c r="U3304" s="39">
        <f t="shared" si="327"/>
        <v>0</v>
      </c>
      <c r="V3304" s="40"/>
    </row>
    <row r="3305" spans="2:22" x14ac:dyDescent="0.35">
      <c r="B3305" s="40">
        <v>37925</v>
      </c>
      <c r="C3305" s="39">
        <v>3655.99</v>
      </c>
      <c r="D3305" s="219">
        <f t="shared" si="328"/>
        <v>4.476647665828312E-3</v>
      </c>
      <c r="F3305" s="40">
        <v>37925</v>
      </c>
      <c r="G3305" s="39">
        <v>3655.99</v>
      </c>
      <c r="H3305" s="39">
        <f t="shared" si="323"/>
        <v>5</v>
      </c>
      <c r="I3305" s="39">
        <f t="shared" si="324"/>
        <v>3655.99</v>
      </c>
      <c r="K3305" s="40"/>
      <c r="Q3305" s="40">
        <v>37925</v>
      </c>
      <c r="R3305" s="39">
        <v>3655.99</v>
      </c>
      <c r="S3305" s="39">
        <f t="shared" si="325"/>
        <v>10</v>
      </c>
      <c r="T3305" s="39">
        <f t="shared" si="326"/>
        <v>3655.99</v>
      </c>
      <c r="U3305" s="39">
        <f t="shared" si="327"/>
        <v>3655.99</v>
      </c>
      <c r="V3305" s="40"/>
    </row>
    <row r="3306" spans="2:22" x14ac:dyDescent="0.35">
      <c r="B3306" s="40">
        <v>37928</v>
      </c>
      <c r="C3306" s="39">
        <v>3744.5</v>
      </c>
      <c r="D3306" s="219">
        <f t="shared" si="328"/>
        <v>2.3921178348881213E-2</v>
      </c>
      <c r="F3306" s="40">
        <v>37928</v>
      </c>
      <c r="G3306" s="39">
        <v>3744.5</v>
      </c>
      <c r="H3306" s="39">
        <f t="shared" si="323"/>
        <v>1</v>
      </c>
      <c r="I3306" s="39">
        <f t="shared" si="324"/>
        <v>0</v>
      </c>
      <c r="K3306" s="40"/>
      <c r="Q3306" s="40">
        <v>37928</v>
      </c>
      <c r="R3306" s="39">
        <v>3744.5</v>
      </c>
      <c r="S3306" s="39">
        <f t="shared" si="325"/>
        <v>11</v>
      </c>
      <c r="T3306" s="39">
        <f t="shared" si="326"/>
        <v>0</v>
      </c>
      <c r="U3306" s="39">
        <f t="shared" si="327"/>
        <v>0</v>
      </c>
      <c r="V3306" s="40"/>
    </row>
    <row r="3307" spans="2:22" x14ac:dyDescent="0.35">
      <c r="B3307" s="40">
        <v>37929</v>
      </c>
      <c r="C3307" s="39">
        <v>3741.71</v>
      </c>
      <c r="D3307" s="219">
        <f t="shared" si="328"/>
        <v>-7.4537052237954281E-4</v>
      </c>
      <c r="F3307" s="40">
        <v>37929</v>
      </c>
      <c r="G3307" s="39">
        <v>3741.71</v>
      </c>
      <c r="H3307" s="39">
        <f t="shared" si="323"/>
        <v>2</v>
      </c>
      <c r="I3307" s="39">
        <f t="shared" si="324"/>
        <v>0</v>
      </c>
      <c r="K3307" s="40"/>
      <c r="Q3307" s="40">
        <v>37929</v>
      </c>
      <c r="R3307" s="39">
        <v>3741.71</v>
      </c>
      <c r="S3307" s="39">
        <f t="shared" si="325"/>
        <v>11</v>
      </c>
      <c r="T3307" s="39">
        <f t="shared" si="326"/>
        <v>0</v>
      </c>
      <c r="U3307" s="39">
        <f t="shared" si="327"/>
        <v>0</v>
      </c>
      <c r="V3307" s="40"/>
    </row>
    <row r="3308" spans="2:22" x14ac:dyDescent="0.35">
      <c r="B3308" s="40">
        <v>37930</v>
      </c>
      <c r="C3308" s="39">
        <v>3717.7</v>
      </c>
      <c r="D3308" s="219">
        <f t="shared" si="328"/>
        <v>-6.4375286833754505E-3</v>
      </c>
      <c r="F3308" s="40">
        <v>37930</v>
      </c>
      <c r="G3308" s="39">
        <v>3717.7</v>
      </c>
      <c r="H3308" s="39">
        <f t="shared" si="323"/>
        <v>3</v>
      </c>
      <c r="I3308" s="39">
        <f t="shared" si="324"/>
        <v>0</v>
      </c>
      <c r="K3308" s="40"/>
      <c r="Q3308" s="40">
        <v>37930</v>
      </c>
      <c r="R3308" s="39">
        <v>3717.7</v>
      </c>
      <c r="S3308" s="39">
        <f t="shared" si="325"/>
        <v>11</v>
      </c>
      <c r="T3308" s="39">
        <f t="shared" si="326"/>
        <v>0</v>
      </c>
      <c r="U3308" s="39">
        <f t="shared" si="327"/>
        <v>0</v>
      </c>
      <c r="V3308" s="40"/>
    </row>
    <row r="3309" spans="2:22" x14ac:dyDescent="0.35">
      <c r="B3309" s="40">
        <v>37931</v>
      </c>
      <c r="C3309" s="39">
        <v>3733.93</v>
      </c>
      <c r="D3309" s="219">
        <f t="shared" si="328"/>
        <v>4.356100789897021E-3</v>
      </c>
      <c r="F3309" s="40">
        <v>37931</v>
      </c>
      <c r="G3309" s="39">
        <v>3733.93</v>
      </c>
      <c r="H3309" s="39">
        <f t="shared" si="323"/>
        <v>4</v>
      </c>
      <c r="I3309" s="39">
        <f t="shared" si="324"/>
        <v>0</v>
      </c>
      <c r="K3309" s="40"/>
      <c r="Q3309" s="40">
        <v>37931</v>
      </c>
      <c r="R3309" s="39">
        <v>3733.93</v>
      </c>
      <c r="S3309" s="39">
        <f t="shared" si="325"/>
        <v>11</v>
      </c>
      <c r="T3309" s="39">
        <f t="shared" si="326"/>
        <v>0</v>
      </c>
      <c r="U3309" s="39">
        <f t="shared" si="327"/>
        <v>0</v>
      </c>
      <c r="V3309" s="40"/>
    </row>
    <row r="3310" spans="2:22" x14ac:dyDescent="0.35">
      <c r="B3310" s="40">
        <v>37932</v>
      </c>
      <c r="C3310" s="39">
        <v>3782.56</v>
      </c>
      <c r="D3310" s="219">
        <f t="shared" si="328"/>
        <v>1.2939730787924047E-2</v>
      </c>
      <c r="F3310" s="40">
        <v>37932</v>
      </c>
      <c r="G3310" s="39">
        <v>3782.56</v>
      </c>
      <c r="H3310" s="39">
        <f t="shared" si="323"/>
        <v>5</v>
      </c>
      <c r="I3310" s="39">
        <f t="shared" si="324"/>
        <v>3782.56</v>
      </c>
      <c r="K3310" s="40"/>
      <c r="Q3310" s="40">
        <v>37932</v>
      </c>
      <c r="R3310" s="39">
        <v>3782.56</v>
      </c>
      <c r="S3310" s="39">
        <f t="shared" si="325"/>
        <v>11</v>
      </c>
      <c r="T3310" s="39">
        <f t="shared" si="326"/>
        <v>0</v>
      </c>
      <c r="U3310" s="39">
        <f t="shared" si="327"/>
        <v>0</v>
      </c>
      <c r="V3310" s="40"/>
    </row>
    <row r="3311" spans="2:22" x14ac:dyDescent="0.35">
      <c r="B3311" s="40">
        <v>37935</v>
      </c>
      <c r="C3311" s="39">
        <v>3746.24</v>
      </c>
      <c r="D3311" s="219">
        <f t="shared" si="328"/>
        <v>-9.6483587701801307E-3</v>
      </c>
      <c r="F3311" s="40">
        <v>37935</v>
      </c>
      <c r="G3311" s="39">
        <v>3746.24</v>
      </c>
      <c r="H3311" s="39">
        <f t="shared" si="323"/>
        <v>1</v>
      </c>
      <c r="I3311" s="39">
        <f t="shared" si="324"/>
        <v>0</v>
      </c>
      <c r="K3311" s="40"/>
      <c r="Q3311" s="40">
        <v>37935</v>
      </c>
      <c r="R3311" s="39">
        <v>3746.24</v>
      </c>
      <c r="S3311" s="39">
        <f t="shared" si="325"/>
        <v>11</v>
      </c>
      <c r="T3311" s="39">
        <f t="shared" si="326"/>
        <v>0</v>
      </c>
      <c r="U3311" s="39">
        <f t="shared" si="327"/>
        <v>0</v>
      </c>
      <c r="V3311" s="40"/>
    </row>
    <row r="3312" spans="2:22" x14ac:dyDescent="0.35">
      <c r="B3312" s="40">
        <v>37936</v>
      </c>
      <c r="C3312" s="39">
        <v>3729.87</v>
      </c>
      <c r="D3312" s="219">
        <f t="shared" si="328"/>
        <v>-4.3792898077273587E-3</v>
      </c>
      <c r="F3312" s="40">
        <v>37936</v>
      </c>
      <c r="G3312" s="39">
        <v>3729.87</v>
      </c>
      <c r="H3312" s="39">
        <f t="shared" si="323"/>
        <v>2</v>
      </c>
      <c r="I3312" s="39">
        <f t="shared" si="324"/>
        <v>0</v>
      </c>
      <c r="K3312" s="40"/>
      <c r="Q3312" s="40">
        <v>37936</v>
      </c>
      <c r="R3312" s="39">
        <v>3729.87</v>
      </c>
      <c r="S3312" s="39">
        <f t="shared" si="325"/>
        <v>11</v>
      </c>
      <c r="T3312" s="39">
        <f t="shared" si="326"/>
        <v>0</v>
      </c>
      <c r="U3312" s="39">
        <f t="shared" si="327"/>
        <v>0</v>
      </c>
      <c r="V3312" s="40"/>
    </row>
    <row r="3313" spans="2:22" x14ac:dyDescent="0.35">
      <c r="B3313" s="40">
        <v>37937</v>
      </c>
      <c r="C3313" s="39">
        <v>3748.34</v>
      </c>
      <c r="D3313" s="219">
        <f t="shared" si="328"/>
        <v>4.9396948083971258E-3</v>
      </c>
      <c r="F3313" s="40">
        <v>37937</v>
      </c>
      <c r="G3313" s="39">
        <v>3748.34</v>
      </c>
      <c r="H3313" s="39">
        <f t="shared" si="323"/>
        <v>3</v>
      </c>
      <c r="I3313" s="39">
        <f t="shared" si="324"/>
        <v>0</v>
      </c>
      <c r="K3313" s="40"/>
      <c r="Q3313" s="40">
        <v>37937</v>
      </c>
      <c r="R3313" s="39">
        <v>3748.34</v>
      </c>
      <c r="S3313" s="39">
        <f t="shared" si="325"/>
        <v>11</v>
      </c>
      <c r="T3313" s="39">
        <f t="shared" si="326"/>
        <v>0</v>
      </c>
      <c r="U3313" s="39">
        <f t="shared" si="327"/>
        <v>0</v>
      </c>
      <c r="V3313" s="40"/>
    </row>
    <row r="3314" spans="2:22" x14ac:dyDescent="0.35">
      <c r="B3314" s="40">
        <v>37938</v>
      </c>
      <c r="C3314" s="39">
        <v>3765.59</v>
      </c>
      <c r="D3314" s="219">
        <f t="shared" si="328"/>
        <v>4.5914801721386378E-3</v>
      </c>
      <c r="F3314" s="40">
        <v>37938</v>
      </c>
      <c r="G3314" s="39">
        <v>3765.59</v>
      </c>
      <c r="H3314" s="39">
        <f t="shared" si="323"/>
        <v>4</v>
      </c>
      <c r="I3314" s="39">
        <f t="shared" si="324"/>
        <v>0</v>
      </c>
      <c r="K3314" s="40"/>
      <c r="Q3314" s="40">
        <v>37938</v>
      </c>
      <c r="R3314" s="39">
        <v>3765.59</v>
      </c>
      <c r="S3314" s="39">
        <f t="shared" si="325"/>
        <v>11</v>
      </c>
      <c r="T3314" s="39">
        <f t="shared" si="326"/>
        <v>0</v>
      </c>
      <c r="U3314" s="39">
        <f t="shared" si="327"/>
        <v>0</v>
      </c>
      <c r="V3314" s="40"/>
    </row>
    <row r="3315" spans="2:22" x14ac:dyDescent="0.35">
      <c r="B3315" s="40">
        <v>37939</v>
      </c>
      <c r="C3315" s="39">
        <v>3797.4</v>
      </c>
      <c r="D3315" s="219">
        <f t="shared" si="328"/>
        <v>8.4120665451986303E-3</v>
      </c>
      <c r="F3315" s="40">
        <v>37939</v>
      </c>
      <c r="G3315" s="39">
        <v>3797.4</v>
      </c>
      <c r="H3315" s="39">
        <f t="shared" si="323"/>
        <v>5</v>
      </c>
      <c r="I3315" s="39">
        <f t="shared" si="324"/>
        <v>3797.4</v>
      </c>
      <c r="K3315" s="40"/>
      <c r="Q3315" s="40">
        <v>37939</v>
      </c>
      <c r="R3315" s="39">
        <v>3797.4</v>
      </c>
      <c r="S3315" s="39">
        <f t="shared" si="325"/>
        <v>11</v>
      </c>
      <c r="T3315" s="39">
        <f t="shared" si="326"/>
        <v>0</v>
      </c>
      <c r="U3315" s="39">
        <f t="shared" si="327"/>
        <v>0</v>
      </c>
      <c r="V3315" s="40"/>
    </row>
    <row r="3316" spans="2:22" x14ac:dyDescent="0.35">
      <c r="B3316" s="40">
        <v>37942</v>
      </c>
      <c r="C3316" s="39">
        <v>3674.54</v>
      </c>
      <c r="D3316" s="219">
        <f t="shared" si="328"/>
        <v>-3.288866726483157E-2</v>
      </c>
      <c r="F3316" s="40">
        <v>37942</v>
      </c>
      <c r="G3316" s="39">
        <v>3674.54</v>
      </c>
      <c r="H3316" s="39">
        <f t="shared" si="323"/>
        <v>1</v>
      </c>
      <c r="I3316" s="39">
        <f t="shared" si="324"/>
        <v>0</v>
      </c>
      <c r="K3316" s="40"/>
      <c r="Q3316" s="40">
        <v>37942</v>
      </c>
      <c r="R3316" s="39">
        <v>3674.54</v>
      </c>
      <c r="S3316" s="39">
        <f t="shared" si="325"/>
        <v>11</v>
      </c>
      <c r="T3316" s="39">
        <f t="shared" si="326"/>
        <v>0</v>
      </c>
      <c r="U3316" s="39">
        <f t="shared" si="327"/>
        <v>0</v>
      </c>
      <c r="V3316" s="40"/>
    </row>
    <row r="3317" spans="2:22" x14ac:dyDescent="0.35">
      <c r="B3317" s="40">
        <v>37943</v>
      </c>
      <c r="C3317" s="39">
        <v>3666.28</v>
      </c>
      <c r="D3317" s="219">
        <f t="shared" si="328"/>
        <v>-2.2504307382611899E-3</v>
      </c>
      <c r="F3317" s="40">
        <v>37943</v>
      </c>
      <c r="G3317" s="39">
        <v>3666.28</v>
      </c>
      <c r="H3317" s="39">
        <f t="shared" si="323"/>
        <v>2</v>
      </c>
      <c r="I3317" s="39">
        <f t="shared" si="324"/>
        <v>0</v>
      </c>
      <c r="K3317" s="40"/>
      <c r="Q3317" s="40">
        <v>37943</v>
      </c>
      <c r="R3317" s="39">
        <v>3666.28</v>
      </c>
      <c r="S3317" s="39">
        <f t="shared" si="325"/>
        <v>11</v>
      </c>
      <c r="T3317" s="39">
        <f t="shared" si="326"/>
        <v>0</v>
      </c>
      <c r="U3317" s="39">
        <f t="shared" si="327"/>
        <v>0</v>
      </c>
      <c r="V3317" s="40"/>
    </row>
    <row r="3318" spans="2:22" x14ac:dyDescent="0.35">
      <c r="B3318" s="40">
        <v>37944</v>
      </c>
      <c r="C3318" s="39">
        <v>3652.29</v>
      </c>
      <c r="D3318" s="219">
        <f t="shared" si="328"/>
        <v>-3.8231559007903364E-3</v>
      </c>
      <c r="F3318" s="40">
        <v>37944</v>
      </c>
      <c r="G3318" s="39">
        <v>3652.29</v>
      </c>
      <c r="H3318" s="39">
        <f t="shared" si="323"/>
        <v>3</v>
      </c>
      <c r="I3318" s="39">
        <f t="shared" si="324"/>
        <v>0</v>
      </c>
      <c r="K3318" s="40"/>
      <c r="Q3318" s="40">
        <v>37944</v>
      </c>
      <c r="R3318" s="39">
        <v>3652.29</v>
      </c>
      <c r="S3318" s="39">
        <f t="shared" si="325"/>
        <v>11</v>
      </c>
      <c r="T3318" s="39">
        <f t="shared" si="326"/>
        <v>0</v>
      </c>
      <c r="U3318" s="39">
        <f t="shared" si="327"/>
        <v>0</v>
      </c>
      <c r="V3318" s="40"/>
    </row>
    <row r="3319" spans="2:22" x14ac:dyDescent="0.35">
      <c r="B3319" s="40">
        <v>37945</v>
      </c>
      <c r="C3319" s="39">
        <v>3638.04</v>
      </c>
      <c r="D3319" s="219">
        <f t="shared" si="328"/>
        <v>-3.9092930355826509E-3</v>
      </c>
      <c r="F3319" s="40">
        <v>37945</v>
      </c>
      <c r="G3319" s="39">
        <v>3638.04</v>
      </c>
      <c r="H3319" s="39">
        <f t="shared" ref="H3319:H3382" si="329">WEEKDAY(F3319,2)</f>
        <v>4</v>
      </c>
      <c r="I3319" s="39">
        <f t="shared" ref="I3319:I3382" si="330">IF(H3319&gt;H3320,G3319,0)</f>
        <v>0</v>
      </c>
      <c r="K3319" s="40"/>
      <c r="Q3319" s="40">
        <v>37945</v>
      </c>
      <c r="R3319" s="39">
        <v>3638.04</v>
      </c>
      <c r="S3319" s="39">
        <f t="shared" ref="S3319:S3382" si="331">MONTH(Q3319)</f>
        <v>11</v>
      </c>
      <c r="T3319" s="39">
        <f t="shared" ref="T3319:T3382" si="332">IF(S3320&lt;&gt;S3319,R3319,0)</f>
        <v>0</v>
      </c>
      <c r="U3319" s="39">
        <f t="shared" ref="U3319:U3382" si="333">IF(S3320=S3319,0,R3319)</f>
        <v>0</v>
      </c>
      <c r="V3319" s="40"/>
    </row>
    <row r="3320" spans="2:22" x14ac:dyDescent="0.35">
      <c r="B3320" s="40">
        <v>37946</v>
      </c>
      <c r="C3320" s="39">
        <v>3642.25</v>
      </c>
      <c r="D3320" s="219">
        <f t="shared" ref="D3320:D3383" si="334">LN(C3320/C3319)</f>
        <v>1.1565474642563122E-3</v>
      </c>
      <c r="F3320" s="40">
        <v>37946</v>
      </c>
      <c r="G3320" s="39">
        <v>3642.25</v>
      </c>
      <c r="H3320" s="39">
        <f t="shared" si="329"/>
        <v>5</v>
      </c>
      <c r="I3320" s="39">
        <f t="shared" si="330"/>
        <v>3642.25</v>
      </c>
      <c r="K3320" s="40"/>
      <c r="Q3320" s="40">
        <v>37946</v>
      </c>
      <c r="R3320" s="39">
        <v>3642.25</v>
      </c>
      <c r="S3320" s="39">
        <f t="shared" si="331"/>
        <v>11</v>
      </c>
      <c r="T3320" s="39">
        <f t="shared" si="332"/>
        <v>0</v>
      </c>
      <c r="U3320" s="39">
        <f t="shared" si="333"/>
        <v>0</v>
      </c>
      <c r="V3320" s="40"/>
    </row>
    <row r="3321" spans="2:22" x14ac:dyDescent="0.35">
      <c r="B3321" s="40">
        <v>37949</v>
      </c>
      <c r="C3321" s="39">
        <v>3737.09</v>
      </c>
      <c r="D3321" s="219">
        <f t="shared" si="334"/>
        <v>2.5705611150806208E-2</v>
      </c>
      <c r="F3321" s="40">
        <v>37949</v>
      </c>
      <c r="G3321" s="39">
        <v>3737.09</v>
      </c>
      <c r="H3321" s="39">
        <f t="shared" si="329"/>
        <v>1</v>
      </c>
      <c r="I3321" s="39">
        <f t="shared" si="330"/>
        <v>0</v>
      </c>
      <c r="K3321" s="40"/>
      <c r="Q3321" s="40">
        <v>37949</v>
      </c>
      <c r="R3321" s="39">
        <v>3737.09</v>
      </c>
      <c r="S3321" s="39">
        <f t="shared" si="331"/>
        <v>11</v>
      </c>
      <c r="T3321" s="39">
        <f t="shared" si="332"/>
        <v>0</v>
      </c>
      <c r="U3321" s="39">
        <f t="shared" si="333"/>
        <v>0</v>
      </c>
      <c r="V3321" s="40"/>
    </row>
    <row r="3322" spans="2:22" x14ac:dyDescent="0.35">
      <c r="B3322" s="40">
        <v>37950</v>
      </c>
      <c r="C3322" s="39">
        <v>3733.16</v>
      </c>
      <c r="D3322" s="219">
        <f t="shared" si="334"/>
        <v>-1.0521737191032763E-3</v>
      </c>
      <c r="F3322" s="40">
        <v>37950</v>
      </c>
      <c r="G3322" s="39">
        <v>3733.16</v>
      </c>
      <c r="H3322" s="39">
        <f t="shared" si="329"/>
        <v>2</v>
      </c>
      <c r="I3322" s="39">
        <f t="shared" si="330"/>
        <v>0</v>
      </c>
      <c r="K3322" s="40"/>
      <c r="Q3322" s="40">
        <v>37950</v>
      </c>
      <c r="R3322" s="39">
        <v>3733.16</v>
      </c>
      <c r="S3322" s="39">
        <f t="shared" si="331"/>
        <v>11</v>
      </c>
      <c r="T3322" s="39">
        <f t="shared" si="332"/>
        <v>0</v>
      </c>
      <c r="U3322" s="39">
        <f t="shared" si="333"/>
        <v>0</v>
      </c>
      <c r="V3322" s="40"/>
    </row>
    <row r="3323" spans="2:22" x14ac:dyDescent="0.35">
      <c r="B3323" s="40">
        <v>37951</v>
      </c>
      <c r="C3323" s="39">
        <v>3712.98</v>
      </c>
      <c r="D3323" s="219">
        <f t="shared" si="334"/>
        <v>-5.4202712831705043E-3</v>
      </c>
      <c r="F3323" s="40">
        <v>37951</v>
      </c>
      <c r="G3323" s="39">
        <v>3712.98</v>
      </c>
      <c r="H3323" s="39">
        <f t="shared" si="329"/>
        <v>3</v>
      </c>
      <c r="I3323" s="39">
        <f t="shared" si="330"/>
        <v>0</v>
      </c>
      <c r="K3323" s="40"/>
      <c r="Q3323" s="40">
        <v>37951</v>
      </c>
      <c r="R3323" s="39">
        <v>3712.98</v>
      </c>
      <c r="S3323" s="39">
        <f t="shared" si="331"/>
        <v>11</v>
      </c>
      <c r="T3323" s="39">
        <f t="shared" si="332"/>
        <v>0</v>
      </c>
      <c r="U3323" s="39">
        <f t="shared" si="333"/>
        <v>0</v>
      </c>
      <c r="V3323" s="40"/>
    </row>
    <row r="3324" spans="2:22" x14ac:dyDescent="0.35">
      <c r="B3324" s="40">
        <v>37952</v>
      </c>
      <c r="C3324" s="39">
        <v>3744.99</v>
      </c>
      <c r="D3324" s="219">
        <f t="shared" si="334"/>
        <v>8.5841580381478474E-3</v>
      </c>
      <c r="F3324" s="40">
        <v>37952</v>
      </c>
      <c r="G3324" s="39">
        <v>3744.99</v>
      </c>
      <c r="H3324" s="39">
        <f t="shared" si="329"/>
        <v>4</v>
      </c>
      <c r="I3324" s="39">
        <f t="shared" si="330"/>
        <v>0</v>
      </c>
      <c r="K3324" s="40"/>
      <c r="Q3324" s="40">
        <v>37952</v>
      </c>
      <c r="R3324" s="39">
        <v>3744.99</v>
      </c>
      <c r="S3324" s="39">
        <f t="shared" si="331"/>
        <v>11</v>
      </c>
      <c r="T3324" s="39">
        <f t="shared" si="332"/>
        <v>0</v>
      </c>
      <c r="U3324" s="39">
        <f t="shared" si="333"/>
        <v>0</v>
      </c>
      <c r="V3324" s="40"/>
    </row>
    <row r="3325" spans="2:22" x14ac:dyDescent="0.35">
      <c r="B3325" s="40">
        <v>37953</v>
      </c>
      <c r="C3325" s="39">
        <v>3745.95</v>
      </c>
      <c r="D3325" s="219">
        <f t="shared" si="334"/>
        <v>2.5630962342659738E-4</v>
      </c>
      <c r="F3325" s="40">
        <v>37953</v>
      </c>
      <c r="G3325" s="39">
        <v>3745.95</v>
      </c>
      <c r="H3325" s="39">
        <f t="shared" si="329"/>
        <v>5</v>
      </c>
      <c r="I3325" s="39">
        <f t="shared" si="330"/>
        <v>3745.95</v>
      </c>
      <c r="K3325" s="40"/>
      <c r="Q3325" s="40">
        <v>37953</v>
      </c>
      <c r="R3325" s="39">
        <v>3745.95</v>
      </c>
      <c r="S3325" s="39">
        <f t="shared" si="331"/>
        <v>11</v>
      </c>
      <c r="T3325" s="39">
        <f t="shared" si="332"/>
        <v>3745.95</v>
      </c>
      <c r="U3325" s="39">
        <f t="shared" si="333"/>
        <v>3745.95</v>
      </c>
      <c r="V3325" s="40"/>
    </row>
    <row r="3326" spans="2:22" x14ac:dyDescent="0.35">
      <c r="B3326" s="40">
        <v>37956</v>
      </c>
      <c r="C3326" s="39">
        <v>3821.2</v>
      </c>
      <c r="D3326" s="219">
        <f t="shared" si="334"/>
        <v>1.9889253051641131E-2</v>
      </c>
      <c r="F3326" s="40">
        <v>37956</v>
      </c>
      <c r="G3326" s="39">
        <v>3821.2</v>
      </c>
      <c r="H3326" s="39">
        <f t="shared" si="329"/>
        <v>1</v>
      </c>
      <c r="I3326" s="39">
        <f t="shared" si="330"/>
        <v>0</v>
      </c>
      <c r="K3326" s="40"/>
      <c r="Q3326" s="40">
        <v>37956</v>
      </c>
      <c r="R3326" s="39">
        <v>3821.2</v>
      </c>
      <c r="S3326" s="39">
        <f t="shared" si="331"/>
        <v>12</v>
      </c>
      <c r="T3326" s="39">
        <f t="shared" si="332"/>
        <v>0</v>
      </c>
      <c r="U3326" s="39">
        <f t="shared" si="333"/>
        <v>0</v>
      </c>
      <c r="V3326" s="40"/>
    </row>
    <row r="3327" spans="2:22" x14ac:dyDescent="0.35">
      <c r="B3327" s="40">
        <v>37957</v>
      </c>
      <c r="C3327" s="39">
        <v>3809.26</v>
      </c>
      <c r="D3327" s="219">
        <f t="shared" si="334"/>
        <v>-3.129564861149489E-3</v>
      </c>
      <c r="F3327" s="40">
        <v>37957</v>
      </c>
      <c r="G3327" s="39">
        <v>3809.26</v>
      </c>
      <c r="H3327" s="39">
        <f t="shared" si="329"/>
        <v>2</v>
      </c>
      <c r="I3327" s="39">
        <f t="shared" si="330"/>
        <v>0</v>
      </c>
      <c r="K3327" s="40"/>
      <c r="Q3327" s="40">
        <v>37957</v>
      </c>
      <c r="R3327" s="39">
        <v>3809.26</v>
      </c>
      <c r="S3327" s="39">
        <f t="shared" si="331"/>
        <v>12</v>
      </c>
      <c r="T3327" s="39">
        <f t="shared" si="332"/>
        <v>0</v>
      </c>
      <c r="U3327" s="39">
        <f t="shared" si="333"/>
        <v>0</v>
      </c>
      <c r="V3327" s="40"/>
    </row>
    <row r="3328" spans="2:22" x14ac:dyDescent="0.35">
      <c r="B3328" s="40">
        <v>37958</v>
      </c>
      <c r="C3328" s="39">
        <v>3875.66</v>
      </c>
      <c r="D3328" s="219">
        <f t="shared" si="334"/>
        <v>1.7281026330144684E-2</v>
      </c>
      <c r="F3328" s="40">
        <v>37958</v>
      </c>
      <c r="G3328" s="39">
        <v>3875.66</v>
      </c>
      <c r="H3328" s="39">
        <f t="shared" si="329"/>
        <v>3</v>
      </c>
      <c r="I3328" s="39">
        <f t="shared" si="330"/>
        <v>0</v>
      </c>
      <c r="K3328" s="40"/>
      <c r="Q3328" s="40">
        <v>37958</v>
      </c>
      <c r="R3328" s="39">
        <v>3875.66</v>
      </c>
      <c r="S3328" s="39">
        <f t="shared" si="331"/>
        <v>12</v>
      </c>
      <c r="T3328" s="39">
        <f t="shared" si="332"/>
        <v>0</v>
      </c>
      <c r="U3328" s="39">
        <f t="shared" si="333"/>
        <v>0</v>
      </c>
      <c r="V3328" s="40"/>
    </row>
    <row r="3329" spans="2:22" x14ac:dyDescent="0.35">
      <c r="B3329" s="40">
        <v>37959</v>
      </c>
      <c r="C3329" s="39">
        <v>3874.78</v>
      </c>
      <c r="D3329" s="219">
        <f t="shared" si="334"/>
        <v>-2.2708388266502684E-4</v>
      </c>
      <c r="F3329" s="40">
        <v>37959</v>
      </c>
      <c r="G3329" s="39">
        <v>3874.78</v>
      </c>
      <c r="H3329" s="39">
        <f t="shared" si="329"/>
        <v>4</v>
      </c>
      <c r="I3329" s="39">
        <f t="shared" si="330"/>
        <v>0</v>
      </c>
      <c r="K3329" s="40"/>
      <c r="Q3329" s="40">
        <v>37959</v>
      </c>
      <c r="R3329" s="39">
        <v>3874.78</v>
      </c>
      <c r="S3329" s="39">
        <f t="shared" si="331"/>
        <v>12</v>
      </c>
      <c r="T3329" s="39">
        <f t="shared" si="332"/>
        <v>0</v>
      </c>
      <c r="U3329" s="39">
        <f t="shared" si="333"/>
        <v>0</v>
      </c>
      <c r="V3329" s="40"/>
    </row>
    <row r="3330" spans="2:22" x14ac:dyDescent="0.35">
      <c r="B3330" s="40">
        <v>37960</v>
      </c>
      <c r="C3330" s="39">
        <v>3841.73</v>
      </c>
      <c r="D3330" s="219">
        <f t="shared" si="334"/>
        <v>-8.5661010211180132E-3</v>
      </c>
      <c r="F3330" s="40">
        <v>37960</v>
      </c>
      <c r="G3330" s="39">
        <v>3841.73</v>
      </c>
      <c r="H3330" s="39">
        <f t="shared" si="329"/>
        <v>5</v>
      </c>
      <c r="I3330" s="39">
        <f t="shared" si="330"/>
        <v>3841.73</v>
      </c>
      <c r="K3330" s="40"/>
      <c r="Q3330" s="40">
        <v>37960</v>
      </c>
      <c r="R3330" s="39">
        <v>3841.73</v>
      </c>
      <c r="S3330" s="39">
        <f t="shared" si="331"/>
        <v>12</v>
      </c>
      <c r="T3330" s="39">
        <f t="shared" si="332"/>
        <v>0</v>
      </c>
      <c r="U3330" s="39">
        <f t="shared" si="333"/>
        <v>0</v>
      </c>
      <c r="V3330" s="40"/>
    </row>
    <row r="3331" spans="2:22" x14ac:dyDescent="0.35">
      <c r="B3331" s="40">
        <v>37963</v>
      </c>
      <c r="C3331" s="39">
        <v>3806.54</v>
      </c>
      <c r="D3331" s="219">
        <f t="shared" si="334"/>
        <v>-9.2021459290148686E-3</v>
      </c>
      <c r="F3331" s="40">
        <v>37963</v>
      </c>
      <c r="G3331" s="39">
        <v>3806.54</v>
      </c>
      <c r="H3331" s="39">
        <f t="shared" si="329"/>
        <v>1</v>
      </c>
      <c r="I3331" s="39">
        <f t="shared" si="330"/>
        <v>0</v>
      </c>
      <c r="K3331" s="40"/>
      <c r="Q3331" s="40">
        <v>37963</v>
      </c>
      <c r="R3331" s="39">
        <v>3806.54</v>
      </c>
      <c r="S3331" s="39">
        <f t="shared" si="331"/>
        <v>12</v>
      </c>
      <c r="T3331" s="39">
        <f t="shared" si="332"/>
        <v>0</v>
      </c>
      <c r="U3331" s="39">
        <f t="shared" si="333"/>
        <v>0</v>
      </c>
      <c r="V3331" s="40"/>
    </row>
    <row r="3332" spans="2:22" x14ac:dyDescent="0.35">
      <c r="B3332" s="40">
        <v>37964</v>
      </c>
      <c r="C3332" s="39">
        <v>3846.18</v>
      </c>
      <c r="D3332" s="219">
        <f t="shared" si="334"/>
        <v>1.0359807893575679E-2</v>
      </c>
      <c r="F3332" s="40">
        <v>37964</v>
      </c>
      <c r="G3332" s="39">
        <v>3846.18</v>
      </c>
      <c r="H3332" s="39">
        <f t="shared" si="329"/>
        <v>2</v>
      </c>
      <c r="I3332" s="39">
        <f t="shared" si="330"/>
        <v>0</v>
      </c>
      <c r="K3332" s="40"/>
      <c r="Q3332" s="40">
        <v>37964</v>
      </c>
      <c r="R3332" s="39">
        <v>3846.18</v>
      </c>
      <c r="S3332" s="39">
        <f t="shared" si="331"/>
        <v>12</v>
      </c>
      <c r="T3332" s="39">
        <f t="shared" si="332"/>
        <v>0</v>
      </c>
      <c r="U3332" s="39">
        <f t="shared" si="333"/>
        <v>0</v>
      </c>
      <c r="V3332" s="40"/>
    </row>
    <row r="3333" spans="2:22" x14ac:dyDescent="0.35">
      <c r="B3333" s="40">
        <v>37965</v>
      </c>
      <c r="C3333" s="39">
        <v>3820.92</v>
      </c>
      <c r="D3333" s="219">
        <f t="shared" si="334"/>
        <v>-6.5892166254128467E-3</v>
      </c>
      <c r="F3333" s="40">
        <v>37965</v>
      </c>
      <c r="G3333" s="39">
        <v>3820.92</v>
      </c>
      <c r="H3333" s="39">
        <f t="shared" si="329"/>
        <v>3</v>
      </c>
      <c r="I3333" s="39">
        <f t="shared" si="330"/>
        <v>0</v>
      </c>
      <c r="K3333" s="40"/>
      <c r="Q3333" s="40">
        <v>37965</v>
      </c>
      <c r="R3333" s="39">
        <v>3820.92</v>
      </c>
      <c r="S3333" s="39">
        <f t="shared" si="331"/>
        <v>12</v>
      </c>
      <c r="T3333" s="39">
        <f t="shared" si="332"/>
        <v>0</v>
      </c>
      <c r="U3333" s="39">
        <f t="shared" si="333"/>
        <v>0</v>
      </c>
      <c r="V3333" s="40"/>
    </row>
    <row r="3334" spans="2:22" x14ac:dyDescent="0.35">
      <c r="B3334" s="40">
        <v>37966</v>
      </c>
      <c r="C3334" s="39">
        <v>3858.85</v>
      </c>
      <c r="D3334" s="219">
        <f t="shared" si="334"/>
        <v>9.877980308320251E-3</v>
      </c>
      <c r="F3334" s="40">
        <v>37966</v>
      </c>
      <c r="G3334" s="39">
        <v>3858.85</v>
      </c>
      <c r="H3334" s="39">
        <f t="shared" si="329"/>
        <v>4</v>
      </c>
      <c r="I3334" s="39">
        <f t="shared" si="330"/>
        <v>0</v>
      </c>
      <c r="K3334" s="40"/>
      <c r="Q3334" s="40">
        <v>37966</v>
      </c>
      <c r="R3334" s="39">
        <v>3858.85</v>
      </c>
      <c r="S3334" s="39">
        <f t="shared" si="331"/>
        <v>12</v>
      </c>
      <c r="T3334" s="39">
        <f t="shared" si="332"/>
        <v>0</v>
      </c>
      <c r="U3334" s="39">
        <f t="shared" si="333"/>
        <v>0</v>
      </c>
      <c r="V3334" s="40"/>
    </row>
    <row r="3335" spans="2:22" x14ac:dyDescent="0.35">
      <c r="B3335" s="40">
        <v>37967</v>
      </c>
      <c r="C3335" s="39">
        <v>3860.13</v>
      </c>
      <c r="D3335" s="219">
        <f t="shared" si="334"/>
        <v>3.3165003970286552E-4</v>
      </c>
      <c r="F3335" s="40">
        <v>37967</v>
      </c>
      <c r="G3335" s="39">
        <v>3860.13</v>
      </c>
      <c r="H3335" s="39">
        <f t="shared" si="329"/>
        <v>5</v>
      </c>
      <c r="I3335" s="39">
        <f t="shared" si="330"/>
        <v>3860.13</v>
      </c>
      <c r="K3335" s="40"/>
      <c r="Q3335" s="40">
        <v>37967</v>
      </c>
      <c r="R3335" s="39">
        <v>3860.13</v>
      </c>
      <c r="S3335" s="39">
        <f t="shared" si="331"/>
        <v>12</v>
      </c>
      <c r="T3335" s="39">
        <f t="shared" si="332"/>
        <v>0</v>
      </c>
      <c r="U3335" s="39">
        <f t="shared" si="333"/>
        <v>0</v>
      </c>
      <c r="V3335" s="40"/>
    </row>
    <row r="3336" spans="2:22" x14ac:dyDescent="0.35">
      <c r="B3336" s="40">
        <v>37970</v>
      </c>
      <c r="C3336" s="39">
        <v>3875.47</v>
      </c>
      <c r="D3336" s="219">
        <f t="shared" si="334"/>
        <v>3.9660841067148886E-3</v>
      </c>
      <c r="F3336" s="40">
        <v>37970</v>
      </c>
      <c r="G3336" s="39">
        <v>3875.47</v>
      </c>
      <c r="H3336" s="39">
        <f t="shared" si="329"/>
        <v>1</v>
      </c>
      <c r="I3336" s="39">
        <f t="shared" si="330"/>
        <v>0</v>
      </c>
      <c r="K3336" s="40"/>
      <c r="Q3336" s="40">
        <v>37970</v>
      </c>
      <c r="R3336" s="39">
        <v>3875.47</v>
      </c>
      <c r="S3336" s="39">
        <f t="shared" si="331"/>
        <v>12</v>
      </c>
      <c r="T3336" s="39">
        <f t="shared" si="332"/>
        <v>0</v>
      </c>
      <c r="U3336" s="39">
        <f t="shared" si="333"/>
        <v>0</v>
      </c>
      <c r="V3336" s="40"/>
    </row>
    <row r="3337" spans="2:22" x14ac:dyDescent="0.35">
      <c r="B3337" s="40">
        <v>37971</v>
      </c>
      <c r="C3337" s="39">
        <v>3865.98</v>
      </c>
      <c r="D3337" s="219">
        <f t="shared" si="334"/>
        <v>-2.4517383057992949E-3</v>
      </c>
      <c r="F3337" s="40">
        <v>37971</v>
      </c>
      <c r="G3337" s="39">
        <v>3865.98</v>
      </c>
      <c r="H3337" s="39">
        <f t="shared" si="329"/>
        <v>2</v>
      </c>
      <c r="I3337" s="39">
        <f t="shared" si="330"/>
        <v>0</v>
      </c>
      <c r="K3337" s="40"/>
      <c r="Q3337" s="40">
        <v>37971</v>
      </c>
      <c r="R3337" s="39">
        <v>3865.98</v>
      </c>
      <c r="S3337" s="39">
        <f t="shared" si="331"/>
        <v>12</v>
      </c>
      <c r="T3337" s="39">
        <f t="shared" si="332"/>
        <v>0</v>
      </c>
      <c r="U3337" s="39">
        <f t="shared" si="333"/>
        <v>0</v>
      </c>
      <c r="V3337" s="40"/>
    </row>
    <row r="3338" spans="2:22" x14ac:dyDescent="0.35">
      <c r="B3338" s="40">
        <v>37972</v>
      </c>
      <c r="C3338" s="39">
        <v>3847.57</v>
      </c>
      <c r="D3338" s="219">
        <f t="shared" si="334"/>
        <v>-4.7734272693912604E-3</v>
      </c>
      <c r="F3338" s="40">
        <v>37972</v>
      </c>
      <c r="G3338" s="39">
        <v>3847.57</v>
      </c>
      <c r="H3338" s="39">
        <f t="shared" si="329"/>
        <v>3</v>
      </c>
      <c r="I3338" s="39">
        <f t="shared" si="330"/>
        <v>0</v>
      </c>
      <c r="K3338" s="40"/>
      <c r="Q3338" s="40">
        <v>37972</v>
      </c>
      <c r="R3338" s="39">
        <v>3847.57</v>
      </c>
      <c r="S3338" s="39">
        <f t="shared" si="331"/>
        <v>12</v>
      </c>
      <c r="T3338" s="39">
        <f t="shared" si="332"/>
        <v>0</v>
      </c>
      <c r="U3338" s="39">
        <f t="shared" si="333"/>
        <v>0</v>
      </c>
      <c r="V3338" s="40"/>
    </row>
    <row r="3339" spans="2:22" x14ac:dyDescent="0.35">
      <c r="B3339" s="40">
        <v>37973</v>
      </c>
      <c r="C3339" s="39">
        <v>3870.88</v>
      </c>
      <c r="D3339" s="219">
        <f t="shared" si="334"/>
        <v>6.0400911757164623E-3</v>
      </c>
      <c r="F3339" s="40">
        <v>37973</v>
      </c>
      <c r="G3339" s="39">
        <v>3870.88</v>
      </c>
      <c r="H3339" s="39">
        <f t="shared" si="329"/>
        <v>4</v>
      </c>
      <c r="I3339" s="39">
        <f t="shared" si="330"/>
        <v>0</v>
      </c>
      <c r="K3339" s="40"/>
      <c r="Q3339" s="40">
        <v>37973</v>
      </c>
      <c r="R3339" s="39">
        <v>3870.88</v>
      </c>
      <c r="S3339" s="39">
        <f t="shared" si="331"/>
        <v>12</v>
      </c>
      <c r="T3339" s="39">
        <f t="shared" si="332"/>
        <v>0</v>
      </c>
      <c r="U3339" s="39">
        <f t="shared" si="333"/>
        <v>0</v>
      </c>
      <c r="V3339" s="40"/>
    </row>
    <row r="3340" spans="2:22" x14ac:dyDescent="0.35">
      <c r="B3340" s="40">
        <v>37974</v>
      </c>
      <c r="C3340" s="39">
        <v>3898.42</v>
      </c>
      <c r="D3340" s="219">
        <f t="shared" si="334"/>
        <v>7.0894714705298381E-3</v>
      </c>
      <c r="F3340" s="40">
        <v>37974</v>
      </c>
      <c r="G3340" s="39">
        <v>3898.42</v>
      </c>
      <c r="H3340" s="39">
        <f t="shared" si="329"/>
        <v>5</v>
      </c>
      <c r="I3340" s="39">
        <f t="shared" si="330"/>
        <v>3898.42</v>
      </c>
      <c r="K3340" s="40"/>
      <c r="Q3340" s="40">
        <v>37974</v>
      </c>
      <c r="R3340" s="39">
        <v>3898.42</v>
      </c>
      <c r="S3340" s="39">
        <f t="shared" si="331"/>
        <v>12</v>
      </c>
      <c r="T3340" s="39">
        <f t="shared" si="332"/>
        <v>0</v>
      </c>
      <c r="U3340" s="39">
        <f t="shared" si="333"/>
        <v>0</v>
      </c>
      <c r="V3340" s="40"/>
    </row>
    <row r="3341" spans="2:22" x14ac:dyDescent="0.35">
      <c r="B3341" s="40">
        <v>37977</v>
      </c>
      <c r="C3341" s="39">
        <v>3876.94</v>
      </c>
      <c r="D3341" s="219">
        <f t="shared" si="334"/>
        <v>-5.5251601582457259E-3</v>
      </c>
      <c r="F3341" s="40">
        <v>37977</v>
      </c>
      <c r="G3341" s="39">
        <v>3876.94</v>
      </c>
      <c r="H3341" s="39">
        <f t="shared" si="329"/>
        <v>1</v>
      </c>
      <c r="I3341" s="39">
        <f t="shared" si="330"/>
        <v>0</v>
      </c>
      <c r="K3341" s="40"/>
      <c r="Q3341" s="40">
        <v>37977</v>
      </c>
      <c r="R3341" s="39">
        <v>3876.94</v>
      </c>
      <c r="S3341" s="39">
        <f t="shared" si="331"/>
        <v>12</v>
      </c>
      <c r="T3341" s="39">
        <f t="shared" si="332"/>
        <v>0</v>
      </c>
      <c r="U3341" s="39">
        <f t="shared" si="333"/>
        <v>0</v>
      </c>
      <c r="V3341" s="40"/>
    </row>
    <row r="3342" spans="2:22" x14ac:dyDescent="0.35">
      <c r="B3342" s="40">
        <v>37978</v>
      </c>
      <c r="C3342" s="39">
        <v>3903.34</v>
      </c>
      <c r="D3342" s="219">
        <f t="shared" si="334"/>
        <v>6.7864141963633476E-3</v>
      </c>
      <c r="F3342" s="40">
        <v>37978</v>
      </c>
      <c r="G3342" s="39">
        <v>3903.34</v>
      </c>
      <c r="H3342" s="39">
        <f t="shared" si="329"/>
        <v>2</v>
      </c>
      <c r="I3342" s="39">
        <f t="shared" si="330"/>
        <v>3903.34</v>
      </c>
      <c r="K3342" s="40"/>
      <c r="Q3342" s="40">
        <v>37978</v>
      </c>
      <c r="R3342" s="39">
        <v>3903.34</v>
      </c>
      <c r="S3342" s="39">
        <f t="shared" si="331"/>
        <v>12</v>
      </c>
      <c r="T3342" s="39">
        <f t="shared" si="332"/>
        <v>0</v>
      </c>
      <c r="U3342" s="39">
        <f t="shared" si="333"/>
        <v>0</v>
      </c>
      <c r="V3342" s="40"/>
    </row>
    <row r="3343" spans="2:22" x14ac:dyDescent="0.35">
      <c r="B3343" s="40">
        <v>37984</v>
      </c>
      <c r="C3343" s="39">
        <v>3952.72</v>
      </c>
      <c r="D3343" s="219">
        <f t="shared" si="334"/>
        <v>1.2571352644554732E-2</v>
      </c>
      <c r="F3343" s="40">
        <v>37984</v>
      </c>
      <c r="G3343" s="39">
        <v>3952.72</v>
      </c>
      <c r="H3343" s="39">
        <f t="shared" si="329"/>
        <v>1</v>
      </c>
      <c r="I3343" s="39">
        <f t="shared" si="330"/>
        <v>0</v>
      </c>
      <c r="K3343" s="40"/>
      <c r="Q3343" s="40">
        <v>37984</v>
      </c>
      <c r="R3343" s="39">
        <v>3952.72</v>
      </c>
      <c r="S3343" s="39">
        <f t="shared" si="331"/>
        <v>12</v>
      </c>
      <c r="T3343" s="39">
        <f t="shared" si="332"/>
        <v>0</v>
      </c>
      <c r="U3343" s="39">
        <f t="shared" si="333"/>
        <v>0</v>
      </c>
      <c r="V3343" s="40"/>
    </row>
    <row r="3344" spans="2:22" x14ac:dyDescent="0.35">
      <c r="B3344" s="40">
        <v>37985</v>
      </c>
      <c r="C3344" s="39">
        <v>3965.16</v>
      </c>
      <c r="D3344" s="219">
        <f t="shared" si="334"/>
        <v>3.1422578356380799E-3</v>
      </c>
      <c r="F3344" s="40">
        <v>37985</v>
      </c>
      <c r="G3344" s="39">
        <v>3965.16</v>
      </c>
      <c r="H3344" s="39">
        <f t="shared" si="329"/>
        <v>2</v>
      </c>
      <c r="I3344" s="39">
        <f t="shared" si="330"/>
        <v>0</v>
      </c>
      <c r="K3344" s="40"/>
      <c r="Q3344" s="40">
        <v>37985</v>
      </c>
      <c r="R3344" s="39">
        <v>3965.16</v>
      </c>
      <c r="S3344" s="39">
        <f t="shared" si="331"/>
        <v>12</v>
      </c>
      <c r="T3344" s="39">
        <f t="shared" si="332"/>
        <v>3965.16</v>
      </c>
      <c r="U3344" s="39">
        <f t="shared" si="333"/>
        <v>3965.16</v>
      </c>
      <c r="V3344" s="40"/>
    </row>
    <row r="3345" spans="2:22" x14ac:dyDescent="0.35">
      <c r="B3345" s="40">
        <v>37988</v>
      </c>
      <c r="C3345" s="39">
        <v>4018.5</v>
      </c>
      <c r="D3345" s="219">
        <f t="shared" si="334"/>
        <v>1.3362491308455411E-2</v>
      </c>
      <c r="F3345" s="40">
        <v>37988</v>
      </c>
      <c r="G3345" s="39">
        <v>4018.5</v>
      </c>
      <c r="H3345" s="39">
        <f t="shared" si="329"/>
        <v>5</v>
      </c>
      <c r="I3345" s="39">
        <f t="shared" si="330"/>
        <v>4018.5</v>
      </c>
      <c r="K3345" s="40"/>
      <c r="Q3345" s="40">
        <v>37988</v>
      </c>
      <c r="R3345" s="39">
        <v>4018.5</v>
      </c>
      <c r="S3345" s="39">
        <f t="shared" si="331"/>
        <v>1</v>
      </c>
      <c r="T3345" s="39">
        <f t="shared" si="332"/>
        <v>0</v>
      </c>
      <c r="U3345" s="39">
        <f t="shared" si="333"/>
        <v>0</v>
      </c>
      <c r="V3345" s="40"/>
    </row>
    <row r="3346" spans="2:22" x14ac:dyDescent="0.35">
      <c r="B3346" s="40">
        <v>37991</v>
      </c>
      <c r="C3346" s="39">
        <v>4035.9</v>
      </c>
      <c r="D3346" s="219">
        <f t="shared" si="334"/>
        <v>4.3206265068337808E-3</v>
      </c>
      <c r="F3346" s="40">
        <v>37991</v>
      </c>
      <c r="G3346" s="39">
        <v>4035.9</v>
      </c>
      <c r="H3346" s="39">
        <f t="shared" si="329"/>
        <v>1</v>
      </c>
      <c r="I3346" s="39">
        <f t="shared" si="330"/>
        <v>0</v>
      </c>
      <c r="K3346" s="40"/>
      <c r="Q3346" s="40">
        <v>37991</v>
      </c>
      <c r="R3346" s="39">
        <v>4035.9</v>
      </c>
      <c r="S3346" s="39">
        <f t="shared" si="331"/>
        <v>1</v>
      </c>
      <c r="T3346" s="39">
        <f t="shared" si="332"/>
        <v>0</v>
      </c>
      <c r="U3346" s="39">
        <f t="shared" si="333"/>
        <v>0</v>
      </c>
      <c r="V3346" s="40"/>
    </row>
    <row r="3347" spans="2:22" x14ac:dyDescent="0.35">
      <c r="B3347" s="40">
        <v>37992</v>
      </c>
      <c r="C3347" s="39">
        <v>4035.44</v>
      </c>
      <c r="D3347" s="219">
        <f t="shared" si="334"/>
        <v>-1.1398355180131735E-4</v>
      </c>
      <c r="F3347" s="40">
        <v>37992</v>
      </c>
      <c r="G3347" s="39">
        <v>4035.44</v>
      </c>
      <c r="H3347" s="39">
        <f t="shared" si="329"/>
        <v>2</v>
      </c>
      <c r="I3347" s="39">
        <f t="shared" si="330"/>
        <v>0</v>
      </c>
      <c r="K3347" s="40"/>
      <c r="Q3347" s="40">
        <v>37992</v>
      </c>
      <c r="R3347" s="39">
        <v>4035.44</v>
      </c>
      <c r="S3347" s="39">
        <f t="shared" si="331"/>
        <v>1</v>
      </c>
      <c r="T3347" s="39">
        <f t="shared" si="332"/>
        <v>0</v>
      </c>
      <c r="U3347" s="39">
        <f t="shared" si="333"/>
        <v>0</v>
      </c>
      <c r="V3347" s="40"/>
    </row>
    <row r="3348" spans="2:22" x14ac:dyDescent="0.35">
      <c r="B3348" s="40">
        <v>37993</v>
      </c>
      <c r="C3348" s="39">
        <v>4004.4</v>
      </c>
      <c r="D3348" s="219">
        <f t="shared" si="334"/>
        <v>-7.7215850624769928E-3</v>
      </c>
      <c r="F3348" s="40">
        <v>37993</v>
      </c>
      <c r="G3348" s="39">
        <v>4004.4</v>
      </c>
      <c r="H3348" s="39">
        <f t="shared" si="329"/>
        <v>3</v>
      </c>
      <c r="I3348" s="39">
        <f t="shared" si="330"/>
        <v>0</v>
      </c>
      <c r="K3348" s="40"/>
      <c r="Q3348" s="40">
        <v>37993</v>
      </c>
      <c r="R3348" s="39">
        <v>4004.4</v>
      </c>
      <c r="S3348" s="39">
        <f t="shared" si="331"/>
        <v>1</v>
      </c>
      <c r="T3348" s="39">
        <f t="shared" si="332"/>
        <v>0</v>
      </c>
      <c r="U3348" s="39">
        <f t="shared" si="333"/>
        <v>0</v>
      </c>
      <c r="V3348" s="40"/>
    </row>
    <row r="3349" spans="2:22" x14ac:dyDescent="0.35">
      <c r="B3349" s="40">
        <v>37994</v>
      </c>
      <c r="C3349" s="39">
        <v>4045.43</v>
      </c>
      <c r="D3349" s="219">
        <f t="shared" si="334"/>
        <v>1.0194092376495224E-2</v>
      </c>
      <c r="F3349" s="40">
        <v>37994</v>
      </c>
      <c r="G3349" s="39">
        <v>4045.43</v>
      </c>
      <c r="H3349" s="39">
        <f t="shared" si="329"/>
        <v>4</v>
      </c>
      <c r="I3349" s="39">
        <f t="shared" si="330"/>
        <v>0</v>
      </c>
      <c r="K3349" s="40"/>
      <c r="Q3349" s="40">
        <v>37994</v>
      </c>
      <c r="R3349" s="39">
        <v>4045.43</v>
      </c>
      <c r="S3349" s="39">
        <f t="shared" si="331"/>
        <v>1</v>
      </c>
      <c r="T3349" s="39">
        <f t="shared" si="332"/>
        <v>0</v>
      </c>
      <c r="U3349" s="39">
        <f t="shared" si="333"/>
        <v>0</v>
      </c>
      <c r="V3349" s="40"/>
    </row>
    <row r="3350" spans="2:22" x14ac:dyDescent="0.35">
      <c r="B3350" s="40">
        <v>37995</v>
      </c>
      <c r="C3350" s="39">
        <v>4016.18</v>
      </c>
      <c r="D3350" s="219">
        <f t="shared" si="334"/>
        <v>-7.2566468375456035E-3</v>
      </c>
      <c r="F3350" s="40">
        <v>37995</v>
      </c>
      <c r="G3350" s="39">
        <v>4016.18</v>
      </c>
      <c r="H3350" s="39">
        <f t="shared" si="329"/>
        <v>5</v>
      </c>
      <c r="I3350" s="39">
        <f t="shared" si="330"/>
        <v>4016.18</v>
      </c>
      <c r="K3350" s="40"/>
      <c r="Q3350" s="40">
        <v>37995</v>
      </c>
      <c r="R3350" s="39">
        <v>4016.18</v>
      </c>
      <c r="S3350" s="39">
        <f t="shared" si="331"/>
        <v>1</v>
      </c>
      <c r="T3350" s="39">
        <f t="shared" si="332"/>
        <v>0</v>
      </c>
      <c r="U3350" s="39">
        <f t="shared" si="333"/>
        <v>0</v>
      </c>
      <c r="V3350" s="40"/>
    </row>
    <row r="3351" spans="2:22" x14ac:dyDescent="0.35">
      <c r="B3351" s="40">
        <v>37998</v>
      </c>
      <c r="C3351" s="39">
        <v>3995.91</v>
      </c>
      <c r="D3351" s="219">
        <f t="shared" si="334"/>
        <v>-5.0598640919924968E-3</v>
      </c>
      <c r="F3351" s="40">
        <v>37998</v>
      </c>
      <c r="G3351" s="39">
        <v>3995.91</v>
      </c>
      <c r="H3351" s="39">
        <f t="shared" si="329"/>
        <v>1</v>
      </c>
      <c r="I3351" s="39">
        <f t="shared" si="330"/>
        <v>0</v>
      </c>
      <c r="K3351" s="40"/>
      <c r="Q3351" s="40">
        <v>37998</v>
      </c>
      <c r="R3351" s="39">
        <v>3995.91</v>
      </c>
      <c r="S3351" s="39">
        <f t="shared" si="331"/>
        <v>1</v>
      </c>
      <c r="T3351" s="39">
        <f t="shared" si="332"/>
        <v>0</v>
      </c>
      <c r="U3351" s="39">
        <f t="shared" si="333"/>
        <v>0</v>
      </c>
      <c r="V3351" s="40"/>
    </row>
    <row r="3352" spans="2:22" x14ac:dyDescent="0.35">
      <c r="B3352" s="40">
        <v>37999</v>
      </c>
      <c r="C3352" s="39">
        <v>3996.22</v>
      </c>
      <c r="D3352" s="219">
        <f t="shared" si="334"/>
        <v>7.7576315739550991E-5</v>
      </c>
      <c r="F3352" s="40">
        <v>37999</v>
      </c>
      <c r="G3352" s="39">
        <v>3996.22</v>
      </c>
      <c r="H3352" s="39">
        <f t="shared" si="329"/>
        <v>2</v>
      </c>
      <c r="I3352" s="39">
        <f t="shared" si="330"/>
        <v>0</v>
      </c>
      <c r="K3352" s="40"/>
      <c r="Q3352" s="40">
        <v>37999</v>
      </c>
      <c r="R3352" s="39">
        <v>3996.22</v>
      </c>
      <c r="S3352" s="39">
        <f t="shared" si="331"/>
        <v>1</v>
      </c>
      <c r="T3352" s="39">
        <f t="shared" si="332"/>
        <v>0</v>
      </c>
      <c r="U3352" s="39">
        <f t="shared" si="333"/>
        <v>0</v>
      </c>
      <c r="V3352" s="40"/>
    </row>
    <row r="3353" spans="2:22" x14ac:dyDescent="0.35">
      <c r="B3353" s="40">
        <v>38000</v>
      </c>
      <c r="C3353" s="39">
        <v>4055.21</v>
      </c>
      <c r="D3353" s="219">
        <f t="shared" si="334"/>
        <v>1.4653559816693184E-2</v>
      </c>
      <c r="F3353" s="40">
        <v>38000</v>
      </c>
      <c r="G3353" s="39">
        <v>4055.21</v>
      </c>
      <c r="H3353" s="39">
        <f t="shared" si="329"/>
        <v>3</v>
      </c>
      <c r="I3353" s="39">
        <f t="shared" si="330"/>
        <v>0</v>
      </c>
      <c r="K3353" s="40"/>
      <c r="Q3353" s="40">
        <v>38000</v>
      </c>
      <c r="R3353" s="39">
        <v>4055.21</v>
      </c>
      <c r="S3353" s="39">
        <f t="shared" si="331"/>
        <v>1</v>
      </c>
      <c r="T3353" s="39">
        <f t="shared" si="332"/>
        <v>0</v>
      </c>
      <c r="U3353" s="39">
        <f t="shared" si="333"/>
        <v>0</v>
      </c>
      <c r="V3353" s="40"/>
    </row>
    <row r="3354" spans="2:22" x14ac:dyDescent="0.35">
      <c r="B3354" s="40">
        <v>38001</v>
      </c>
      <c r="C3354" s="39">
        <v>4068.75</v>
      </c>
      <c r="D3354" s="219">
        <f t="shared" si="334"/>
        <v>3.3333528321610089E-3</v>
      </c>
      <c r="F3354" s="40">
        <v>38001</v>
      </c>
      <c r="G3354" s="39">
        <v>4068.75</v>
      </c>
      <c r="H3354" s="39">
        <f t="shared" si="329"/>
        <v>4</v>
      </c>
      <c r="I3354" s="39">
        <f t="shared" si="330"/>
        <v>0</v>
      </c>
      <c r="K3354" s="40"/>
      <c r="Q3354" s="40">
        <v>38001</v>
      </c>
      <c r="R3354" s="39">
        <v>4068.75</v>
      </c>
      <c r="S3354" s="39">
        <f t="shared" si="331"/>
        <v>1</v>
      </c>
      <c r="T3354" s="39">
        <f t="shared" si="332"/>
        <v>0</v>
      </c>
      <c r="U3354" s="39">
        <f t="shared" si="333"/>
        <v>0</v>
      </c>
      <c r="V3354" s="40"/>
    </row>
    <row r="3355" spans="2:22" x14ac:dyDescent="0.35">
      <c r="B3355" s="40">
        <v>38002</v>
      </c>
      <c r="C3355" s="39">
        <v>4111.6400000000003</v>
      </c>
      <c r="D3355" s="219">
        <f t="shared" si="334"/>
        <v>1.0486148707383661E-2</v>
      </c>
      <c r="F3355" s="40">
        <v>38002</v>
      </c>
      <c r="G3355" s="39">
        <v>4111.6400000000003</v>
      </c>
      <c r="H3355" s="39">
        <f t="shared" si="329"/>
        <v>5</v>
      </c>
      <c r="I3355" s="39">
        <f t="shared" si="330"/>
        <v>4111.6400000000003</v>
      </c>
      <c r="K3355" s="40"/>
      <c r="Q3355" s="40">
        <v>38002</v>
      </c>
      <c r="R3355" s="39">
        <v>4111.6400000000003</v>
      </c>
      <c r="S3355" s="39">
        <f t="shared" si="331"/>
        <v>1</v>
      </c>
      <c r="T3355" s="39">
        <f t="shared" si="332"/>
        <v>0</v>
      </c>
      <c r="U3355" s="39">
        <f t="shared" si="333"/>
        <v>0</v>
      </c>
      <c r="V3355" s="40"/>
    </row>
    <row r="3356" spans="2:22" x14ac:dyDescent="0.35">
      <c r="B3356" s="40">
        <v>38005</v>
      </c>
      <c r="C3356" s="39">
        <v>4139.92</v>
      </c>
      <c r="D3356" s="219">
        <f t="shared" si="334"/>
        <v>6.854488296894912E-3</v>
      </c>
      <c r="F3356" s="40">
        <v>38005</v>
      </c>
      <c r="G3356" s="39">
        <v>4139.92</v>
      </c>
      <c r="H3356" s="39">
        <f t="shared" si="329"/>
        <v>1</v>
      </c>
      <c r="I3356" s="39">
        <f t="shared" si="330"/>
        <v>0</v>
      </c>
      <c r="K3356" s="40"/>
      <c r="Q3356" s="40">
        <v>38005</v>
      </c>
      <c r="R3356" s="39">
        <v>4139.92</v>
      </c>
      <c r="S3356" s="39">
        <f t="shared" si="331"/>
        <v>1</v>
      </c>
      <c r="T3356" s="39">
        <f t="shared" si="332"/>
        <v>0</v>
      </c>
      <c r="U3356" s="39">
        <f t="shared" si="333"/>
        <v>0</v>
      </c>
      <c r="V3356" s="40"/>
    </row>
    <row r="3357" spans="2:22" x14ac:dyDescent="0.35">
      <c r="B3357" s="40">
        <v>38006</v>
      </c>
      <c r="C3357" s="39">
        <v>4106.41</v>
      </c>
      <c r="D3357" s="219">
        <f t="shared" si="334"/>
        <v>-8.1272964949633021E-3</v>
      </c>
      <c r="F3357" s="40">
        <v>38006</v>
      </c>
      <c r="G3357" s="39">
        <v>4106.41</v>
      </c>
      <c r="H3357" s="39">
        <f t="shared" si="329"/>
        <v>2</v>
      </c>
      <c r="I3357" s="39">
        <f t="shared" si="330"/>
        <v>0</v>
      </c>
      <c r="K3357" s="40"/>
      <c r="Q3357" s="40">
        <v>38006</v>
      </c>
      <c r="R3357" s="39">
        <v>4106.41</v>
      </c>
      <c r="S3357" s="39">
        <f t="shared" si="331"/>
        <v>1</v>
      </c>
      <c r="T3357" s="39">
        <f t="shared" si="332"/>
        <v>0</v>
      </c>
      <c r="U3357" s="39">
        <f t="shared" si="333"/>
        <v>0</v>
      </c>
      <c r="V3357" s="40"/>
    </row>
    <row r="3358" spans="2:22" x14ac:dyDescent="0.35">
      <c r="B3358" s="40">
        <v>38007</v>
      </c>
      <c r="C3358" s="39">
        <v>4138.04</v>
      </c>
      <c r="D3358" s="219">
        <f t="shared" si="334"/>
        <v>7.6730782981315783E-3</v>
      </c>
      <c r="F3358" s="40">
        <v>38007</v>
      </c>
      <c r="G3358" s="39">
        <v>4138.04</v>
      </c>
      <c r="H3358" s="39">
        <f t="shared" si="329"/>
        <v>3</v>
      </c>
      <c r="I3358" s="39">
        <f t="shared" si="330"/>
        <v>0</v>
      </c>
      <c r="K3358" s="40"/>
      <c r="Q3358" s="40">
        <v>38007</v>
      </c>
      <c r="R3358" s="39">
        <v>4138.04</v>
      </c>
      <c r="S3358" s="39">
        <f t="shared" si="331"/>
        <v>1</v>
      </c>
      <c r="T3358" s="39">
        <f t="shared" si="332"/>
        <v>0</v>
      </c>
      <c r="U3358" s="39">
        <f t="shared" si="333"/>
        <v>0</v>
      </c>
      <c r="V3358" s="40"/>
    </row>
    <row r="3359" spans="2:22" x14ac:dyDescent="0.35">
      <c r="B3359" s="40">
        <v>38008</v>
      </c>
      <c r="C3359" s="39">
        <v>4139.8599999999997</v>
      </c>
      <c r="D3359" s="219">
        <f t="shared" si="334"/>
        <v>4.3972505812470478E-4</v>
      </c>
      <c r="F3359" s="40">
        <v>38008</v>
      </c>
      <c r="G3359" s="39">
        <v>4139.8599999999997</v>
      </c>
      <c r="H3359" s="39">
        <f t="shared" si="329"/>
        <v>4</v>
      </c>
      <c r="I3359" s="39">
        <f t="shared" si="330"/>
        <v>0</v>
      </c>
      <c r="K3359" s="40"/>
      <c r="Q3359" s="40">
        <v>38008</v>
      </c>
      <c r="R3359" s="39">
        <v>4139.8599999999997</v>
      </c>
      <c r="S3359" s="39">
        <f t="shared" si="331"/>
        <v>1</v>
      </c>
      <c r="T3359" s="39">
        <f t="shared" si="332"/>
        <v>0</v>
      </c>
      <c r="U3359" s="39">
        <f t="shared" si="333"/>
        <v>0</v>
      </c>
      <c r="V3359" s="40"/>
    </row>
    <row r="3360" spans="2:22" x14ac:dyDescent="0.35">
      <c r="B3360" s="40">
        <v>38009</v>
      </c>
      <c r="C3360" s="39">
        <v>4151.83</v>
      </c>
      <c r="D3360" s="219">
        <f t="shared" si="334"/>
        <v>2.8872300617258807E-3</v>
      </c>
      <c r="F3360" s="40">
        <v>38009</v>
      </c>
      <c r="G3360" s="39">
        <v>4151.83</v>
      </c>
      <c r="H3360" s="39">
        <f t="shared" si="329"/>
        <v>5</v>
      </c>
      <c r="I3360" s="39">
        <f t="shared" si="330"/>
        <v>4151.83</v>
      </c>
      <c r="K3360" s="40"/>
      <c r="Q3360" s="40">
        <v>38009</v>
      </c>
      <c r="R3360" s="39">
        <v>4151.83</v>
      </c>
      <c r="S3360" s="39">
        <f t="shared" si="331"/>
        <v>1</v>
      </c>
      <c r="T3360" s="39">
        <f t="shared" si="332"/>
        <v>0</v>
      </c>
      <c r="U3360" s="39">
        <f t="shared" si="333"/>
        <v>0</v>
      </c>
      <c r="V3360" s="40"/>
    </row>
    <row r="3361" spans="2:22" x14ac:dyDescent="0.35">
      <c r="B3361" s="40">
        <v>38012</v>
      </c>
      <c r="C3361" s="39">
        <v>4128.68</v>
      </c>
      <c r="D3361" s="219">
        <f t="shared" si="334"/>
        <v>-5.5914576068872256E-3</v>
      </c>
      <c r="F3361" s="40">
        <v>38012</v>
      </c>
      <c r="G3361" s="39">
        <v>4128.68</v>
      </c>
      <c r="H3361" s="39">
        <f t="shared" si="329"/>
        <v>1</v>
      </c>
      <c r="I3361" s="39">
        <f t="shared" si="330"/>
        <v>0</v>
      </c>
      <c r="K3361" s="40"/>
      <c r="Q3361" s="40">
        <v>38012</v>
      </c>
      <c r="R3361" s="39">
        <v>4128.68</v>
      </c>
      <c r="S3361" s="39">
        <f t="shared" si="331"/>
        <v>1</v>
      </c>
      <c r="T3361" s="39">
        <f t="shared" si="332"/>
        <v>0</v>
      </c>
      <c r="U3361" s="39">
        <f t="shared" si="333"/>
        <v>0</v>
      </c>
      <c r="V3361" s="40"/>
    </row>
    <row r="3362" spans="2:22" x14ac:dyDescent="0.35">
      <c r="B3362" s="40">
        <v>38013</v>
      </c>
      <c r="C3362" s="39">
        <v>4134.42</v>
      </c>
      <c r="D3362" s="219">
        <f t="shared" si="334"/>
        <v>1.3893093205382258E-3</v>
      </c>
      <c r="F3362" s="40">
        <v>38013</v>
      </c>
      <c r="G3362" s="39">
        <v>4134.42</v>
      </c>
      <c r="H3362" s="39">
        <f t="shared" si="329"/>
        <v>2</v>
      </c>
      <c r="I3362" s="39">
        <f t="shared" si="330"/>
        <v>0</v>
      </c>
      <c r="K3362" s="40"/>
      <c r="Q3362" s="40">
        <v>38013</v>
      </c>
      <c r="R3362" s="39">
        <v>4134.42</v>
      </c>
      <c r="S3362" s="39">
        <f t="shared" si="331"/>
        <v>1</v>
      </c>
      <c r="T3362" s="39">
        <f t="shared" si="332"/>
        <v>0</v>
      </c>
      <c r="U3362" s="39">
        <f t="shared" si="333"/>
        <v>0</v>
      </c>
      <c r="V3362" s="40"/>
    </row>
    <row r="3363" spans="2:22" x14ac:dyDescent="0.35">
      <c r="B3363" s="40">
        <v>38014</v>
      </c>
      <c r="C3363" s="39">
        <v>4150.24</v>
      </c>
      <c r="D3363" s="219">
        <f t="shared" si="334"/>
        <v>3.819111280050724E-3</v>
      </c>
      <c r="F3363" s="40">
        <v>38014</v>
      </c>
      <c r="G3363" s="39">
        <v>4150.24</v>
      </c>
      <c r="H3363" s="39">
        <f t="shared" si="329"/>
        <v>3</v>
      </c>
      <c r="I3363" s="39">
        <f t="shared" si="330"/>
        <v>0</v>
      </c>
      <c r="K3363" s="40"/>
      <c r="Q3363" s="40">
        <v>38014</v>
      </c>
      <c r="R3363" s="39">
        <v>4150.24</v>
      </c>
      <c r="S3363" s="39">
        <f t="shared" si="331"/>
        <v>1</v>
      </c>
      <c r="T3363" s="39">
        <f t="shared" si="332"/>
        <v>0</v>
      </c>
      <c r="U3363" s="39">
        <f t="shared" si="333"/>
        <v>0</v>
      </c>
      <c r="V3363" s="40"/>
    </row>
    <row r="3364" spans="2:22" x14ac:dyDescent="0.35">
      <c r="B3364" s="40">
        <v>38015</v>
      </c>
      <c r="C3364" s="39">
        <v>4095.71</v>
      </c>
      <c r="D3364" s="219">
        <f t="shared" si="334"/>
        <v>-1.3226079446278379E-2</v>
      </c>
      <c r="F3364" s="40">
        <v>38015</v>
      </c>
      <c r="G3364" s="39">
        <v>4095.71</v>
      </c>
      <c r="H3364" s="39">
        <f t="shared" si="329"/>
        <v>4</v>
      </c>
      <c r="I3364" s="39">
        <f t="shared" si="330"/>
        <v>0</v>
      </c>
      <c r="K3364" s="40"/>
      <c r="Q3364" s="40">
        <v>38015</v>
      </c>
      <c r="R3364" s="39">
        <v>4095.71</v>
      </c>
      <c r="S3364" s="39">
        <f t="shared" si="331"/>
        <v>1</v>
      </c>
      <c r="T3364" s="39">
        <f t="shared" si="332"/>
        <v>0</v>
      </c>
      <c r="U3364" s="39">
        <f t="shared" si="333"/>
        <v>0</v>
      </c>
      <c r="V3364" s="40"/>
    </row>
    <row r="3365" spans="2:22" x14ac:dyDescent="0.35">
      <c r="B3365" s="40">
        <v>38016</v>
      </c>
      <c r="C3365" s="39">
        <v>4058.6</v>
      </c>
      <c r="D3365" s="219">
        <f t="shared" si="334"/>
        <v>-9.101997888731686E-3</v>
      </c>
      <c r="F3365" s="40">
        <v>38016</v>
      </c>
      <c r="G3365" s="39">
        <v>4058.6</v>
      </c>
      <c r="H3365" s="39">
        <f t="shared" si="329"/>
        <v>5</v>
      </c>
      <c r="I3365" s="39">
        <f t="shared" si="330"/>
        <v>4058.6</v>
      </c>
      <c r="K3365" s="40"/>
      <c r="Q3365" s="40">
        <v>38016</v>
      </c>
      <c r="R3365" s="39">
        <v>4058.6</v>
      </c>
      <c r="S3365" s="39">
        <f t="shared" si="331"/>
        <v>1</v>
      </c>
      <c r="T3365" s="39">
        <f t="shared" si="332"/>
        <v>4058.6</v>
      </c>
      <c r="U3365" s="39">
        <f t="shared" si="333"/>
        <v>4058.6</v>
      </c>
      <c r="V3365" s="40"/>
    </row>
    <row r="3366" spans="2:22" x14ac:dyDescent="0.35">
      <c r="B3366" s="40">
        <v>38019</v>
      </c>
      <c r="C3366" s="39">
        <v>4071.6</v>
      </c>
      <c r="D3366" s="219">
        <f t="shared" si="334"/>
        <v>3.1979560353162929E-3</v>
      </c>
      <c r="F3366" s="40">
        <v>38019</v>
      </c>
      <c r="G3366" s="39">
        <v>4071.6</v>
      </c>
      <c r="H3366" s="39">
        <f t="shared" si="329"/>
        <v>1</v>
      </c>
      <c r="I3366" s="39">
        <f t="shared" si="330"/>
        <v>0</v>
      </c>
      <c r="K3366" s="40"/>
      <c r="Q3366" s="40">
        <v>38019</v>
      </c>
      <c r="R3366" s="39">
        <v>4071.6</v>
      </c>
      <c r="S3366" s="39">
        <f t="shared" si="331"/>
        <v>2</v>
      </c>
      <c r="T3366" s="39">
        <f t="shared" si="332"/>
        <v>0</v>
      </c>
      <c r="U3366" s="39">
        <f t="shared" si="333"/>
        <v>0</v>
      </c>
      <c r="V3366" s="40"/>
    </row>
    <row r="3367" spans="2:22" x14ac:dyDescent="0.35">
      <c r="B3367" s="40">
        <v>38020</v>
      </c>
      <c r="C3367" s="39">
        <v>4057.51</v>
      </c>
      <c r="D3367" s="219">
        <f t="shared" si="334"/>
        <v>-3.4665576206948244E-3</v>
      </c>
      <c r="F3367" s="40">
        <v>38020</v>
      </c>
      <c r="G3367" s="39">
        <v>4057.51</v>
      </c>
      <c r="H3367" s="39">
        <f t="shared" si="329"/>
        <v>2</v>
      </c>
      <c r="I3367" s="39">
        <f t="shared" si="330"/>
        <v>0</v>
      </c>
      <c r="K3367" s="40"/>
      <c r="Q3367" s="40">
        <v>38020</v>
      </c>
      <c r="R3367" s="39">
        <v>4057.51</v>
      </c>
      <c r="S3367" s="39">
        <f t="shared" si="331"/>
        <v>2</v>
      </c>
      <c r="T3367" s="39">
        <f t="shared" si="332"/>
        <v>0</v>
      </c>
      <c r="U3367" s="39">
        <f t="shared" si="333"/>
        <v>0</v>
      </c>
      <c r="V3367" s="40"/>
    </row>
    <row r="3368" spans="2:22" x14ac:dyDescent="0.35">
      <c r="B3368" s="40">
        <v>38021</v>
      </c>
      <c r="C3368" s="39">
        <v>4028.37</v>
      </c>
      <c r="D3368" s="219">
        <f t="shared" si="334"/>
        <v>-7.2076573366400059E-3</v>
      </c>
      <c r="F3368" s="40">
        <v>38021</v>
      </c>
      <c r="G3368" s="39">
        <v>4028.37</v>
      </c>
      <c r="H3368" s="39">
        <f t="shared" si="329"/>
        <v>3</v>
      </c>
      <c r="I3368" s="39">
        <f t="shared" si="330"/>
        <v>0</v>
      </c>
      <c r="K3368" s="40"/>
      <c r="Q3368" s="40">
        <v>38021</v>
      </c>
      <c r="R3368" s="39">
        <v>4028.37</v>
      </c>
      <c r="S3368" s="39">
        <f t="shared" si="331"/>
        <v>2</v>
      </c>
      <c r="T3368" s="39">
        <f t="shared" si="332"/>
        <v>0</v>
      </c>
      <c r="U3368" s="39">
        <f t="shared" si="333"/>
        <v>0</v>
      </c>
      <c r="V3368" s="40"/>
    </row>
    <row r="3369" spans="2:22" x14ac:dyDescent="0.35">
      <c r="B3369" s="40">
        <v>38022</v>
      </c>
      <c r="C3369" s="39">
        <v>4014.79</v>
      </c>
      <c r="D3369" s="219">
        <f t="shared" si="334"/>
        <v>-3.3767854684055329E-3</v>
      </c>
      <c r="F3369" s="40">
        <v>38022</v>
      </c>
      <c r="G3369" s="39">
        <v>4014.79</v>
      </c>
      <c r="H3369" s="39">
        <f t="shared" si="329"/>
        <v>4</v>
      </c>
      <c r="I3369" s="39">
        <f t="shared" si="330"/>
        <v>0</v>
      </c>
      <c r="K3369" s="40"/>
      <c r="Q3369" s="40">
        <v>38022</v>
      </c>
      <c r="R3369" s="39">
        <v>4014.79</v>
      </c>
      <c r="S3369" s="39">
        <f t="shared" si="331"/>
        <v>2</v>
      </c>
      <c r="T3369" s="39">
        <f t="shared" si="332"/>
        <v>0</v>
      </c>
      <c r="U3369" s="39">
        <f t="shared" si="333"/>
        <v>0</v>
      </c>
      <c r="V3369" s="40"/>
    </row>
    <row r="3370" spans="2:22" x14ac:dyDescent="0.35">
      <c r="B3370" s="40">
        <v>38023</v>
      </c>
      <c r="C3370" s="39">
        <v>4044.99</v>
      </c>
      <c r="D3370" s="219">
        <f t="shared" si="334"/>
        <v>7.4940361492055229E-3</v>
      </c>
      <c r="F3370" s="40">
        <v>38023</v>
      </c>
      <c r="G3370" s="39">
        <v>4044.99</v>
      </c>
      <c r="H3370" s="39">
        <f t="shared" si="329"/>
        <v>5</v>
      </c>
      <c r="I3370" s="39">
        <f t="shared" si="330"/>
        <v>4044.99</v>
      </c>
      <c r="K3370" s="40"/>
      <c r="Q3370" s="40">
        <v>38023</v>
      </c>
      <c r="R3370" s="39">
        <v>4044.99</v>
      </c>
      <c r="S3370" s="39">
        <f t="shared" si="331"/>
        <v>2</v>
      </c>
      <c r="T3370" s="39">
        <f t="shared" si="332"/>
        <v>0</v>
      </c>
      <c r="U3370" s="39">
        <f t="shared" si="333"/>
        <v>0</v>
      </c>
      <c r="V3370" s="40"/>
    </row>
    <row r="3371" spans="2:22" x14ac:dyDescent="0.35">
      <c r="B3371" s="40">
        <v>38026</v>
      </c>
      <c r="C3371" s="39">
        <v>4098.97</v>
      </c>
      <c r="D3371" s="219">
        <f t="shared" si="334"/>
        <v>1.3256644317646584E-2</v>
      </c>
      <c r="F3371" s="40">
        <v>38026</v>
      </c>
      <c r="G3371" s="39">
        <v>4098.97</v>
      </c>
      <c r="H3371" s="39">
        <f t="shared" si="329"/>
        <v>1</v>
      </c>
      <c r="I3371" s="39">
        <f t="shared" si="330"/>
        <v>0</v>
      </c>
      <c r="K3371" s="40"/>
      <c r="Q3371" s="40">
        <v>38026</v>
      </c>
      <c r="R3371" s="39">
        <v>4098.97</v>
      </c>
      <c r="S3371" s="39">
        <f t="shared" si="331"/>
        <v>2</v>
      </c>
      <c r="T3371" s="39">
        <f t="shared" si="332"/>
        <v>0</v>
      </c>
      <c r="U3371" s="39">
        <f t="shared" si="333"/>
        <v>0</v>
      </c>
      <c r="V3371" s="40"/>
    </row>
    <row r="3372" spans="2:22" x14ac:dyDescent="0.35">
      <c r="B3372" s="40">
        <v>38027</v>
      </c>
      <c r="C3372" s="39">
        <v>4110.8</v>
      </c>
      <c r="D3372" s="219">
        <f t="shared" si="334"/>
        <v>2.8819341316215236E-3</v>
      </c>
      <c r="F3372" s="40">
        <v>38027</v>
      </c>
      <c r="G3372" s="39">
        <v>4110.8</v>
      </c>
      <c r="H3372" s="39">
        <f t="shared" si="329"/>
        <v>2</v>
      </c>
      <c r="I3372" s="39">
        <f t="shared" si="330"/>
        <v>0</v>
      </c>
      <c r="K3372" s="40"/>
      <c r="Q3372" s="40">
        <v>38027</v>
      </c>
      <c r="R3372" s="39">
        <v>4110.8</v>
      </c>
      <c r="S3372" s="39">
        <f t="shared" si="331"/>
        <v>2</v>
      </c>
      <c r="T3372" s="39">
        <f t="shared" si="332"/>
        <v>0</v>
      </c>
      <c r="U3372" s="39">
        <f t="shared" si="333"/>
        <v>0</v>
      </c>
      <c r="V3372" s="40"/>
    </row>
    <row r="3373" spans="2:22" x14ac:dyDescent="0.35">
      <c r="B3373" s="40">
        <v>38028</v>
      </c>
      <c r="C3373" s="39">
        <v>4122.16</v>
      </c>
      <c r="D3373" s="219">
        <f t="shared" si="334"/>
        <v>2.759641054845754E-3</v>
      </c>
      <c r="F3373" s="40">
        <v>38028</v>
      </c>
      <c r="G3373" s="39">
        <v>4122.16</v>
      </c>
      <c r="H3373" s="39">
        <f t="shared" si="329"/>
        <v>3</v>
      </c>
      <c r="I3373" s="39">
        <f t="shared" si="330"/>
        <v>0</v>
      </c>
      <c r="K3373" s="40"/>
      <c r="Q3373" s="40">
        <v>38028</v>
      </c>
      <c r="R3373" s="39">
        <v>4122.16</v>
      </c>
      <c r="S3373" s="39">
        <f t="shared" si="331"/>
        <v>2</v>
      </c>
      <c r="T3373" s="39">
        <f t="shared" si="332"/>
        <v>0</v>
      </c>
      <c r="U3373" s="39">
        <f t="shared" si="333"/>
        <v>0</v>
      </c>
      <c r="V3373" s="40"/>
    </row>
    <row r="3374" spans="2:22" x14ac:dyDescent="0.35">
      <c r="B3374" s="40">
        <v>38029</v>
      </c>
      <c r="C3374" s="39">
        <v>4121.6499999999996</v>
      </c>
      <c r="D3374" s="219">
        <f t="shared" si="334"/>
        <v>-1.237291981864997E-4</v>
      </c>
      <c r="F3374" s="40">
        <v>38029</v>
      </c>
      <c r="G3374" s="39">
        <v>4121.6499999999996</v>
      </c>
      <c r="H3374" s="39">
        <f t="shared" si="329"/>
        <v>4</v>
      </c>
      <c r="I3374" s="39">
        <f t="shared" si="330"/>
        <v>0</v>
      </c>
      <c r="K3374" s="40"/>
      <c r="Q3374" s="40">
        <v>38029</v>
      </c>
      <c r="R3374" s="39">
        <v>4121.6499999999996</v>
      </c>
      <c r="S3374" s="39">
        <f t="shared" si="331"/>
        <v>2</v>
      </c>
      <c r="T3374" s="39">
        <f t="shared" si="332"/>
        <v>0</v>
      </c>
      <c r="U3374" s="39">
        <f t="shared" si="333"/>
        <v>0</v>
      </c>
      <c r="V3374" s="40"/>
    </row>
    <row r="3375" spans="2:22" x14ac:dyDescent="0.35">
      <c r="B3375" s="40">
        <v>38030</v>
      </c>
      <c r="C3375" s="39">
        <v>4057.05</v>
      </c>
      <c r="D3375" s="219">
        <f t="shared" si="334"/>
        <v>-1.5797460099455565E-2</v>
      </c>
      <c r="F3375" s="40">
        <v>38030</v>
      </c>
      <c r="G3375" s="39">
        <v>4057.05</v>
      </c>
      <c r="H3375" s="39">
        <f t="shared" si="329"/>
        <v>5</v>
      </c>
      <c r="I3375" s="39">
        <f t="shared" si="330"/>
        <v>4057.05</v>
      </c>
      <c r="K3375" s="40"/>
      <c r="Q3375" s="40">
        <v>38030</v>
      </c>
      <c r="R3375" s="39">
        <v>4057.05</v>
      </c>
      <c r="S3375" s="39">
        <f t="shared" si="331"/>
        <v>2</v>
      </c>
      <c r="T3375" s="39">
        <f t="shared" si="332"/>
        <v>0</v>
      </c>
      <c r="U3375" s="39">
        <f t="shared" si="333"/>
        <v>0</v>
      </c>
      <c r="V3375" s="40"/>
    </row>
    <row r="3376" spans="2:22" x14ac:dyDescent="0.35">
      <c r="B3376" s="40">
        <v>38033</v>
      </c>
      <c r="C3376" s="39">
        <v>4070.46</v>
      </c>
      <c r="D3376" s="219">
        <f t="shared" si="334"/>
        <v>3.2999066550232384E-3</v>
      </c>
      <c r="F3376" s="40">
        <v>38033</v>
      </c>
      <c r="G3376" s="39">
        <v>4070.46</v>
      </c>
      <c r="H3376" s="39">
        <f t="shared" si="329"/>
        <v>1</v>
      </c>
      <c r="I3376" s="39">
        <f t="shared" si="330"/>
        <v>0</v>
      </c>
      <c r="K3376" s="40"/>
      <c r="Q3376" s="40">
        <v>38033</v>
      </c>
      <c r="R3376" s="39">
        <v>4070.46</v>
      </c>
      <c r="S3376" s="39">
        <f t="shared" si="331"/>
        <v>2</v>
      </c>
      <c r="T3376" s="39">
        <f t="shared" si="332"/>
        <v>0</v>
      </c>
      <c r="U3376" s="39">
        <f t="shared" si="333"/>
        <v>0</v>
      </c>
      <c r="V3376" s="40"/>
    </row>
    <row r="3377" spans="2:22" x14ac:dyDescent="0.35">
      <c r="B3377" s="40">
        <v>38034</v>
      </c>
      <c r="C3377" s="39">
        <v>4095.86</v>
      </c>
      <c r="D3377" s="219">
        <f t="shared" si="334"/>
        <v>6.2206922845598799E-3</v>
      </c>
      <c r="F3377" s="40">
        <v>38034</v>
      </c>
      <c r="G3377" s="39">
        <v>4095.86</v>
      </c>
      <c r="H3377" s="39">
        <f t="shared" si="329"/>
        <v>2</v>
      </c>
      <c r="I3377" s="39">
        <f t="shared" si="330"/>
        <v>0</v>
      </c>
      <c r="K3377" s="40"/>
      <c r="Q3377" s="40">
        <v>38034</v>
      </c>
      <c r="R3377" s="39">
        <v>4095.86</v>
      </c>
      <c r="S3377" s="39">
        <f t="shared" si="331"/>
        <v>2</v>
      </c>
      <c r="T3377" s="39">
        <f t="shared" si="332"/>
        <v>0</v>
      </c>
      <c r="U3377" s="39">
        <f t="shared" si="333"/>
        <v>0</v>
      </c>
      <c r="V3377" s="40"/>
    </row>
    <row r="3378" spans="2:22" x14ac:dyDescent="0.35">
      <c r="B3378" s="40">
        <v>38035</v>
      </c>
      <c r="C3378" s="39">
        <v>4095.34</v>
      </c>
      <c r="D3378" s="219">
        <f t="shared" si="334"/>
        <v>-1.2696552414746994E-4</v>
      </c>
      <c r="F3378" s="40">
        <v>38035</v>
      </c>
      <c r="G3378" s="39">
        <v>4095.34</v>
      </c>
      <c r="H3378" s="39">
        <f t="shared" si="329"/>
        <v>3</v>
      </c>
      <c r="I3378" s="39">
        <f t="shared" si="330"/>
        <v>0</v>
      </c>
      <c r="K3378" s="40"/>
      <c r="Q3378" s="40">
        <v>38035</v>
      </c>
      <c r="R3378" s="39">
        <v>4095.34</v>
      </c>
      <c r="S3378" s="39">
        <f t="shared" si="331"/>
        <v>2</v>
      </c>
      <c r="T3378" s="39">
        <f t="shared" si="332"/>
        <v>0</v>
      </c>
      <c r="U3378" s="39">
        <f t="shared" si="333"/>
        <v>0</v>
      </c>
      <c r="V3378" s="40"/>
    </row>
    <row r="3379" spans="2:22" x14ac:dyDescent="0.35">
      <c r="B3379" s="40">
        <v>38036</v>
      </c>
      <c r="C3379" s="39">
        <v>4141.53</v>
      </c>
      <c r="D3379" s="219">
        <f t="shared" si="334"/>
        <v>1.1215542840789162E-2</v>
      </c>
      <c r="F3379" s="40">
        <v>38036</v>
      </c>
      <c r="G3379" s="39">
        <v>4141.53</v>
      </c>
      <c r="H3379" s="39">
        <f t="shared" si="329"/>
        <v>4</v>
      </c>
      <c r="I3379" s="39">
        <f t="shared" si="330"/>
        <v>0</v>
      </c>
      <c r="K3379" s="40"/>
      <c r="Q3379" s="40">
        <v>38036</v>
      </c>
      <c r="R3379" s="39">
        <v>4141.53</v>
      </c>
      <c r="S3379" s="39">
        <f t="shared" si="331"/>
        <v>2</v>
      </c>
      <c r="T3379" s="39">
        <f t="shared" si="332"/>
        <v>0</v>
      </c>
      <c r="U3379" s="39">
        <f t="shared" si="333"/>
        <v>0</v>
      </c>
      <c r="V3379" s="40"/>
    </row>
    <row r="3380" spans="2:22" x14ac:dyDescent="0.35">
      <c r="B3380" s="40">
        <v>38037</v>
      </c>
      <c r="C3380" s="39">
        <v>4073.35</v>
      </c>
      <c r="D3380" s="219">
        <f t="shared" si="334"/>
        <v>-1.6599528062212991E-2</v>
      </c>
      <c r="F3380" s="40">
        <v>38037</v>
      </c>
      <c r="G3380" s="39">
        <v>4073.35</v>
      </c>
      <c r="H3380" s="39">
        <f t="shared" si="329"/>
        <v>5</v>
      </c>
      <c r="I3380" s="39">
        <f t="shared" si="330"/>
        <v>4073.35</v>
      </c>
      <c r="K3380" s="40"/>
      <c r="Q3380" s="40">
        <v>38037</v>
      </c>
      <c r="R3380" s="39">
        <v>4073.35</v>
      </c>
      <c r="S3380" s="39">
        <f t="shared" si="331"/>
        <v>2</v>
      </c>
      <c r="T3380" s="39">
        <f t="shared" si="332"/>
        <v>0</v>
      </c>
      <c r="U3380" s="39">
        <f t="shared" si="333"/>
        <v>0</v>
      </c>
      <c r="V3380" s="40"/>
    </row>
    <row r="3381" spans="2:22" x14ac:dyDescent="0.35">
      <c r="B3381" s="40">
        <v>38040</v>
      </c>
      <c r="C3381" s="39">
        <v>4068.71</v>
      </c>
      <c r="D3381" s="219">
        <f t="shared" si="334"/>
        <v>-1.1397608227650205E-3</v>
      </c>
      <c r="F3381" s="40">
        <v>38040</v>
      </c>
      <c r="G3381" s="39">
        <v>4068.71</v>
      </c>
      <c r="H3381" s="39">
        <f t="shared" si="329"/>
        <v>1</v>
      </c>
      <c r="I3381" s="39">
        <f t="shared" si="330"/>
        <v>0</v>
      </c>
      <c r="K3381" s="40"/>
      <c r="Q3381" s="40">
        <v>38040</v>
      </c>
      <c r="R3381" s="39">
        <v>4068.71</v>
      </c>
      <c r="S3381" s="39">
        <f t="shared" si="331"/>
        <v>2</v>
      </c>
      <c r="T3381" s="39">
        <f t="shared" si="332"/>
        <v>0</v>
      </c>
      <c r="U3381" s="39">
        <f t="shared" si="333"/>
        <v>0</v>
      </c>
      <c r="V3381" s="40"/>
    </row>
    <row r="3382" spans="2:22" x14ac:dyDescent="0.35">
      <c r="B3382" s="40">
        <v>38041</v>
      </c>
      <c r="C3382" s="39">
        <v>3991.42</v>
      </c>
      <c r="D3382" s="219">
        <f t="shared" si="334"/>
        <v>-1.9178938584875245E-2</v>
      </c>
      <c r="F3382" s="40">
        <v>38041</v>
      </c>
      <c r="G3382" s="39">
        <v>3991.42</v>
      </c>
      <c r="H3382" s="39">
        <f t="shared" si="329"/>
        <v>2</v>
      </c>
      <c r="I3382" s="39">
        <f t="shared" si="330"/>
        <v>0</v>
      </c>
      <c r="K3382" s="40"/>
      <c r="Q3382" s="40">
        <v>38041</v>
      </c>
      <c r="R3382" s="39">
        <v>3991.42</v>
      </c>
      <c r="S3382" s="39">
        <f t="shared" si="331"/>
        <v>2</v>
      </c>
      <c r="T3382" s="39">
        <f t="shared" si="332"/>
        <v>0</v>
      </c>
      <c r="U3382" s="39">
        <f t="shared" si="333"/>
        <v>0</v>
      </c>
      <c r="V3382" s="40"/>
    </row>
    <row r="3383" spans="2:22" x14ac:dyDescent="0.35">
      <c r="B3383" s="40">
        <v>38042</v>
      </c>
      <c r="C3383" s="39">
        <v>3995.34</v>
      </c>
      <c r="D3383" s="219">
        <f t="shared" si="334"/>
        <v>9.8162466751759323E-4</v>
      </c>
      <c r="F3383" s="40">
        <v>38042</v>
      </c>
      <c r="G3383" s="39">
        <v>3995.34</v>
      </c>
      <c r="H3383" s="39">
        <f t="shared" ref="H3383:H3446" si="335">WEEKDAY(F3383,2)</f>
        <v>3</v>
      </c>
      <c r="I3383" s="39">
        <f t="shared" ref="I3383:I3446" si="336">IF(H3383&gt;H3384,G3383,0)</f>
        <v>0</v>
      </c>
      <c r="K3383" s="40"/>
      <c r="Q3383" s="40">
        <v>38042</v>
      </c>
      <c r="R3383" s="39">
        <v>3995.34</v>
      </c>
      <c r="S3383" s="39">
        <f t="shared" ref="S3383:S3446" si="337">MONTH(Q3383)</f>
        <v>2</v>
      </c>
      <c r="T3383" s="39">
        <f t="shared" ref="T3383:T3446" si="338">IF(S3384&lt;&gt;S3383,R3383,0)</f>
        <v>0</v>
      </c>
      <c r="U3383" s="39">
        <f t="shared" ref="U3383:U3446" si="339">IF(S3384=S3383,0,R3383)</f>
        <v>0</v>
      </c>
      <c r="V3383" s="40"/>
    </row>
    <row r="3384" spans="2:22" x14ac:dyDescent="0.35">
      <c r="B3384" s="40">
        <v>38043</v>
      </c>
      <c r="C3384" s="39">
        <v>4007.81</v>
      </c>
      <c r="D3384" s="219">
        <f t="shared" ref="D3384:D3447" si="340">LN(C3384/C3383)</f>
        <v>3.1162754894073518E-3</v>
      </c>
      <c r="F3384" s="40">
        <v>38043</v>
      </c>
      <c r="G3384" s="39">
        <v>4007.81</v>
      </c>
      <c r="H3384" s="39">
        <f t="shared" si="335"/>
        <v>4</v>
      </c>
      <c r="I3384" s="39">
        <f t="shared" si="336"/>
        <v>0</v>
      </c>
      <c r="K3384" s="40"/>
      <c r="Q3384" s="40">
        <v>38043</v>
      </c>
      <c r="R3384" s="39">
        <v>4007.81</v>
      </c>
      <c r="S3384" s="39">
        <f t="shared" si="337"/>
        <v>2</v>
      </c>
      <c r="T3384" s="39">
        <f t="shared" si="338"/>
        <v>0</v>
      </c>
      <c r="U3384" s="39">
        <f t="shared" si="339"/>
        <v>0</v>
      </c>
      <c r="V3384" s="40"/>
    </row>
    <row r="3385" spans="2:22" x14ac:dyDescent="0.35">
      <c r="B3385" s="40">
        <v>38044</v>
      </c>
      <c r="C3385" s="39">
        <v>4018.16</v>
      </c>
      <c r="D3385" s="219">
        <f t="shared" si="340"/>
        <v>2.579128937005406E-3</v>
      </c>
      <c r="F3385" s="40">
        <v>38044</v>
      </c>
      <c r="G3385" s="39">
        <v>4018.16</v>
      </c>
      <c r="H3385" s="39">
        <f t="shared" si="335"/>
        <v>5</v>
      </c>
      <c r="I3385" s="39">
        <f t="shared" si="336"/>
        <v>4018.16</v>
      </c>
      <c r="K3385" s="40"/>
      <c r="Q3385" s="40">
        <v>38044</v>
      </c>
      <c r="R3385" s="39">
        <v>4018.16</v>
      </c>
      <c r="S3385" s="39">
        <f t="shared" si="337"/>
        <v>2</v>
      </c>
      <c r="T3385" s="39">
        <f t="shared" si="338"/>
        <v>4018.16</v>
      </c>
      <c r="U3385" s="39">
        <f t="shared" si="339"/>
        <v>4018.16</v>
      </c>
      <c r="V3385" s="40"/>
    </row>
    <row r="3386" spans="2:22" x14ac:dyDescent="0.35">
      <c r="B3386" s="40">
        <v>38047</v>
      </c>
      <c r="C3386" s="39">
        <v>4054.43</v>
      </c>
      <c r="D3386" s="219">
        <f t="shared" si="340"/>
        <v>8.9860240796080463E-3</v>
      </c>
      <c r="F3386" s="40">
        <v>38047</v>
      </c>
      <c r="G3386" s="39">
        <v>4054.43</v>
      </c>
      <c r="H3386" s="39">
        <f t="shared" si="335"/>
        <v>1</v>
      </c>
      <c r="I3386" s="39">
        <f t="shared" si="336"/>
        <v>0</v>
      </c>
      <c r="K3386" s="40"/>
      <c r="Q3386" s="40">
        <v>38047</v>
      </c>
      <c r="R3386" s="39">
        <v>4054.43</v>
      </c>
      <c r="S3386" s="39">
        <f t="shared" si="337"/>
        <v>3</v>
      </c>
      <c r="T3386" s="39">
        <f t="shared" si="338"/>
        <v>0</v>
      </c>
      <c r="U3386" s="39">
        <f t="shared" si="339"/>
        <v>0</v>
      </c>
      <c r="V3386" s="40"/>
    </row>
    <row r="3387" spans="2:22" x14ac:dyDescent="0.35">
      <c r="B3387" s="40">
        <v>38048</v>
      </c>
      <c r="C3387" s="39">
        <v>4100.34</v>
      </c>
      <c r="D3387" s="219">
        <f t="shared" si="340"/>
        <v>1.1259786615396155E-2</v>
      </c>
      <c r="F3387" s="40">
        <v>38048</v>
      </c>
      <c r="G3387" s="39">
        <v>4100.34</v>
      </c>
      <c r="H3387" s="39">
        <f t="shared" si="335"/>
        <v>2</v>
      </c>
      <c r="I3387" s="39">
        <f t="shared" si="336"/>
        <v>0</v>
      </c>
      <c r="K3387" s="40"/>
      <c r="Q3387" s="40">
        <v>38048</v>
      </c>
      <c r="R3387" s="39">
        <v>4100.34</v>
      </c>
      <c r="S3387" s="39">
        <f t="shared" si="337"/>
        <v>3</v>
      </c>
      <c r="T3387" s="39">
        <f t="shared" si="338"/>
        <v>0</v>
      </c>
      <c r="U3387" s="39">
        <f t="shared" si="339"/>
        <v>0</v>
      </c>
      <c r="V3387" s="40"/>
    </row>
    <row r="3388" spans="2:22" x14ac:dyDescent="0.35">
      <c r="B3388" s="40">
        <v>38049</v>
      </c>
      <c r="C3388" s="39">
        <v>4071.7</v>
      </c>
      <c r="D3388" s="219">
        <f t="shared" si="340"/>
        <v>-7.0092944374563395E-3</v>
      </c>
      <c r="F3388" s="40">
        <v>38049</v>
      </c>
      <c r="G3388" s="39">
        <v>4071.7</v>
      </c>
      <c r="H3388" s="39">
        <f t="shared" si="335"/>
        <v>3</v>
      </c>
      <c r="I3388" s="39">
        <f t="shared" si="336"/>
        <v>0</v>
      </c>
      <c r="K3388" s="40"/>
      <c r="Q3388" s="40">
        <v>38049</v>
      </c>
      <c r="R3388" s="39">
        <v>4071.7</v>
      </c>
      <c r="S3388" s="39">
        <f t="shared" si="337"/>
        <v>3</v>
      </c>
      <c r="T3388" s="39">
        <f t="shared" si="338"/>
        <v>0</v>
      </c>
      <c r="U3388" s="39">
        <f t="shared" si="339"/>
        <v>0</v>
      </c>
      <c r="V3388" s="40"/>
    </row>
    <row r="3389" spans="2:22" x14ac:dyDescent="0.35">
      <c r="B3389" s="40">
        <v>38050</v>
      </c>
      <c r="C3389" s="39">
        <v>4133.78</v>
      </c>
      <c r="D3389" s="219">
        <f t="shared" si="340"/>
        <v>1.5131639956626464E-2</v>
      </c>
      <c r="F3389" s="40">
        <v>38050</v>
      </c>
      <c r="G3389" s="39">
        <v>4133.78</v>
      </c>
      <c r="H3389" s="39">
        <f t="shared" si="335"/>
        <v>4</v>
      </c>
      <c r="I3389" s="39">
        <f t="shared" si="336"/>
        <v>0</v>
      </c>
      <c r="K3389" s="40"/>
      <c r="Q3389" s="40">
        <v>38050</v>
      </c>
      <c r="R3389" s="39">
        <v>4133.78</v>
      </c>
      <c r="S3389" s="39">
        <f t="shared" si="337"/>
        <v>3</v>
      </c>
      <c r="T3389" s="39">
        <f t="shared" si="338"/>
        <v>0</v>
      </c>
      <c r="U3389" s="39">
        <f t="shared" si="339"/>
        <v>0</v>
      </c>
      <c r="V3389" s="40"/>
    </row>
    <row r="3390" spans="2:22" x14ac:dyDescent="0.35">
      <c r="B3390" s="40">
        <v>38051</v>
      </c>
      <c r="C3390" s="39">
        <v>4126.1400000000003</v>
      </c>
      <c r="D3390" s="219">
        <f t="shared" si="340"/>
        <v>-1.8498973788485132E-3</v>
      </c>
      <c r="F3390" s="40">
        <v>38051</v>
      </c>
      <c r="G3390" s="39">
        <v>4126.1400000000003</v>
      </c>
      <c r="H3390" s="39">
        <f t="shared" si="335"/>
        <v>5</v>
      </c>
      <c r="I3390" s="39">
        <f t="shared" si="336"/>
        <v>4126.1400000000003</v>
      </c>
      <c r="K3390" s="40"/>
      <c r="Q3390" s="40">
        <v>38051</v>
      </c>
      <c r="R3390" s="39">
        <v>4126.1400000000003</v>
      </c>
      <c r="S3390" s="39">
        <f t="shared" si="337"/>
        <v>3</v>
      </c>
      <c r="T3390" s="39">
        <f t="shared" si="338"/>
        <v>0</v>
      </c>
      <c r="U3390" s="39">
        <f t="shared" si="339"/>
        <v>0</v>
      </c>
      <c r="V3390" s="40"/>
    </row>
    <row r="3391" spans="2:22" x14ac:dyDescent="0.35">
      <c r="B3391" s="40">
        <v>38054</v>
      </c>
      <c r="C3391" s="39">
        <v>4145.99</v>
      </c>
      <c r="D3391" s="219">
        <f t="shared" si="340"/>
        <v>4.7992568057281509E-3</v>
      </c>
      <c r="F3391" s="40">
        <v>38054</v>
      </c>
      <c r="G3391" s="39">
        <v>4145.99</v>
      </c>
      <c r="H3391" s="39">
        <f t="shared" si="335"/>
        <v>1</v>
      </c>
      <c r="I3391" s="39">
        <f t="shared" si="336"/>
        <v>0</v>
      </c>
      <c r="K3391" s="40"/>
      <c r="Q3391" s="40">
        <v>38054</v>
      </c>
      <c r="R3391" s="39">
        <v>4145.99</v>
      </c>
      <c r="S3391" s="39">
        <f t="shared" si="337"/>
        <v>3</v>
      </c>
      <c r="T3391" s="39">
        <f t="shared" si="338"/>
        <v>0</v>
      </c>
      <c r="U3391" s="39">
        <f t="shared" si="339"/>
        <v>0</v>
      </c>
      <c r="V3391" s="40"/>
    </row>
    <row r="3392" spans="2:22" x14ac:dyDescent="0.35">
      <c r="B3392" s="40">
        <v>38055</v>
      </c>
      <c r="C3392" s="39">
        <v>4087.55</v>
      </c>
      <c r="D3392" s="219">
        <f t="shared" si="340"/>
        <v>-1.4195833482882251E-2</v>
      </c>
      <c r="F3392" s="40">
        <v>38055</v>
      </c>
      <c r="G3392" s="39">
        <v>4087.55</v>
      </c>
      <c r="H3392" s="39">
        <f t="shared" si="335"/>
        <v>2</v>
      </c>
      <c r="I3392" s="39">
        <f t="shared" si="336"/>
        <v>0</v>
      </c>
      <c r="K3392" s="40"/>
      <c r="Q3392" s="40">
        <v>38055</v>
      </c>
      <c r="R3392" s="39">
        <v>4087.55</v>
      </c>
      <c r="S3392" s="39">
        <f t="shared" si="337"/>
        <v>3</v>
      </c>
      <c r="T3392" s="39">
        <f t="shared" si="338"/>
        <v>0</v>
      </c>
      <c r="U3392" s="39">
        <f t="shared" si="339"/>
        <v>0</v>
      </c>
      <c r="V3392" s="40"/>
    </row>
    <row r="3393" spans="2:22" x14ac:dyDescent="0.35">
      <c r="B3393" s="40">
        <v>38056</v>
      </c>
      <c r="C3393" s="39">
        <v>4044.7</v>
      </c>
      <c r="D3393" s="219">
        <f t="shared" si="340"/>
        <v>-1.0538386440998812E-2</v>
      </c>
      <c r="F3393" s="40">
        <v>38056</v>
      </c>
      <c r="G3393" s="39">
        <v>4044.7</v>
      </c>
      <c r="H3393" s="39">
        <f t="shared" si="335"/>
        <v>3</v>
      </c>
      <c r="I3393" s="39">
        <f t="shared" si="336"/>
        <v>0</v>
      </c>
      <c r="K3393" s="40"/>
      <c r="Q3393" s="40">
        <v>38056</v>
      </c>
      <c r="R3393" s="39">
        <v>4044.7</v>
      </c>
      <c r="S3393" s="39">
        <f t="shared" si="337"/>
        <v>3</v>
      </c>
      <c r="T3393" s="39">
        <f t="shared" si="338"/>
        <v>0</v>
      </c>
      <c r="U3393" s="39">
        <f t="shared" si="339"/>
        <v>0</v>
      </c>
      <c r="V3393" s="40"/>
    </row>
    <row r="3394" spans="2:22" x14ac:dyDescent="0.35">
      <c r="B3394" s="40">
        <v>38057</v>
      </c>
      <c r="C3394" s="39">
        <v>3904.95</v>
      </c>
      <c r="D3394" s="219">
        <f t="shared" si="340"/>
        <v>-3.5162403011094766E-2</v>
      </c>
      <c r="F3394" s="40">
        <v>38057</v>
      </c>
      <c r="G3394" s="39">
        <v>3904.95</v>
      </c>
      <c r="H3394" s="39">
        <f t="shared" si="335"/>
        <v>4</v>
      </c>
      <c r="I3394" s="39">
        <f t="shared" si="336"/>
        <v>0</v>
      </c>
      <c r="K3394" s="40"/>
      <c r="Q3394" s="40">
        <v>38057</v>
      </c>
      <c r="R3394" s="39">
        <v>3904.95</v>
      </c>
      <c r="S3394" s="39">
        <f t="shared" si="337"/>
        <v>3</v>
      </c>
      <c r="T3394" s="39">
        <f t="shared" si="338"/>
        <v>0</v>
      </c>
      <c r="U3394" s="39">
        <f t="shared" si="339"/>
        <v>0</v>
      </c>
      <c r="V3394" s="40"/>
    </row>
    <row r="3395" spans="2:22" x14ac:dyDescent="0.35">
      <c r="B3395" s="40">
        <v>38058</v>
      </c>
      <c r="C3395" s="39">
        <v>3915.38</v>
      </c>
      <c r="D3395" s="219">
        <f t="shared" si="340"/>
        <v>2.6674081999552381E-3</v>
      </c>
      <c r="F3395" s="40">
        <v>38058</v>
      </c>
      <c r="G3395" s="39">
        <v>3915.38</v>
      </c>
      <c r="H3395" s="39">
        <f t="shared" si="335"/>
        <v>5</v>
      </c>
      <c r="I3395" s="39">
        <f t="shared" si="336"/>
        <v>3915.38</v>
      </c>
      <c r="K3395" s="40"/>
      <c r="Q3395" s="40">
        <v>38058</v>
      </c>
      <c r="R3395" s="39">
        <v>3915.38</v>
      </c>
      <c r="S3395" s="39">
        <f t="shared" si="337"/>
        <v>3</v>
      </c>
      <c r="T3395" s="39">
        <f t="shared" si="338"/>
        <v>0</v>
      </c>
      <c r="U3395" s="39">
        <f t="shared" si="339"/>
        <v>0</v>
      </c>
      <c r="V3395" s="40"/>
    </row>
    <row r="3396" spans="2:22" x14ac:dyDescent="0.35">
      <c r="B3396" s="40">
        <v>38061</v>
      </c>
      <c r="C3396" s="39">
        <v>3810.76</v>
      </c>
      <c r="D3396" s="219">
        <f t="shared" si="340"/>
        <v>-2.7083743000599337E-2</v>
      </c>
      <c r="F3396" s="40">
        <v>38061</v>
      </c>
      <c r="G3396" s="39">
        <v>3810.76</v>
      </c>
      <c r="H3396" s="39">
        <f t="shared" si="335"/>
        <v>1</v>
      </c>
      <c r="I3396" s="39">
        <f t="shared" si="336"/>
        <v>0</v>
      </c>
      <c r="K3396" s="40"/>
      <c r="Q3396" s="40">
        <v>38061</v>
      </c>
      <c r="R3396" s="39">
        <v>3810.76</v>
      </c>
      <c r="S3396" s="39">
        <f t="shared" si="337"/>
        <v>3</v>
      </c>
      <c r="T3396" s="39">
        <f t="shared" si="338"/>
        <v>0</v>
      </c>
      <c r="U3396" s="39">
        <f t="shared" si="339"/>
        <v>0</v>
      </c>
      <c r="V3396" s="40"/>
    </row>
    <row r="3397" spans="2:22" x14ac:dyDescent="0.35">
      <c r="B3397" s="40">
        <v>38062</v>
      </c>
      <c r="C3397" s="39">
        <v>3822.37</v>
      </c>
      <c r="D3397" s="219">
        <f t="shared" si="340"/>
        <v>3.0420047747235727E-3</v>
      </c>
      <c r="F3397" s="40">
        <v>38062</v>
      </c>
      <c r="G3397" s="39">
        <v>3822.37</v>
      </c>
      <c r="H3397" s="39">
        <f t="shared" si="335"/>
        <v>2</v>
      </c>
      <c r="I3397" s="39">
        <f t="shared" si="336"/>
        <v>0</v>
      </c>
      <c r="K3397" s="40"/>
      <c r="Q3397" s="40">
        <v>38062</v>
      </c>
      <c r="R3397" s="39">
        <v>3822.37</v>
      </c>
      <c r="S3397" s="39">
        <f t="shared" si="337"/>
        <v>3</v>
      </c>
      <c r="T3397" s="39">
        <f t="shared" si="338"/>
        <v>0</v>
      </c>
      <c r="U3397" s="39">
        <f t="shared" si="339"/>
        <v>0</v>
      </c>
      <c r="V3397" s="40"/>
    </row>
    <row r="3398" spans="2:22" x14ac:dyDescent="0.35">
      <c r="B3398" s="40">
        <v>38063</v>
      </c>
      <c r="C3398" s="39">
        <v>3896.79</v>
      </c>
      <c r="D3398" s="219">
        <f t="shared" si="340"/>
        <v>1.9282488212287712E-2</v>
      </c>
      <c r="F3398" s="40">
        <v>38063</v>
      </c>
      <c r="G3398" s="39">
        <v>3896.79</v>
      </c>
      <c r="H3398" s="39">
        <f t="shared" si="335"/>
        <v>3</v>
      </c>
      <c r="I3398" s="39">
        <f t="shared" si="336"/>
        <v>0</v>
      </c>
      <c r="K3398" s="40"/>
      <c r="Q3398" s="40">
        <v>38063</v>
      </c>
      <c r="R3398" s="39">
        <v>3896.79</v>
      </c>
      <c r="S3398" s="39">
        <f t="shared" si="337"/>
        <v>3</v>
      </c>
      <c r="T3398" s="39">
        <f t="shared" si="338"/>
        <v>0</v>
      </c>
      <c r="U3398" s="39">
        <f t="shared" si="339"/>
        <v>0</v>
      </c>
      <c r="V3398" s="40"/>
    </row>
    <row r="3399" spans="2:22" x14ac:dyDescent="0.35">
      <c r="B3399" s="40">
        <v>38064</v>
      </c>
      <c r="C3399" s="39">
        <v>3827.43</v>
      </c>
      <c r="D3399" s="219">
        <f t="shared" si="340"/>
        <v>-1.7959577616466816E-2</v>
      </c>
      <c r="F3399" s="40">
        <v>38064</v>
      </c>
      <c r="G3399" s="39">
        <v>3827.43</v>
      </c>
      <c r="H3399" s="39">
        <f t="shared" si="335"/>
        <v>4</v>
      </c>
      <c r="I3399" s="39">
        <f t="shared" si="336"/>
        <v>0</v>
      </c>
      <c r="K3399" s="40"/>
      <c r="Q3399" s="40">
        <v>38064</v>
      </c>
      <c r="R3399" s="39">
        <v>3827.43</v>
      </c>
      <c r="S3399" s="39">
        <f t="shared" si="337"/>
        <v>3</v>
      </c>
      <c r="T3399" s="39">
        <f t="shared" si="338"/>
        <v>0</v>
      </c>
      <c r="U3399" s="39">
        <f t="shared" si="339"/>
        <v>0</v>
      </c>
      <c r="V3399" s="40"/>
    </row>
    <row r="3400" spans="2:22" x14ac:dyDescent="0.35">
      <c r="B3400" s="40">
        <v>38065</v>
      </c>
      <c r="C3400" s="39">
        <v>3819.15</v>
      </c>
      <c r="D3400" s="219">
        <f t="shared" si="340"/>
        <v>-2.1656749124972612E-3</v>
      </c>
      <c r="F3400" s="40">
        <v>38065</v>
      </c>
      <c r="G3400" s="39">
        <v>3819.15</v>
      </c>
      <c r="H3400" s="39">
        <f t="shared" si="335"/>
        <v>5</v>
      </c>
      <c r="I3400" s="39">
        <f t="shared" si="336"/>
        <v>3819.15</v>
      </c>
      <c r="K3400" s="40"/>
      <c r="Q3400" s="40">
        <v>38065</v>
      </c>
      <c r="R3400" s="39">
        <v>3819.15</v>
      </c>
      <c r="S3400" s="39">
        <f t="shared" si="337"/>
        <v>3</v>
      </c>
      <c r="T3400" s="39">
        <f t="shared" si="338"/>
        <v>0</v>
      </c>
      <c r="U3400" s="39">
        <f t="shared" si="339"/>
        <v>0</v>
      </c>
      <c r="V3400" s="40"/>
    </row>
    <row r="3401" spans="2:22" x14ac:dyDescent="0.35">
      <c r="B3401" s="40">
        <v>38068</v>
      </c>
      <c r="C3401" s="39">
        <v>3729.23</v>
      </c>
      <c r="D3401" s="219">
        <f t="shared" si="340"/>
        <v>-2.3826106740894283E-2</v>
      </c>
      <c r="F3401" s="40">
        <v>38068</v>
      </c>
      <c r="G3401" s="39">
        <v>3729.23</v>
      </c>
      <c r="H3401" s="39">
        <f t="shared" si="335"/>
        <v>1</v>
      </c>
      <c r="I3401" s="39">
        <f t="shared" si="336"/>
        <v>0</v>
      </c>
      <c r="K3401" s="40"/>
      <c r="Q3401" s="40">
        <v>38068</v>
      </c>
      <c r="R3401" s="39">
        <v>3729.23</v>
      </c>
      <c r="S3401" s="39">
        <f t="shared" si="337"/>
        <v>3</v>
      </c>
      <c r="T3401" s="39">
        <f t="shared" si="338"/>
        <v>0</v>
      </c>
      <c r="U3401" s="39">
        <f t="shared" si="339"/>
        <v>0</v>
      </c>
      <c r="V3401" s="40"/>
    </row>
    <row r="3402" spans="2:22" x14ac:dyDescent="0.35">
      <c r="B3402" s="40">
        <v>38069</v>
      </c>
      <c r="C3402" s="39">
        <v>3728.82</v>
      </c>
      <c r="D3402" s="219">
        <f t="shared" si="340"/>
        <v>-1.0994831099622734E-4</v>
      </c>
      <c r="F3402" s="40">
        <v>38069</v>
      </c>
      <c r="G3402" s="39">
        <v>3728.82</v>
      </c>
      <c r="H3402" s="39">
        <f t="shared" si="335"/>
        <v>2</v>
      </c>
      <c r="I3402" s="39">
        <f t="shared" si="336"/>
        <v>0</v>
      </c>
      <c r="K3402" s="40"/>
      <c r="Q3402" s="40">
        <v>38069</v>
      </c>
      <c r="R3402" s="39">
        <v>3728.82</v>
      </c>
      <c r="S3402" s="39">
        <f t="shared" si="337"/>
        <v>3</v>
      </c>
      <c r="T3402" s="39">
        <f t="shared" si="338"/>
        <v>0</v>
      </c>
      <c r="U3402" s="39">
        <f t="shared" si="339"/>
        <v>0</v>
      </c>
      <c r="V3402" s="40"/>
    </row>
    <row r="3403" spans="2:22" x14ac:dyDescent="0.35">
      <c r="B3403" s="40">
        <v>38070</v>
      </c>
      <c r="C3403" s="39">
        <v>3726.07</v>
      </c>
      <c r="D3403" s="219">
        <f t="shared" si="340"/>
        <v>-7.3777081210772005E-4</v>
      </c>
      <c r="F3403" s="40">
        <v>38070</v>
      </c>
      <c r="G3403" s="39">
        <v>3726.07</v>
      </c>
      <c r="H3403" s="39">
        <f t="shared" si="335"/>
        <v>3</v>
      </c>
      <c r="I3403" s="39">
        <f t="shared" si="336"/>
        <v>0</v>
      </c>
      <c r="K3403" s="40"/>
      <c r="Q3403" s="40">
        <v>38070</v>
      </c>
      <c r="R3403" s="39">
        <v>3726.07</v>
      </c>
      <c r="S3403" s="39">
        <f t="shared" si="337"/>
        <v>3</v>
      </c>
      <c r="T3403" s="39">
        <f t="shared" si="338"/>
        <v>0</v>
      </c>
      <c r="U3403" s="39">
        <f t="shared" si="339"/>
        <v>0</v>
      </c>
      <c r="V3403" s="40"/>
    </row>
    <row r="3404" spans="2:22" x14ac:dyDescent="0.35">
      <c r="B3404" s="40">
        <v>38071</v>
      </c>
      <c r="C3404" s="39">
        <v>3811.92</v>
      </c>
      <c r="D3404" s="219">
        <f t="shared" si="340"/>
        <v>2.2778940307102306E-2</v>
      </c>
      <c r="F3404" s="40">
        <v>38071</v>
      </c>
      <c r="G3404" s="39">
        <v>3811.92</v>
      </c>
      <c r="H3404" s="39">
        <f t="shared" si="335"/>
        <v>4</v>
      </c>
      <c r="I3404" s="39">
        <f t="shared" si="336"/>
        <v>0</v>
      </c>
      <c r="K3404" s="40"/>
      <c r="Q3404" s="40">
        <v>38071</v>
      </c>
      <c r="R3404" s="39">
        <v>3811.92</v>
      </c>
      <c r="S3404" s="39">
        <f t="shared" si="337"/>
        <v>3</v>
      </c>
      <c r="T3404" s="39">
        <f t="shared" si="338"/>
        <v>0</v>
      </c>
      <c r="U3404" s="39">
        <f t="shared" si="339"/>
        <v>0</v>
      </c>
      <c r="V3404" s="40"/>
    </row>
    <row r="3405" spans="2:22" x14ac:dyDescent="0.35">
      <c r="B3405" s="40">
        <v>38072</v>
      </c>
      <c r="C3405" s="39">
        <v>3822.33</v>
      </c>
      <c r="D3405" s="219">
        <f t="shared" si="340"/>
        <v>2.7271851071326118E-3</v>
      </c>
      <c r="F3405" s="40">
        <v>38072</v>
      </c>
      <c r="G3405" s="39">
        <v>3822.33</v>
      </c>
      <c r="H3405" s="39">
        <f t="shared" si="335"/>
        <v>5</v>
      </c>
      <c r="I3405" s="39">
        <f t="shared" si="336"/>
        <v>3822.33</v>
      </c>
      <c r="K3405" s="40"/>
      <c r="Q3405" s="40">
        <v>38072</v>
      </c>
      <c r="R3405" s="39">
        <v>3822.33</v>
      </c>
      <c r="S3405" s="39">
        <f t="shared" si="337"/>
        <v>3</v>
      </c>
      <c r="T3405" s="39">
        <f t="shared" si="338"/>
        <v>0</v>
      </c>
      <c r="U3405" s="39">
        <f t="shared" si="339"/>
        <v>0</v>
      </c>
      <c r="V3405" s="40"/>
    </row>
    <row r="3406" spans="2:22" x14ac:dyDescent="0.35">
      <c r="B3406" s="40">
        <v>38075</v>
      </c>
      <c r="C3406" s="39">
        <v>3881.25</v>
      </c>
      <c r="D3406" s="219">
        <f t="shared" si="340"/>
        <v>1.5297082379646955E-2</v>
      </c>
      <c r="F3406" s="40">
        <v>38075</v>
      </c>
      <c r="G3406" s="39">
        <v>3881.25</v>
      </c>
      <c r="H3406" s="39">
        <f t="shared" si="335"/>
        <v>1</v>
      </c>
      <c r="I3406" s="39">
        <f t="shared" si="336"/>
        <v>0</v>
      </c>
      <c r="K3406" s="40"/>
      <c r="Q3406" s="40">
        <v>38075</v>
      </c>
      <c r="R3406" s="39">
        <v>3881.25</v>
      </c>
      <c r="S3406" s="39">
        <f t="shared" si="337"/>
        <v>3</v>
      </c>
      <c r="T3406" s="39">
        <f t="shared" si="338"/>
        <v>0</v>
      </c>
      <c r="U3406" s="39">
        <f t="shared" si="339"/>
        <v>0</v>
      </c>
      <c r="V3406" s="40"/>
    </row>
    <row r="3407" spans="2:22" x14ac:dyDescent="0.35">
      <c r="B3407" s="40">
        <v>38076</v>
      </c>
      <c r="C3407" s="39">
        <v>3874.04</v>
      </c>
      <c r="D3407" s="219">
        <f t="shared" si="340"/>
        <v>-1.8593765229280794E-3</v>
      </c>
      <c r="F3407" s="40">
        <v>38076</v>
      </c>
      <c r="G3407" s="39">
        <v>3874.04</v>
      </c>
      <c r="H3407" s="39">
        <f t="shared" si="335"/>
        <v>2</v>
      </c>
      <c r="I3407" s="39">
        <f t="shared" si="336"/>
        <v>0</v>
      </c>
      <c r="K3407" s="40"/>
      <c r="Q3407" s="40">
        <v>38076</v>
      </c>
      <c r="R3407" s="39">
        <v>3874.04</v>
      </c>
      <c r="S3407" s="39">
        <f t="shared" si="337"/>
        <v>3</v>
      </c>
      <c r="T3407" s="39">
        <f t="shared" si="338"/>
        <v>0</v>
      </c>
      <c r="U3407" s="39">
        <f t="shared" si="339"/>
        <v>0</v>
      </c>
      <c r="V3407" s="40"/>
    </row>
    <row r="3408" spans="2:22" x14ac:dyDescent="0.35">
      <c r="B3408" s="40">
        <v>38077</v>
      </c>
      <c r="C3408" s="39">
        <v>3856.7</v>
      </c>
      <c r="D3408" s="219">
        <f t="shared" si="340"/>
        <v>-4.4859946342482564E-3</v>
      </c>
      <c r="F3408" s="40">
        <v>38077</v>
      </c>
      <c r="G3408" s="39">
        <v>3856.7</v>
      </c>
      <c r="H3408" s="39">
        <f t="shared" si="335"/>
        <v>3</v>
      </c>
      <c r="I3408" s="39">
        <f t="shared" si="336"/>
        <v>0</v>
      </c>
      <c r="K3408" s="40"/>
      <c r="Q3408" s="40">
        <v>38077</v>
      </c>
      <c r="R3408" s="39">
        <v>3856.7</v>
      </c>
      <c r="S3408" s="39">
        <f t="shared" si="337"/>
        <v>3</v>
      </c>
      <c r="T3408" s="39">
        <f t="shared" si="338"/>
        <v>3856.7</v>
      </c>
      <c r="U3408" s="39">
        <f t="shared" si="339"/>
        <v>3856.7</v>
      </c>
      <c r="V3408" s="40"/>
    </row>
    <row r="3409" spans="2:22" x14ac:dyDescent="0.35">
      <c r="B3409" s="40">
        <v>38078</v>
      </c>
      <c r="C3409" s="39">
        <v>3924.85</v>
      </c>
      <c r="D3409" s="219">
        <f t="shared" si="340"/>
        <v>1.7516238401115262E-2</v>
      </c>
      <c r="F3409" s="40">
        <v>38078</v>
      </c>
      <c r="G3409" s="39">
        <v>3924.85</v>
      </c>
      <c r="H3409" s="39">
        <f t="shared" si="335"/>
        <v>4</v>
      </c>
      <c r="I3409" s="39">
        <f t="shared" si="336"/>
        <v>0</v>
      </c>
      <c r="K3409" s="40"/>
      <c r="Q3409" s="40">
        <v>38078</v>
      </c>
      <c r="R3409" s="39">
        <v>3924.85</v>
      </c>
      <c r="S3409" s="39">
        <f t="shared" si="337"/>
        <v>4</v>
      </c>
      <c r="T3409" s="39">
        <f t="shared" si="338"/>
        <v>0</v>
      </c>
      <c r="U3409" s="39">
        <f t="shared" si="339"/>
        <v>0</v>
      </c>
      <c r="V3409" s="40"/>
    </row>
    <row r="3410" spans="2:22" x14ac:dyDescent="0.35">
      <c r="B3410" s="40">
        <v>38079</v>
      </c>
      <c r="C3410" s="39">
        <v>4007.6</v>
      </c>
      <c r="D3410" s="219">
        <f t="shared" si="340"/>
        <v>2.0864424459379936E-2</v>
      </c>
      <c r="F3410" s="40">
        <v>38079</v>
      </c>
      <c r="G3410" s="39">
        <v>4007.6</v>
      </c>
      <c r="H3410" s="39">
        <f t="shared" si="335"/>
        <v>5</v>
      </c>
      <c r="I3410" s="39">
        <f t="shared" si="336"/>
        <v>4007.6</v>
      </c>
      <c r="K3410" s="40"/>
      <c r="Q3410" s="40">
        <v>38079</v>
      </c>
      <c r="R3410" s="39">
        <v>4007.6</v>
      </c>
      <c r="S3410" s="39">
        <f t="shared" si="337"/>
        <v>4</v>
      </c>
      <c r="T3410" s="39">
        <f t="shared" si="338"/>
        <v>0</v>
      </c>
      <c r="U3410" s="39">
        <f t="shared" si="339"/>
        <v>0</v>
      </c>
      <c r="V3410" s="40"/>
    </row>
    <row r="3411" spans="2:22" x14ac:dyDescent="0.35">
      <c r="B3411" s="40">
        <v>38082</v>
      </c>
      <c r="C3411" s="39">
        <v>4048.6</v>
      </c>
      <c r="D3411" s="219">
        <f t="shared" si="340"/>
        <v>1.0178583942369063E-2</v>
      </c>
      <c r="F3411" s="40">
        <v>38082</v>
      </c>
      <c r="G3411" s="39">
        <v>4048.6</v>
      </c>
      <c r="H3411" s="39">
        <f t="shared" si="335"/>
        <v>1</v>
      </c>
      <c r="I3411" s="39">
        <f t="shared" si="336"/>
        <v>0</v>
      </c>
      <c r="K3411" s="40"/>
      <c r="Q3411" s="40">
        <v>38082</v>
      </c>
      <c r="R3411" s="39">
        <v>4048.6</v>
      </c>
      <c r="S3411" s="39">
        <f t="shared" si="337"/>
        <v>4</v>
      </c>
      <c r="T3411" s="39">
        <f t="shared" si="338"/>
        <v>0</v>
      </c>
      <c r="U3411" s="39">
        <f t="shared" si="339"/>
        <v>0</v>
      </c>
      <c r="V3411" s="40"/>
    </row>
    <row r="3412" spans="2:22" x14ac:dyDescent="0.35">
      <c r="B3412" s="40">
        <v>38083</v>
      </c>
      <c r="C3412" s="39">
        <v>4022.81</v>
      </c>
      <c r="D3412" s="219">
        <f t="shared" si="340"/>
        <v>-6.390478929476558E-3</v>
      </c>
      <c r="F3412" s="40">
        <v>38083</v>
      </c>
      <c r="G3412" s="39">
        <v>4022.81</v>
      </c>
      <c r="H3412" s="39">
        <f t="shared" si="335"/>
        <v>2</v>
      </c>
      <c r="I3412" s="39">
        <f t="shared" si="336"/>
        <v>0</v>
      </c>
      <c r="K3412" s="40"/>
      <c r="Q3412" s="40">
        <v>38083</v>
      </c>
      <c r="R3412" s="39">
        <v>4022.81</v>
      </c>
      <c r="S3412" s="39">
        <f t="shared" si="337"/>
        <v>4</v>
      </c>
      <c r="T3412" s="39">
        <f t="shared" si="338"/>
        <v>0</v>
      </c>
      <c r="U3412" s="39">
        <f t="shared" si="339"/>
        <v>0</v>
      </c>
      <c r="V3412" s="40"/>
    </row>
    <row r="3413" spans="2:22" x14ac:dyDescent="0.35">
      <c r="B3413" s="40">
        <v>38084</v>
      </c>
      <c r="C3413" s="39">
        <v>4001.16</v>
      </c>
      <c r="D3413" s="219">
        <f t="shared" si="340"/>
        <v>-5.3963443378447721E-3</v>
      </c>
      <c r="F3413" s="40">
        <v>38084</v>
      </c>
      <c r="G3413" s="39">
        <v>4001.16</v>
      </c>
      <c r="H3413" s="39">
        <f t="shared" si="335"/>
        <v>3</v>
      </c>
      <c r="I3413" s="39">
        <f t="shared" si="336"/>
        <v>0</v>
      </c>
      <c r="K3413" s="40"/>
      <c r="Q3413" s="40">
        <v>38084</v>
      </c>
      <c r="R3413" s="39">
        <v>4001.16</v>
      </c>
      <c r="S3413" s="39">
        <f t="shared" si="337"/>
        <v>4</v>
      </c>
      <c r="T3413" s="39">
        <f t="shared" si="338"/>
        <v>0</v>
      </c>
      <c r="U3413" s="39">
        <f t="shared" si="339"/>
        <v>0</v>
      </c>
      <c r="V3413" s="40"/>
    </row>
    <row r="3414" spans="2:22" x14ac:dyDescent="0.35">
      <c r="B3414" s="40">
        <v>38085</v>
      </c>
      <c r="C3414" s="39">
        <v>4013.53</v>
      </c>
      <c r="D3414" s="219">
        <f t="shared" si="340"/>
        <v>3.086834256182404E-3</v>
      </c>
      <c r="F3414" s="40">
        <v>38085</v>
      </c>
      <c r="G3414" s="39">
        <v>4013.53</v>
      </c>
      <c r="H3414" s="39">
        <f t="shared" si="335"/>
        <v>4</v>
      </c>
      <c r="I3414" s="39">
        <f t="shared" si="336"/>
        <v>4013.53</v>
      </c>
      <c r="K3414" s="40"/>
      <c r="Q3414" s="40">
        <v>38085</v>
      </c>
      <c r="R3414" s="39">
        <v>4013.53</v>
      </c>
      <c r="S3414" s="39">
        <f t="shared" si="337"/>
        <v>4</v>
      </c>
      <c r="T3414" s="39">
        <f t="shared" si="338"/>
        <v>0</v>
      </c>
      <c r="U3414" s="39">
        <f t="shared" si="339"/>
        <v>0</v>
      </c>
      <c r="V3414" s="40"/>
    </row>
    <row r="3415" spans="2:22" x14ac:dyDescent="0.35">
      <c r="B3415" s="40">
        <v>38090</v>
      </c>
      <c r="C3415" s="39">
        <v>4071.42</v>
      </c>
      <c r="D3415" s="219">
        <f t="shared" si="340"/>
        <v>1.4320679619716616E-2</v>
      </c>
      <c r="F3415" s="40">
        <v>38090</v>
      </c>
      <c r="G3415" s="39">
        <v>4071.42</v>
      </c>
      <c r="H3415" s="39">
        <f t="shared" si="335"/>
        <v>2</v>
      </c>
      <c r="I3415" s="39">
        <f t="shared" si="336"/>
        <v>0</v>
      </c>
      <c r="K3415" s="40"/>
      <c r="Q3415" s="40">
        <v>38090</v>
      </c>
      <c r="R3415" s="39">
        <v>4071.42</v>
      </c>
      <c r="S3415" s="39">
        <f t="shared" si="337"/>
        <v>4</v>
      </c>
      <c r="T3415" s="39">
        <f t="shared" si="338"/>
        <v>0</v>
      </c>
      <c r="U3415" s="39">
        <f t="shared" si="339"/>
        <v>0</v>
      </c>
      <c r="V3415" s="40"/>
    </row>
    <row r="3416" spans="2:22" x14ac:dyDescent="0.35">
      <c r="B3416" s="40">
        <v>38091</v>
      </c>
      <c r="C3416" s="39">
        <v>4012.77</v>
      </c>
      <c r="D3416" s="219">
        <f t="shared" si="340"/>
        <v>-1.4510057042008832E-2</v>
      </c>
      <c r="F3416" s="40">
        <v>38091</v>
      </c>
      <c r="G3416" s="39">
        <v>4012.77</v>
      </c>
      <c r="H3416" s="39">
        <f t="shared" si="335"/>
        <v>3</v>
      </c>
      <c r="I3416" s="39">
        <f t="shared" si="336"/>
        <v>0</v>
      </c>
      <c r="K3416" s="40"/>
      <c r="Q3416" s="40">
        <v>38091</v>
      </c>
      <c r="R3416" s="39">
        <v>4012.77</v>
      </c>
      <c r="S3416" s="39">
        <f t="shared" si="337"/>
        <v>4</v>
      </c>
      <c r="T3416" s="39">
        <f t="shared" si="338"/>
        <v>0</v>
      </c>
      <c r="U3416" s="39">
        <f t="shared" si="339"/>
        <v>0</v>
      </c>
      <c r="V3416" s="40"/>
    </row>
    <row r="3417" spans="2:22" x14ac:dyDescent="0.35">
      <c r="B3417" s="40">
        <v>38092</v>
      </c>
      <c r="C3417" s="39">
        <v>4004.61</v>
      </c>
      <c r="D3417" s="219">
        <f t="shared" si="340"/>
        <v>-2.0355784103120588E-3</v>
      </c>
      <c r="F3417" s="40">
        <v>38092</v>
      </c>
      <c r="G3417" s="39">
        <v>4004.61</v>
      </c>
      <c r="H3417" s="39">
        <f t="shared" si="335"/>
        <v>4</v>
      </c>
      <c r="I3417" s="39">
        <f t="shared" si="336"/>
        <v>0</v>
      </c>
      <c r="K3417" s="40"/>
      <c r="Q3417" s="40">
        <v>38092</v>
      </c>
      <c r="R3417" s="39">
        <v>4004.61</v>
      </c>
      <c r="S3417" s="39">
        <f t="shared" si="337"/>
        <v>4</v>
      </c>
      <c r="T3417" s="39">
        <f t="shared" si="338"/>
        <v>0</v>
      </c>
      <c r="U3417" s="39">
        <f t="shared" si="339"/>
        <v>0</v>
      </c>
      <c r="V3417" s="40"/>
    </row>
    <row r="3418" spans="2:22" x14ac:dyDescent="0.35">
      <c r="B3418" s="40">
        <v>38093</v>
      </c>
      <c r="C3418" s="39">
        <v>4033.98</v>
      </c>
      <c r="D3418" s="219">
        <f t="shared" si="340"/>
        <v>7.3072841599277341E-3</v>
      </c>
      <c r="F3418" s="40">
        <v>38093</v>
      </c>
      <c r="G3418" s="39">
        <v>4033.98</v>
      </c>
      <c r="H3418" s="39">
        <f t="shared" si="335"/>
        <v>5</v>
      </c>
      <c r="I3418" s="39">
        <f t="shared" si="336"/>
        <v>4033.98</v>
      </c>
      <c r="K3418" s="40"/>
      <c r="Q3418" s="40">
        <v>38093</v>
      </c>
      <c r="R3418" s="39">
        <v>4033.98</v>
      </c>
      <c r="S3418" s="39">
        <f t="shared" si="337"/>
        <v>4</v>
      </c>
      <c r="T3418" s="39">
        <f t="shared" si="338"/>
        <v>0</v>
      </c>
      <c r="U3418" s="39">
        <f t="shared" si="339"/>
        <v>0</v>
      </c>
      <c r="V3418" s="40"/>
    </row>
    <row r="3419" spans="2:22" x14ac:dyDescent="0.35">
      <c r="B3419" s="40">
        <v>38096</v>
      </c>
      <c r="C3419" s="39">
        <v>4025.07</v>
      </c>
      <c r="D3419" s="219">
        <f t="shared" si="340"/>
        <v>-2.2111796378769329E-3</v>
      </c>
      <c r="F3419" s="40">
        <v>38096</v>
      </c>
      <c r="G3419" s="39">
        <v>4025.07</v>
      </c>
      <c r="H3419" s="39">
        <f t="shared" si="335"/>
        <v>1</v>
      </c>
      <c r="I3419" s="39">
        <f t="shared" si="336"/>
        <v>0</v>
      </c>
      <c r="K3419" s="40"/>
      <c r="Q3419" s="40">
        <v>38096</v>
      </c>
      <c r="R3419" s="39">
        <v>4025.07</v>
      </c>
      <c r="S3419" s="39">
        <f t="shared" si="337"/>
        <v>4</v>
      </c>
      <c r="T3419" s="39">
        <f t="shared" si="338"/>
        <v>0</v>
      </c>
      <c r="U3419" s="39">
        <f t="shared" si="339"/>
        <v>0</v>
      </c>
      <c r="V3419" s="40"/>
    </row>
    <row r="3420" spans="2:22" x14ac:dyDescent="0.35">
      <c r="B3420" s="40">
        <v>38097</v>
      </c>
      <c r="C3420" s="39">
        <v>4061.13</v>
      </c>
      <c r="D3420" s="219">
        <f t="shared" si="340"/>
        <v>8.9189579878946879E-3</v>
      </c>
      <c r="F3420" s="40">
        <v>38097</v>
      </c>
      <c r="G3420" s="39">
        <v>4061.13</v>
      </c>
      <c r="H3420" s="39">
        <f t="shared" si="335"/>
        <v>2</v>
      </c>
      <c r="I3420" s="39">
        <f t="shared" si="336"/>
        <v>0</v>
      </c>
      <c r="K3420" s="40"/>
      <c r="Q3420" s="40">
        <v>38097</v>
      </c>
      <c r="R3420" s="39">
        <v>4061.13</v>
      </c>
      <c r="S3420" s="39">
        <f t="shared" si="337"/>
        <v>4</v>
      </c>
      <c r="T3420" s="39">
        <f t="shared" si="338"/>
        <v>0</v>
      </c>
      <c r="U3420" s="39">
        <f t="shared" si="339"/>
        <v>0</v>
      </c>
      <c r="V3420" s="40"/>
    </row>
    <row r="3421" spans="2:22" x14ac:dyDescent="0.35">
      <c r="B3421" s="40">
        <v>38098</v>
      </c>
      <c r="C3421" s="39">
        <v>4026.15</v>
      </c>
      <c r="D3421" s="219">
        <f t="shared" si="340"/>
        <v>-8.6506756638549138E-3</v>
      </c>
      <c r="F3421" s="40">
        <v>38098</v>
      </c>
      <c r="G3421" s="39">
        <v>4026.15</v>
      </c>
      <c r="H3421" s="39">
        <f t="shared" si="335"/>
        <v>3</v>
      </c>
      <c r="I3421" s="39">
        <f t="shared" si="336"/>
        <v>0</v>
      </c>
      <c r="K3421" s="40"/>
      <c r="Q3421" s="40">
        <v>38098</v>
      </c>
      <c r="R3421" s="39">
        <v>4026.15</v>
      </c>
      <c r="S3421" s="39">
        <f t="shared" si="337"/>
        <v>4</v>
      </c>
      <c r="T3421" s="39">
        <f t="shared" si="338"/>
        <v>0</v>
      </c>
      <c r="U3421" s="39">
        <f t="shared" si="339"/>
        <v>0</v>
      </c>
      <c r="V3421" s="40"/>
    </row>
    <row r="3422" spans="2:22" x14ac:dyDescent="0.35">
      <c r="B3422" s="40">
        <v>38099</v>
      </c>
      <c r="C3422" s="39">
        <v>4059.15</v>
      </c>
      <c r="D3422" s="219">
        <f t="shared" si="340"/>
        <v>8.163007741261023E-3</v>
      </c>
      <c r="F3422" s="40">
        <v>38099</v>
      </c>
      <c r="G3422" s="39">
        <v>4059.15</v>
      </c>
      <c r="H3422" s="39">
        <f t="shared" si="335"/>
        <v>4</v>
      </c>
      <c r="I3422" s="39">
        <f t="shared" si="336"/>
        <v>0</v>
      </c>
      <c r="K3422" s="40"/>
      <c r="Q3422" s="40">
        <v>38099</v>
      </c>
      <c r="R3422" s="39">
        <v>4059.15</v>
      </c>
      <c r="S3422" s="39">
        <f t="shared" si="337"/>
        <v>4</v>
      </c>
      <c r="T3422" s="39">
        <f t="shared" si="338"/>
        <v>0</v>
      </c>
      <c r="U3422" s="39">
        <f t="shared" si="339"/>
        <v>0</v>
      </c>
      <c r="V3422" s="40"/>
    </row>
    <row r="3423" spans="2:22" x14ac:dyDescent="0.35">
      <c r="B3423" s="40">
        <v>38100</v>
      </c>
      <c r="C3423" s="39">
        <v>4103.62</v>
      </c>
      <c r="D3423" s="219">
        <f t="shared" si="340"/>
        <v>1.0895918899968797E-2</v>
      </c>
      <c r="F3423" s="40">
        <v>38100</v>
      </c>
      <c r="G3423" s="39">
        <v>4103.62</v>
      </c>
      <c r="H3423" s="39">
        <f t="shared" si="335"/>
        <v>5</v>
      </c>
      <c r="I3423" s="39">
        <f t="shared" si="336"/>
        <v>4103.62</v>
      </c>
      <c r="K3423" s="40"/>
      <c r="Q3423" s="40">
        <v>38100</v>
      </c>
      <c r="R3423" s="39">
        <v>4103.62</v>
      </c>
      <c r="S3423" s="39">
        <f t="shared" si="337"/>
        <v>4</v>
      </c>
      <c r="T3423" s="39">
        <f t="shared" si="338"/>
        <v>0</v>
      </c>
      <c r="U3423" s="39">
        <f t="shared" si="339"/>
        <v>0</v>
      </c>
      <c r="V3423" s="40"/>
    </row>
    <row r="3424" spans="2:22" x14ac:dyDescent="0.35">
      <c r="B3424" s="40">
        <v>38103</v>
      </c>
      <c r="C3424" s="39">
        <v>4125.83</v>
      </c>
      <c r="D3424" s="219">
        <f t="shared" si="340"/>
        <v>5.3977006784954517E-3</v>
      </c>
      <c r="F3424" s="40">
        <v>38103</v>
      </c>
      <c r="G3424" s="39">
        <v>4125.83</v>
      </c>
      <c r="H3424" s="39">
        <f t="shared" si="335"/>
        <v>1</v>
      </c>
      <c r="I3424" s="39">
        <f t="shared" si="336"/>
        <v>0</v>
      </c>
      <c r="K3424" s="40"/>
      <c r="Q3424" s="40">
        <v>38103</v>
      </c>
      <c r="R3424" s="39">
        <v>4125.83</v>
      </c>
      <c r="S3424" s="39">
        <f t="shared" si="337"/>
        <v>4</v>
      </c>
      <c r="T3424" s="39">
        <f t="shared" si="338"/>
        <v>0</v>
      </c>
      <c r="U3424" s="39">
        <f t="shared" si="339"/>
        <v>0</v>
      </c>
      <c r="V3424" s="40"/>
    </row>
    <row r="3425" spans="2:22" x14ac:dyDescent="0.35">
      <c r="B3425" s="40">
        <v>38104</v>
      </c>
      <c r="C3425" s="39">
        <v>4134.1000000000004</v>
      </c>
      <c r="D3425" s="219">
        <f t="shared" si="340"/>
        <v>2.0024389464304597E-3</v>
      </c>
      <c r="F3425" s="40">
        <v>38104</v>
      </c>
      <c r="G3425" s="39">
        <v>4134.1000000000004</v>
      </c>
      <c r="H3425" s="39">
        <f t="shared" si="335"/>
        <v>2</v>
      </c>
      <c r="I3425" s="39">
        <f t="shared" si="336"/>
        <v>0</v>
      </c>
      <c r="K3425" s="40"/>
      <c r="Q3425" s="40">
        <v>38104</v>
      </c>
      <c r="R3425" s="39">
        <v>4134.1000000000004</v>
      </c>
      <c r="S3425" s="39">
        <f t="shared" si="337"/>
        <v>4</v>
      </c>
      <c r="T3425" s="39">
        <f t="shared" si="338"/>
        <v>0</v>
      </c>
      <c r="U3425" s="39">
        <f t="shared" si="339"/>
        <v>0</v>
      </c>
      <c r="V3425" s="40"/>
    </row>
    <row r="3426" spans="2:22" x14ac:dyDescent="0.35">
      <c r="B3426" s="40">
        <v>38105</v>
      </c>
      <c r="C3426" s="39">
        <v>4065.74</v>
      </c>
      <c r="D3426" s="219">
        <f t="shared" si="340"/>
        <v>-1.6673882361252446E-2</v>
      </c>
      <c r="F3426" s="40">
        <v>38105</v>
      </c>
      <c r="G3426" s="39">
        <v>4065.74</v>
      </c>
      <c r="H3426" s="39">
        <f t="shared" si="335"/>
        <v>3</v>
      </c>
      <c r="I3426" s="39">
        <f t="shared" si="336"/>
        <v>0</v>
      </c>
      <c r="K3426" s="40"/>
      <c r="Q3426" s="40">
        <v>38105</v>
      </c>
      <c r="R3426" s="39">
        <v>4065.74</v>
      </c>
      <c r="S3426" s="39">
        <f t="shared" si="337"/>
        <v>4</v>
      </c>
      <c r="T3426" s="39">
        <f t="shared" si="338"/>
        <v>0</v>
      </c>
      <c r="U3426" s="39">
        <f t="shared" si="339"/>
        <v>0</v>
      </c>
      <c r="V3426" s="40"/>
    </row>
    <row r="3427" spans="2:22" x14ac:dyDescent="0.35">
      <c r="B3427" s="40">
        <v>38106</v>
      </c>
      <c r="C3427" s="39">
        <v>4008.91</v>
      </c>
      <c r="D3427" s="219">
        <f t="shared" si="340"/>
        <v>-1.4076384332864676E-2</v>
      </c>
      <c r="F3427" s="40">
        <v>38106</v>
      </c>
      <c r="G3427" s="39">
        <v>4008.91</v>
      </c>
      <c r="H3427" s="39">
        <f t="shared" si="335"/>
        <v>4</v>
      </c>
      <c r="I3427" s="39">
        <f t="shared" si="336"/>
        <v>0</v>
      </c>
      <c r="K3427" s="40"/>
      <c r="Q3427" s="40">
        <v>38106</v>
      </c>
      <c r="R3427" s="39">
        <v>4008.91</v>
      </c>
      <c r="S3427" s="39">
        <f t="shared" si="337"/>
        <v>4</v>
      </c>
      <c r="T3427" s="39">
        <f t="shared" si="338"/>
        <v>0</v>
      </c>
      <c r="U3427" s="39">
        <f t="shared" si="339"/>
        <v>0</v>
      </c>
      <c r="V3427" s="40"/>
    </row>
    <row r="3428" spans="2:22" x14ac:dyDescent="0.35">
      <c r="B3428" s="40">
        <v>38107</v>
      </c>
      <c r="C3428" s="39">
        <v>3985.21</v>
      </c>
      <c r="D3428" s="219">
        <f t="shared" si="340"/>
        <v>-5.9293754499577323E-3</v>
      </c>
      <c r="F3428" s="40">
        <v>38107</v>
      </c>
      <c r="G3428" s="39">
        <v>3985.21</v>
      </c>
      <c r="H3428" s="39">
        <f t="shared" si="335"/>
        <v>5</v>
      </c>
      <c r="I3428" s="39">
        <f t="shared" si="336"/>
        <v>3985.21</v>
      </c>
      <c r="K3428" s="40"/>
      <c r="Q3428" s="40">
        <v>38107</v>
      </c>
      <c r="R3428" s="39">
        <v>3985.21</v>
      </c>
      <c r="S3428" s="39">
        <f t="shared" si="337"/>
        <v>4</v>
      </c>
      <c r="T3428" s="39">
        <f t="shared" si="338"/>
        <v>3985.21</v>
      </c>
      <c r="U3428" s="39">
        <f t="shared" si="339"/>
        <v>3985.21</v>
      </c>
      <c r="V3428" s="40"/>
    </row>
    <row r="3429" spans="2:22" x14ac:dyDescent="0.35">
      <c r="B3429" s="40">
        <v>38110</v>
      </c>
      <c r="C3429" s="39">
        <v>4007.65</v>
      </c>
      <c r="D3429" s="219">
        <f t="shared" si="340"/>
        <v>5.6150261504140124E-3</v>
      </c>
      <c r="F3429" s="40">
        <v>38110</v>
      </c>
      <c r="G3429" s="39">
        <v>4007.65</v>
      </c>
      <c r="H3429" s="39">
        <f t="shared" si="335"/>
        <v>1</v>
      </c>
      <c r="I3429" s="39">
        <f t="shared" si="336"/>
        <v>0</v>
      </c>
      <c r="K3429" s="40"/>
      <c r="Q3429" s="40">
        <v>38110</v>
      </c>
      <c r="R3429" s="39">
        <v>4007.65</v>
      </c>
      <c r="S3429" s="39">
        <f t="shared" si="337"/>
        <v>5</v>
      </c>
      <c r="T3429" s="39">
        <f t="shared" si="338"/>
        <v>0</v>
      </c>
      <c r="U3429" s="39">
        <f t="shared" si="339"/>
        <v>0</v>
      </c>
      <c r="V3429" s="40"/>
    </row>
    <row r="3430" spans="2:22" x14ac:dyDescent="0.35">
      <c r="B3430" s="40">
        <v>38111</v>
      </c>
      <c r="C3430" s="39">
        <v>3990.75</v>
      </c>
      <c r="D3430" s="219">
        <f t="shared" si="340"/>
        <v>-4.2258514577306313E-3</v>
      </c>
      <c r="F3430" s="40">
        <v>38111</v>
      </c>
      <c r="G3430" s="39">
        <v>3990.75</v>
      </c>
      <c r="H3430" s="39">
        <f t="shared" si="335"/>
        <v>2</v>
      </c>
      <c r="I3430" s="39">
        <f t="shared" si="336"/>
        <v>0</v>
      </c>
      <c r="K3430" s="40"/>
      <c r="Q3430" s="40">
        <v>38111</v>
      </c>
      <c r="R3430" s="39">
        <v>3990.75</v>
      </c>
      <c r="S3430" s="39">
        <f t="shared" si="337"/>
        <v>5</v>
      </c>
      <c r="T3430" s="39">
        <f t="shared" si="338"/>
        <v>0</v>
      </c>
      <c r="U3430" s="39">
        <f t="shared" si="339"/>
        <v>0</v>
      </c>
      <c r="V3430" s="40"/>
    </row>
    <row r="3431" spans="2:22" x14ac:dyDescent="0.35">
      <c r="B3431" s="40">
        <v>38112</v>
      </c>
      <c r="C3431" s="39">
        <v>4022.1</v>
      </c>
      <c r="D3431" s="219">
        <f t="shared" si="340"/>
        <v>7.824971131036822E-3</v>
      </c>
      <c r="F3431" s="40">
        <v>38112</v>
      </c>
      <c r="G3431" s="39">
        <v>4022.1</v>
      </c>
      <c r="H3431" s="39">
        <f t="shared" si="335"/>
        <v>3</v>
      </c>
      <c r="I3431" s="39">
        <f t="shared" si="336"/>
        <v>0</v>
      </c>
      <c r="K3431" s="40"/>
      <c r="Q3431" s="40">
        <v>38112</v>
      </c>
      <c r="R3431" s="39">
        <v>4022.1</v>
      </c>
      <c r="S3431" s="39">
        <f t="shared" si="337"/>
        <v>5</v>
      </c>
      <c r="T3431" s="39">
        <f t="shared" si="338"/>
        <v>0</v>
      </c>
      <c r="U3431" s="39">
        <f t="shared" si="339"/>
        <v>0</v>
      </c>
      <c r="V3431" s="40"/>
    </row>
    <row r="3432" spans="2:22" x14ac:dyDescent="0.35">
      <c r="B3432" s="40">
        <v>38113</v>
      </c>
      <c r="C3432" s="39">
        <v>3909.46</v>
      </c>
      <c r="D3432" s="219">
        <f t="shared" si="340"/>
        <v>-2.8404897250801028E-2</v>
      </c>
      <c r="F3432" s="40">
        <v>38113</v>
      </c>
      <c r="G3432" s="39">
        <v>3909.46</v>
      </c>
      <c r="H3432" s="39">
        <f t="shared" si="335"/>
        <v>4</v>
      </c>
      <c r="I3432" s="39">
        <f t="shared" si="336"/>
        <v>0</v>
      </c>
      <c r="K3432" s="40"/>
      <c r="Q3432" s="40">
        <v>38113</v>
      </c>
      <c r="R3432" s="39">
        <v>3909.46</v>
      </c>
      <c r="S3432" s="39">
        <f t="shared" si="337"/>
        <v>5</v>
      </c>
      <c r="T3432" s="39">
        <f t="shared" si="338"/>
        <v>0</v>
      </c>
      <c r="U3432" s="39">
        <f t="shared" si="339"/>
        <v>0</v>
      </c>
      <c r="V3432" s="40"/>
    </row>
    <row r="3433" spans="2:22" x14ac:dyDescent="0.35">
      <c r="B3433" s="40">
        <v>38114</v>
      </c>
      <c r="C3433" s="39">
        <v>3895.64</v>
      </c>
      <c r="D3433" s="219">
        <f t="shared" si="340"/>
        <v>-3.5412779958349122E-3</v>
      </c>
      <c r="F3433" s="40">
        <v>38114</v>
      </c>
      <c r="G3433" s="39">
        <v>3895.64</v>
      </c>
      <c r="H3433" s="39">
        <f t="shared" si="335"/>
        <v>5</v>
      </c>
      <c r="I3433" s="39">
        <f t="shared" si="336"/>
        <v>3895.64</v>
      </c>
      <c r="K3433" s="40"/>
      <c r="Q3433" s="40">
        <v>38114</v>
      </c>
      <c r="R3433" s="39">
        <v>3895.64</v>
      </c>
      <c r="S3433" s="39">
        <f t="shared" si="337"/>
        <v>5</v>
      </c>
      <c r="T3433" s="39">
        <f t="shared" si="338"/>
        <v>0</v>
      </c>
      <c r="U3433" s="39">
        <f t="shared" si="339"/>
        <v>0</v>
      </c>
      <c r="V3433" s="40"/>
    </row>
    <row r="3434" spans="2:22" x14ac:dyDescent="0.35">
      <c r="B3434" s="40">
        <v>38117</v>
      </c>
      <c r="C3434" s="39">
        <v>3784.61</v>
      </c>
      <c r="D3434" s="219">
        <f t="shared" si="340"/>
        <v>-2.8915135775366269E-2</v>
      </c>
      <c r="F3434" s="40">
        <v>38117</v>
      </c>
      <c r="G3434" s="39">
        <v>3784.61</v>
      </c>
      <c r="H3434" s="39">
        <f t="shared" si="335"/>
        <v>1</v>
      </c>
      <c r="I3434" s="39">
        <f t="shared" si="336"/>
        <v>0</v>
      </c>
      <c r="K3434" s="40"/>
      <c r="Q3434" s="40">
        <v>38117</v>
      </c>
      <c r="R3434" s="39">
        <v>3784.61</v>
      </c>
      <c r="S3434" s="39">
        <f t="shared" si="337"/>
        <v>5</v>
      </c>
      <c r="T3434" s="39">
        <f t="shared" si="338"/>
        <v>0</v>
      </c>
      <c r="U3434" s="39">
        <f t="shared" si="339"/>
        <v>0</v>
      </c>
      <c r="V3434" s="40"/>
    </row>
    <row r="3435" spans="2:22" x14ac:dyDescent="0.35">
      <c r="B3435" s="40">
        <v>38118</v>
      </c>
      <c r="C3435" s="39">
        <v>3849.84</v>
      </c>
      <c r="D3435" s="219">
        <f t="shared" si="340"/>
        <v>1.7088745723072608E-2</v>
      </c>
      <c r="F3435" s="40">
        <v>38118</v>
      </c>
      <c r="G3435" s="39">
        <v>3849.84</v>
      </c>
      <c r="H3435" s="39">
        <f t="shared" si="335"/>
        <v>2</v>
      </c>
      <c r="I3435" s="39">
        <f t="shared" si="336"/>
        <v>0</v>
      </c>
      <c r="K3435" s="40"/>
      <c r="Q3435" s="40">
        <v>38118</v>
      </c>
      <c r="R3435" s="39">
        <v>3849.84</v>
      </c>
      <c r="S3435" s="39">
        <f t="shared" si="337"/>
        <v>5</v>
      </c>
      <c r="T3435" s="39">
        <f t="shared" si="338"/>
        <v>0</v>
      </c>
      <c r="U3435" s="39">
        <f t="shared" si="339"/>
        <v>0</v>
      </c>
      <c r="V3435" s="40"/>
    </row>
    <row r="3436" spans="2:22" x14ac:dyDescent="0.35">
      <c r="B3436" s="40">
        <v>38119</v>
      </c>
      <c r="C3436" s="39">
        <v>3776.24</v>
      </c>
      <c r="D3436" s="219">
        <f t="shared" si="340"/>
        <v>-1.9302783409078466E-2</v>
      </c>
      <c r="F3436" s="40">
        <v>38119</v>
      </c>
      <c r="G3436" s="39">
        <v>3776.24</v>
      </c>
      <c r="H3436" s="39">
        <f t="shared" si="335"/>
        <v>3</v>
      </c>
      <c r="I3436" s="39">
        <f t="shared" si="336"/>
        <v>0</v>
      </c>
      <c r="K3436" s="40"/>
      <c r="Q3436" s="40">
        <v>38119</v>
      </c>
      <c r="R3436" s="39">
        <v>3776.24</v>
      </c>
      <c r="S3436" s="39">
        <f t="shared" si="337"/>
        <v>5</v>
      </c>
      <c r="T3436" s="39">
        <f t="shared" si="338"/>
        <v>0</v>
      </c>
      <c r="U3436" s="39">
        <f t="shared" si="339"/>
        <v>0</v>
      </c>
      <c r="V3436" s="40"/>
    </row>
    <row r="3437" spans="2:22" x14ac:dyDescent="0.35">
      <c r="B3437" s="40">
        <v>38120</v>
      </c>
      <c r="C3437" s="39">
        <v>3824.93</v>
      </c>
      <c r="D3437" s="219">
        <f t="shared" si="340"/>
        <v>1.2811360871965277E-2</v>
      </c>
      <c r="F3437" s="40">
        <v>38120</v>
      </c>
      <c r="G3437" s="39">
        <v>3824.93</v>
      </c>
      <c r="H3437" s="39">
        <f t="shared" si="335"/>
        <v>4</v>
      </c>
      <c r="I3437" s="39">
        <f t="shared" si="336"/>
        <v>0</v>
      </c>
      <c r="K3437" s="40"/>
      <c r="Q3437" s="40">
        <v>38120</v>
      </c>
      <c r="R3437" s="39">
        <v>3824.93</v>
      </c>
      <c r="S3437" s="39">
        <f t="shared" si="337"/>
        <v>5</v>
      </c>
      <c r="T3437" s="39">
        <f t="shared" si="338"/>
        <v>0</v>
      </c>
      <c r="U3437" s="39">
        <f t="shared" si="339"/>
        <v>0</v>
      </c>
      <c r="V3437" s="40"/>
    </row>
    <row r="3438" spans="2:22" x14ac:dyDescent="0.35">
      <c r="B3438" s="40">
        <v>38121</v>
      </c>
      <c r="C3438" s="39">
        <v>3803.1</v>
      </c>
      <c r="D3438" s="219">
        <f t="shared" si="340"/>
        <v>-5.7236428267917533E-3</v>
      </c>
      <c r="F3438" s="40">
        <v>38121</v>
      </c>
      <c r="G3438" s="39">
        <v>3803.1</v>
      </c>
      <c r="H3438" s="39">
        <f t="shared" si="335"/>
        <v>5</v>
      </c>
      <c r="I3438" s="39">
        <f t="shared" si="336"/>
        <v>3803.1</v>
      </c>
      <c r="K3438" s="40"/>
      <c r="Q3438" s="40">
        <v>38121</v>
      </c>
      <c r="R3438" s="39">
        <v>3803.1</v>
      </c>
      <c r="S3438" s="39">
        <f t="shared" si="337"/>
        <v>5</v>
      </c>
      <c r="T3438" s="39">
        <f t="shared" si="338"/>
        <v>0</v>
      </c>
      <c r="U3438" s="39">
        <f t="shared" si="339"/>
        <v>0</v>
      </c>
      <c r="V3438" s="40"/>
    </row>
    <row r="3439" spans="2:22" x14ac:dyDescent="0.35">
      <c r="B3439" s="40">
        <v>38124</v>
      </c>
      <c r="C3439" s="39">
        <v>3754.37</v>
      </c>
      <c r="D3439" s="219">
        <f t="shared" si="340"/>
        <v>-1.2896028788842074E-2</v>
      </c>
      <c r="F3439" s="40">
        <v>38124</v>
      </c>
      <c r="G3439" s="39">
        <v>3754.37</v>
      </c>
      <c r="H3439" s="39">
        <f t="shared" si="335"/>
        <v>1</v>
      </c>
      <c r="I3439" s="39">
        <f t="shared" si="336"/>
        <v>0</v>
      </c>
      <c r="K3439" s="40"/>
      <c r="Q3439" s="40">
        <v>38124</v>
      </c>
      <c r="R3439" s="39">
        <v>3754.37</v>
      </c>
      <c r="S3439" s="39">
        <f t="shared" si="337"/>
        <v>5</v>
      </c>
      <c r="T3439" s="39">
        <f t="shared" si="338"/>
        <v>0</v>
      </c>
      <c r="U3439" s="39">
        <f t="shared" si="339"/>
        <v>0</v>
      </c>
      <c r="V3439" s="40"/>
    </row>
    <row r="3440" spans="2:22" x14ac:dyDescent="0.35">
      <c r="B3440" s="40">
        <v>38125</v>
      </c>
      <c r="C3440" s="39">
        <v>3789.24</v>
      </c>
      <c r="D3440" s="219">
        <f t="shared" si="340"/>
        <v>9.24497643966961E-3</v>
      </c>
      <c r="F3440" s="40">
        <v>38125</v>
      </c>
      <c r="G3440" s="39">
        <v>3789.24</v>
      </c>
      <c r="H3440" s="39">
        <f t="shared" si="335"/>
        <v>2</v>
      </c>
      <c r="I3440" s="39">
        <f t="shared" si="336"/>
        <v>0</v>
      </c>
      <c r="K3440" s="40"/>
      <c r="Q3440" s="40">
        <v>38125</v>
      </c>
      <c r="R3440" s="39">
        <v>3789.24</v>
      </c>
      <c r="S3440" s="39">
        <f t="shared" si="337"/>
        <v>5</v>
      </c>
      <c r="T3440" s="39">
        <f t="shared" si="338"/>
        <v>0</v>
      </c>
      <c r="U3440" s="39">
        <f t="shared" si="339"/>
        <v>0</v>
      </c>
      <c r="V3440" s="40"/>
    </row>
    <row r="3441" spans="2:22" x14ac:dyDescent="0.35">
      <c r="B3441" s="40">
        <v>38126</v>
      </c>
      <c r="C3441" s="39">
        <v>3872.26</v>
      </c>
      <c r="D3441" s="219">
        <f t="shared" si="340"/>
        <v>2.1672844638803094E-2</v>
      </c>
      <c r="F3441" s="40">
        <v>38126</v>
      </c>
      <c r="G3441" s="39">
        <v>3872.26</v>
      </c>
      <c r="H3441" s="39">
        <f t="shared" si="335"/>
        <v>3</v>
      </c>
      <c r="I3441" s="39">
        <f t="shared" si="336"/>
        <v>0</v>
      </c>
      <c r="K3441" s="40"/>
      <c r="Q3441" s="40">
        <v>38126</v>
      </c>
      <c r="R3441" s="39">
        <v>3872.26</v>
      </c>
      <c r="S3441" s="39">
        <f t="shared" si="337"/>
        <v>5</v>
      </c>
      <c r="T3441" s="39">
        <f t="shared" si="338"/>
        <v>0</v>
      </c>
      <c r="U3441" s="39">
        <f t="shared" si="339"/>
        <v>0</v>
      </c>
      <c r="V3441" s="40"/>
    </row>
    <row r="3442" spans="2:22" x14ac:dyDescent="0.35">
      <c r="B3442" s="40">
        <v>38127</v>
      </c>
      <c r="C3442" s="39">
        <v>3839.32</v>
      </c>
      <c r="D3442" s="219">
        <f t="shared" si="340"/>
        <v>-8.5430483350866886E-3</v>
      </c>
      <c r="F3442" s="40">
        <v>38127</v>
      </c>
      <c r="G3442" s="39">
        <v>3839.32</v>
      </c>
      <c r="H3442" s="39">
        <f t="shared" si="335"/>
        <v>4</v>
      </c>
      <c r="I3442" s="39">
        <f t="shared" si="336"/>
        <v>0</v>
      </c>
      <c r="K3442" s="40"/>
      <c r="Q3442" s="40">
        <v>38127</v>
      </c>
      <c r="R3442" s="39">
        <v>3839.32</v>
      </c>
      <c r="S3442" s="39">
        <f t="shared" si="337"/>
        <v>5</v>
      </c>
      <c r="T3442" s="39">
        <f t="shared" si="338"/>
        <v>0</v>
      </c>
      <c r="U3442" s="39">
        <f t="shared" si="339"/>
        <v>0</v>
      </c>
      <c r="V3442" s="40"/>
    </row>
    <row r="3443" spans="2:22" x14ac:dyDescent="0.35">
      <c r="B3443" s="40">
        <v>38128</v>
      </c>
      <c r="C3443" s="39">
        <v>3831.84</v>
      </c>
      <c r="D3443" s="219">
        <f t="shared" si="340"/>
        <v>-1.9501620017360589E-3</v>
      </c>
      <c r="F3443" s="40">
        <v>38128</v>
      </c>
      <c r="G3443" s="39">
        <v>3831.84</v>
      </c>
      <c r="H3443" s="39">
        <f t="shared" si="335"/>
        <v>5</v>
      </c>
      <c r="I3443" s="39">
        <f t="shared" si="336"/>
        <v>3831.84</v>
      </c>
      <c r="K3443" s="40"/>
      <c r="Q3443" s="40">
        <v>38128</v>
      </c>
      <c r="R3443" s="39">
        <v>3831.84</v>
      </c>
      <c r="S3443" s="39">
        <f t="shared" si="337"/>
        <v>5</v>
      </c>
      <c r="T3443" s="39">
        <f t="shared" si="338"/>
        <v>0</v>
      </c>
      <c r="U3443" s="39">
        <f t="shared" si="339"/>
        <v>0</v>
      </c>
      <c r="V3443" s="40"/>
    </row>
    <row r="3444" spans="2:22" x14ac:dyDescent="0.35">
      <c r="B3444" s="40">
        <v>38131</v>
      </c>
      <c r="C3444" s="39">
        <v>3867.84</v>
      </c>
      <c r="D3444" s="219">
        <f t="shared" si="340"/>
        <v>9.3511061054935944E-3</v>
      </c>
      <c r="F3444" s="40">
        <v>38131</v>
      </c>
      <c r="G3444" s="39">
        <v>3867.84</v>
      </c>
      <c r="H3444" s="39">
        <f t="shared" si="335"/>
        <v>1</v>
      </c>
      <c r="I3444" s="39">
        <f t="shared" si="336"/>
        <v>0</v>
      </c>
      <c r="K3444" s="40"/>
      <c r="Q3444" s="40">
        <v>38131</v>
      </c>
      <c r="R3444" s="39">
        <v>3867.84</v>
      </c>
      <c r="S3444" s="39">
        <f t="shared" si="337"/>
        <v>5</v>
      </c>
      <c r="T3444" s="39">
        <f t="shared" si="338"/>
        <v>0</v>
      </c>
      <c r="U3444" s="39">
        <f t="shared" si="339"/>
        <v>0</v>
      </c>
      <c r="V3444" s="40"/>
    </row>
    <row r="3445" spans="2:22" x14ac:dyDescent="0.35">
      <c r="B3445" s="40">
        <v>38132</v>
      </c>
      <c r="C3445" s="39">
        <v>3828.07</v>
      </c>
      <c r="D3445" s="219">
        <f t="shared" si="340"/>
        <v>-1.033545195405005E-2</v>
      </c>
      <c r="F3445" s="40">
        <v>38132</v>
      </c>
      <c r="G3445" s="39">
        <v>3828.07</v>
      </c>
      <c r="H3445" s="39">
        <f t="shared" si="335"/>
        <v>2</v>
      </c>
      <c r="I3445" s="39">
        <f t="shared" si="336"/>
        <v>0</v>
      </c>
      <c r="K3445" s="40"/>
      <c r="Q3445" s="40">
        <v>38132</v>
      </c>
      <c r="R3445" s="39">
        <v>3828.07</v>
      </c>
      <c r="S3445" s="39">
        <f t="shared" si="337"/>
        <v>5</v>
      </c>
      <c r="T3445" s="39">
        <f t="shared" si="338"/>
        <v>0</v>
      </c>
      <c r="U3445" s="39">
        <f t="shared" si="339"/>
        <v>0</v>
      </c>
      <c r="V3445" s="40"/>
    </row>
    <row r="3446" spans="2:22" x14ac:dyDescent="0.35">
      <c r="B3446" s="40">
        <v>38133</v>
      </c>
      <c r="C3446" s="39">
        <v>3867.52</v>
      </c>
      <c r="D3446" s="219">
        <f t="shared" si="340"/>
        <v>1.025271501609679E-2</v>
      </c>
      <c r="F3446" s="40">
        <v>38133</v>
      </c>
      <c r="G3446" s="39">
        <v>3867.52</v>
      </c>
      <c r="H3446" s="39">
        <f t="shared" si="335"/>
        <v>3</v>
      </c>
      <c r="I3446" s="39">
        <f t="shared" si="336"/>
        <v>0</v>
      </c>
      <c r="K3446" s="40"/>
      <c r="Q3446" s="40">
        <v>38133</v>
      </c>
      <c r="R3446" s="39">
        <v>3867.52</v>
      </c>
      <c r="S3446" s="39">
        <f t="shared" si="337"/>
        <v>5</v>
      </c>
      <c r="T3446" s="39">
        <f t="shared" si="338"/>
        <v>0</v>
      </c>
      <c r="U3446" s="39">
        <f t="shared" si="339"/>
        <v>0</v>
      </c>
      <c r="V3446" s="40"/>
    </row>
    <row r="3447" spans="2:22" x14ac:dyDescent="0.35">
      <c r="B3447" s="40">
        <v>38134</v>
      </c>
      <c r="C3447" s="39">
        <v>3913.33</v>
      </c>
      <c r="D3447" s="219">
        <f t="shared" si="340"/>
        <v>1.1775199191719673E-2</v>
      </c>
      <c r="F3447" s="40">
        <v>38134</v>
      </c>
      <c r="G3447" s="39">
        <v>3913.33</v>
      </c>
      <c r="H3447" s="39">
        <f t="shared" ref="H3447:H3510" si="341">WEEKDAY(F3447,2)</f>
        <v>4</v>
      </c>
      <c r="I3447" s="39">
        <f t="shared" ref="I3447:I3510" si="342">IF(H3447&gt;H3448,G3447,0)</f>
        <v>0</v>
      </c>
      <c r="K3447" s="40"/>
      <c r="Q3447" s="40">
        <v>38134</v>
      </c>
      <c r="R3447" s="39">
        <v>3913.33</v>
      </c>
      <c r="S3447" s="39">
        <f t="shared" ref="S3447:S3510" si="343">MONTH(Q3447)</f>
        <v>5</v>
      </c>
      <c r="T3447" s="39">
        <f t="shared" ref="T3447:T3510" si="344">IF(S3448&lt;&gt;S3447,R3447,0)</f>
        <v>0</v>
      </c>
      <c r="U3447" s="39">
        <f t="shared" ref="U3447:U3510" si="345">IF(S3448=S3447,0,R3447)</f>
        <v>0</v>
      </c>
      <c r="V3447" s="40"/>
    </row>
    <row r="3448" spans="2:22" x14ac:dyDescent="0.35">
      <c r="B3448" s="40">
        <v>38135</v>
      </c>
      <c r="C3448" s="39">
        <v>3902.72</v>
      </c>
      <c r="D3448" s="219">
        <f t="shared" ref="D3448:D3511" si="346">LN(C3448/C3447)</f>
        <v>-2.7149280050780362E-3</v>
      </c>
      <c r="F3448" s="40">
        <v>38135</v>
      </c>
      <c r="G3448" s="39">
        <v>3902.72</v>
      </c>
      <c r="H3448" s="39">
        <f t="shared" si="341"/>
        <v>5</v>
      </c>
      <c r="I3448" s="39">
        <f t="shared" si="342"/>
        <v>3902.72</v>
      </c>
      <c r="K3448" s="40"/>
      <c r="Q3448" s="40">
        <v>38135</v>
      </c>
      <c r="R3448" s="39">
        <v>3902.72</v>
      </c>
      <c r="S3448" s="39">
        <f t="shared" si="343"/>
        <v>5</v>
      </c>
      <c r="T3448" s="39">
        <f t="shared" si="344"/>
        <v>0</v>
      </c>
      <c r="U3448" s="39">
        <f t="shared" si="345"/>
        <v>0</v>
      </c>
      <c r="V3448" s="40"/>
    </row>
    <row r="3449" spans="2:22" x14ac:dyDescent="0.35">
      <c r="B3449" s="40">
        <v>38138</v>
      </c>
      <c r="C3449" s="39">
        <v>3921.41</v>
      </c>
      <c r="D3449" s="219">
        <f t="shared" si="346"/>
        <v>4.7775370679440767E-3</v>
      </c>
      <c r="F3449" s="40">
        <v>38138</v>
      </c>
      <c r="G3449" s="39">
        <v>3921.41</v>
      </c>
      <c r="H3449" s="39">
        <f t="shared" si="341"/>
        <v>1</v>
      </c>
      <c r="I3449" s="39">
        <f t="shared" si="342"/>
        <v>0</v>
      </c>
      <c r="K3449" s="40"/>
      <c r="Q3449" s="40">
        <v>38138</v>
      </c>
      <c r="R3449" s="39">
        <v>3921.41</v>
      </c>
      <c r="S3449" s="39">
        <f t="shared" si="343"/>
        <v>5</v>
      </c>
      <c r="T3449" s="39">
        <f t="shared" si="344"/>
        <v>3921.41</v>
      </c>
      <c r="U3449" s="39">
        <f t="shared" si="345"/>
        <v>3921.41</v>
      </c>
      <c r="V3449" s="40"/>
    </row>
    <row r="3450" spans="2:22" x14ac:dyDescent="0.35">
      <c r="B3450" s="40">
        <v>38139</v>
      </c>
      <c r="C3450" s="39">
        <v>3864.18</v>
      </c>
      <c r="D3450" s="219">
        <f t="shared" si="346"/>
        <v>-1.4701783889378222E-2</v>
      </c>
      <c r="F3450" s="40">
        <v>38139</v>
      </c>
      <c r="G3450" s="39">
        <v>3864.18</v>
      </c>
      <c r="H3450" s="39">
        <f t="shared" si="341"/>
        <v>2</v>
      </c>
      <c r="I3450" s="39">
        <f t="shared" si="342"/>
        <v>0</v>
      </c>
      <c r="K3450" s="40"/>
      <c r="Q3450" s="40">
        <v>38139</v>
      </c>
      <c r="R3450" s="39">
        <v>3864.18</v>
      </c>
      <c r="S3450" s="39">
        <f t="shared" si="343"/>
        <v>6</v>
      </c>
      <c r="T3450" s="39">
        <f t="shared" si="344"/>
        <v>0</v>
      </c>
      <c r="U3450" s="39">
        <f t="shared" si="345"/>
        <v>0</v>
      </c>
      <c r="V3450" s="40"/>
    </row>
    <row r="3451" spans="2:22" x14ac:dyDescent="0.35">
      <c r="B3451" s="40">
        <v>38140</v>
      </c>
      <c r="C3451" s="39">
        <v>3888.31</v>
      </c>
      <c r="D3451" s="219">
        <f t="shared" si="346"/>
        <v>6.2251168138036609E-3</v>
      </c>
      <c r="F3451" s="40">
        <v>38140</v>
      </c>
      <c r="G3451" s="39">
        <v>3888.31</v>
      </c>
      <c r="H3451" s="39">
        <f t="shared" si="341"/>
        <v>3</v>
      </c>
      <c r="I3451" s="39">
        <f t="shared" si="342"/>
        <v>0</v>
      </c>
      <c r="K3451" s="40"/>
      <c r="Q3451" s="40">
        <v>38140</v>
      </c>
      <c r="R3451" s="39">
        <v>3888.31</v>
      </c>
      <c r="S3451" s="39">
        <f t="shared" si="343"/>
        <v>6</v>
      </c>
      <c r="T3451" s="39">
        <f t="shared" si="344"/>
        <v>0</v>
      </c>
      <c r="U3451" s="39">
        <f t="shared" si="345"/>
        <v>0</v>
      </c>
      <c r="V3451" s="40"/>
    </row>
    <row r="3452" spans="2:22" x14ac:dyDescent="0.35">
      <c r="B3452" s="40">
        <v>38141</v>
      </c>
      <c r="C3452" s="39">
        <v>3917.08</v>
      </c>
      <c r="D3452" s="219">
        <f t="shared" si="346"/>
        <v>7.3718623388380712E-3</v>
      </c>
      <c r="F3452" s="40">
        <v>38141</v>
      </c>
      <c r="G3452" s="39">
        <v>3917.08</v>
      </c>
      <c r="H3452" s="39">
        <f t="shared" si="341"/>
        <v>4</v>
      </c>
      <c r="I3452" s="39">
        <f t="shared" si="342"/>
        <v>0</v>
      </c>
      <c r="K3452" s="40"/>
      <c r="Q3452" s="40">
        <v>38141</v>
      </c>
      <c r="R3452" s="39">
        <v>3917.08</v>
      </c>
      <c r="S3452" s="39">
        <f t="shared" si="343"/>
        <v>6</v>
      </c>
      <c r="T3452" s="39">
        <f t="shared" si="344"/>
        <v>0</v>
      </c>
      <c r="U3452" s="39">
        <f t="shared" si="345"/>
        <v>0</v>
      </c>
      <c r="V3452" s="40"/>
    </row>
    <row r="3453" spans="2:22" x14ac:dyDescent="0.35">
      <c r="B3453" s="40">
        <v>38142</v>
      </c>
      <c r="C3453" s="39">
        <v>3961.93</v>
      </c>
      <c r="D3453" s="219">
        <f t="shared" si="346"/>
        <v>1.1384802006906867E-2</v>
      </c>
      <c r="F3453" s="40">
        <v>38142</v>
      </c>
      <c r="G3453" s="39">
        <v>3961.93</v>
      </c>
      <c r="H3453" s="39">
        <f t="shared" si="341"/>
        <v>5</v>
      </c>
      <c r="I3453" s="39">
        <f t="shared" si="342"/>
        <v>3961.93</v>
      </c>
      <c r="K3453" s="40"/>
      <c r="Q3453" s="40">
        <v>38142</v>
      </c>
      <c r="R3453" s="39">
        <v>3961.93</v>
      </c>
      <c r="S3453" s="39">
        <f t="shared" si="343"/>
        <v>6</v>
      </c>
      <c r="T3453" s="39">
        <f t="shared" si="344"/>
        <v>0</v>
      </c>
      <c r="U3453" s="39">
        <f t="shared" si="345"/>
        <v>0</v>
      </c>
      <c r="V3453" s="40"/>
    </row>
    <row r="3454" spans="2:22" x14ac:dyDescent="0.35">
      <c r="B3454" s="40">
        <v>38145</v>
      </c>
      <c r="C3454" s="39">
        <v>4017.81</v>
      </c>
      <c r="D3454" s="219">
        <f t="shared" si="346"/>
        <v>1.4005697791343488E-2</v>
      </c>
      <c r="F3454" s="40">
        <v>38145</v>
      </c>
      <c r="G3454" s="39">
        <v>4017.81</v>
      </c>
      <c r="H3454" s="39">
        <f t="shared" si="341"/>
        <v>1</v>
      </c>
      <c r="I3454" s="39">
        <f t="shared" si="342"/>
        <v>0</v>
      </c>
      <c r="K3454" s="40"/>
      <c r="Q3454" s="40">
        <v>38145</v>
      </c>
      <c r="R3454" s="39">
        <v>4017.81</v>
      </c>
      <c r="S3454" s="39">
        <f t="shared" si="343"/>
        <v>6</v>
      </c>
      <c r="T3454" s="39">
        <f t="shared" si="344"/>
        <v>0</v>
      </c>
      <c r="U3454" s="39">
        <f t="shared" si="345"/>
        <v>0</v>
      </c>
      <c r="V3454" s="40"/>
    </row>
    <row r="3455" spans="2:22" x14ac:dyDescent="0.35">
      <c r="B3455" s="40">
        <v>38146</v>
      </c>
      <c r="C3455" s="39">
        <v>4018.95</v>
      </c>
      <c r="D3455" s="219">
        <f t="shared" si="346"/>
        <v>2.8369641687590522E-4</v>
      </c>
      <c r="F3455" s="40">
        <v>38146</v>
      </c>
      <c r="G3455" s="39">
        <v>4018.95</v>
      </c>
      <c r="H3455" s="39">
        <f t="shared" si="341"/>
        <v>2</v>
      </c>
      <c r="I3455" s="39">
        <f t="shared" si="342"/>
        <v>0</v>
      </c>
      <c r="K3455" s="40"/>
      <c r="Q3455" s="40">
        <v>38146</v>
      </c>
      <c r="R3455" s="39">
        <v>4018.95</v>
      </c>
      <c r="S3455" s="39">
        <f t="shared" si="343"/>
        <v>6</v>
      </c>
      <c r="T3455" s="39">
        <f t="shared" si="344"/>
        <v>0</v>
      </c>
      <c r="U3455" s="39">
        <f t="shared" si="345"/>
        <v>0</v>
      </c>
      <c r="V3455" s="40"/>
    </row>
    <row r="3456" spans="2:22" x14ac:dyDescent="0.35">
      <c r="B3456" s="40">
        <v>38147</v>
      </c>
      <c r="C3456" s="39">
        <v>3997.76</v>
      </c>
      <c r="D3456" s="219">
        <f t="shared" si="346"/>
        <v>-5.2864702226499503E-3</v>
      </c>
      <c r="F3456" s="40">
        <v>38147</v>
      </c>
      <c r="G3456" s="39">
        <v>3997.76</v>
      </c>
      <c r="H3456" s="39">
        <f t="shared" si="341"/>
        <v>3</v>
      </c>
      <c r="I3456" s="39">
        <f t="shared" si="342"/>
        <v>0</v>
      </c>
      <c r="K3456" s="40"/>
      <c r="Q3456" s="40">
        <v>38147</v>
      </c>
      <c r="R3456" s="39">
        <v>3997.76</v>
      </c>
      <c r="S3456" s="39">
        <f t="shared" si="343"/>
        <v>6</v>
      </c>
      <c r="T3456" s="39">
        <f t="shared" si="344"/>
        <v>0</v>
      </c>
      <c r="U3456" s="39">
        <f t="shared" si="345"/>
        <v>0</v>
      </c>
      <c r="V3456" s="40"/>
    </row>
    <row r="3457" spans="2:22" x14ac:dyDescent="0.35">
      <c r="B3457" s="40">
        <v>38148</v>
      </c>
      <c r="C3457" s="39">
        <v>4021.64</v>
      </c>
      <c r="D3457" s="219">
        <f t="shared" si="346"/>
        <v>5.9555753754707459E-3</v>
      </c>
      <c r="F3457" s="40">
        <v>38148</v>
      </c>
      <c r="G3457" s="39">
        <v>4021.64</v>
      </c>
      <c r="H3457" s="39">
        <f t="shared" si="341"/>
        <v>4</v>
      </c>
      <c r="I3457" s="39">
        <f t="shared" si="342"/>
        <v>0</v>
      </c>
      <c r="K3457" s="40"/>
      <c r="Q3457" s="40">
        <v>38148</v>
      </c>
      <c r="R3457" s="39">
        <v>4021.64</v>
      </c>
      <c r="S3457" s="39">
        <f t="shared" si="343"/>
        <v>6</v>
      </c>
      <c r="T3457" s="39">
        <f t="shared" si="344"/>
        <v>0</v>
      </c>
      <c r="U3457" s="39">
        <f t="shared" si="345"/>
        <v>0</v>
      </c>
      <c r="V3457" s="40"/>
    </row>
    <row r="3458" spans="2:22" x14ac:dyDescent="0.35">
      <c r="B3458" s="40">
        <v>38149</v>
      </c>
      <c r="C3458" s="39">
        <v>4014.56</v>
      </c>
      <c r="D3458" s="219">
        <f t="shared" si="346"/>
        <v>-1.7620272844868661E-3</v>
      </c>
      <c r="F3458" s="40">
        <v>38149</v>
      </c>
      <c r="G3458" s="39">
        <v>4014.56</v>
      </c>
      <c r="H3458" s="39">
        <f t="shared" si="341"/>
        <v>5</v>
      </c>
      <c r="I3458" s="39">
        <f t="shared" si="342"/>
        <v>4014.56</v>
      </c>
      <c r="K3458" s="40"/>
      <c r="Q3458" s="40">
        <v>38149</v>
      </c>
      <c r="R3458" s="39">
        <v>4014.56</v>
      </c>
      <c r="S3458" s="39">
        <f t="shared" si="343"/>
        <v>6</v>
      </c>
      <c r="T3458" s="39">
        <f t="shared" si="344"/>
        <v>0</v>
      </c>
      <c r="U3458" s="39">
        <f t="shared" si="345"/>
        <v>0</v>
      </c>
      <c r="V3458" s="40"/>
    </row>
    <row r="3459" spans="2:22" x14ac:dyDescent="0.35">
      <c r="B3459" s="40">
        <v>38152</v>
      </c>
      <c r="C3459" s="39">
        <v>3948.65</v>
      </c>
      <c r="D3459" s="219">
        <f t="shared" si="346"/>
        <v>-1.6554004008592225E-2</v>
      </c>
      <c r="F3459" s="40">
        <v>38152</v>
      </c>
      <c r="G3459" s="39">
        <v>3948.65</v>
      </c>
      <c r="H3459" s="39">
        <f t="shared" si="341"/>
        <v>1</v>
      </c>
      <c r="I3459" s="39">
        <f t="shared" si="342"/>
        <v>0</v>
      </c>
      <c r="K3459" s="40"/>
      <c r="Q3459" s="40">
        <v>38152</v>
      </c>
      <c r="R3459" s="39">
        <v>3948.65</v>
      </c>
      <c r="S3459" s="39">
        <f t="shared" si="343"/>
        <v>6</v>
      </c>
      <c r="T3459" s="39">
        <f t="shared" si="344"/>
        <v>0</v>
      </c>
      <c r="U3459" s="39">
        <f t="shared" si="345"/>
        <v>0</v>
      </c>
      <c r="V3459" s="40"/>
    </row>
    <row r="3460" spans="2:22" x14ac:dyDescent="0.35">
      <c r="B3460" s="40">
        <v>38153</v>
      </c>
      <c r="C3460" s="39">
        <v>3987.3</v>
      </c>
      <c r="D3460" s="219">
        <f t="shared" si="346"/>
        <v>9.7405617695406413E-3</v>
      </c>
      <c r="F3460" s="40">
        <v>38153</v>
      </c>
      <c r="G3460" s="39">
        <v>3987.3</v>
      </c>
      <c r="H3460" s="39">
        <f t="shared" si="341"/>
        <v>2</v>
      </c>
      <c r="I3460" s="39">
        <f t="shared" si="342"/>
        <v>0</v>
      </c>
      <c r="K3460" s="40"/>
      <c r="Q3460" s="40">
        <v>38153</v>
      </c>
      <c r="R3460" s="39">
        <v>3987.3</v>
      </c>
      <c r="S3460" s="39">
        <f t="shared" si="343"/>
        <v>6</v>
      </c>
      <c r="T3460" s="39">
        <f t="shared" si="344"/>
        <v>0</v>
      </c>
      <c r="U3460" s="39">
        <f t="shared" si="345"/>
        <v>0</v>
      </c>
      <c r="V3460" s="40"/>
    </row>
    <row r="3461" spans="2:22" x14ac:dyDescent="0.35">
      <c r="B3461" s="40">
        <v>38154</v>
      </c>
      <c r="C3461" s="39">
        <v>4003.24</v>
      </c>
      <c r="D3461" s="219">
        <f t="shared" si="346"/>
        <v>3.9897231336703072E-3</v>
      </c>
      <c r="F3461" s="40">
        <v>38154</v>
      </c>
      <c r="G3461" s="39">
        <v>4003.24</v>
      </c>
      <c r="H3461" s="39">
        <f t="shared" si="341"/>
        <v>3</v>
      </c>
      <c r="I3461" s="39">
        <f t="shared" si="342"/>
        <v>0</v>
      </c>
      <c r="K3461" s="40"/>
      <c r="Q3461" s="40">
        <v>38154</v>
      </c>
      <c r="R3461" s="39">
        <v>4003.24</v>
      </c>
      <c r="S3461" s="39">
        <f t="shared" si="343"/>
        <v>6</v>
      </c>
      <c r="T3461" s="39">
        <f t="shared" si="344"/>
        <v>0</v>
      </c>
      <c r="U3461" s="39">
        <f t="shared" si="345"/>
        <v>0</v>
      </c>
      <c r="V3461" s="40"/>
    </row>
    <row r="3462" spans="2:22" x14ac:dyDescent="0.35">
      <c r="B3462" s="40">
        <v>38155</v>
      </c>
      <c r="C3462" s="39">
        <v>3985.46</v>
      </c>
      <c r="D3462" s="219">
        <f t="shared" si="346"/>
        <v>-4.4512947933382689E-3</v>
      </c>
      <c r="F3462" s="40">
        <v>38155</v>
      </c>
      <c r="G3462" s="39">
        <v>3985.46</v>
      </c>
      <c r="H3462" s="39">
        <f t="shared" si="341"/>
        <v>4</v>
      </c>
      <c r="I3462" s="39">
        <f t="shared" si="342"/>
        <v>0</v>
      </c>
      <c r="K3462" s="40"/>
      <c r="Q3462" s="40">
        <v>38155</v>
      </c>
      <c r="R3462" s="39">
        <v>3985.46</v>
      </c>
      <c r="S3462" s="39">
        <f t="shared" si="343"/>
        <v>6</v>
      </c>
      <c r="T3462" s="39">
        <f t="shared" si="344"/>
        <v>0</v>
      </c>
      <c r="U3462" s="39">
        <f t="shared" si="345"/>
        <v>0</v>
      </c>
      <c r="V3462" s="40"/>
    </row>
    <row r="3463" spans="2:22" x14ac:dyDescent="0.35">
      <c r="B3463" s="40">
        <v>38156</v>
      </c>
      <c r="C3463" s="39">
        <v>3999.79</v>
      </c>
      <c r="D3463" s="219">
        <f t="shared" si="346"/>
        <v>3.589121288125597E-3</v>
      </c>
      <c r="F3463" s="40">
        <v>38156</v>
      </c>
      <c r="G3463" s="39">
        <v>3999.79</v>
      </c>
      <c r="H3463" s="39">
        <f t="shared" si="341"/>
        <v>5</v>
      </c>
      <c r="I3463" s="39">
        <f t="shared" si="342"/>
        <v>3999.79</v>
      </c>
      <c r="K3463" s="40"/>
      <c r="Q3463" s="40">
        <v>38156</v>
      </c>
      <c r="R3463" s="39">
        <v>3999.79</v>
      </c>
      <c r="S3463" s="39">
        <f t="shared" si="343"/>
        <v>6</v>
      </c>
      <c r="T3463" s="39">
        <f t="shared" si="344"/>
        <v>0</v>
      </c>
      <c r="U3463" s="39">
        <f t="shared" si="345"/>
        <v>0</v>
      </c>
      <c r="V3463" s="40"/>
    </row>
    <row r="3464" spans="2:22" x14ac:dyDescent="0.35">
      <c r="B3464" s="40">
        <v>38159</v>
      </c>
      <c r="C3464" s="39">
        <v>3989.31</v>
      </c>
      <c r="D3464" s="219">
        <f t="shared" si="346"/>
        <v>-2.6235761252920262E-3</v>
      </c>
      <c r="F3464" s="40">
        <v>38159</v>
      </c>
      <c r="G3464" s="39">
        <v>3989.31</v>
      </c>
      <c r="H3464" s="39">
        <f t="shared" si="341"/>
        <v>1</v>
      </c>
      <c r="I3464" s="39">
        <f t="shared" si="342"/>
        <v>0</v>
      </c>
      <c r="K3464" s="40"/>
      <c r="Q3464" s="40">
        <v>38159</v>
      </c>
      <c r="R3464" s="39">
        <v>3989.31</v>
      </c>
      <c r="S3464" s="39">
        <f t="shared" si="343"/>
        <v>6</v>
      </c>
      <c r="T3464" s="39">
        <f t="shared" si="344"/>
        <v>0</v>
      </c>
      <c r="U3464" s="39">
        <f t="shared" si="345"/>
        <v>0</v>
      </c>
      <c r="V3464" s="40"/>
    </row>
    <row r="3465" spans="2:22" x14ac:dyDescent="0.35">
      <c r="B3465" s="40">
        <v>38160</v>
      </c>
      <c r="C3465" s="39">
        <v>3928.39</v>
      </c>
      <c r="D3465" s="219">
        <f t="shared" si="346"/>
        <v>-1.5388610883807941E-2</v>
      </c>
      <c r="F3465" s="40">
        <v>38160</v>
      </c>
      <c r="G3465" s="39">
        <v>3928.39</v>
      </c>
      <c r="H3465" s="39">
        <f t="shared" si="341"/>
        <v>2</v>
      </c>
      <c r="I3465" s="39">
        <f t="shared" si="342"/>
        <v>0</v>
      </c>
      <c r="K3465" s="40"/>
      <c r="Q3465" s="40">
        <v>38160</v>
      </c>
      <c r="R3465" s="39">
        <v>3928.39</v>
      </c>
      <c r="S3465" s="39">
        <f t="shared" si="343"/>
        <v>6</v>
      </c>
      <c r="T3465" s="39">
        <f t="shared" si="344"/>
        <v>0</v>
      </c>
      <c r="U3465" s="39">
        <f t="shared" si="345"/>
        <v>0</v>
      </c>
      <c r="V3465" s="40"/>
    </row>
    <row r="3466" spans="2:22" x14ac:dyDescent="0.35">
      <c r="B3466" s="40">
        <v>38161</v>
      </c>
      <c r="C3466" s="39">
        <v>3945.1</v>
      </c>
      <c r="D3466" s="219">
        <f t="shared" si="346"/>
        <v>4.2446297864099664E-3</v>
      </c>
      <c r="F3466" s="40">
        <v>38161</v>
      </c>
      <c r="G3466" s="39">
        <v>3945.1</v>
      </c>
      <c r="H3466" s="39">
        <f t="shared" si="341"/>
        <v>3</v>
      </c>
      <c r="I3466" s="39">
        <f t="shared" si="342"/>
        <v>0</v>
      </c>
      <c r="K3466" s="40"/>
      <c r="Q3466" s="40">
        <v>38161</v>
      </c>
      <c r="R3466" s="39">
        <v>3945.1</v>
      </c>
      <c r="S3466" s="39">
        <f t="shared" si="343"/>
        <v>6</v>
      </c>
      <c r="T3466" s="39">
        <f t="shared" si="344"/>
        <v>0</v>
      </c>
      <c r="U3466" s="39">
        <f t="shared" si="345"/>
        <v>0</v>
      </c>
      <c r="V3466" s="40"/>
    </row>
    <row r="3467" spans="2:22" x14ac:dyDescent="0.35">
      <c r="B3467" s="40">
        <v>38162</v>
      </c>
      <c r="C3467" s="39">
        <v>4007.05</v>
      </c>
      <c r="D3467" s="219">
        <f t="shared" si="346"/>
        <v>1.5581007220342846E-2</v>
      </c>
      <c r="F3467" s="40">
        <v>38162</v>
      </c>
      <c r="G3467" s="39">
        <v>4007.05</v>
      </c>
      <c r="H3467" s="39">
        <f t="shared" si="341"/>
        <v>4</v>
      </c>
      <c r="I3467" s="39">
        <f t="shared" si="342"/>
        <v>0</v>
      </c>
      <c r="K3467" s="40"/>
      <c r="Q3467" s="40">
        <v>38162</v>
      </c>
      <c r="R3467" s="39">
        <v>4007.05</v>
      </c>
      <c r="S3467" s="39">
        <f t="shared" si="343"/>
        <v>6</v>
      </c>
      <c r="T3467" s="39">
        <f t="shared" si="344"/>
        <v>0</v>
      </c>
      <c r="U3467" s="39">
        <f t="shared" si="345"/>
        <v>0</v>
      </c>
      <c r="V3467" s="40"/>
    </row>
    <row r="3468" spans="2:22" x14ac:dyDescent="0.35">
      <c r="B3468" s="40">
        <v>38163</v>
      </c>
      <c r="C3468" s="39">
        <v>4013.35</v>
      </c>
      <c r="D3468" s="219">
        <f t="shared" si="346"/>
        <v>1.5709942884922113E-3</v>
      </c>
      <c r="F3468" s="40">
        <v>38163</v>
      </c>
      <c r="G3468" s="39">
        <v>4013.35</v>
      </c>
      <c r="H3468" s="39">
        <f t="shared" si="341"/>
        <v>5</v>
      </c>
      <c r="I3468" s="39">
        <f t="shared" si="342"/>
        <v>4013.35</v>
      </c>
      <c r="K3468" s="40"/>
      <c r="Q3468" s="40">
        <v>38163</v>
      </c>
      <c r="R3468" s="39">
        <v>4013.35</v>
      </c>
      <c r="S3468" s="39">
        <f t="shared" si="343"/>
        <v>6</v>
      </c>
      <c r="T3468" s="39">
        <f t="shared" si="344"/>
        <v>0</v>
      </c>
      <c r="U3468" s="39">
        <f t="shared" si="345"/>
        <v>0</v>
      </c>
      <c r="V3468" s="40"/>
    </row>
    <row r="3469" spans="2:22" x14ac:dyDescent="0.35">
      <c r="B3469" s="40">
        <v>38166</v>
      </c>
      <c r="C3469" s="39">
        <v>4069.35</v>
      </c>
      <c r="D3469" s="219">
        <f t="shared" si="346"/>
        <v>1.3856977512708923E-2</v>
      </c>
      <c r="F3469" s="40">
        <v>38166</v>
      </c>
      <c r="G3469" s="39">
        <v>4069.35</v>
      </c>
      <c r="H3469" s="39">
        <f t="shared" si="341"/>
        <v>1</v>
      </c>
      <c r="I3469" s="39">
        <f t="shared" si="342"/>
        <v>0</v>
      </c>
      <c r="K3469" s="40"/>
      <c r="Q3469" s="40">
        <v>38166</v>
      </c>
      <c r="R3469" s="39">
        <v>4069.35</v>
      </c>
      <c r="S3469" s="39">
        <f t="shared" si="343"/>
        <v>6</v>
      </c>
      <c r="T3469" s="39">
        <f t="shared" si="344"/>
        <v>0</v>
      </c>
      <c r="U3469" s="39">
        <f t="shared" si="345"/>
        <v>0</v>
      </c>
      <c r="V3469" s="40"/>
    </row>
    <row r="3470" spans="2:22" x14ac:dyDescent="0.35">
      <c r="B3470" s="40">
        <v>38167</v>
      </c>
      <c r="C3470" s="39">
        <v>4069.73</v>
      </c>
      <c r="D3470" s="219">
        <f t="shared" si="346"/>
        <v>9.3376647059873261E-5</v>
      </c>
      <c r="F3470" s="40">
        <v>38167</v>
      </c>
      <c r="G3470" s="39">
        <v>4069.73</v>
      </c>
      <c r="H3470" s="39">
        <f t="shared" si="341"/>
        <v>2</v>
      </c>
      <c r="I3470" s="39">
        <f t="shared" si="342"/>
        <v>0</v>
      </c>
      <c r="K3470" s="40"/>
      <c r="Q3470" s="40">
        <v>38167</v>
      </c>
      <c r="R3470" s="39">
        <v>4069.73</v>
      </c>
      <c r="S3470" s="39">
        <f t="shared" si="343"/>
        <v>6</v>
      </c>
      <c r="T3470" s="39">
        <f t="shared" si="344"/>
        <v>0</v>
      </c>
      <c r="U3470" s="39">
        <f t="shared" si="345"/>
        <v>0</v>
      </c>
      <c r="V3470" s="40"/>
    </row>
    <row r="3471" spans="2:22" x14ac:dyDescent="0.35">
      <c r="B3471" s="40">
        <v>38168</v>
      </c>
      <c r="C3471" s="39">
        <v>4052.73</v>
      </c>
      <c r="D3471" s="219">
        <f t="shared" si="346"/>
        <v>-4.1859300809954265E-3</v>
      </c>
      <c r="F3471" s="40">
        <v>38168</v>
      </c>
      <c r="G3471" s="39">
        <v>4052.73</v>
      </c>
      <c r="H3471" s="39">
        <f t="shared" si="341"/>
        <v>3</v>
      </c>
      <c r="I3471" s="39">
        <f t="shared" si="342"/>
        <v>0</v>
      </c>
      <c r="K3471" s="40"/>
      <c r="Q3471" s="40">
        <v>38168</v>
      </c>
      <c r="R3471" s="39">
        <v>4052.73</v>
      </c>
      <c r="S3471" s="39">
        <f t="shared" si="343"/>
        <v>6</v>
      </c>
      <c r="T3471" s="39">
        <f t="shared" si="344"/>
        <v>4052.73</v>
      </c>
      <c r="U3471" s="39">
        <f t="shared" si="345"/>
        <v>4052.73</v>
      </c>
      <c r="V3471" s="40"/>
    </row>
    <row r="3472" spans="2:22" x14ac:dyDescent="0.35">
      <c r="B3472" s="40">
        <v>38169</v>
      </c>
      <c r="C3472" s="39">
        <v>4035.02</v>
      </c>
      <c r="D3472" s="219">
        <f t="shared" si="346"/>
        <v>-4.3794697675158646E-3</v>
      </c>
      <c r="F3472" s="40">
        <v>38169</v>
      </c>
      <c r="G3472" s="39">
        <v>4035.02</v>
      </c>
      <c r="H3472" s="39">
        <f t="shared" si="341"/>
        <v>4</v>
      </c>
      <c r="I3472" s="39">
        <f t="shared" si="342"/>
        <v>0</v>
      </c>
      <c r="K3472" s="40"/>
      <c r="Q3472" s="40">
        <v>38169</v>
      </c>
      <c r="R3472" s="39">
        <v>4035.02</v>
      </c>
      <c r="S3472" s="39">
        <f t="shared" si="343"/>
        <v>7</v>
      </c>
      <c r="T3472" s="39">
        <f t="shared" si="344"/>
        <v>0</v>
      </c>
      <c r="U3472" s="39">
        <f t="shared" si="345"/>
        <v>0</v>
      </c>
      <c r="V3472" s="40"/>
    </row>
    <row r="3473" spans="2:22" x14ac:dyDescent="0.35">
      <c r="B3473" s="40">
        <v>38170</v>
      </c>
      <c r="C3473" s="39">
        <v>3998.77</v>
      </c>
      <c r="D3473" s="219">
        <f t="shared" si="346"/>
        <v>-9.0244445070486908E-3</v>
      </c>
      <c r="F3473" s="40">
        <v>38170</v>
      </c>
      <c r="G3473" s="39">
        <v>3998.77</v>
      </c>
      <c r="H3473" s="39">
        <f t="shared" si="341"/>
        <v>5</v>
      </c>
      <c r="I3473" s="39">
        <f t="shared" si="342"/>
        <v>3998.77</v>
      </c>
      <c r="K3473" s="40"/>
      <c r="Q3473" s="40">
        <v>38170</v>
      </c>
      <c r="R3473" s="39">
        <v>3998.77</v>
      </c>
      <c r="S3473" s="39">
        <f t="shared" si="343"/>
        <v>7</v>
      </c>
      <c r="T3473" s="39">
        <f t="shared" si="344"/>
        <v>0</v>
      </c>
      <c r="U3473" s="39">
        <f t="shared" si="345"/>
        <v>0</v>
      </c>
      <c r="V3473" s="40"/>
    </row>
    <row r="3474" spans="2:22" x14ac:dyDescent="0.35">
      <c r="B3474" s="40">
        <v>38173</v>
      </c>
      <c r="C3474" s="39">
        <v>3995.73</v>
      </c>
      <c r="D3474" s="219">
        <f t="shared" si="346"/>
        <v>-7.6052289612275046E-4</v>
      </c>
      <c r="F3474" s="40">
        <v>38173</v>
      </c>
      <c r="G3474" s="39">
        <v>3995.73</v>
      </c>
      <c r="H3474" s="39">
        <f t="shared" si="341"/>
        <v>1</v>
      </c>
      <c r="I3474" s="39">
        <f t="shared" si="342"/>
        <v>0</v>
      </c>
      <c r="K3474" s="40"/>
      <c r="Q3474" s="40">
        <v>38173</v>
      </c>
      <c r="R3474" s="39">
        <v>3995.73</v>
      </c>
      <c r="S3474" s="39">
        <f t="shared" si="343"/>
        <v>7</v>
      </c>
      <c r="T3474" s="39">
        <f t="shared" si="344"/>
        <v>0</v>
      </c>
      <c r="U3474" s="39">
        <f t="shared" si="345"/>
        <v>0</v>
      </c>
      <c r="V3474" s="40"/>
    </row>
    <row r="3475" spans="2:22" x14ac:dyDescent="0.35">
      <c r="B3475" s="40">
        <v>38174</v>
      </c>
      <c r="C3475" s="39">
        <v>3944.88</v>
      </c>
      <c r="D3475" s="219">
        <f t="shared" si="346"/>
        <v>-1.2807755351706003E-2</v>
      </c>
      <c r="F3475" s="40">
        <v>38174</v>
      </c>
      <c r="G3475" s="39">
        <v>3944.88</v>
      </c>
      <c r="H3475" s="39">
        <f t="shared" si="341"/>
        <v>2</v>
      </c>
      <c r="I3475" s="39">
        <f t="shared" si="342"/>
        <v>0</v>
      </c>
      <c r="K3475" s="40"/>
      <c r="Q3475" s="40">
        <v>38174</v>
      </c>
      <c r="R3475" s="39">
        <v>3944.88</v>
      </c>
      <c r="S3475" s="39">
        <f t="shared" si="343"/>
        <v>7</v>
      </c>
      <c r="T3475" s="39">
        <f t="shared" si="344"/>
        <v>0</v>
      </c>
      <c r="U3475" s="39">
        <f t="shared" si="345"/>
        <v>0</v>
      </c>
      <c r="V3475" s="40"/>
    </row>
    <row r="3476" spans="2:22" x14ac:dyDescent="0.35">
      <c r="B3476" s="40">
        <v>38175</v>
      </c>
      <c r="C3476" s="39">
        <v>3930.58</v>
      </c>
      <c r="D3476" s="219">
        <f t="shared" si="346"/>
        <v>-3.6315378951266427E-3</v>
      </c>
      <c r="F3476" s="40">
        <v>38175</v>
      </c>
      <c r="G3476" s="39">
        <v>3930.58</v>
      </c>
      <c r="H3476" s="39">
        <f t="shared" si="341"/>
        <v>3</v>
      </c>
      <c r="I3476" s="39">
        <f t="shared" si="342"/>
        <v>0</v>
      </c>
      <c r="K3476" s="40"/>
      <c r="Q3476" s="40">
        <v>38175</v>
      </c>
      <c r="R3476" s="39">
        <v>3930.58</v>
      </c>
      <c r="S3476" s="39">
        <f t="shared" si="343"/>
        <v>7</v>
      </c>
      <c r="T3476" s="39">
        <f t="shared" si="344"/>
        <v>0</v>
      </c>
      <c r="U3476" s="39">
        <f t="shared" si="345"/>
        <v>0</v>
      </c>
      <c r="V3476" s="40"/>
    </row>
    <row r="3477" spans="2:22" x14ac:dyDescent="0.35">
      <c r="B3477" s="40">
        <v>38176</v>
      </c>
      <c r="C3477" s="39">
        <v>3934.48</v>
      </c>
      <c r="D3477" s="219">
        <f t="shared" si="346"/>
        <v>9.917280528427381E-4</v>
      </c>
      <c r="F3477" s="40">
        <v>38176</v>
      </c>
      <c r="G3477" s="39">
        <v>3934.48</v>
      </c>
      <c r="H3477" s="39">
        <f t="shared" si="341"/>
        <v>4</v>
      </c>
      <c r="I3477" s="39">
        <f t="shared" si="342"/>
        <v>0</v>
      </c>
      <c r="K3477" s="40"/>
      <c r="Q3477" s="40">
        <v>38176</v>
      </c>
      <c r="R3477" s="39">
        <v>3934.48</v>
      </c>
      <c r="S3477" s="39">
        <f t="shared" si="343"/>
        <v>7</v>
      </c>
      <c r="T3477" s="39">
        <f t="shared" si="344"/>
        <v>0</v>
      </c>
      <c r="U3477" s="39">
        <f t="shared" si="345"/>
        <v>0</v>
      </c>
      <c r="V3477" s="40"/>
    </row>
    <row r="3478" spans="2:22" x14ac:dyDescent="0.35">
      <c r="B3478" s="40">
        <v>38177</v>
      </c>
      <c r="C3478" s="39">
        <v>3924.49</v>
      </c>
      <c r="D3478" s="219">
        <f t="shared" si="346"/>
        <v>-2.5423192557725367E-3</v>
      </c>
      <c r="F3478" s="40">
        <v>38177</v>
      </c>
      <c r="G3478" s="39">
        <v>3924.49</v>
      </c>
      <c r="H3478" s="39">
        <f t="shared" si="341"/>
        <v>5</v>
      </c>
      <c r="I3478" s="39">
        <f t="shared" si="342"/>
        <v>3924.49</v>
      </c>
      <c r="K3478" s="40"/>
      <c r="Q3478" s="40">
        <v>38177</v>
      </c>
      <c r="R3478" s="39">
        <v>3924.49</v>
      </c>
      <c r="S3478" s="39">
        <f t="shared" si="343"/>
        <v>7</v>
      </c>
      <c r="T3478" s="39">
        <f t="shared" si="344"/>
        <v>0</v>
      </c>
      <c r="U3478" s="39">
        <f t="shared" si="345"/>
        <v>0</v>
      </c>
      <c r="V3478" s="40"/>
    </row>
    <row r="3479" spans="2:22" x14ac:dyDescent="0.35">
      <c r="B3479" s="40">
        <v>38180</v>
      </c>
      <c r="C3479" s="39">
        <v>3893.24</v>
      </c>
      <c r="D3479" s="219">
        <f t="shared" si="346"/>
        <v>-7.9946906443020133E-3</v>
      </c>
      <c r="F3479" s="40">
        <v>38180</v>
      </c>
      <c r="G3479" s="39">
        <v>3893.24</v>
      </c>
      <c r="H3479" s="39">
        <f t="shared" si="341"/>
        <v>1</v>
      </c>
      <c r="I3479" s="39">
        <f t="shared" si="342"/>
        <v>0</v>
      </c>
      <c r="K3479" s="40"/>
      <c r="Q3479" s="40">
        <v>38180</v>
      </c>
      <c r="R3479" s="39">
        <v>3893.24</v>
      </c>
      <c r="S3479" s="39">
        <f t="shared" si="343"/>
        <v>7</v>
      </c>
      <c r="T3479" s="39">
        <f t="shared" si="344"/>
        <v>0</v>
      </c>
      <c r="U3479" s="39">
        <f t="shared" si="345"/>
        <v>0</v>
      </c>
      <c r="V3479" s="40"/>
    </row>
    <row r="3480" spans="2:22" x14ac:dyDescent="0.35">
      <c r="B3480" s="40">
        <v>38181</v>
      </c>
      <c r="C3480" s="39">
        <v>3903.88</v>
      </c>
      <c r="D3480" s="219">
        <f t="shared" si="346"/>
        <v>2.7292145316311317E-3</v>
      </c>
      <c r="F3480" s="40">
        <v>38181</v>
      </c>
      <c r="G3480" s="39">
        <v>3903.88</v>
      </c>
      <c r="H3480" s="39">
        <f t="shared" si="341"/>
        <v>2</v>
      </c>
      <c r="I3480" s="39">
        <f t="shared" si="342"/>
        <v>0</v>
      </c>
      <c r="K3480" s="40"/>
      <c r="Q3480" s="40">
        <v>38181</v>
      </c>
      <c r="R3480" s="39">
        <v>3903.88</v>
      </c>
      <c r="S3480" s="39">
        <f t="shared" si="343"/>
        <v>7</v>
      </c>
      <c r="T3480" s="39">
        <f t="shared" si="344"/>
        <v>0</v>
      </c>
      <c r="U3480" s="39">
        <f t="shared" si="345"/>
        <v>0</v>
      </c>
      <c r="V3480" s="40"/>
    </row>
    <row r="3481" spans="2:22" x14ac:dyDescent="0.35">
      <c r="B3481" s="40">
        <v>38182</v>
      </c>
      <c r="C3481" s="39">
        <v>3898.84</v>
      </c>
      <c r="D3481" s="219">
        <f t="shared" si="346"/>
        <v>-1.2918573781798921E-3</v>
      </c>
      <c r="F3481" s="40">
        <v>38182</v>
      </c>
      <c r="G3481" s="39">
        <v>3898.84</v>
      </c>
      <c r="H3481" s="39">
        <f t="shared" si="341"/>
        <v>3</v>
      </c>
      <c r="I3481" s="39">
        <f t="shared" si="342"/>
        <v>0</v>
      </c>
      <c r="K3481" s="40"/>
      <c r="Q3481" s="40">
        <v>38182</v>
      </c>
      <c r="R3481" s="39">
        <v>3898.84</v>
      </c>
      <c r="S3481" s="39">
        <f t="shared" si="343"/>
        <v>7</v>
      </c>
      <c r="T3481" s="39">
        <f t="shared" si="344"/>
        <v>0</v>
      </c>
      <c r="U3481" s="39">
        <f t="shared" si="345"/>
        <v>0</v>
      </c>
      <c r="V3481" s="40"/>
    </row>
    <row r="3482" spans="2:22" x14ac:dyDescent="0.35">
      <c r="B3482" s="40">
        <v>38183</v>
      </c>
      <c r="C3482" s="39">
        <v>3847.19</v>
      </c>
      <c r="D3482" s="219">
        <f t="shared" si="346"/>
        <v>-1.3336061310389863E-2</v>
      </c>
      <c r="F3482" s="40">
        <v>38183</v>
      </c>
      <c r="G3482" s="39">
        <v>3847.19</v>
      </c>
      <c r="H3482" s="39">
        <f t="shared" si="341"/>
        <v>4</v>
      </c>
      <c r="I3482" s="39">
        <f t="shared" si="342"/>
        <v>0</v>
      </c>
      <c r="K3482" s="40"/>
      <c r="Q3482" s="40">
        <v>38183</v>
      </c>
      <c r="R3482" s="39">
        <v>3847.19</v>
      </c>
      <c r="S3482" s="39">
        <f t="shared" si="343"/>
        <v>7</v>
      </c>
      <c r="T3482" s="39">
        <f t="shared" si="344"/>
        <v>0</v>
      </c>
      <c r="U3482" s="39">
        <f t="shared" si="345"/>
        <v>0</v>
      </c>
      <c r="V3482" s="40"/>
    </row>
    <row r="3483" spans="2:22" x14ac:dyDescent="0.35">
      <c r="B3483" s="40">
        <v>38184</v>
      </c>
      <c r="C3483" s="39">
        <v>3845.93</v>
      </c>
      <c r="D3483" s="219">
        <f t="shared" si="346"/>
        <v>-3.2756541202182414E-4</v>
      </c>
      <c r="F3483" s="40">
        <v>38184</v>
      </c>
      <c r="G3483" s="39">
        <v>3845.93</v>
      </c>
      <c r="H3483" s="39">
        <f t="shared" si="341"/>
        <v>5</v>
      </c>
      <c r="I3483" s="39">
        <f t="shared" si="342"/>
        <v>3845.93</v>
      </c>
      <c r="K3483" s="40"/>
      <c r="Q3483" s="40">
        <v>38184</v>
      </c>
      <c r="R3483" s="39">
        <v>3845.93</v>
      </c>
      <c r="S3483" s="39">
        <f t="shared" si="343"/>
        <v>7</v>
      </c>
      <c r="T3483" s="39">
        <f t="shared" si="344"/>
        <v>0</v>
      </c>
      <c r="U3483" s="39">
        <f t="shared" si="345"/>
        <v>0</v>
      </c>
      <c r="V3483" s="40"/>
    </row>
    <row r="3484" spans="2:22" x14ac:dyDescent="0.35">
      <c r="B3484" s="40">
        <v>38187</v>
      </c>
      <c r="C3484" s="39">
        <v>3812.63</v>
      </c>
      <c r="D3484" s="219">
        <f t="shared" si="346"/>
        <v>-8.6962065600737076E-3</v>
      </c>
      <c r="F3484" s="40">
        <v>38187</v>
      </c>
      <c r="G3484" s="39">
        <v>3812.63</v>
      </c>
      <c r="H3484" s="39">
        <f t="shared" si="341"/>
        <v>1</v>
      </c>
      <c r="I3484" s="39">
        <f t="shared" si="342"/>
        <v>0</v>
      </c>
      <c r="K3484" s="40"/>
      <c r="Q3484" s="40">
        <v>38187</v>
      </c>
      <c r="R3484" s="39">
        <v>3812.63</v>
      </c>
      <c r="S3484" s="39">
        <f t="shared" si="343"/>
        <v>7</v>
      </c>
      <c r="T3484" s="39">
        <f t="shared" si="344"/>
        <v>0</v>
      </c>
      <c r="U3484" s="39">
        <f t="shared" si="345"/>
        <v>0</v>
      </c>
      <c r="V3484" s="40"/>
    </row>
    <row r="3485" spans="2:22" x14ac:dyDescent="0.35">
      <c r="B3485" s="40">
        <v>38188</v>
      </c>
      <c r="C3485" s="39">
        <v>3837.6</v>
      </c>
      <c r="D3485" s="219">
        <f t="shared" si="346"/>
        <v>6.5279314928672928E-3</v>
      </c>
      <c r="F3485" s="40">
        <v>38188</v>
      </c>
      <c r="G3485" s="39">
        <v>3837.6</v>
      </c>
      <c r="H3485" s="39">
        <f t="shared" si="341"/>
        <v>2</v>
      </c>
      <c r="I3485" s="39">
        <f t="shared" si="342"/>
        <v>0</v>
      </c>
      <c r="K3485" s="40"/>
      <c r="Q3485" s="40">
        <v>38188</v>
      </c>
      <c r="R3485" s="39">
        <v>3837.6</v>
      </c>
      <c r="S3485" s="39">
        <f t="shared" si="343"/>
        <v>7</v>
      </c>
      <c r="T3485" s="39">
        <f t="shared" si="344"/>
        <v>0</v>
      </c>
      <c r="U3485" s="39">
        <f t="shared" si="345"/>
        <v>0</v>
      </c>
      <c r="V3485" s="40"/>
    </row>
    <row r="3486" spans="2:22" x14ac:dyDescent="0.35">
      <c r="B3486" s="40">
        <v>38189</v>
      </c>
      <c r="C3486" s="39">
        <v>3877.48</v>
      </c>
      <c r="D3486" s="219">
        <f t="shared" si="346"/>
        <v>1.033828688693275E-2</v>
      </c>
      <c r="F3486" s="40">
        <v>38189</v>
      </c>
      <c r="G3486" s="39">
        <v>3877.48</v>
      </c>
      <c r="H3486" s="39">
        <f t="shared" si="341"/>
        <v>3</v>
      </c>
      <c r="I3486" s="39">
        <f t="shared" si="342"/>
        <v>0</v>
      </c>
      <c r="K3486" s="40"/>
      <c r="Q3486" s="40">
        <v>38189</v>
      </c>
      <c r="R3486" s="39">
        <v>3877.48</v>
      </c>
      <c r="S3486" s="39">
        <f t="shared" si="343"/>
        <v>7</v>
      </c>
      <c r="T3486" s="39">
        <f t="shared" si="344"/>
        <v>0</v>
      </c>
      <c r="U3486" s="39">
        <f t="shared" si="345"/>
        <v>0</v>
      </c>
      <c r="V3486" s="40"/>
    </row>
    <row r="3487" spans="2:22" x14ac:dyDescent="0.35">
      <c r="B3487" s="40">
        <v>38190</v>
      </c>
      <c r="C3487" s="39">
        <v>3801.05</v>
      </c>
      <c r="D3487" s="219">
        <f t="shared" si="346"/>
        <v>-1.9908113739012814E-2</v>
      </c>
      <c r="F3487" s="40">
        <v>38190</v>
      </c>
      <c r="G3487" s="39">
        <v>3801.05</v>
      </c>
      <c r="H3487" s="39">
        <f t="shared" si="341"/>
        <v>4</v>
      </c>
      <c r="I3487" s="39">
        <f t="shared" si="342"/>
        <v>0</v>
      </c>
      <c r="K3487" s="40"/>
      <c r="Q3487" s="40">
        <v>38190</v>
      </c>
      <c r="R3487" s="39">
        <v>3801.05</v>
      </c>
      <c r="S3487" s="39">
        <f t="shared" si="343"/>
        <v>7</v>
      </c>
      <c r="T3487" s="39">
        <f t="shared" si="344"/>
        <v>0</v>
      </c>
      <c r="U3487" s="39">
        <f t="shared" si="345"/>
        <v>0</v>
      </c>
      <c r="V3487" s="40"/>
    </row>
    <row r="3488" spans="2:22" x14ac:dyDescent="0.35">
      <c r="B3488" s="40">
        <v>38191</v>
      </c>
      <c r="C3488" s="39">
        <v>3797.33</v>
      </c>
      <c r="D3488" s="219">
        <f t="shared" si="346"/>
        <v>-9.7915616150070182E-4</v>
      </c>
      <c r="F3488" s="40">
        <v>38191</v>
      </c>
      <c r="G3488" s="39">
        <v>3797.33</v>
      </c>
      <c r="H3488" s="39">
        <f t="shared" si="341"/>
        <v>5</v>
      </c>
      <c r="I3488" s="39">
        <f t="shared" si="342"/>
        <v>3797.33</v>
      </c>
      <c r="K3488" s="40"/>
      <c r="Q3488" s="40">
        <v>38191</v>
      </c>
      <c r="R3488" s="39">
        <v>3797.33</v>
      </c>
      <c r="S3488" s="39">
        <f t="shared" si="343"/>
        <v>7</v>
      </c>
      <c r="T3488" s="39">
        <f t="shared" si="344"/>
        <v>0</v>
      </c>
      <c r="U3488" s="39">
        <f t="shared" si="345"/>
        <v>0</v>
      </c>
      <c r="V3488" s="40"/>
    </row>
    <row r="3489" spans="2:22" x14ac:dyDescent="0.35">
      <c r="B3489" s="40">
        <v>38194</v>
      </c>
      <c r="C3489" s="39">
        <v>3752.59</v>
      </c>
      <c r="D3489" s="219">
        <f t="shared" si="346"/>
        <v>-1.1851919943608394E-2</v>
      </c>
      <c r="F3489" s="40">
        <v>38194</v>
      </c>
      <c r="G3489" s="39">
        <v>3752.59</v>
      </c>
      <c r="H3489" s="39">
        <f t="shared" si="341"/>
        <v>1</v>
      </c>
      <c r="I3489" s="39">
        <f t="shared" si="342"/>
        <v>0</v>
      </c>
      <c r="K3489" s="40"/>
      <c r="Q3489" s="40">
        <v>38194</v>
      </c>
      <c r="R3489" s="39">
        <v>3752.59</v>
      </c>
      <c r="S3489" s="39">
        <f t="shared" si="343"/>
        <v>7</v>
      </c>
      <c r="T3489" s="39">
        <f t="shared" si="344"/>
        <v>0</v>
      </c>
      <c r="U3489" s="39">
        <f t="shared" si="345"/>
        <v>0</v>
      </c>
      <c r="V3489" s="40"/>
    </row>
    <row r="3490" spans="2:22" x14ac:dyDescent="0.35">
      <c r="B3490" s="40">
        <v>38195</v>
      </c>
      <c r="C3490" s="39">
        <v>3814.08</v>
      </c>
      <c r="D3490" s="219">
        <f t="shared" si="346"/>
        <v>1.6253214063678884E-2</v>
      </c>
      <c r="F3490" s="40">
        <v>38195</v>
      </c>
      <c r="G3490" s="39">
        <v>3814.08</v>
      </c>
      <c r="H3490" s="39">
        <f t="shared" si="341"/>
        <v>2</v>
      </c>
      <c r="I3490" s="39">
        <f t="shared" si="342"/>
        <v>0</v>
      </c>
      <c r="K3490" s="40"/>
      <c r="Q3490" s="40">
        <v>38195</v>
      </c>
      <c r="R3490" s="39">
        <v>3814.08</v>
      </c>
      <c r="S3490" s="39">
        <f t="shared" si="343"/>
        <v>7</v>
      </c>
      <c r="T3490" s="39">
        <f t="shared" si="344"/>
        <v>0</v>
      </c>
      <c r="U3490" s="39">
        <f t="shared" si="345"/>
        <v>0</v>
      </c>
      <c r="V3490" s="40"/>
    </row>
    <row r="3491" spans="2:22" x14ac:dyDescent="0.35">
      <c r="B3491" s="40">
        <v>38196</v>
      </c>
      <c r="C3491" s="39">
        <v>3807.21</v>
      </c>
      <c r="D3491" s="219">
        <f t="shared" si="346"/>
        <v>-1.8028448886651897E-3</v>
      </c>
      <c r="F3491" s="40">
        <v>38196</v>
      </c>
      <c r="G3491" s="39">
        <v>3807.21</v>
      </c>
      <c r="H3491" s="39">
        <f t="shared" si="341"/>
        <v>3</v>
      </c>
      <c r="I3491" s="39">
        <f t="shared" si="342"/>
        <v>0</v>
      </c>
      <c r="K3491" s="40"/>
      <c r="Q3491" s="40">
        <v>38196</v>
      </c>
      <c r="R3491" s="39">
        <v>3807.21</v>
      </c>
      <c r="S3491" s="39">
        <f t="shared" si="343"/>
        <v>7</v>
      </c>
      <c r="T3491" s="39">
        <f t="shared" si="344"/>
        <v>0</v>
      </c>
      <c r="U3491" s="39">
        <f t="shared" si="345"/>
        <v>0</v>
      </c>
      <c r="V3491" s="40"/>
    </row>
    <row r="3492" spans="2:22" x14ac:dyDescent="0.35">
      <c r="B3492" s="40">
        <v>38197</v>
      </c>
      <c r="C3492" s="39">
        <v>3889.68</v>
      </c>
      <c r="D3492" s="219">
        <f t="shared" si="346"/>
        <v>2.1430254612295231E-2</v>
      </c>
      <c r="F3492" s="40">
        <v>38197</v>
      </c>
      <c r="G3492" s="39">
        <v>3889.68</v>
      </c>
      <c r="H3492" s="39">
        <f t="shared" si="341"/>
        <v>4</v>
      </c>
      <c r="I3492" s="39">
        <f t="shared" si="342"/>
        <v>0</v>
      </c>
      <c r="K3492" s="40"/>
      <c r="Q3492" s="40">
        <v>38197</v>
      </c>
      <c r="R3492" s="39">
        <v>3889.68</v>
      </c>
      <c r="S3492" s="39">
        <f t="shared" si="343"/>
        <v>7</v>
      </c>
      <c r="T3492" s="39">
        <f t="shared" si="344"/>
        <v>0</v>
      </c>
      <c r="U3492" s="39">
        <f t="shared" si="345"/>
        <v>0</v>
      </c>
      <c r="V3492" s="40"/>
    </row>
    <row r="3493" spans="2:22" x14ac:dyDescent="0.35">
      <c r="B3493" s="40">
        <v>38198</v>
      </c>
      <c r="C3493" s="39">
        <v>3895.61</v>
      </c>
      <c r="D3493" s="219">
        <f t="shared" si="346"/>
        <v>1.5233860644407872E-3</v>
      </c>
      <c r="F3493" s="40">
        <v>38198</v>
      </c>
      <c r="G3493" s="39">
        <v>3895.61</v>
      </c>
      <c r="H3493" s="39">
        <f t="shared" si="341"/>
        <v>5</v>
      </c>
      <c r="I3493" s="39">
        <f t="shared" si="342"/>
        <v>3895.61</v>
      </c>
      <c r="K3493" s="40"/>
      <c r="Q3493" s="40">
        <v>38198</v>
      </c>
      <c r="R3493" s="39">
        <v>3895.61</v>
      </c>
      <c r="S3493" s="39">
        <f t="shared" si="343"/>
        <v>7</v>
      </c>
      <c r="T3493" s="39">
        <f t="shared" si="344"/>
        <v>3895.61</v>
      </c>
      <c r="U3493" s="39">
        <f t="shared" si="345"/>
        <v>3895.61</v>
      </c>
      <c r="V3493" s="40"/>
    </row>
    <row r="3494" spans="2:22" x14ac:dyDescent="0.35">
      <c r="B3494" s="40">
        <v>38201</v>
      </c>
      <c r="C3494" s="39">
        <v>3862.71</v>
      </c>
      <c r="D3494" s="219">
        <f t="shared" si="346"/>
        <v>-8.4812684223117552E-3</v>
      </c>
      <c r="F3494" s="40">
        <v>38201</v>
      </c>
      <c r="G3494" s="39">
        <v>3862.71</v>
      </c>
      <c r="H3494" s="39">
        <f t="shared" si="341"/>
        <v>1</v>
      </c>
      <c r="I3494" s="39">
        <f t="shared" si="342"/>
        <v>0</v>
      </c>
      <c r="K3494" s="40"/>
      <c r="Q3494" s="40">
        <v>38201</v>
      </c>
      <c r="R3494" s="39">
        <v>3862.71</v>
      </c>
      <c r="S3494" s="39">
        <f t="shared" si="343"/>
        <v>8</v>
      </c>
      <c r="T3494" s="39">
        <f t="shared" si="344"/>
        <v>0</v>
      </c>
      <c r="U3494" s="39">
        <f t="shared" si="345"/>
        <v>0</v>
      </c>
      <c r="V3494" s="40"/>
    </row>
    <row r="3495" spans="2:22" x14ac:dyDescent="0.35">
      <c r="B3495" s="40">
        <v>38202</v>
      </c>
      <c r="C3495" s="39">
        <v>3877.32</v>
      </c>
      <c r="D3495" s="219">
        <f t="shared" si="346"/>
        <v>3.775183649629239E-3</v>
      </c>
      <c r="F3495" s="40">
        <v>38202</v>
      </c>
      <c r="G3495" s="39">
        <v>3877.32</v>
      </c>
      <c r="H3495" s="39">
        <f t="shared" si="341"/>
        <v>2</v>
      </c>
      <c r="I3495" s="39">
        <f t="shared" si="342"/>
        <v>0</v>
      </c>
      <c r="K3495" s="40"/>
      <c r="Q3495" s="40">
        <v>38202</v>
      </c>
      <c r="R3495" s="39">
        <v>3877.32</v>
      </c>
      <c r="S3495" s="39">
        <f t="shared" si="343"/>
        <v>8</v>
      </c>
      <c r="T3495" s="39">
        <f t="shared" si="344"/>
        <v>0</v>
      </c>
      <c r="U3495" s="39">
        <f t="shared" si="345"/>
        <v>0</v>
      </c>
      <c r="V3495" s="40"/>
    </row>
    <row r="3496" spans="2:22" x14ac:dyDescent="0.35">
      <c r="B3496" s="40">
        <v>38203</v>
      </c>
      <c r="C3496" s="39">
        <v>3823.74</v>
      </c>
      <c r="D3496" s="219">
        <f t="shared" si="346"/>
        <v>-1.391519208177534E-2</v>
      </c>
      <c r="F3496" s="40">
        <v>38203</v>
      </c>
      <c r="G3496" s="39">
        <v>3823.74</v>
      </c>
      <c r="H3496" s="39">
        <f t="shared" si="341"/>
        <v>3</v>
      </c>
      <c r="I3496" s="39">
        <f t="shared" si="342"/>
        <v>0</v>
      </c>
      <c r="K3496" s="40"/>
      <c r="Q3496" s="40">
        <v>38203</v>
      </c>
      <c r="R3496" s="39">
        <v>3823.74</v>
      </c>
      <c r="S3496" s="39">
        <f t="shared" si="343"/>
        <v>8</v>
      </c>
      <c r="T3496" s="39">
        <f t="shared" si="344"/>
        <v>0</v>
      </c>
      <c r="U3496" s="39">
        <f t="shared" si="345"/>
        <v>0</v>
      </c>
      <c r="V3496" s="40"/>
    </row>
    <row r="3497" spans="2:22" x14ac:dyDescent="0.35">
      <c r="B3497" s="40">
        <v>38204</v>
      </c>
      <c r="C3497" s="39">
        <v>3829.03</v>
      </c>
      <c r="D3497" s="219">
        <f t="shared" si="346"/>
        <v>1.3825061624941405E-3</v>
      </c>
      <c r="F3497" s="40">
        <v>38204</v>
      </c>
      <c r="G3497" s="39">
        <v>3829.03</v>
      </c>
      <c r="H3497" s="39">
        <f t="shared" si="341"/>
        <v>4</v>
      </c>
      <c r="I3497" s="39">
        <f t="shared" si="342"/>
        <v>0</v>
      </c>
      <c r="K3497" s="40"/>
      <c r="Q3497" s="40">
        <v>38204</v>
      </c>
      <c r="R3497" s="39">
        <v>3829.03</v>
      </c>
      <c r="S3497" s="39">
        <f t="shared" si="343"/>
        <v>8</v>
      </c>
      <c r="T3497" s="39">
        <f t="shared" si="344"/>
        <v>0</v>
      </c>
      <c r="U3497" s="39">
        <f t="shared" si="345"/>
        <v>0</v>
      </c>
      <c r="V3497" s="40"/>
    </row>
    <row r="3498" spans="2:22" x14ac:dyDescent="0.35">
      <c r="B3498" s="40">
        <v>38205</v>
      </c>
      <c r="C3498" s="39">
        <v>3727.74</v>
      </c>
      <c r="D3498" s="219">
        <f t="shared" si="346"/>
        <v>-2.6809355506360266E-2</v>
      </c>
      <c r="F3498" s="40">
        <v>38205</v>
      </c>
      <c r="G3498" s="39">
        <v>3727.74</v>
      </c>
      <c r="H3498" s="39">
        <f t="shared" si="341"/>
        <v>5</v>
      </c>
      <c r="I3498" s="39">
        <f t="shared" si="342"/>
        <v>3727.74</v>
      </c>
      <c r="K3498" s="40"/>
      <c r="Q3498" s="40">
        <v>38205</v>
      </c>
      <c r="R3498" s="39">
        <v>3727.74</v>
      </c>
      <c r="S3498" s="39">
        <f t="shared" si="343"/>
        <v>8</v>
      </c>
      <c r="T3498" s="39">
        <f t="shared" si="344"/>
        <v>0</v>
      </c>
      <c r="U3498" s="39">
        <f t="shared" si="345"/>
        <v>0</v>
      </c>
      <c r="V3498" s="40"/>
    </row>
    <row r="3499" spans="2:22" x14ac:dyDescent="0.35">
      <c r="B3499" s="40">
        <v>38208</v>
      </c>
      <c r="C3499" s="39">
        <v>3690.33</v>
      </c>
      <c r="D3499" s="219">
        <f t="shared" si="346"/>
        <v>-1.008626695391315E-2</v>
      </c>
      <c r="F3499" s="40">
        <v>38208</v>
      </c>
      <c r="G3499" s="39">
        <v>3690.33</v>
      </c>
      <c r="H3499" s="39">
        <f t="shared" si="341"/>
        <v>1</v>
      </c>
      <c r="I3499" s="39">
        <f t="shared" si="342"/>
        <v>0</v>
      </c>
      <c r="K3499" s="40"/>
      <c r="Q3499" s="40">
        <v>38208</v>
      </c>
      <c r="R3499" s="39">
        <v>3690.33</v>
      </c>
      <c r="S3499" s="39">
        <f t="shared" si="343"/>
        <v>8</v>
      </c>
      <c r="T3499" s="39">
        <f t="shared" si="344"/>
        <v>0</v>
      </c>
      <c r="U3499" s="39">
        <f t="shared" si="345"/>
        <v>0</v>
      </c>
      <c r="V3499" s="40"/>
    </row>
    <row r="3500" spans="2:22" x14ac:dyDescent="0.35">
      <c r="B3500" s="40">
        <v>38209</v>
      </c>
      <c r="C3500" s="39">
        <v>3720.64</v>
      </c>
      <c r="D3500" s="219">
        <f t="shared" si="346"/>
        <v>8.1798115500655594E-3</v>
      </c>
      <c r="F3500" s="40">
        <v>38209</v>
      </c>
      <c r="G3500" s="39">
        <v>3720.64</v>
      </c>
      <c r="H3500" s="39">
        <f t="shared" si="341"/>
        <v>2</v>
      </c>
      <c r="I3500" s="39">
        <f t="shared" si="342"/>
        <v>0</v>
      </c>
      <c r="K3500" s="40"/>
      <c r="Q3500" s="40">
        <v>38209</v>
      </c>
      <c r="R3500" s="39">
        <v>3720.64</v>
      </c>
      <c r="S3500" s="39">
        <f t="shared" si="343"/>
        <v>8</v>
      </c>
      <c r="T3500" s="39">
        <f t="shared" si="344"/>
        <v>0</v>
      </c>
      <c r="U3500" s="39">
        <f t="shared" si="345"/>
        <v>0</v>
      </c>
      <c r="V3500" s="40"/>
    </row>
    <row r="3501" spans="2:22" x14ac:dyDescent="0.35">
      <c r="B3501" s="40">
        <v>38210</v>
      </c>
      <c r="C3501" s="39">
        <v>3678.91</v>
      </c>
      <c r="D3501" s="219">
        <f t="shared" si="346"/>
        <v>-1.1279183844036691E-2</v>
      </c>
      <c r="F3501" s="40">
        <v>38210</v>
      </c>
      <c r="G3501" s="39">
        <v>3678.91</v>
      </c>
      <c r="H3501" s="39">
        <f t="shared" si="341"/>
        <v>3</v>
      </c>
      <c r="I3501" s="39">
        <f t="shared" si="342"/>
        <v>0</v>
      </c>
      <c r="K3501" s="40"/>
      <c r="Q3501" s="40">
        <v>38210</v>
      </c>
      <c r="R3501" s="39">
        <v>3678.91</v>
      </c>
      <c r="S3501" s="39">
        <f t="shared" si="343"/>
        <v>8</v>
      </c>
      <c r="T3501" s="39">
        <f t="shared" si="344"/>
        <v>0</v>
      </c>
      <c r="U3501" s="39">
        <f t="shared" si="345"/>
        <v>0</v>
      </c>
      <c r="V3501" s="40"/>
    </row>
    <row r="3502" spans="2:22" x14ac:dyDescent="0.35">
      <c r="B3502" s="40">
        <v>38211</v>
      </c>
      <c r="C3502" s="39">
        <v>3658.11</v>
      </c>
      <c r="D3502" s="219">
        <f t="shared" si="346"/>
        <v>-5.6698920604300439E-3</v>
      </c>
      <c r="F3502" s="40">
        <v>38211</v>
      </c>
      <c r="G3502" s="39">
        <v>3658.11</v>
      </c>
      <c r="H3502" s="39">
        <f t="shared" si="341"/>
        <v>4</v>
      </c>
      <c r="I3502" s="39">
        <f t="shared" si="342"/>
        <v>0</v>
      </c>
      <c r="K3502" s="40"/>
      <c r="Q3502" s="40">
        <v>38211</v>
      </c>
      <c r="R3502" s="39">
        <v>3658.11</v>
      </c>
      <c r="S3502" s="39">
        <f t="shared" si="343"/>
        <v>8</v>
      </c>
      <c r="T3502" s="39">
        <f t="shared" si="344"/>
        <v>0</v>
      </c>
      <c r="U3502" s="39">
        <f t="shared" si="345"/>
        <v>0</v>
      </c>
      <c r="V3502" s="40"/>
    </row>
    <row r="3503" spans="2:22" x14ac:dyDescent="0.35">
      <c r="B3503" s="40">
        <v>38212</v>
      </c>
      <c r="C3503" s="39">
        <v>3646.99</v>
      </c>
      <c r="D3503" s="219">
        <f t="shared" si="346"/>
        <v>-3.0444507505649888E-3</v>
      </c>
      <c r="F3503" s="40">
        <v>38212</v>
      </c>
      <c r="G3503" s="39">
        <v>3646.99</v>
      </c>
      <c r="H3503" s="39">
        <f t="shared" si="341"/>
        <v>5</v>
      </c>
      <c r="I3503" s="39">
        <f t="shared" si="342"/>
        <v>3646.99</v>
      </c>
      <c r="K3503" s="40"/>
      <c r="Q3503" s="40">
        <v>38212</v>
      </c>
      <c r="R3503" s="39">
        <v>3646.99</v>
      </c>
      <c r="S3503" s="39">
        <f t="shared" si="343"/>
        <v>8</v>
      </c>
      <c r="T3503" s="39">
        <f t="shared" si="344"/>
        <v>0</v>
      </c>
      <c r="U3503" s="39">
        <f t="shared" si="345"/>
        <v>0</v>
      </c>
      <c r="V3503" s="40"/>
    </row>
    <row r="3504" spans="2:22" x14ac:dyDescent="0.35">
      <c r="B3504" s="40">
        <v>38215</v>
      </c>
      <c r="C3504" s="39">
        <v>3699.11</v>
      </c>
      <c r="D3504" s="219">
        <f t="shared" si="346"/>
        <v>1.4190080332047859E-2</v>
      </c>
      <c r="F3504" s="40">
        <v>38215</v>
      </c>
      <c r="G3504" s="39">
        <v>3699.11</v>
      </c>
      <c r="H3504" s="39">
        <f t="shared" si="341"/>
        <v>1</v>
      </c>
      <c r="I3504" s="39">
        <f t="shared" si="342"/>
        <v>0</v>
      </c>
      <c r="K3504" s="40"/>
      <c r="Q3504" s="40">
        <v>38215</v>
      </c>
      <c r="R3504" s="39">
        <v>3699.11</v>
      </c>
      <c r="S3504" s="39">
        <f t="shared" si="343"/>
        <v>8</v>
      </c>
      <c r="T3504" s="39">
        <f t="shared" si="344"/>
        <v>0</v>
      </c>
      <c r="U3504" s="39">
        <f t="shared" si="345"/>
        <v>0</v>
      </c>
      <c r="V3504" s="40"/>
    </row>
    <row r="3505" spans="2:22" x14ac:dyDescent="0.35">
      <c r="B3505" s="40">
        <v>38216</v>
      </c>
      <c r="C3505" s="39">
        <v>3705.73</v>
      </c>
      <c r="D3505" s="219">
        <f t="shared" si="346"/>
        <v>1.7880202039983293E-3</v>
      </c>
      <c r="F3505" s="40">
        <v>38216</v>
      </c>
      <c r="G3505" s="39">
        <v>3705.73</v>
      </c>
      <c r="H3505" s="39">
        <f t="shared" si="341"/>
        <v>2</v>
      </c>
      <c r="I3505" s="39">
        <f t="shared" si="342"/>
        <v>0</v>
      </c>
      <c r="K3505" s="40"/>
      <c r="Q3505" s="40">
        <v>38216</v>
      </c>
      <c r="R3505" s="39">
        <v>3705.73</v>
      </c>
      <c r="S3505" s="39">
        <f t="shared" si="343"/>
        <v>8</v>
      </c>
      <c r="T3505" s="39">
        <f t="shared" si="344"/>
        <v>0</v>
      </c>
      <c r="U3505" s="39">
        <f t="shared" si="345"/>
        <v>0</v>
      </c>
      <c r="V3505" s="40"/>
    </row>
    <row r="3506" spans="2:22" x14ac:dyDescent="0.35">
      <c r="B3506" s="40">
        <v>38217</v>
      </c>
      <c r="C3506" s="39">
        <v>3726.5</v>
      </c>
      <c r="D3506" s="219">
        <f t="shared" si="346"/>
        <v>5.5891849604908488E-3</v>
      </c>
      <c r="F3506" s="40">
        <v>38217</v>
      </c>
      <c r="G3506" s="39">
        <v>3726.5</v>
      </c>
      <c r="H3506" s="39">
        <f t="shared" si="341"/>
        <v>3</v>
      </c>
      <c r="I3506" s="39">
        <f t="shared" si="342"/>
        <v>0</v>
      </c>
      <c r="K3506" s="40"/>
      <c r="Q3506" s="40">
        <v>38217</v>
      </c>
      <c r="R3506" s="39">
        <v>3726.5</v>
      </c>
      <c r="S3506" s="39">
        <f t="shared" si="343"/>
        <v>8</v>
      </c>
      <c r="T3506" s="39">
        <f t="shared" si="344"/>
        <v>0</v>
      </c>
      <c r="U3506" s="39">
        <f t="shared" si="345"/>
        <v>0</v>
      </c>
      <c r="V3506" s="40"/>
    </row>
    <row r="3507" spans="2:22" x14ac:dyDescent="0.35">
      <c r="B3507" s="40">
        <v>38218</v>
      </c>
      <c r="C3507" s="39">
        <v>3722.99</v>
      </c>
      <c r="D3507" s="219">
        <f t="shared" si="346"/>
        <v>-9.4234645854818135E-4</v>
      </c>
      <c r="F3507" s="40">
        <v>38218</v>
      </c>
      <c r="G3507" s="39">
        <v>3722.99</v>
      </c>
      <c r="H3507" s="39">
        <f t="shared" si="341"/>
        <v>4</v>
      </c>
      <c r="I3507" s="39">
        <f t="shared" si="342"/>
        <v>0</v>
      </c>
      <c r="K3507" s="40"/>
      <c r="Q3507" s="40">
        <v>38218</v>
      </c>
      <c r="R3507" s="39">
        <v>3722.99</v>
      </c>
      <c r="S3507" s="39">
        <f t="shared" si="343"/>
        <v>8</v>
      </c>
      <c r="T3507" s="39">
        <f t="shared" si="344"/>
        <v>0</v>
      </c>
      <c r="U3507" s="39">
        <f t="shared" si="345"/>
        <v>0</v>
      </c>
      <c r="V3507" s="40"/>
    </row>
    <row r="3508" spans="2:22" x14ac:dyDescent="0.35">
      <c r="B3508" s="40">
        <v>38219</v>
      </c>
      <c r="C3508" s="39">
        <v>3712.61</v>
      </c>
      <c r="D3508" s="219">
        <f t="shared" si="346"/>
        <v>-2.7919755615643952E-3</v>
      </c>
      <c r="F3508" s="40">
        <v>38219</v>
      </c>
      <c r="G3508" s="39">
        <v>3712.61</v>
      </c>
      <c r="H3508" s="39">
        <f t="shared" si="341"/>
        <v>5</v>
      </c>
      <c r="I3508" s="39">
        <f t="shared" si="342"/>
        <v>3712.61</v>
      </c>
      <c r="K3508" s="40"/>
      <c r="Q3508" s="40">
        <v>38219</v>
      </c>
      <c r="R3508" s="39">
        <v>3712.61</v>
      </c>
      <c r="S3508" s="39">
        <f t="shared" si="343"/>
        <v>8</v>
      </c>
      <c r="T3508" s="39">
        <f t="shared" si="344"/>
        <v>0</v>
      </c>
      <c r="U3508" s="39">
        <f t="shared" si="345"/>
        <v>0</v>
      </c>
      <c r="V3508" s="40"/>
    </row>
    <row r="3509" spans="2:22" x14ac:dyDescent="0.35">
      <c r="B3509" s="40">
        <v>38222</v>
      </c>
      <c r="C3509" s="39">
        <v>3772.14</v>
      </c>
      <c r="D3509" s="219">
        <f t="shared" si="346"/>
        <v>1.5907346351493001E-2</v>
      </c>
      <c r="F3509" s="40">
        <v>38222</v>
      </c>
      <c r="G3509" s="39">
        <v>3772.14</v>
      </c>
      <c r="H3509" s="39">
        <f t="shared" si="341"/>
        <v>1</v>
      </c>
      <c r="I3509" s="39">
        <f t="shared" si="342"/>
        <v>0</v>
      </c>
      <c r="K3509" s="40"/>
      <c r="Q3509" s="40">
        <v>38222</v>
      </c>
      <c r="R3509" s="39">
        <v>3772.14</v>
      </c>
      <c r="S3509" s="39">
        <f t="shared" si="343"/>
        <v>8</v>
      </c>
      <c r="T3509" s="39">
        <f t="shared" si="344"/>
        <v>0</v>
      </c>
      <c r="U3509" s="39">
        <f t="shared" si="345"/>
        <v>0</v>
      </c>
      <c r="V3509" s="40"/>
    </row>
    <row r="3510" spans="2:22" x14ac:dyDescent="0.35">
      <c r="B3510" s="40">
        <v>38223</v>
      </c>
      <c r="C3510" s="39">
        <v>3771</v>
      </c>
      <c r="D3510" s="219">
        <f t="shared" si="346"/>
        <v>-3.0226139477170259E-4</v>
      </c>
      <c r="F3510" s="40">
        <v>38223</v>
      </c>
      <c r="G3510" s="39">
        <v>3771</v>
      </c>
      <c r="H3510" s="39">
        <f t="shared" si="341"/>
        <v>2</v>
      </c>
      <c r="I3510" s="39">
        <f t="shared" si="342"/>
        <v>0</v>
      </c>
      <c r="K3510" s="40"/>
      <c r="Q3510" s="40">
        <v>38223</v>
      </c>
      <c r="R3510" s="39">
        <v>3771</v>
      </c>
      <c r="S3510" s="39">
        <f t="shared" si="343"/>
        <v>8</v>
      </c>
      <c r="T3510" s="39">
        <f t="shared" si="344"/>
        <v>0</v>
      </c>
      <c r="U3510" s="39">
        <f t="shared" si="345"/>
        <v>0</v>
      </c>
      <c r="V3510" s="40"/>
    </row>
    <row r="3511" spans="2:22" x14ac:dyDescent="0.35">
      <c r="B3511" s="40">
        <v>38224</v>
      </c>
      <c r="C3511" s="39">
        <v>3788.88</v>
      </c>
      <c r="D3511" s="219">
        <f t="shared" si="346"/>
        <v>4.7302426332240686E-3</v>
      </c>
      <c r="F3511" s="40">
        <v>38224</v>
      </c>
      <c r="G3511" s="39">
        <v>3788.88</v>
      </c>
      <c r="H3511" s="39">
        <f t="shared" ref="H3511:H3574" si="347">WEEKDAY(F3511,2)</f>
        <v>3</v>
      </c>
      <c r="I3511" s="39">
        <f t="shared" ref="I3511:I3574" si="348">IF(H3511&gt;H3512,G3511,0)</f>
        <v>0</v>
      </c>
      <c r="K3511" s="40"/>
      <c r="Q3511" s="40">
        <v>38224</v>
      </c>
      <c r="R3511" s="39">
        <v>3788.88</v>
      </c>
      <c r="S3511" s="39">
        <f t="shared" ref="S3511:S3574" si="349">MONTH(Q3511)</f>
        <v>8</v>
      </c>
      <c r="T3511" s="39">
        <f t="shared" ref="T3511:T3574" si="350">IF(S3512&lt;&gt;S3511,R3511,0)</f>
        <v>0</v>
      </c>
      <c r="U3511" s="39">
        <f t="shared" ref="U3511:U3574" si="351">IF(S3512=S3511,0,R3511)</f>
        <v>0</v>
      </c>
      <c r="V3511" s="40"/>
    </row>
    <row r="3512" spans="2:22" x14ac:dyDescent="0.35">
      <c r="B3512" s="40">
        <v>38225</v>
      </c>
      <c r="C3512" s="39">
        <v>3832.28</v>
      </c>
      <c r="D3512" s="219">
        <f t="shared" ref="D3512:D3575" si="352">LN(C3512/C3511)</f>
        <v>1.1389465423296673E-2</v>
      </c>
      <c r="F3512" s="40">
        <v>38225</v>
      </c>
      <c r="G3512" s="39">
        <v>3832.28</v>
      </c>
      <c r="H3512" s="39">
        <f t="shared" si="347"/>
        <v>4</v>
      </c>
      <c r="I3512" s="39">
        <f t="shared" si="348"/>
        <v>0</v>
      </c>
      <c r="K3512" s="40"/>
      <c r="Q3512" s="40">
        <v>38225</v>
      </c>
      <c r="R3512" s="39">
        <v>3832.28</v>
      </c>
      <c r="S3512" s="39">
        <f t="shared" si="349"/>
        <v>8</v>
      </c>
      <c r="T3512" s="39">
        <f t="shared" si="350"/>
        <v>0</v>
      </c>
      <c r="U3512" s="39">
        <f t="shared" si="351"/>
        <v>0</v>
      </c>
      <c r="V3512" s="40"/>
    </row>
    <row r="3513" spans="2:22" x14ac:dyDescent="0.35">
      <c r="B3513" s="40">
        <v>38226</v>
      </c>
      <c r="C3513" s="39">
        <v>3851.18</v>
      </c>
      <c r="D3513" s="219">
        <f t="shared" si="352"/>
        <v>4.9196685139056414E-3</v>
      </c>
      <c r="F3513" s="40">
        <v>38226</v>
      </c>
      <c r="G3513" s="39">
        <v>3851.18</v>
      </c>
      <c r="H3513" s="39">
        <f t="shared" si="347"/>
        <v>5</v>
      </c>
      <c r="I3513" s="39">
        <f t="shared" si="348"/>
        <v>3851.18</v>
      </c>
      <c r="K3513" s="40"/>
      <c r="Q3513" s="40">
        <v>38226</v>
      </c>
      <c r="R3513" s="39">
        <v>3851.18</v>
      </c>
      <c r="S3513" s="39">
        <f t="shared" si="349"/>
        <v>8</v>
      </c>
      <c r="T3513" s="39">
        <f t="shared" si="350"/>
        <v>0</v>
      </c>
      <c r="U3513" s="39">
        <f t="shared" si="351"/>
        <v>0</v>
      </c>
      <c r="V3513" s="40"/>
    </row>
    <row r="3514" spans="2:22" x14ac:dyDescent="0.35">
      <c r="B3514" s="40">
        <v>38229</v>
      </c>
      <c r="C3514" s="39">
        <v>3838.85</v>
      </c>
      <c r="D3514" s="219">
        <f t="shared" si="352"/>
        <v>-3.2067522665185245E-3</v>
      </c>
      <c r="F3514" s="40">
        <v>38229</v>
      </c>
      <c r="G3514" s="39">
        <v>3838.85</v>
      </c>
      <c r="H3514" s="39">
        <f t="shared" si="347"/>
        <v>1</v>
      </c>
      <c r="I3514" s="39">
        <f t="shared" si="348"/>
        <v>0</v>
      </c>
      <c r="K3514" s="40"/>
      <c r="Q3514" s="40">
        <v>38229</v>
      </c>
      <c r="R3514" s="39">
        <v>3838.85</v>
      </c>
      <c r="S3514" s="39">
        <f t="shared" si="349"/>
        <v>8</v>
      </c>
      <c r="T3514" s="39">
        <f t="shared" si="350"/>
        <v>0</v>
      </c>
      <c r="U3514" s="39">
        <f t="shared" si="351"/>
        <v>0</v>
      </c>
      <c r="V3514" s="40"/>
    </row>
    <row r="3515" spans="2:22" x14ac:dyDescent="0.35">
      <c r="B3515" s="40">
        <v>38230</v>
      </c>
      <c r="C3515" s="39">
        <v>3785.21</v>
      </c>
      <c r="D3515" s="219">
        <f t="shared" si="352"/>
        <v>-1.4071475063347787E-2</v>
      </c>
      <c r="F3515" s="40">
        <v>38230</v>
      </c>
      <c r="G3515" s="39">
        <v>3785.21</v>
      </c>
      <c r="H3515" s="39">
        <f t="shared" si="347"/>
        <v>2</v>
      </c>
      <c r="I3515" s="39">
        <f t="shared" si="348"/>
        <v>0</v>
      </c>
      <c r="K3515" s="40"/>
      <c r="Q3515" s="40">
        <v>38230</v>
      </c>
      <c r="R3515" s="39">
        <v>3785.21</v>
      </c>
      <c r="S3515" s="39">
        <f t="shared" si="349"/>
        <v>8</v>
      </c>
      <c r="T3515" s="39">
        <f t="shared" si="350"/>
        <v>3785.21</v>
      </c>
      <c r="U3515" s="39">
        <f t="shared" si="351"/>
        <v>3785.21</v>
      </c>
      <c r="V3515" s="40"/>
    </row>
    <row r="3516" spans="2:22" x14ac:dyDescent="0.35">
      <c r="B3516" s="40">
        <v>38231</v>
      </c>
      <c r="C3516" s="39">
        <v>3817.62</v>
      </c>
      <c r="D3516" s="219">
        <f t="shared" si="352"/>
        <v>8.5258242845025218E-3</v>
      </c>
      <c r="F3516" s="40">
        <v>38231</v>
      </c>
      <c r="G3516" s="39">
        <v>3817.62</v>
      </c>
      <c r="H3516" s="39">
        <f t="shared" si="347"/>
        <v>3</v>
      </c>
      <c r="I3516" s="39">
        <f t="shared" si="348"/>
        <v>0</v>
      </c>
      <c r="K3516" s="40"/>
      <c r="Q3516" s="40">
        <v>38231</v>
      </c>
      <c r="R3516" s="39">
        <v>3817.62</v>
      </c>
      <c r="S3516" s="39">
        <f t="shared" si="349"/>
        <v>9</v>
      </c>
      <c r="T3516" s="39">
        <f t="shared" si="350"/>
        <v>0</v>
      </c>
      <c r="U3516" s="39">
        <f t="shared" si="351"/>
        <v>0</v>
      </c>
      <c r="V3516" s="40"/>
    </row>
    <row r="3517" spans="2:22" x14ac:dyDescent="0.35">
      <c r="B3517" s="40">
        <v>38232</v>
      </c>
      <c r="C3517" s="39">
        <v>3833.45</v>
      </c>
      <c r="D3517" s="219">
        <f t="shared" si="352"/>
        <v>4.1379892192921321E-3</v>
      </c>
      <c r="F3517" s="40">
        <v>38232</v>
      </c>
      <c r="G3517" s="39">
        <v>3833.45</v>
      </c>
      <c r="H3517" s="39">
        <f t="shared" si="347"/>
        <v>4</v>
      </c>
      <c r="I3517" s="39">
        <f t="shared" si="348"/>
        <v>0</v>
      </c>
      <c r="K3517" s="40"/>
      <c r="Q3517" s="40">
        <v>38232</v>
      </c>
      <c r="R3517" s="39">
        <v>3833.45</v>
      </c>
      <c r="S3517" s="39">
        <f t="shared" si="349"/>
        <v>9</v>
      </c>
      <c r="T3517" s="39">
        <f t="shared" si="350"/>
        <v>0</v>
      </c>
      <c r="U3517" s="39">
        <f t="shared" si="351"/>
        <v>0</v>
      </c>
      <c r="V3517" s="40"/>
    </row>
    <row r="3518" spans="2:22" x14ac:dyDescent="0.35">
      <c r="B3518" s="40">
        <v>38233</v>
      </c>
      <c r="C3518" s="39">
        <v>3866.99</v>
      </c>
      <c r="D3518" s="219">
        <f t="shared" si="352"/>
        <v>8.711245617274677E-3</v>
      </c>
      <c r="F3518" s="40">
        <v>38233</v>
      </c>
      <c r="G3518" s="39">
        <v>3866.99</v>
      </c>
      <c r="H3518" s="39">
        <f t="shared" si="347"/>
        <v>5</v>
      </c>
      <c r="I3518" s="39">
        <f t="shared" si="348"/>
        <v>3866.99</v>
      </c>
      <c r="K3518" s="40"/>
      <c r="Q3518" s="40">
        <v>38233</v>
      </c>
      <c r="R3518" s="39">
        <v>3866.99</v>
      </c>
      <c r="S3518" s="39">
        <f t="shared" si="349"/>
        <v>9</v>
      </c>
      <c r="T3518" s="39">
        <f t="shared" si="350"/>
        <v>0</v>
      </c>
      <c r="U3518" s="39">
        <f t="shared" si="351"/>
        <v>0</v>
      </c>
      <c r="V3518" s="40"/>
    </row>
    <row r="3519" spans="2:22" x14ac:dyDescent="0.35">
      <c r="B3519" s="40">
        <v>38236</v>
      </c>
      <c r="C3519" s="39">
        <v>3887.58</v>
      </c>
      <c r="D3519" s="219">
        <f t="shared" si="352"/>
        <v>5.3104294338979108E-3</v>
      </c>
      <c r="F3519" s="40">
        <v>38236</v>
      </c>
      <c r="G3519" s="39">
        <v>3887.58</v>
      </c>
      <c r="H3519" s="39">
        <f t="shared" si="347"/>
        <v>1</v>
      </c>
      <c r="I3519" s="39">
        <f t="shared" si="348"/>
        <v>0</v>
      </c>
      <c r="K3519" s="40"/>
      <c r="Q3519" s="40">
        <v>38236</v>
      </c>
      <c r="R3519" s="39">
        <v>3887.58</v>
      </c>
      <c r="S3519" s="39">
        <f t="shared" si="349"/>
        <v>9</v>
      </c>
      <c r="T3519" s="39">
        <f t="shared" si="350"/>
        <v>0</v>
      </c>
      <c r="U3519" s="39">
        <f t="shared" si="351"/>
        <v>0</v>
      </c>
      <c r="V3519" s="40"/>
    </row>
    <row r="3520" spans="2:22" x14ac:dyDescent="0.35">
      <c r="B3520" s="40">
        <v>38237</v>
      </c>
      <c r="C3520" s="39">
        <v>3889.04</v>
      </c>
      <c r="D3520" s="219">
        <f t="shared" si="352"/>
        <v>3.7548446938481637E-4</v>
      </c>
      <c r="F3520" s="40">
        <v>38237</v>
      </c>
      <c r="G3520" s="39">
        <v>3889.04</v>
      </c>
      <c r="H3520" s="39">
        <f t="shared" si="347"/>
        <v>2</v>
      </c>
      <c r="I3520" s="39">
        <f t="shared" si="348"/>
        <v>0</v>
      </c>
      <c r="K3520" s="40"/>
      <c r="Q3520" s="40">
        <v>38237</v>
      </c>
      <c r="R3520" s="39">
        <v>3889.04</v>
      </c>
      <c r="S3520" s="39">
        <f t="shared" si="349"/>
        <v>9</v>
      </c>
      <c r="T3520" s="39">
        <f t="shared" si="350"/>
        <v>0</v>
      </c>
      <c r="U3520" s="39">
        <f t="shared" si="351"/>
        <v>0</v>
      </c>
      <c r="V3520" s="40"/>
    </row>
    <row r="3521" spans="2:22" x14ac:dyDescent="0.35">
      <c r="B3521" s="40">
        <v>38238</v>
      </c>
      <c r="C3521" s="39">
        <v>3884.16</v>
      </c>
      <c r="D3521" s="219">
        <f t="shared" si="352"/>
        <v>-1.2555963158336104E-3</v>
      </c>
      <c r="F3521" s="40">
        <v>38238</v>
      </c>
      <c r="G3521" s="39">
        <v>3884.16</v>
      </c>
      <c r="H3521" s="39">
        <f t="shared" si="347"/>
        <v>3</v>
      </c>
      <c r="I3521" s="39">
        <f t="shared" si="348"/>
        <v>0</v>
      </c>
      <c r="K3521" s="40"/>
      <c r="Q3521" s="40">
        <v>38238</v>
      </c>
      <c r="R3521" s="39">
        <v>3884.16</v>
      </c>
      <c r="S3521" s="39">
        <f t="shared" si="349"/>
        <v>9</v>
      </c>
      <c r="T3521" s="39">
        <f t="shared" si="350"/>
        <v>0</v>
      </c>
      <c r="U3521" s="39">
        <f t="shared" si="351"/>
        <v>0</v>
      </c>
      <c r="V3521" s="40"/>
    </row>
    <row r="3522" spans="2:22" x14ac:dyDescent="0.35">
      <c r="B3522" s="40">
        <v>38239</v>
      </c>
      <c r="C3522" s="39">
        <v>3851.22</v>
      </c>
      <c r="D3522" s="219">
        <f t="shared" si="352"/>
        <v>-8.5167630055734689E-3</v>
      </c>
      <c r="F3522" s="40">
        <v>38239</v>
      </c>
      <c r="G3522" s="39">
        <v>3851.22</v>
      </c>
      <c r="H3522" s="39">
        <f t="shared" si="347"/>
        <v>4</v>
      </c>
      <c r="I3522" s="39">
        <f t="shared" si="348"/>
        <v>0</v>
      </c>
      <c r="K3522" s="40"/>
      <c r="Q3522" s="40">
        <v>38239</v>
      </c>
      <c r="R3522" s="39">
        <v>3851.22</v>
      </c>
      <c r="S3522" s="39">
        <f t="shared" si="349"/>
        <v>9</v>
      </c>
      <c r="T3522" s="39">
        <f t="shared" si="350"/>
        <v>0</v>
      </c>
      <c r="U3522" s="39">
        <f t="shared" si="351"/>
        <v>0</v>
      </c>
      <c r="V3522" s="40"/>
    </row>
    <row r="3523" spans="2:22" x14ac:dyDescent="0.35">
      <c r="B3523" s="40">
        <v>38240</v>
      </c>
      <c r="C3523" s="39">
        <v>3886.03</v>
      </c>
      <c r="D3523" s="219">
        <f t="shared" si="352"/>
        <v>8.9980897263108282E-3</v>
      </c>
      <c r="F3523" s="40">
        <v>38240</v>
      </c>
      <c r="G3523" s="39">
        <v>3886.03</v>
      </c>
      <c r="H3523" s="39">
        <f t="shared" si="347"/>
        <v>5</v>
      </c>
      <c r="I3523" s="39">
        <f t="shared" si="348"/>
        <v>3886.03</v>
      </c>
      <c r="K3523" s="40"/>
      <c r="Q3523" s="40">
        <v>38240</v>
      </c>
      <c r="R3523" s="39">
        <v>3886.03</v>
      </c>
      <c r="S3523" s="39">
        <f t="shared" si="349"/>
        <v>9</v>
      </c>
      <c r="T3523" s="39">
        <f t="shared" si="350"/>
        <v>0</v>
      </c>
      <c r="U3523" s="39">
        <f t="shared" si="351"/>
        <v>0</v>
      </c>
      <c r="V3523" s="40"/>
    </row>
    <row r="3524" spans="2:22" x14ac:dyDescent="0.35">
      <c r="B3524" s="40">
        <v>38243</v>
      </c>
      <c r="C3524" s="39">
        <v>3953.31</v>
      </c>
      <c r="D3524" s="219">
        <f t="shared" si="352"/>
        <v>1.7165131745772982E-2</v>
      </c>
      <c r="F3524" s="40">
        <v>38243</v>
      </c>
      <c r="G3524" s="39">
        <v>3953.31</v>
      </c>
      <c r="H3524" s="39">
        <f t="shared" si="347"/>
        <v>1</v>
      </c>
      <c r="I3524" s="39">
        <f t="shared" si="348"/>
        <v>0</v>
      </c>
      <c r="K3524" s="40"/>
      <c r="Q3524" s="40">
        <v>38243</v>
      </c>
      <c r="R3524" s="39">
        <v>3953.31</v>
      </c>
      <c r="S3524" s="39">
        <f t="shared" si="349"/>
        <v>9</v>
      </c>
      <c r="T3524" s="39">
        <f t="shared" si="350"/>
        <v>0</v>
      </c>
      <c r="U3524" s="39">
        <f t="shared" si="351"/>
        <v>0</v>
      </c>
      <c r="V3524" s="40"/>
    </row>
    <row r="3525" spans="2:22" x14ac:dyDescent="0.35">
      <c r="B3525" s="40">
        <v>38244</v>
      </c>
      <c r="C3525" s="39">
        <v>3947.75</v>
      </c>
      <c r="D3525" s="219">
        <f t="shared" si="352"/>
        <v>-1.4074063271933238E-3</v>
      </c>
      <c r="F3525" s="40">
        <v>38244</v>
      </c>
      <c r="G3525" s="39">
        <v>3947.75</v>
      </c>
      <c r="H3525" s="39">
        <f t="shared" si="347"/>
        <v>2</v>
      </c>
      <c r="I3525" s="39">
        <f t="shared" si="348"/>
        <v>0</v>
      </c>
      <c r="K3525" s="40"/>
      <c r="Q3525" s="40">
        <v>38244</v>
      </c>
      <c r="R3525" s="39">
        <v>3947.75</v>
      </c>
      <c r="S3525" s="39">
        <f t="shared" si="349"/>
        <v>9</v>
      </c>
      <c r="T3525" s="39">
        <f t="shared" si="350"/>
        <v>0</v>
      </c>
      <c r="U3525" s="39">
        <f t="shared" si="351"/>
        <v>0</v>
      </c>
      <c r="V3525" s="40"/>
    </row>
    <row r="3526" spans="2:22" x14ac:dyDescent="0.35">
      <c r="B3526" s="40">
        <v>38245</v>
      </c>
      <c r="C3526" s="39">
        <v>3941.75</v>
      </c>
      <c r="D3526" s="219">
        <f t="shared" si="352"/>
        <v>-1.5210092291614485E-3</v>
      </c>
      <c r="F3526" s="40">
        <v>38245</v>
      </c>
      <c r="G3526" s="39">
        <v>3941.75</v>
      </c>
      <c r="H3526" s="39">
        <f t="shared" si="347"/>
        <v>3</v>
      </c>
      <c r="I3526" s="39">
        <f t="shared" si="348"/>
        <v>0</v>
      </c>
      <c r="K3526" s="40"/>
      <c r="Q3526" s="40">
        <v>38245</v>
      </c>
      <c r="R3526" s="39">
        <v>3941.75</v>
      </c>
      <c r="S3526" s="39">
        <f t="shared" si="349"/>
        <v>9</v>
      </c>
      <c r="T3526" s="39">
        <f t="shared" si="350"/>
        <v>0</v>
      </c>
      <c r="U3526" s="39">
        <f t="shared" si="351"/>
        <v>0</v>
      </c>
      <c r="V3526" s="40"/>
    </row>
    <row r="3527" spans="2:22" x14ac:dyDescent="0.35">
      <c r="B3527" s="40">
        <v>38246</v>
      </c>
      <c r="C3527" s="39">
        <v>3963.65</v>
      </c>
      <c r="D3527" s="219">
        <f t="shared" si="352"/>
        <v>5.540530782218527E-3</v>
      </c>
      <c r="F3527" s="40">
        <v>38246</v>
      </c>
      <c r="G3527" s="39">
        <v>3963.65</v>
      </c>
      <c r="H3527" s="39">
        <f t="shared" si="347"/>
        <v>4</v>
      </c>
      <c r="I3527" s="39">
        <f t="shared" si="348"/>
        <v>0</v>
      </c>
      <c r="K3527" s="40"/>
      <c r="Q3527" s="40">
        <v>38246</v>
      </c>
      <c r="R3527" s="39">
        <v>3963.65</v>
      </c>
      <c r="S3527" s="39">
        <f t="shared" si="349"/>
        <v>9</v>
      </c>
      <c r="T3527" s="39">
        <f t="shared" si="350"/>
        <v>0</v>
      </c>
      <c r="U3527" s="39">
        <f t="shared" si="351"/>
        <v>0</v>
      </c>
      <c r="V3527" s="40"/>
    </row>
    <row r="3528" spans="2:22" x14ac:dyDescent="0.35">
      <c r="B3528" s="40">
        <v>38247</v>
      </c>
      <c r="C3528" s="39">
        <v>3988.07</v>
      </c>
      <c r="D3528" s="219">
        <f t="shared" si="352"/>
        <v>6.1420866858473179E-3</v>
      </c>
      <c r="F3528" s="40">
        <v>38247</v>
      </c>
      <c r="G3528" s="39">
        <v>3988.07</v>
      </c>
      <c r="H3528" s="39">
        <f t="shared" si="347"/>
        <v>5</v>
      </c>
      <c r="I3528" s="39">
        <f t="shared" si="348"/>
        <v>3988.07</v>
      </c>
      <c r="K3528" s="40"/>
      <c r="Q3528" s="40">
        <v>38247</v>
      </c>
      <c r="R3528" s="39">
        <v>3988.07</v>
      </c>
      <c r="S3528" s="39">
        <f t="shared" si="349"/>
        <v>9</v>
      </c>
      <c r="T3528" s="39">
        <f t="shared" si="350"/>
        <v>0</v>
      </c>
      <c r="U3528" s="39">
        <f t="shared" si="351"/>
        <v>0</v>
      </c>
      <c r="V3528" s="40"/>
    </row>
    <row r="3529" spans="2:22" x14ac:dyDescent="0.35">
      <c r="B3529" s="40">
        <v>38250</v>
      </c>
      <c r="C3529" s="39">
        <v>3977.68</v>
      </c>
      <c r="D3529" s="219">
        <f t="shared" si="352"/>
        <v>-2.6086698407889776E-3</v>
      </c>
      <c r="F3529" s="40">
        <v>38250</v>
      </c>
      <c r="G3529" s="39">
        <v>3977.68</v>
      </c>
      <c r="H3529" s="39">
        <f t="shared" si="347"/>
        <v>1</v>
      </c>
      <c r="I3529" s="39">
        <f t="shared" si="348"/>
        <v>0</v>
      </c>
      <c r="K3529" s="40"/>
      <c r="Q3529" s="40">
        <v>38250</v>
      </c>
      <c r="R3529" s="39">
        <v>3977.68</v>
      </c>
      <c r="S3529" s="39">
        <f t="shared" si="349"/>
        <v>9</v>
      </c>
      <c r="T3529" s="39">
        <f t="shared" si="350"/>
        <v>0</v>
      </c>
      <c r="U3529" s="39">
        <f t="shared" si="351"/>
        <v>0</v>
      </c>
      <c r="V3529" s="40"/>
    </row>
    <row r="3530" spans="2:22" x14ac:dyDescent="0.35">
      <c r="B3530" s="40">
        <v>38251</v>
      </c>
      <c r="C3530" s="39">
        <v>3991.02</v>
      </c>
      <c r="D3530" s="219">
        <f t="shared" si="352"/>
        <v>3.3481025666793843E-3</v>
      </c>
      <c r="F3530" s="40">
        <v>38251</v>
      </c>
      <c r="G3530" s="39">
        <v>3991.02</v>
      </c>
      <c r="H3530" s="39">
        <f t="shared" si="347"/>
        <v>2</v>
      </c>
      <c r="I3530" s="39">
        <f t="shared" si="348"/>
        <v>0</v>
      </c>
      <c r="K3530" s="40"/>
      <c r="Q3530" s="40">
        <v>38251</v>
      </c>
      <c r="R3530" s="39">
        <v>3991.02</v>
      </c>
      <c r="S3530" s="39">
        <f t="shared" si="349"/>
        <v>9</v>
      </c>
      <c r="T3530" s="39">
        <f t="shared" si="350"/>
        <v>0</v>
      </c>
      <c r="U3530" s="39">
        <f t="shared" si="351"/>
        <v>0</v>
      </c>
      <c r="V3530" s="40"/>
    </row>
    <row r="3531" spans="2:22" x14ac:dyDescent="0.35">
      <c r="B3531" s="40">
        <v>38252</v>
      </c>
      <c r="C3531" s="39">
        <v>3942.35</v>
      </c>
      <c r="D3531" s="219">
        <f t="shared" si="352"/>
        <v>-1.22698451226965E-2</v>
      </c>
      <c r="F3531" s="40">
        <v>38252</v>
      </c>
      <c r="G3531" s="39">
        <v>3942.35</v>
      </c>
      <c r="H3531" s="39">
        <f t="shared" si="347"/>
        <v>3</v>
      </c>
      <c r="I3531" s="39">
        <f t="shared" si="348"/>
        <v>0</v>
      </c>
      <c r="K3531" s="40"/>
      <c r="Q3531" s="40">
        <v>38252</v>
      </c>
      <c r="R3531" s="39">
        <v>3942.35</v>
      </c>
      <c r="S3531" s="39">
        <f t="shared" si="349"/>
        <v>9</v>
      </c>
      <c r="T3531" s="39">
        <f t="shared" si="350"/>
        <v>0</v>
      </c>
      <c r="U3531" s="39">
        <f t="shared" si="351"/>
        <v>0</v>
      </c>
      <c r="V3531" s="40"/>
    </row>
    <row r="3532" spans="2:22" x14ac:dyDescent="0.35">
      <c r="B3532" s="40">
        <v>38253</v>
      </c>
      <c r="C3532" s="39">
        <v>3905.66</v>
      </c>
      <c r="D3532" s="219">
        <f t="shared" si="352"/>
        <v>-9.3502091118284215E-3</v>
      </c>
      <c r="F3532" s="40">
        <v>38253</v>
      </c>
      <c r="G3532" s="39">
        <v>3905.66</v>
      </c>
      <c r="H3532" s="39">
        <f t="shared" si="347"/>
        <v>4</v>
      </c>
      <c r="I3532" s="39">
        <f t="shared" si="348"/>
        <v>0</v>
      </c>
      <c r="K3532" s="40"/>
      <c r="Q3532" s="40">
        <v>38253</v>
      </c>
      <c r="R3532" s="39">
        <v>3905.66</v>
      </c>
      <c r="S3532" s="39">
        <f t="shared" si="349"/>
        <v>9</v>
      </c>
      <c r="T3532" s="39">
        <f t="shared" si="350"/>
        <v>0</v>
      </c>
      <c r="U3532" s="39">
        <f t="shared" si="351"/>
        <v>0</v>
      </c>
      <c r="V3532" s="40"/>
    </row>
    <row r="3533" spans="2:22" x14ac:dyDescent="0.35">
      <c r="B3533" s="40">
        <v>38254</v>
      </c>
      <c r="C3533" s="39">
        <v>3910.3</v>
      </c>
      <c r="D3533" s="219">
        <f t="shared" si="352"/>
        <v>1.1873143017851961E-3</v>
      </c>
      <c r="F3533" s="40">
        <v>38254</v>
      </c>
      <c r="G3533" s="39">
        <v>3910.3</v>
      </c>
      <c r="H3533" s="39">
        <f t="shared" si="347"/>
        <v>5</v>
      </c>
      <c r="I3533" s="39">
        <f t="shared" si="348"/>
        <v>3910.3</v>
      </c>
      <c r="K3533" s="40"/>
      <c r="Q3533" s="40">
        <v>38254</v>
      </c>
      <c r="R3533" s="39">
        <v>3910.3</v>
      </c>
      <c r="S3533" s="39">
        <f t="shared" si="349"/>
        <v>9</v>
      </c>
      <c r="T3533" s="39">
        <f t="shared" si="350"/>
        <v>0</v>
      </c>
      <c r="U3533" s="39">
        <f t="shared" si="351"/>
        <v>0</v>
      </c>
      <c r="V3533" s="40"/>
    </row>
    <row r="3534" spans="2:22" x14ac:dyDescent="0.35">
      <c r="B3534" s="40">
        <v>38257</v>
      </c>
      <c r="C3534" s="39">
        <v>3874.37</v>
      </c>
      <c r="D3534" s="219">
        <f t="shared" si="352"/>
        <v>-9.2310284541869368E-3</v>
      </c>
      <c r="F3534" s="40">
        <v>38257</v>
      </c>
      <c r="G3534" s="39">
        <v>3874.37</v>
      </c>
      <c r="H3534" s="39">
        <f t="shared" si="347"/>
        <v>1</v>
      </c>
      <c r="I3534" s="39">
        <f t="shared" si="348"/>
        <v>0</v>
      </c>
      <c r="K3534" s="40"/>
      <c r="Q3534" s="40">
        <v>38257</v>
      </c>
      <c r="R3534" s="39">
        <v>3874.37</v>
      </c>
      <c r="S3534" s="39">
        <f t="shared" si="349"/>
        <v>9</v>
      </c>
      <c r="T3534" s="39">
        <f t="shared" si="350"/>
        <v>0</v>
      </c>
      <c r="U3534" s="39">
        <f t="shared" si="351"/>
        <v>0</v>
      </c>
      <c r="V3534" s="40"/>
    </row>
    <row r="3535" spans="2:22" x14ac:dyDescent="0.35">
      <c r="B3535" s="40">
        <v>38258</v>
      </c>
      <c r="C3535" s="39">
        <v>3882.27</v>
      </c>
      <c r="D3535" s="219">
        <f t="shared" si="352"/>
        <v>2.0369651631568283E-3</v>
      </c>
      <c r="F3535" s="40">
        <v>38258</v>
      </c>
      <c r="G3535" s="39">
        <v>3882.27</v>
      </c>
      <c r="H3535" s="39">
        <f t="shared" si="347"/>
        <v>2</v>
      </c>
      <c r="I3535" s="39">
        <f t="shared" si="348"/>
        <v>0</v>
      </c>
      <c r="K3535" s="40"/>
      <c r="Q3535" s="40">
        <v>38258</v>
      </c>
      <c r="R3535" s="39">
        <v>3882.27</v>
      </c>
      <c r="S3535" s="39">
        <f t="shared" si="349"/>
        <v>9</v>
      </c>
      <c r="T3535" s="39">
        <f t="shared" si="350"/>
        <v>0</v>
      </c>
      <c r="U3535" s="39">
        <f t="shared" si="351"/>
        <v>0</v>
      </c>
      <c r="V3535" s="40"/>
    </row>
    <row r="3536" spans="2:22" x14ac:dyDescent="0.35">
      <c r="B3536" s="40">
        <v>38259</v>
      </c>
      <c r="C3536" s="39">
        <v>3920.36</v>
      </c>
      <c r="D3536" s="219">
        <f t="shared" si="352"/>
        <v>9.7634522146903373E-3</v>
      </c>
      <c r="F3536" s="40">
        <v>38259</v>
      </c>
      <c r="G3536" s="39">
        <v>3920.36</v>
      </c>
      <c r="H3536" s="39">
        <f t="shared" si="347"/>
        <v>3</v>
      </c>
      <c r="I3536" s="39">
        <f t="shared" si="348"/>
        <v>0</v>
      </c>
      <c r="K3536" s="40"/>
      <c r="Q3536" s="40">
        <v>38259</v>
      </c>
      <c r="R3536" s="39">
        <v>3920.36</v>
      </c>
      <c r="S3536" s="39">
        <f t="shared" si="349"/>
        <v>9</v>
      </c>
      <c r="T3536" s="39">
        <f t="shared" si="350"/>
        <v>0</v>
      </c>
      <c r="U3536" s="39">
        <f t="shared" si="351"/>
        <v>0</v>
      </c>
      <c r="V3536" s="40"/>
    </row>
    <row r="3537" spans="2:22" x14ac:dyDescent="0.35">
      <c r="B3537" s="40">
        <v>38260</v>
      </c>
      <c r="C3537" s="39">
        <v>3892.9</v>
      </c>
      <c r="D3537" s="219">
        <f t="shared" si="352"/>
        <v>-7.0291051526790984E-3</v>
      </c>
      <c r="F3537" s="40">
        <v>38260</v>
      </c>
      <c r="G3537" s="39">
        <v>3892.9</v>
      </c>
      <c r="H3537" s="39">
        <f t="shared" si="347"/>
        <v>4</v>
      </c>
      <c r="I3537" s="39">
        <f t="shared" si="348"/>
        <v>0</v>
      </c>
      <c r="K3537" s="40"/>
      <c r="Q3537" s="40">
        <v>38260</v>
      </c>
      <c r="R3537" s="39">
        <v>3892.9</v>
      </c>
      <c r="S3537" s="39">
        <f t="shared" si="349"/>
        <v>9</v>
      </c>
      <c r="T3537" s="39">
        <f t="shared" si="350"/>
        <v>3892.9</v>
      </c>
      <c r="U3537" s="39">
        <f t="shared" si="351"/>
        <v>3892.9</v>
      </c>
      <c r="V3537" s="40"/>
    </row>
    <row r="3538" spans="2:22" x14ac:dyDescent="0.35">
      <c r="B3538" s="40">
        <v>38261</v>
      </c>
      <c r="C3538" s="39">
        <v>3994.96</v>
      </c>
      <c r="D3538" s="219">
        <f t="shared" si="352"/>
        <v>2.5879185484816603E-2</v>
      </c>
      <c r="F3538" s="40">
        <v>38261</v>
      </c>
      <c r="G3538" s="39">
        <v>3994.96</v>
      </c>
      <c r="H3538" s="39">
        <f t="shared" si="347"/>
        <v>5</v>
      </c>
      <c r="I3538" s="39">
        <f t="shared" si="348"/>
        <v>3994.96</v>
      </c>
      <c r="K3538" s="40"/>
      <c r="Q3538" s="40">
        <v>38261</v>
      </c>
      <c r="R3538" s="39">
        <v>3994.96</v>
      </c>
      <c r="S3538" s="39">
        <f t="shared" si="349"/>
        <v>10</v>
      </c>
      <c r="T3538" s="39">
        <f t="shared" si="350"/>
        <v>0</v>
      </c>
      <c r="U3538" s="39">
        <f t="shared" si="351"/>
        <v>0</v>
      </c>
      <c r="V3538" s="40"/>
    </row>
    <row r="3539" spans="2:22" x14ac:dyDescent="0.35">
      <c r="B3539" s="40">
        <v>38264</v>
      </c>
      <c r="C3539" s="39">
        <v>4033.28</v>
      </c>
      <c r="D3539" s="219">
        <f t="shared" si="352"/>
        <v>9.5463740541954934E-3</v>
      </c>
      <c r="F3539" s="40">
        <v>38264</v>
      </c>
      <c r="G3539" s="39">
        <v>4033.28</v>
      </c>
      <c r="H3539" s="39">
        <f t="shared" si="347"/>
        <v>1</v>
      </c>
      <c r="I3539" s="39">
        <f t="shared" si="348"/>
        <v>0</v>
      </c>
      <c r="K3539" s="40"/>
      <c r="Q3539" s="40">
        <v>38264</v>
      </c>
      <c r="R3539" s="39">
        <v>4033.28</v>
      </c>
      <c r="S3539" s="39">
        <f t="shared" si="349"/>
        <v>10</v>
      </c>
      <c r="T3539" s="39">
        <f t="shared" si="350"/>
        <v>0</v>
      </c>
      <c r="U3539" s="39">
        <f t="shared" si="351"/>
        <v>0</v>
      </c>
      <c r="V3539" s="40"/>
    </row>
    <row r="3540" spans="2:22" x14ac:dyDescent="0.35">
      <c r="B3540" s="40">
        <v>38265</v>
      </c>
      <c r="C3540" s="39">
        <v>4048.71</v>
      </c>
      <c r="D3540" s="219">
        <f t="shared" si="352"/>
        <v>3.8183711554683744E-3</v>
      </c>
      <c r="F3540" s="40">
        <v>38265</v>
      </c>
      <c r="G3540" s="39">
        <v>4048.71</v>
      </c>
      <c r="H3540" s="39">
        <f t="shared" si="347"/>
        <v>2</v>
      </c>
      <c r="I3540" s="39">
        <f t="shared" si="348"/>
        <v>0</v>
      </c>
      <c r="K3540" s="40"/>
      <c r="Q3540" s="40">
        <v>38265</v>
      </c>
      <c r="R3540" s="39">
        <v>4048.71</v>
      </c>
      <c r="S3540" s="39">
        <f t="shared" si="349"/>
        <v>10</v>
      </c>
      <c r="T3540" s="39">
        <f t="shared" si="350"/>
        <v>0</v>
      </c>
      <c r="U3540" s="39">
        <f t="shared" si="351"/>
        <v>0</v>
      </c>
      <c r="V3540" s="40"/>
    </row>
    <row r="3541" spans="2:22" x14ac:dyDescent="0.35">
      <c r="B3541" s="40">
        <v>38266</v>
      </c>
      <c r="C3541" s="39">
        <v>4049.66</v>
      </c>
      <c r="D3541" s="219">
        <f t="shared" si="352"/>
        <v>2.3461511498173434E-4</v>
      </c>
      <c r="F3541" s="40">
        <v>38266</v>
      </c>
      <c r="G3541" s="39">
        <v>4049.66</v>
      </c>
      <c r="H3541" s="39">
        <f t="shared" si="347"/>
        <v>3</v>
      </c>
      <c r="I3541" s="39">
        <f t="shared" si="348"/>
        <v>0</v>
      </c>
      <c r="K3541" s="40"/>
      <c r="Q3541" s="40">
        <v>38266</v>
      </c>
      <c r="R3541" s="39">
        <v>4049.66</v>
      </c>
      <c r="S3541" s="39">
        <f t="shared" si="349"/>
        <v>10</v>
      </c>
      <c r="T3541" s="39">
        <f t="shared" si="350"/>
        <v>0</v>
      </c>
      <c r="U3541" s="39">
        <f t="shared" si="351"/>
        <v>0</v>
      </c>
      <c r="V3541" s="40"/>
    </row>
    <row r="3542" spans="2:22" x14ac:dyDescent="0.35">
      <c r="B3542" s="40">
        <v>38267</v>
      </c>
      <c r="C3542" s="39">
        <v>4043.36</v>
      </c>
      <c r="D3542" s="219">
        <f t="shared" si="352"/>
        <v>-1.5568974925460953E-3</v>
      </c>
      <c r="F3542" s="40">
        <v>38267</v>
      </c>
      <c r="G3542" s="39">
        <v>4043.36</v>
      </c>
      <c r="H3542" s="39">
        <f t="shared" si="347"/>
        <v>4</v>
      </c>
      <c r="I3542" s="39">
        <f t="shared" si="348"/>
        <v>0</v>
      </c>
      <c r="K3542" s="40"/>
      <c r="Q3542" s="40">
        <v>38267</v>
      </c>
      <c r="R3542" s="39">
        <v>4043.36</v>
      </c>
      <c r="S3542" s="39">
        <f t="shared" si="349"/>
        <v>10</v>
      </c>
      <c r="T3542" s="39">
        <f t="shared" si="350"/>
        <v>0</v>
      </c>
      <c r="U3542" s="39">
        <f t="shared" si="351"/>
        <v>0</v>
      </c>
      <c r="V3542" s="40"/>
    </row>
    <row r="3543" spans="2:22" x14ac:dyDescent="0.35">
      <c r="B3543" s="40">
        <v>38268</v>
      </c>
      <c r="C3543" s="39">
        <v>4015.54</v>
      </c>
      <c r="D3543" s="219">
        <f t="shared" si="352"/>
        <v>-6.9041954882253327E-3</v>
      </c>
      <c r="F3543" s="40">
        <v>38268</v>
      </c>
      <c r="G3543" s="39">
        <v>4015.54</v>
      </c>
      <c r="H3543" s="39">
        <f t="shared" si="347"/>
        <v>5</v>
      </c>
      <c r="I3543" s="39">
        <f t="shared" si="348"/>
        <v>4015.54</v>
      </c>
      <c r="K3543" s="40"/>
      <c r="Q3543" s="40">
        <v>38268</v>
      </c>
      <c r="R3543" s="39">
        <v>4015.54</v>
      </c>
      <c r="S3543" s="39">
        <f t="shared" si="349"/>
        <v>10</v>
      </c>
      <c r="T3543" s="39">
        <f t="shared" si="350"/>
        <v>0</v>
      </c>
      <c r="U3543" s="39">
        <f t="shared" si="351"/>
        <v>0</v>
      </c>
      <c r="V3543" s="40"/>
    </row>
    <row r="3544" spans="2:22" x14ac:dyDescent="0.35">
      <c r="B3544" s="40">
        <v>38271</v>
      </c>
      <c r="C3544" s="39">
        <v>4017.82</v>
      </c>
      <c r="D3544" s="219">
        <f t="shared" si="352"/>
        <v>5.6763298575437601E-4</v>
      </c>
      <c r="F3544" s="40">
        <v>38271</v>
      </c>
      <c r="G3544" s="39">
        <v>4017.82</v>
      </c>
      <c r="H3544" s="39">
        <f t="shared" si="347"/>
        <v>1</v>
      </c>
      <c r="I3544" s="39">
        <f t="shared" si="348"/>
        <v>0</v>
      </c>
      <c r="K3544" s="40"/>
      <c r="Q3544" s="40">
        <v>38271</v>
      </c>
      <c r="R3544" s="39">
        <v>4017.82</v>
      </c>
      <c r="S3544" s="39">
        <f t="shared" si="349"/>
        <v>10</v>
      </c>
      <c r="T3544" s="39">
        <f t="shared" si="350"/>
        <v>0</v>
      </c>
      <c r="U3544" s="39">
        <f t="shared" si="351"/>
        <v>0</v>
      </c>
      <c r="V3544" s="40"/>
    </row>
    <row r="3545" spans="2:22" x14ac:dyDescent="0.35">
      <c r="B3545" s="40">
        <v>38272</v>
      </c>
      <c r="C3545" s="39">
        <v>3957.6</v>
      </c>
      <c r="D3545" s="219">
        <f t="shared" si="352"/>
        <v>-1.5101686050734588E-2</v>
      </c>
      <c r="F3545" s="40">
        <v>38272</v>
      </c>
      <c r="G3545" s="39">
        <v>3957.6</v>
      </c>
      <c r="H3545" s="39">
        <f t="shared" si="347"/>
        <v>2</v>
      </c>
      <c r="I3545" s="39">
        <f t="shared" si="348"/>
        <v>0</v>
      </c>
      <c r="K3545" s="40"/>
      <c r="Q3545" s="40">
        <v>38272</v>
      </c>
      <c r="R3545" s="39">
        <v>3957.6</v>
      </c>
      <c r="S3545" s="39">
        <f t="shared" si="349"/>
        <v>10</v>
      </c>
      <c r="T3545" s="39">
        <f t="shared" si="350"/>
        <v>0</v>
      </c>
      <c r="U3545" s="39">
        <f t="shared" si="351"/>
        <v>0</v>
      </c>
      <c r="V3545" s="40"/>
    </row>
    <row r="3546" spans="2:22" x14ac:dyDescent="0.35">
      <c r="B3546" s="40">
        <v>38273</v>
      </c>
      <c r="C3546" s="39">
        <v>3976.03</v>
      </c>
      <c r="D3546" s="219">
        <f t="shared" si="352"/>
        <v>4.64605310613016E-3</v>
      </c>
      <c r="F3546" s="40">
        <v>38273</v>
      </c>
      <c r="G3546" s="39">
        <v>3976.03</v>
      </c>
      <c r="H3546" s="39">
        <f t="shared" si="347"/>
        <v>3</v>
      </c>
      <c r="I3546" s="39">
        <f t="shared" si="348"/>
        <v>0</v>
      </c>
      <c r="K3546" s="40"/>
      <c r="Q3546" s="40">
        <v>38273</v>
      </c>
      <c r="R3546" s="39">
        <v>3976.03</v>
      </c>
      <c r="S3546" s="39">
        <f t="shared" si="349"/>
        <v>10</v>
      </c>
      <c r="T3546" s="39">
        <f t="shared" si="350"/>
        <v>0</v>
      </c>
      <c r="U3546" s="39">
        <f t="shared" si="351"/>
        <v>0</v>
      </c>
      <c r="V3546" s="40"/>
    </row>
    <row r="3547" spans="2:22" x14ac:dyDescent="0.35">
      <c r="B3547" s="40">
        <v>38274</v>
      </c>
      <c r="C3547" s="39">
        <v>3940.46</v>
      </c>
      <c r="D3547" s="219">
        <f t="shared" si="352"/>
        <v>-8.9863662735130134E-3</v>
      </c>
      <c r="F3547" s="40">
        <v>38274</v>
      </c>
      <c r="G3547" s="39">
        <v>3940.46</v>
      </c>
      <c r="H3547" s="39">
        <f t="shared" si="347"/>
        <v>4</v>
      </c>
      <c r="I3547" s="39">
        <f t="shared" si="348"/>
        <v>0</v>
      </c>
      <c r="K3547" s="40"/>
      <c r="Q3547" s="40">
        <v>38274</v>
      </c>
      <c r="R3547" s="39">
        <v>3940.46</v>
      </c>
      <c r="S3547" s="39">
        <f t="shared" si="349"/>
        <v>10</v>
      </c>
      <c r="T3547" s="39">
        <f t="shared" si="350"/>
        <v>0</v>
      </c>
      <c r="U3547" s="39">
        <f t="shared" si="351"/>
        <v>0</v>
      </c>
      <c r="V3547" s="40"/>
    </row>
    <row r="3548" spans="2:22" x14ac:dyDescent="0.35">
      <c r="B3548" s="40">
        <v>38275</v>
      </c>
      <c r="C3548" s="39">
        <v>3922.11</v>
      </c>
      <c r="D3548" s="219">
        <f t="shared" si="352"/>
        <v>-4.6676934682923776E-3</v>
      </c>
      <c r="F3548" s="40">
        <v>38275</v>
      </c>
      <c r="G3548" s="39">
        <v>3922.11</v>
      </c>
      <c r="H3548" s="39">
        <f t="shared" si="347"/>
        <v>5</v>
      </c>
      <c r="I3548" s="39">
        <f t="shared" si="348"/>
        <v>3922.11</v>
      </c>
      <c r="K3548" s="40"/>
      <c r="Q3548" s="40">
        <v>38275</v>
      </c>
      <c r="R3548" s="39">
        <v>3922.11</v>
      </c>
      <c r="S3548" s="39">
        <f t="shared" si="349"/>
        <v>10</v>
      </c>
      <c r="T3548" s="39">
        <f t="shared" si="350"/>
        <v>0</v>
      </c>
      <c r="U3548" s="39">
        <f t="shared" si="351"/>
        <v>0</v>
      </c>
      <c r="V3548" s="40"/>
    </row>
    <row r="3549" spans="2:22" x14ac:dyDescent="0.35">
      <c r="B3549" s="40">
        <v>38278</v>
      </c>
      <c r="C3549" s="39">
        <v>3915.17</v>
      </c>
      <c r="D3549" s="219">
        <f t="shared" si="352"/>
        <v>-1.7710230625818614E-3</v>
      </c>
      <c r="F3549" s="40">
        <v>38278</v>
      </c>
      <c r="G3549" s="39">
        <v>3915.17</v>
      </c>
      <c r="H3549" s="39">
        <f t="shared" si="347"/>
        <v>1</v>
      </c>
      <c r="I3549" s="39">
        <f t="shared" si="348"/>
        <v>0</v>
      </c>
      <c r="K3549" s="40"/>
      <c r="Q3549" s="40">
        <v>38278</v>
      </c>
      <c r="R3549" s="39">
        <v>3915.17</v>
      </c>
      <c r="S3549" s="39">
        <f t="shared" si="349"/>
        <v>10</v>
      </c>
      <c r="T3549" s="39">
        <f t="shared" si="350"/>
        <v>0</v>
      </c>
      <c r="U3549" s="39">
        <f t="shared" si="351"/>
        <v>0</v>
      </c>
      <c r="V3549" s="40"/>
    </row>
    <row r="3550" spans="2:22" x14ac:dyDescent="0.35">
      <c r="B3550" s="40">
        <v>38279</v>
      </c>
      <c r="C3550" s="39">
        <v>3964.13</v>
      </c>
      <c r="D3550" s="219">
        <f t="shared" si="352"/>
        <v>1.2427659853295038E-2</v>
      </c>
      <c r="F3550" s="40">
        <v>38279</v>
      </c>
      <c r="G3550" s="39">
        <v>3964.13</v>
      </c>
      <c r="H3550" s="39">
        <f t="shared" si="347"/>
        <v>2</v>
      </c>
      <c r="I3550" s="39">
        <f t="shared" si="348"/>
        <v>0</v>
      </c>
      <c r="K3550" s="40"/>
      <c r="Q3550" s="40">
        <v>38279</v>
      </c>
      <c r="R3550" s="39">
        <v>3964.13</v>
      </c>
      <c r="S3550" s="39">
        <f t="shared" si="349"/>
        <v>10</v>
      </c>
      <c r="T3550" s="39">
        <f t="shared" si="350"/>
        <v>0</v>
      </c>
      <c r="U3550" s="39">
        <f t="shared" si="351"/>
        <v>0</v>
      </c>
      <c r="V3550" s="40"/>
    </row>
    <row r="3551" spans="2:22" x14ac:dyDescent="0.35">
      <c r="B3551" s="40">
        <v>38280</v>
      </c>
      <c r="C3551" s="39">
        <v>3912.4</v>
      </c>
      <c r="D3551" s="219">
        <f t="shared" si="352"/>
        <v>-1.313541465219901E-2</v>
      </c>
      <c r="F3551" s="40">
        <v>38280</v>
      </c>
      <c r="G3551" s="39">
        <v>3912.4</v>
      </c>
      <c r="H3551" s="39">
        <f t="shared" si="347"/>
        <v>3</v>
      </c>
      <c r="I3551" s="39">
        <f t="shared" si="348"/>
        <v>0</v>
      </c>
      <c r="K3551" s="40"/>
      <c r="Q3551" s="40">
        <v>38280</v>
      </c>
      <c r="R3551" s="39">
        <v>3912.4</v>
      </c>
      <c r="S3551" s="39">
        <f t="shared" si="349"/>
        <v>10</v>
      </c>
      <c r="T3551" s="39">
        <f t="shared" si="350"/>
        <v>0</v>
      </c>
      <c r="U3551" s="39">
        <f t="shared" si="351"/>
        <v>0</v>
      </c>
      <c r="V3551" s="40"/>
    </row>
    <row r="3552" spans="2:22" x14ac:dyDescent="0.35">
      <c r="B3552" s="40">
        <v>38281</v>
      </c>
      <c r="C3552" s="39">
        <v>3934.06</v>
      </c>
      <c r="D3552" s="219">
        <f t="shared" si="352"/>
        <v>5.520975068623475E-3</v>
      </c>
      <c r="F3552" s="40">
        <v>38281</v>
      </c>
      <c r="G3552" s="39">
        <v>3934.06</v>
      </c>
      <c r="H3552" s="39">
        <f t="shared" si="347"/>
        <v>4</v>
      </c>
      <c r="I3552" s="39">
        <f t="shared" si="348"/>
        <v>0</v>
      </c>
      <c r="K3552" s="40"/>
      <c r="Q3552" s="40">
        <v>38281</v>
      </c>
      <c r="R3552" s="39">
        <v>3934.06</v>
      </c>
      <c r="S3552" s="39">
        <f t="shared" si="349"/>
        <v>10</v>
      </c>
      <c r="T3552" s="39">
        <f t="shared" si="350"/>
        <v>0</v>
      </c>
      <c r="U3552" s="39">
        <f t="shared" si="351"/>
        <v>0</v>
      </c>
      <c r="V3552" s="40"/>
    </row>
    <row r="3553" spans="2:22" x14ac:dyDescent="0.35">
      <c r="B3553" s="40">
        <v>38282</v>
      </c>
      <c r="C3553" s="39">
        <v>3935.14</v>
      </c>
      <c r="D3553" s="219">
        <f t="shared" si="352"/>
        <v>2.7448787850873501E-4</v>
      </c>
      <c r="F3553" s="40">
        <v>38282</v>
      </c>
      <c r="G3553" s="39">
        <v>3935.14</v>
      </c>
      <c r="H3553" s="39">
        <f t="shared" si="347"/>
        <v>5</v>
      </c>
      <c r="I3553" s="39">
        <f t="shared" si="348"/>
        <v>3935.14</v>
      </c>
      <c r="K3553" s="40"/>
      <c r="Q3553" s="40">
        <v>38282</v>
      </c>
      <c r="R3553" s="39">
        <v>3935.14</v>
      </c>
      <c r="S3553" s="39">
        <f t="shared" si="349"/>
        <v>10</v>
      </c>
      <c r="T3553" s="39">
        <f t="shared" si="350"/>
        <v>0</v>
      </c>
      <c r="U3553" s="39">
        <f t="shared" si="351"/>
        <v>0</v>
      </c>
      <c r="V3553" s="40"/>
    </row>
    <row r="3554" spans="2:22" x14ac:dyDescent="0.35">
      <c r="B3554" s="40">
        <v>38285</v>
      </c>
      <c r="C3554" s="39">
        <v>3854.41</v>
      </c>
      <c r="D3554" s="219">
        <f t="shared" si="352"/>
        <v>-2.0728512068703013E-2</v>
      </c>
      <c r="F3554" s="40">
        <v>38285</v>
      </c>
      <c r="G3554" s="39">
        <v>3854.41</v>
      </c>
      <c r="H3554" s="39">
        <f t="shared" si="347"/>
        <v>1</v>
      </c>
      <c r="I3554" s="39">
        <f t="shared" si="348"/>
        <v>0</v>
      </c>
      <c r="K3554" s="40"/>
      <c r="Q3554" s="40">
        <v>38285</v>
      </c>
      <c r="R3554" s="39">
        <v>3854.41</v>
      </c>
      <c r="S3554" s="39">
        <f t="shared" si="349"/>
        <v>10</v>
      </c>
      <c r="T3554" s="39">
        <f t="shared" si="350"/>
        <v>0</v>
      </c>
      <c r="U3554" s="39">
        <f t="shared" si="351"/>
        <v>0</v>
      </c>
      <c r="V3554" s="40"/>
    </row>
    <row r="3555" spans="2:22" x14ac:dyDescent="0.35">
      <c r="B3555" s="40">
        <v>38286</v>
      </c>
      <c r="C3555" s="39">
        <v>3862.26</v>
      </c>
      <c r="D3555" s="219">
        <f t="shared" si="352"/>
        <v>2.0345570583872089E-3</v>
      </c>
      <c r="F3555" s="40">
        <v>38286</v>
      </c>
      <c r="G3555" s="39">
        <v>3862.26</v>
      </c>
      <c r="H3555" s="39">
        <f t="shared" si="347"/>
        <v>2</v>
      </c>
      <c r="I3555" s="39">
        <f t="shared" si="348"/>
        <v>0</v>
      </c>
      <c r="K3555" s="40"/>
      <c r="Q3555" s="40">
        <v>38286</v>
      </c>
      <c r="R3555" s="39">
        <v>3862.26</v>
      </c>
      <c r="S3555" s="39">
        <f t="shared" si="349"/>
        <v>10</v>
      </c>
      <c r="T3555" s="39">
        <f t="shared" si="350"/>
        <v>0</v>
      </c>
      <c r="U3555" s="39">
        <f t="shared" si="351"/>
        <v>0</v>
      </c>
      <c r="V3555" s="40"/>
    </row>
    <row r="3556" spans="2:22" x14ac:dyDescent="0.35">
      <c r="B3556" s="40">
        <v>38287</v>
      </c>
      <c r="C3556" s="39">
        <v>3929.03</v>
      </c>
      <c r="D3556" s="219">
        <f t="shared" si="352"/>
        <v>1.7140071706824286E-2</v>
      </c>
      <c r="F3556" s="40">
        <v>38287</v>
      </c>
      <c r="G3556" s="39">
        <v>3929.03</v>
      </c>
      <c r="H3556" s="39">
        <f t="shared" si="347"/>
        <v>3</v>
      </c>
      <c r="I3556" s="39">
        <f t="shared" si="348"/>
        <v>0</v>
      </c>
      <c r="K3556" s="40"/>
      <c r="Q3556" s="40">
        <v>38287</v>
      </c>
      <c r="R3556" s="39">
        <v>3929.03</v>
      </c>
      <c r="S3556" s="39">
        <f t="shared" si="349"/>
        <v>10</v>
      </c>
      <c r="T3556" s="39">
        <f t="shared" si="350"/>
        <v>0</v>
      </c>
      <c r="U3556" s="39">
        <f t="shared" si="351"/>
        <v>0</v>
      </c>
      <c r="V3556" s="40"/>
    </row>
    <row r="3557" spans="2:22" x14ac:dyDescent="0.35">
      <c r="B3557" s="40">
        <v>38288</v>
      </c>
      <c r="C3557" s="39">
        <v>3959.59</v>
      </c>
      <c r="D3557" s="219">
        <f t="shared" si="352"/>
        <v>7.7479084748575027E-3</v>
      </c>
      <c r="F3557" s="40">
        <v>38288</v>
      </c>
      <c r="G3557" s="39">
        <v>3959.59</v>
      </c>
      <c r="H3557" s="39">
        <f t="shared" si="347"/>
        <v>4</v>
      </c>
      <c r="I3557" s="39">
        <f t="shared" si="348"/>
        <v>0</v>
      </c>
      <c r="K3557" s="40"/>
      <c r="Q3557" s="40">
        <v>38288</v>
      </c>
      <c r="R3557" s="39">
        <v>3959.59</v>
      </c>
      <c r="S3557" s="39">
        <f t="shared" si="349"/>
        <v>10</v>
      </c>
      <c r="T3557" s="39">
        <f t="shared" si="350"/>
        <v>0</v>
      </c>
      <c r="U3557" s="39">
        <f t="shared" si="351"/>
        <v>0</v>
      </c>
      <c r="V3557" s="40"/>
    </row>
    <row r="3558" spans="2:22" x14ac:dyDescent="0.35">
      <c r="B3558" s="40">
        <v>38289</v>
      </c>
      <c r="C3558" s="39">
        <v>3960.25</v>
      </c>
      <c r="D3558" s="219">
        <f t="shared" si="352"/>
        <v>1.6667003412389059E-4</v>
      </c>
      <c r="F3558" s="40">
        <v>38289</v>
      </c>
      <c r="G3558" s="39">
        <v>3960.25</v>
      </c>
      <c r="H3558" s="39">
        <f t="shared" si="347"/>
        <v>5</v>
      </c>
      <c r="I3558" s="39">
        <f t="shared" si="348"/>
        <v>3960.25</v>
      </c>
      <c r="K3558" s="40"/>
      <c r="Q3558" s="40">
        <v>38289</v>
      </c>
      <c r="R3558" s="39">
        <v>3960.25</v>
      </c>
      <c r="S3558" s="39">
        <f t="shared" si="349"/>
        <v>10</v>
      </c>
      <c r="T3558" s="39">
        <f t="shared" si="350"/>
        <v>3960.25</v>
      </c>
      <c r="U3558" s="39">
        <f t="shared" si="351"/>
        <v>3960.25</v>
      </c>
      <c r="V3558" s="40"/>
    </row>
    <row r="3559" spans="2:22" x14ac:dyDescent="0.35">
      <c r="B3559" s="40">
        <v>38292</v>
      </c>
      <c r="C3559" s="39">
        <v>4012.64</v>
      </c>
      <c r="D3559" s="219">
        <f t="shared" si="352"/>
        <v>1.3142224226367618E-2</v>
      </c>
      <c r="F3559" s="40">
        <v>38292</v>
      </c>
      <c r="G3559" s="39">
        <v>4012.64</v>
      </c>
      <c r="H3559" s="39">
        <f t="shared" si="347"/>
        <v>1</v>
      </c>
      <c r="I3559" s="39">
        <f t="shared" si="348"/>
        <v>0</v>
      </c>
      <c r="K3559" s="40"/>
      <c r="Q3559" s="40">
        <v>38292</v>
      </c>
      <c r="R3559" s="39">
        <v>4012.64</v>
      </c>
      <c r="S3559" s="39">
        <f t="shared" si="349"/>
        <v>11</v>
      </c>
      <c r="T3559" s="39">
        <f t="shared" si="350"/>
        <v>0</v>
      </c>
      <c r="U3559" s="39">
        <f t="shared" si="351"/>
        <v>0</v>
      </c>
      <c r="V3559" s="40"/>
    </row>
    <row r="3560" spans="2:22" x14ac:dyDescent="0.35">
      <c r="B3560" s="40">
        <v>38293</v>
      </c>
      <c r="C3560" s="39">
        <v>4037.57</v>
      </c>
      <c r="D3560" s="219">
        <f t="shared" si="352"/>
        <v>6.1936470465924539E-3</v>
      </c>
      <c r="F3560" s="40">
        <v>38293</v>
      </c>
      <c r="G3560" s="39">
        <v>4037.57</v>
      </c>
      <c r="H3560" s="39">
        <f t="shared" si="347"/>
        <v>2</v>
      </c>
      <c r="I3560" s="39">
        <f t="shared" si="348"/>
        <v>0</v>
      </c>
      <c r="K3560" s="40"/>
      <c r="Q3560" s="40">
        <v>38293</v>
      </c>
      <c r="R3560" s="39">
        <v>4037.57</v>
      </c>
      <c r="S3560" s="39">
        <f t="shared" si="349"/>
        <v>11</v>
      </c>
      <c r="T3560" s="39">
        <f t="shared" si="350"/>
        <v>0</v>
      </c>
      <c r="U3560" s="39">
        <f t="shared" si="351"/>
        <v>0</v>
      </c>
      <c r="V3560" s="40"/>
    </row>
    <row r="3561" spans="2:22" x14ac:dyDescent="0.35">
      <c r="B3561" s="40">
        <v>38294</v>
      </c>
      <c r="C3561" s="39">
        <v>4039.04</v>
      </c>
      <c r="D3561" s="219">
        <f t="shared" si="352"/>
        <v>3.6401411389975287E-4</v>
      </c>
      <c r="F3561" s="40">
        <v>38294</v>
      </c>
      <c r="G3561" s="39">
        <v>4039.04</v>
      </c>
      <c r="H3561" s="39">
        <f t="shared" si="347"/>
        <v>3</v>
      </c>
      <c r="I3561" s="39">
        <f t="shared" si="348"/>
        <v>0</v>
      </c>
      <c r="K3561" s="40"/>
      <c r="Q3561" s="40">
        <v>38294</v>
      </c>
      <c r="R3561" s="39">
        <v>4039.04</v>
      </c>
      <c r="S3561" s="39">
        <f t="shared" si="349"/>
        <v>11</v>
      </c>
      <c r="T3561" s="39">
        <f t="shared" si="350"/>
        <v>0</v>
      </c>
      <c r="U3561" s="39">
        <f t="shared" si="351"/>
        <v>0</v>
      </c>
      <c r="V3561" s="40"/>
    </row>
    <row r="3562" spans="2:22" x14ac:dyDescent="0.35">
      <c r="B3562" s="40">
        <v>38295</v>
      </c>
      <c r="C3562" s="39">
        <v>4041.38</v>
      </c>
      <c r="D3562" s="219">
        <f t="shared" si="352"/>
        <v>5.7917783120483668E-4</v>
      </c>
      <c r="F3562" s="40">
        <v>38295</v>
      </c>
      <c r="G3562" s="39">
        <v>4041.38</v>
      </c>
      <c r="H3562" s="39">
        <f t="shared" si="347"/>
        <v>4</v>
      </c>
      <c r="I3562" s="39">
        <f t="shared" si="348"/>
        <v>0</v>
      </c>
      <c r="K3562" s="40"/>
      <c r="Q3562" s="40">
        <v>38295</v>
      </c>
      <c r="R3562" s="39">
        <v>4041.38</v>
      </c>
      <c r="S3562" s="39">
        <f t="shared" si="349"/>
        <v>11</v>
      </c>
      <c r="T3562" s="39">
        <f t="shared" si="350"/>
        <v>0</v>
      </c>
      <c r="U3562" s="39">
        <f t="shared" si="351"/>
        <v>0</v>
      </c>
      <c r="V3562" s="40"/>
    </row>
    <row r="3563" spans="2:22" x14ac:dyDescent="0.35">
      <c r="B3563" s="40">
        <v>38296</v>
      </c>
      <c r="C3563" s="39">
        <v>4063.58</v>
      </c>
      <c r="D3563" s="219">
        <f t="shared" si="352"/>
        <v>5.4781406739868813E-3</v>
      </c>
      <c r="F3563" s="40">
        <v>38296</v>
      </c>
      <c r="G3563" s="39">
        <v>4063.58</v>
      </c>
      <c r="H3563" s="39">
        <f t="shared" si="347"/>
        <v>5</v>
      </c>
      <c r="I3563" s="39">
        <f t="shared" si="348"/>
        <v>4063.58</v>
      </c>
      <c r="K3563" s="40"/>
      <c r="Q3563" s="40">
        <v>38296</v>
      </c>
      <c r="R3563" s="39">
        <v>4063.58</v>
      </c>
      <c r="S3563" s="39">
        <f t="shared" si="349"/>
        <v>11</v>
      </c>
      <c r="T3563" s="39">
        <f t="shared" si="350"/>
        <v>0</v>
      </c>
      <c r="U3563" s="39">
        <f t="shared" si="351"/>
        <v>0</v>
      </c>
      <c r="V3563" s="40"/>
    </row>
    <row r="3564" spans="2:22" x14ac:dyDescent="0.35">
      <c r="B3564" s="40">
        <v>38299</v>
      </c>
      <c r="C3564" s="39">
        <v>4068.97</v>
      </c>
      <c r="D3564" s="219">
        <f t="shared" si="352"/>
        <v>1.3255376946242684E-3</v>
      </c>
      <c r="F3564" s="40">
        <v>38299</v>
      </c>
      <c r="G3564" s="39">
        <v>4068.97</v>
      </c>
      <c r="H3564" s="39">
        <f t="shared" si="347"/>
        <v>1</v>
      </c>
      <c r="I3564" s="39">
        <f t="shared" si="348"/>
        <v>0</v>
      </c>
      <c r="K3564" s="40"/>
      <c r="Q3564" s="40">
        <v>38299</v>
      </c>
      <c r="R3564" s="39">
        <v>4068.97</v>
      </c>
      <c r="S3564" s="39">
        <f t="shared" si="349"/>
        <v>11</v>
      </c>
      <c r="T3564" s="39">
        <f t="shared" si="350"/>
        <v>0</v>
      </c>
      <c r="U3564" s="39">
        <f t="shared" si="351"/>
        <v>0</v>
      </c>
      <c r="V3564" s="40"/>
    </row>
    <row r="3565" spans="2:22" x14ac:dyDescent="0.35">
      <c r="B3565" s="40">
        <v>38300</v>
      </c>
      <c r="C3565" s="39">
        <v>4065.33</v>
      </c>
      <c r="D3565" s="219">
        <f t="shared" si="352"/>
        <v>-8.9497565690088135E-4</v>
      </c>
      <c r="F3565" s="40">
        <v>38300</v>
      </c>
      <c r="G3565" s="39">
        <v>4065.33</v>
      </c>
      <c r="H3565" s="39">
        <f t="shared" si="347"/>
        <v>2</v>
      </c>
      <c r="I3565" s="39">
        <f t="shared" si="348"/>
        <v>0</v>
      </c>
      <c r="K3565" s="40"/>
      <c r="Q3565" s="40">
        <v>38300</v>
      </c>
      <c r="R3565" s="39">
        <v>4065.33</v>
      </c>
      <c r="S3565" s="39">
        <f t="shared" si="349"/>
        <v>11</v>
      </c>
      <c r="T3565" s="39">
        <f t="shared" si="350"/>
        <v>0</v>
      </c>
      <c r="U3565" s="39">
        <f t="shared" si="351"/>
        <v>0</v>
      </c>
      <c r="V3565" s="40"/>
    </row>
    <row r="3566" spans="2:22" x14ac:dyDescent="0.35">
      <c r="B3566" s="40">
        <v>38301</v>
      </c>
      <c r="C3566" s="39">
        <v>4089.13</v>
      </c>
      <c r="D3566" s="219">
        <f t="shared" si="352"/>
        <v>5.8373129748636723E-3</v>
      </c>
      <c r="F3566" s="40">
        <v>38301</v>
      </c>
      <c r="G3566" s="39">
        <v>4089.13</v>
      </c>
      <c r="H3566" s="39">
        <f t="shared" si="347"/>
        <v>3</v>
      </c>
      <c r="I3566" s="39">
        <f t="shared" si="348"/>
        <v>0</v>
      </c>
      <c r="K3566" s="40"/>
      <c r="Q3566" s="40">
        <v>38301</v>
      </c>
      <c r="R3566" s="39">
        <v>4089.13</v>
      </c>
      <c r="S3566" s="39">
        <f t="shared" si="349"/>
        <v>11</v>
      </c>
      <c r="T3566" s="39">
        <f t="shared" si="350"/>
        <v>0</v>
      </c>
      <c r="U3566" s="39">
        <f t="shared" si="351"/>
        <v>0</v>
      </c>
      <c r="V3566" s="40"/>
    </row>
    <row r="3567" spans="2:22" x14ac:dyDescent="0.35">
      <c r="B3567" s="40">
        <v>38302</v>
      </c>
      <c r="C3567" s="39">
        <v>4130.8100000000004</v>
      </c>
      <c r="D3567" s="219">
        <f t="shared" si="352"/>
        <v>1.0141280159298282E-2</v>
      </c>
      <c r="F3567" s="40">
        <v>38302</v>
      </c>
      <c r="G3567" s="39">
        <v>4130.8100000000004</v>
      </c>
      <c r="H3567" s="39">
        <f t="shared" si="347"/>
        <v>4</v>
      </c>
      <c r="I3567" s="39">
        <f t="shared" si="348"/>
        <v>0</v>
      </c>
      <c r="K3567" s="40"/>
      <c r="Q3567" s="40">
        <v>38302</v>
      </c>
      <c r="R3567" s="39">
        <v>4130.8100000000004</v>
      </c>
      <c r="S3567" s="39">
        <f t="shared" si="349"/>
        <v>11</v>
      </c>
      <c r="T3567" s="39">
        <f t="shared" si="350"/>
        <v>0</v>
      </c>
      <c r="U3567" s="39">
        <f t="shared" si="351"/>
        <v>0</v>
      </c>
      <c r="V3567" s="40"/>
    </row>
    <row r="3568" spans="2:22" x14ac:dyDescent="0.35">
      <c r="B3568" s="40">
        <v>38303</v>
      </c>
      <c r="C3568" s="39">
        <v>4143.3500000000004</v>
      </c>
      <c r="D3568" s="219">
        <f t="shared" si="352"/>
        <v>3.0311257218059418E-3</v>
      </c>
      <c r="F3568" s="40">
        <v>38303</v>
      </c>
      <c r="G3568" s="39">
        <v>4143.3500000000004</v>
      </c>
      <c r="H3568" s="39">
        <f t="shared" si="347"/>
        <v>5</v>
      </c>
      <c r="I3568" s="39">
        <f t="shared" si="348"/>
        <v>4143.3500000000004</v>
      </c>
      <c r="K3568" s="40"/>
      <c r="Q3568" s="40">
        <v>38303</v>
      </c>
      <c r="R3568" s="39">
        <v>4143.3500000000004</v>
      </c>
      <c r="S3568" s="39">
        <f t="shared" si="349"/>
        <v>11</v>
      </c>
      <c r="T3568" s="39">
        <f t="shared" si="350"/>
        <v>0</v>
      </c>
      <c r="U3568" s="39">
        <f t="shared" si="351"/>
        <v>0</v>
      </c>
      <c r="V3568" s="40"/>
    </row>
    <row r="3569" spans="2:22" x14ac:dyDescent="0.35">
      <c r="B3569" s="40">
        <v>38306</v>
      </c>
      <c r="C3569" s="39">
        <v>4134.34</v>
      </c>
      <c r="D3569" s="219">
        <f t="shared" si="352"/>
        <v>-2.1769366956817934E-3</v>
      </c>
      <c r="F3569" s="40">
        <v>38306</v>
      </c>
      <c r="G3569" s="39">
        <v>4134.34</v>
      </c>
      <c r="H3569" s="39">
        <f t="shared" si="347"/>
        <v>1</v>
      </c>
      <c r="I3569" s="39">
        <f t="shared" si="348"/>
        <v>0</v>
      </c>
      <c r="K3569" s="40"/>
      <c r="Q3569" s="40">
        <v>38306</v>
      </c>
      <c r="R3569" s="39">
        <v>4134.34</v>
      </c>
      <c r="S3569" s="39">
        <f t="shared" si="349"/>
        <v>11</v>
      </c>
      <c r="T3569" s="39">
        <f t="shared" si="350"/>
        <v>0</v>
      </c>
      <c r="U3569" s="39">
        <f t="shared" si="351"/>
        <v>0</v>
      </c>
      <c r="V3569" s="40"/>
    </row>
    <row r="3570" spans="2:22" x14ac:dyDescent="0.35">
      <c r="B3570" s="40">
        <v>38307</v>
      </c>
      <c r="C3570" s="39">
        <v>4117.22</v>
      </c>
      <c r="D3570" s="219">
        <f t="shared" si="352"/>
        <v>-4.1495243481542059E-3</v>
      </c>
      <c r="F3570" s="40">
        <v>38307</v>
      </c>
      <c r="G3570" s="39">
        <v>4117.22</v>
      </c>
      <c r="H3570" s="39">
        <f t="shared" si="347"/>
        <v>2</v>
      </c>
      <c r="I3570" s="39">
        <f t="shared" si="348"/>
        <v>0</v>
      </c>
      <c r="K3570" s="40"/>
      <c r="Q3570" s="40">
        <v>38307</v>
      </c>
      <c r="R3570" s="39">
        <v>4117.22</v>
      </c>
      <c r="S3570" s="39">
        <f t="shared" si="349"/>
        <v>11</v>
      </c>
      <c r="T3570" s="39">
        <f t="shared" si="350"/>
        <v>0</v>
      </c>
      <c r="U3570" s="39">
        <f t="shared" si="351"/>
        <v>0</v>
      </c>
      <c r="V3570" s="40"/>
    </row>
    <row r="3571" spans="2:22" x14ac:dyDescent="0.35">
      <c r="B3571" s="40">
        <v>38308</v>
      </c>
      <c r="C3571" s="39">
        <v>4183.41</v>
      </c>
      <c r="D3571" s="219">
        <f t="shared" si="352"/>
        <v>1.5948525106248199E-2</v>
      </c>
      <c r="F3571" s="40">
        <v>38308</v>
      </c>
      <c r="G3571" s="39">
        <v>4183.41</v>
      </c>
      <c r="H3571" s="39">
        <f t="shared" si="347"/>
        <v>3</v>
      </c>
      <c r="I3571" s="39">
        <f t="shared" si="348"/>
        <v>0</v>
      </c>
      <c r="K3571" s="40"/>
      <c r="Q3571" s="40">
        <v>38308</v>
      </c>
      <c r="R3571" s="39">
        <v>4183.41</v>
      </c>
      <c r="S3571" s="39">
        <f t="shared" si="349"/>
        <v>11</v>
      </c>
      <c r="T3571" s="39">
        <f t="shared" si="350"/>
        <v>0</v>
      </c>
      <c r="U3571" s="39">
        <f t="shared" si="351"/>
        <v>0</v>
      </c>
      <c r="V3571" s="40"/>
    </row>
    <row r="3572" spans="2:22" x14ac:dyDescent="0.35">
      <c r="B3572" s="40">
        <v>38309</v>
      </c>
      <c r="C3572" s="39">
        <v>4178.68</v>
      </c>
      <c r="D3572" s="219">
        <f t="shared" si="352"/>
        <v>-1.1312962439930978E-3</v>
      </c>
      <c r="F3572" s="40">
        <v>38309</v>
      </c>
      <c r="G3572" s="39">
        <v>4178.68</v>
      </c>
      <c r="H3572" s="39">
        <f t="shared" si="347"/>
        <v>4</v>
      </c>
      <c r="I3572" s="39">
        <f t="shared" si="348"/>
        <v>0</v>
      </c>
      <c r="K3572" s="40"/>
      <c r="Q3572" s="40">
        <v>38309</v>
      </c>
      <c r="R3572" s="39">
        <v>4178.68</v>
      </c>
      <c r="S3572" s="39">
        <f t="shared" si="349"/>
        <v>11</v>
      </c>
      <c r="T3572" s="39">
        <f t="shared" si="350"/>
        <v>0</v>
      </c>
      <c r="U3572" s="39">
        <f t="shared" si="351"/>
        <v>0</v>
      </c>
      <c r="V3572" s="40"/>
    </row>
    <row r="3573" spans="2:22" x14ac:dyDescent="0.35">
      <c r="B3573" s="40">
        <v>38310</v>
      </c>
      <c r="C3573" s="39">
        <v>4134.8900000000003</v>
      </c>
      <c r="D3573" s="219">
        <f t="shared" si="352"/>
        <v>-1.0534681245716439E-2</v>
      </c>
      <c r="F3573" s="40">
        <v>38310</v>
      </c>
      <c r="G3573" s="39">
        <v>4134.8900000000003</v>
      </c>
      <c r="H3573" s="39">
        <f t="shared" si="347"/>
        <v>5</v>
      </c>
      <c r="I3573" s="39">
        <f t="shared" si="348"/>
        <v>4134.8900000000003</v>
      </c>
      <c r="K3573" s="40"/>
      <c r="Q3573" s="40">
        <v>38310</v>
      </c>
      <c r="R3573" s="39">
        <v>4134.8900000000003</v>
      </c>
      <c r="S3573" s="39">
        <f t="shared" si="349"/>
        <v>11</v>
      </c>
      <c r="T3573" s="39">
        <f t="shared" si="350"/>
        <v>0</v>
      </c>
      <c r="U3573" s="39">
        <f t="shared" si="351"/>
        <v>0</v>
      </c>
      <c r="V3573" s="40"/>
    </row>
    <row r="3574" spans="2:22" x14ac:dyDescent="0.35">
      <c r="B3574" s="40">
        <v>38313</v>
      </c>
      <c r="C3574" s="39">
        <v>4123.9799999999996</v>
      </c>
      <c r="D3574" s="219">
        <f t="shared" si="352"/>
        <v>-2.6420094628388079E-3</v>
      </c>
      <c r="F3574" s="40">
        <v>38313</v>
      </c>
      <c r="G3574" s="39">
        <v>4123.9799999999996</v>
      </c>
      <c r="H3574" s="39">
        <f t="shared" si="347"/>
        <v>1</v>
      </c>
      <c r="I3574" s="39">
        <f t="shared" si="348"/>
        <v>0</v>
      </c>
      <c r="K3574" s="40"/>
      <c r="Q3574" s="40">
        <v>38313</v>
      </c>
      <c r="R3574" s="39">
        <v>4123.9799999999996</v>
      </c>
      <c r="S3574" s="39">
        <f t="shared" si="349"/>
        <v>11</v>
      </c>
      <c r="T3574" s="39">
        <f t="shared" si="350"/>
        <v>0</v>
      </c>
      <c r="U3574" s="39">
        <f t="shared" si="351"/>
        <v>0</v>
      </c>
      <c r="V3574" s="40"/>
    </row>
    <row r="3575" spans="2:22" x14ac:dyDescent="0.35">
      <c r="B3575" s="40">
        <v>38314</v>
      </c>
      <c r="C3575" s="39">
        <v>4113.37</v>
      </c>
      <c r="D3575" s="219">
        <f t="shared" si="352"/>
        <v>-2.5760726125420748E-3</v>
      </c>
      <c r="F3575" s="40">
        <v>38314</v>
      </c>
      <c r="G3575" s="39">
        <v>4113.37</v>
      </c>
      <c r="H3575" s="39">
        <f t="shared" ref="H3575:H3638" si="353">WEEKDAY(F3575,2)</f>
        <v>2</v>
      </c>
      <c r="I3575" s="39">
        <f t="shared" ref="I3575:I3638" si="354">IF(H3575&gt;H3576,G3575,0)</f>
        <v>0</v>
      </c>
      <c r="K3575" s="40"/>
      <c r="Q3575" s="40">
        <v>38314</v>
      </c>
      <c r="R3575" s="39">
        <v>4113.37</v>
      </c>
      <c r="S3575" s="39">
        <f t="shared" ref="S3575:S3638" si="355">MONTH(Q3575)</f>
        <v>11</v>
      </c>
      <c r="T3575" s="39">
        <f t="shared" ref="T3575:T3638" si="356">IF(S3576&lt;&gt;S3575,R3575,0)</f>
        <v>0</v>
      </c>
      <c r="U3575" s="39">
        <f t="shared" ref="U3575:U3638" si="357">IF(S3576=S3575,0,R3575)</f>
        <v>0</v>
      </c>
      <c r="V3575" s="40"/>
    </row>
    <row r="3576" spans="2:22" x14ac:dyDescent="0.35">
      <c r="B3576" s="40">
        <v>38315</v>
      </c>
      <c r="C3576" s="39">
        <v>4125.3</v>
      </c>
      <c r="D3576" s="219">
        <f t="shared" ref="D3576:D3639" si="358">LN(C3576/C3575)</f>
        <v>2.8961005449837816E-3</v>
      </c>
      <c r="F3576" s="40">
        <v>38315</v>
      </c>
      <c r="G3576" s="39">
        <v>4125.3</v>
      </c>
      <c r="H3576" s="39">
        <f t="shared" si="353"/>
        <v>3</v>
      </c>
      <c r="I3576" s="39">
        <f t="shared" si="354"/>
        <v>0</v>
      </c>
      <c r="K3576" s="40"/>
      <c r="Q3576" s="40">
        <v>38315</v>
      </c>
      <c r="R3576" s="39">
        <v>4125.3</v>
      </c>
      <c r="S3576" s="39">
        <f t="shared" si="355"/>
        <v>11</v>
      </c>
      <c r="T3576" s="39">
        <f t="shared" si="356"/>
        <v>0</v>
      </c>
      <c r="U3576" s="39">
        <f t="shared" si="357"/>
        <v>0</v>
      </c>
      <c r="V3576" s="40"/>
    </row>
    <row r="3577" spans="2:22" x14ac:dyDescent="0.35">
      <c r="B3577" s="40">
        <v>38316</v>
      </c>
      <c r="C3577" s="39">
        <v>4160.3500000000004</v>
      </c>
      <c r="D3577" s="219">
        <f t="shared" si="358"/>
        <v>8.4604609345666007E-3</v>
      </c>
      <c r="F3577" s="40">
        <v>38316</v>
      </c>
      <c r="G3577" s="39">
        <v>4160.3500000000004</v>
      </c>
      <c r="H3577" s="39">
        <f t="shared" si="353"/>
        <v>4</v>
      </c>
      <c r="I3577" s="39">
        <f t="shared" si="354"/>
        <v>0</v>
      </c>
      <c r="K3577" s="40"/>
      <c r="Q3577" s="40">
        <v>38316</v>
      </c>
      <c r="R3577" s="39">
        <v>4160.3500000000004</v>
      </c>
      <c r="S3577" s="39">
        <f t="shared" si="355"/>
        <v>11</v>
      </c>
      <c r="T3577" s="39">
        <f t="shared" si="356"/>
        <v>0</v>
      </c>
      <c r="U3577" s="39">
        <f t="shared" si="357"/>
        <v>0</v>
      </c>
      <c r="V3577" s="40"/>
    </row>
    <row r="3578" spans="2:22" x14ac:dyDescent="0.35">
      <c r="B3578" s="40">
        <v>38317</v>
      </c>
      <c r="C3578" s="39">
        <v>4154.2700000000004</v>
      </c>
      <c r="D3578" s="219">
        <f t="shared" si="358"/>
        <v>-1.4624844150879629E-3</v>
      </c>
      <c r="F3578" s="40">
        <v>38317</v>
      </c>
      <c r="G3578" s="39">
        <v>4154.2700000000004</v>
      </c>
      <c r="H3578" s="39">
        <f t="shared" si="353"/>
        <v>5</v>
      </c>
      <c r="I3578" s="39">
        <f t="shared" si="354"/>
        <v>4154.2700000000004</v>
      </c>
      <c r="K3578" s="40"/>
      <c r="Q3578" s="40">
        <v>38317</v>
      </c>
      <c r="R3578" s="39">
        <v>4154.2700000000004</v>
      </c>
      <c r="S3578" s="39">
        <f t="shared" si="355"/>
        <v>11</v>
      </c>
      <c r="T3578" s="39">
        <f t="shared" si="356"/>
        <v>0</v>
      </c>
      <c r="U3578" s="39">
        <f t="shared" si="357"/>
        <v>0</v>
      </c>
      <c r="V3578" s="40"/>
    </row>
    <row r="3579" spans="2:22" x14ac:dyDescent="0.35">
      <c r="B3579" s="40">
        <v>38320</v>
      </c>
      <c r="C3579" s="39">
        <v>4146.9799999999996</v>
      </c>
      <c r="D3579" s="219">
        <f t="shared" si="358"/>
        <v>-1.756362445179275E-3</v>
      </c>
      <c r="F3579" s="40">
        <v>38320</v>
      </c>
      <c r="G3579" s="39">
        <v>4146.9799999999996</v>
      </c>
      <c r="H3579" s="39">
        <f t="shared" si="353"/>
        <v>1</v>
      </c>
      <c r="I3579" s="39">
        <f t="shared" si="354"/>
        <v>0</v>
      </c>
      <c r="K3579" s="40"/>
      <c r="Q3579" s="40">
        <v>38320</v>
      </c>
      <c r="R3579" s="39">
        <v>4146.9799999999996</v>
      </c>
      <c r="S3579" s="39">
        <f t="shared" si="355"/>
        <v>11</v>
      </c>
      <c r="T3579" s="39">
        <f t="shared" si="356"/>
        <v>0</v>
      </c>
      <c r="U3579" s="39">
        <f t="shared" si="357"/>
        <v>0</v>
      </c>
      <c r="V3579" s="40"/>
    </row>
    <row r="3580" spans="2:22" x14ac:dyDescent="0.35">
      <c r="B3580" s="40">
        <v>38321</v>
      </c>
      <c r="C3580" s="39">
        <v>4126</v>
      </c>
      <c r="D3580" s="219">
        <f t="shared" si="358"/>
        <v>-5.0719438401110638E-3</v>
      </c>
      <c r="F3580" s="40">
        <v>38321</v>
      </c>
      <c r="G3580" s="39">
        <v>4126</v>
      </c>
      <c r="H3580" s="39">
        <f t="shared" si="353"/>
        <v>2</v>
      </c>
      <c r="I3580" s="39">
        <f t="shared" si="354"/>
        <v>0</v>
      </c>
      <c r="K3580" s="40"/>
      <c r="Q3580" s="40">
        <v>38321</v>
      </c>
      <c r="R3580" s="39">
        <v>4126</v>
      </c>
      <c r="S3580" s="39">
        <f t="shared" si="355"/>
        <v>11</v>
      </c>
      <c r="T3580" s="39">
        <f t="shared" si="356"/>
        <v>4126</v>
      </c>
      <c r="U3580" s="39">
        <f t="shared" si="357"/>
        <v>4126</v>
      </c>
      <c r="V3580" s="40"/>
    </row>
    <row r="3581" spans="2:22" x14ac:dyDescent="0.35">
      <c r="B3581" s="40">
        <v>38322</v>
      </c>
      <c r="C3581" s="39">
        <v>4186.03</v>
      </c>
      <c r="D3581" s="219">
        <f t="shared" si="358"/>
        <v>1.4444376095363974E-2</v>
      </c>
      <c r="F3581" s="40">
        <v>38322</v>
      </c>
      <c r="G3581" s="39">
        <v>4186.03</v>
      </c>
      <c r="H3581" s="39">
        <f t="shared" si="353"/>
        <v>3</v>
      </c>
      <c r="I3581" s="39">
        <f t="shared" si="354"/>
        <v>0</v>
      </c>
      <c r="K3581" s="40"/>
      <c r="Q3581" s="40">
        <v>38322</v>
      </c>
      <c r="R3581" s="39">
        <v>4186.03</v>
      </c>
      <c r="S3581" s="39">
        <f t="shared" si="355"/>
        <v>12</v>
      </c>
      <c r="T3581" s="39">
        <f t="shared" si="356"/>
        <v>0</v>
      </c>
      <c r="U3581" s="39">
        <f t="shared" si="357"/>
        <v>0</v>
      </c>
      <c r="V3581" s="40"/>
    </row>
    <row r="3582" spans="2:22" x14ac:dyDescent="0.35">
      <c r="B3582" s="40">
        <v>38323</v>
      </c>
      <c r="C3582" s="39">
        <v>4216.3999999999996</v>
      </c>
      <c r="D3582" s="219">
        <f t="shared" si="358"/>
        <v>7.2288926544729461E-3</v>
      </c>
      <c r="F3582" s="40">
        <v>38323</v>
      </c>
      <c r="G3582" s="39">
        <v>4216.3999999999996</v>
      </c>
      <c r="H3582" s="39">
        <f t="shared" si="353"/>
        <v>4</v>
      </c>
      <c r="I3582" s="39">
        <f t="shared" si="354"/>
        <v>0</v>
      </c>
      <c r="K3582" s="40"/>
      <c r="Q3582" s="40">
        <v>38323</v>
      </c>
      <c r="R3582" s="39">
        <v>4216.3999999999996</v>
      </c>
      <c r="S3582" s="39">
        <f t="shared" si="355"/>
        <v>12</v>
      </c>
      <c r="T3582" s="39">
        <f t="shared" si="356"/>
        <v>0</v>
      </c>
      <c r="U3582" s="39">
        <f t="shared" si="357"/>
        <v>0</v>
      </c>
      <c r="V3582" s="40"/>
    </row>
    <row r="3583" spans="2:22" x14ac:dyDescent="0.35">
      <c r="B3583" s="40">
        <v>38324</v>
      </c>
      <c r="C3583" s="39">
        <v>4208.87</v>
      </c>
      <c r="D3583" s="219">
        <f t="shared" si="358"/>
        <v>-1.7874802836980099E-3</v>
      </c>
      <c r="F3583" s="40">
        <v>38324</v>
      </c>
      <c r="G3583" s="39">
        <v>4208.87</v>
      </c>
      <c r="H3583" s="39">
        <f t="shared" si="353"/>
        <v>5</v>
      </c>
      <c r="I3583" s="39">
        <f t="shared" si="354"/>
        <v>4208.87</v>
      </c>
      <c r="K3583" s="40"/>
      <c r="Q3583" s="40">
        <v>38324</v>
      </c>
      <c r="R3583" s="39">
        <v>4208.87</v>
      </c>
      <c r="S3583" s="39">
        <f t="shared" si="355"/>
        <v>12</v>
      </c>
      <c r="T3583" s="39">
        <f t="shared" si="356"/>
        <v>0</v>
      </c>
      <c r="U3583" s="39">
        <f t="shared" si="357"/>
        <v>0</v>
      </c>
      <c r="V3583" s="40"/>
    </row>
    <row r="3584" spans="2:22" x14ac:dyDescent="0.35">
      <c r="B3584" s="40">
        <v>38327</v>
      </c>
      <c r="C3584" s="39">
        <v>4193.91</v>
      </c>
      <c r="D3584" s="219">
        <f t="shared" si="358"/>
        <v>-3.5607300931912427E-3</v>
      </c>
      <c r="F3584" s="40">
        <v>38327</v>
      </c>
      <c r="G3584" s="39">
        <v>4193.91</v>
      </c>
      <c r="H3584" s="39">
        <f t="shared" si="353"/>
        <v>1</v>
      </c>
      <c r="I3584" s="39">
        <f t="shared" si="354"/>
        <v>0</v>
      </c>
      <c r="K3584" s="40"/>
      <c r="Q3584" s="40">
        <v>38327</v>
      </c>
      <c r="R3584" s="39">
        <v>4193.91</v>
      </c>
      <c r="S3584" s="39">
        <f t="shared" si="355"/>
        <v>12</v>
      </c>
      <c r="T3584" s="39">
        <f t="shared" si="356"/>
        <v>0</v>
      </c>
      <c r="U3584" s="39">
        <f t="shared" si="357"/>
        <v>0</v>
      </c>
      <c r="V3584" s="40"/>
    </row>
    <row r="3585" spans="2:22" x14ac:dyDescent="0.35">
      <c r="B3585" s="40">
        <v>38328</v>
      </c>
      <c r="C3585" s="39">
        <v>4212.62</v>
      </c>
      <c r="D3585" s="219">
        <f t="shared" si="358"/>
        <v>4.4513088976196507E-3</v>
      </c>
      <c r="F3585" s="40">
        <v>38328</v>
      </c>
      <c r="G3585" s="39">
        <v>4212.62</v>
      </c>
      <c r="H3585" s="39">
        <f t="shared" si="353"/>
        <v>2</v>
      </c>
      <c r="I3585" s="39">
        <f t="shared" si="354"/>
        <v>0</v>
      </c>
      <c r="K3585" s="40"/>
      <c r="Q3585" s="40">
        <v>38328</v>
      </c>
      <c r="R3585" s="39">
        <v>4212.62</v>
      </c>
      <c r="S3585" s="39">
        <f t="shared" si="355"/>
        <v>12</v>
      </c>
      <c r="T3585" s="39">
        <f t="shared" si="356"/>
        <v>0</v>
      </c>
      <c r="U3585" s="39">
        <f t="shared" si="357"/>
        <v>0</v>
      </c>
      <c r="V3585" s="40"/>
    </row>
    <row r="3586" spans="2:22" x14ac:dyDescent="0.35">
      <c r="B3586" s="40">
        <v>38329</v>
      </c>
      <c r="C3586" s="39">
        <v>4201.3500000000004</v>
      </c>
      <c r="D3586" s="219">
        <f t="shared" si="358"/>
        <v>-2.678879705972611E-3</v>
      </c>
      <c r="F3586" s="40">
        <v>38329</v>
      </c>
      <c r="G3586" s="39">
        <v>4201.3500000000004</v>
      </c>
      <c r="H3586" s="39">
        <f t="shared" si="353"/>
        <v>3</v>
      </c>
      <c r="I3586" s="39">
        <f t="shared" si="354"/>
        <v>0</v>
      </c>
      <c r="K3586" s="40"/>
      <c r="Q3586" s="40">
        <v>38329</v>
      </c>
      <c r="R3586" s="39">
        <v>4201.3500000000004</v>
      </c>
      <c r="S3586" s="39">
        <f t="shared" si="355"/>
        <v>12</v>
      </c>
      <c r="T3586" s="39">
        <f t="shared" si="356"/>
        <v>0</v>
      </c>
      <c r="U3586" s="39">
        <f t="shared" si="357"/>
        <v>0</v>
      </c>
      <c r="V3586" s="40"/>
    </row>
    <row r="3587" spans="2:22" x14ac:dyDescent="0.35">
      <c r="B3587" s="40">
        <v>38330</v>
      </c>
      <c r="C3587" s="39">
        <v>4150.41</v>
      </c>
      <c r="D3587" s="219">
        <f t="shared" si="358"/>
        <v>-1.219877767024762E-2</v>
      </c>
      <c r="F3587" s="40">
        <v>38330</v>
      </c>
      <c r="G3587" s="39">
        <v>4150.41</v>
      </c>
      <c r="H3587" s="39">
        <f t="shared" si="353"/>
        <v>4</v>
      </c>
      <c r="I3587" s="39">
        <f t="shared" si="354"/>
        <v>0</v>
      </c>
      <c r="K3587" s="40"/>
      <c r="Q3587" s="40">
        <v>38330</v>
      </c>
      <c r="R3587" s="39">
        <v>4150.41</v>
      </c>
      <c r="S3587" s="39">
        <f t="shared" si="355"/>
        <v>12</v>
      </c>
      <c r="T3587" s="39">
        <f t="shared" si="356"/>
        <v>0</v>
      </c>
      <c r="U3587" s="39">
        <f t="shared" si="357"/>
        <v>0</v>
      </c>
      <c r="V3587" s="40"/>
    </row>
    <row r="3588" spans="2:22" x14ac:dyDescent="0.35">
      <c r="B3588" s="40">
        <v>38331</v>
      </c>
      <c r="C3588" s="39">
        <v>4174.55</v>
      </c>
      <c r="D3588" s="219">
        <f t="shared" si="358"/>
        <v>5.7994435191144672E-3</v>
      </c>
      <c r="F3588" s="40">
        <v>38331</v>
      </c>
      <c r="G3588" s="39">
        <v>4174.55</v>
      </c>
      <c r="H3588" s="39">
        <f t="shared" si="353"/>
        <v>5</v>
      </c>
      <c r="I3588" s="39">
        <f t="shared" si="354"/>
        <v>4174.55</v>
      </c>
      <c r="K3588" s="40"/>
      <c r="Q3588" s="40">
        <v>38331</v>
      </c>
      <c r="R3588" s="39">
        <v>4174.55</v>
      </c>
      <c r="S3588" s="39">
        <f t="shared" si="355"/>
        <v>12</v>
      </c>
      <c r="T3588" s="39">
        <f t="shared" si="356"/>
        <v>0</v>
      </c>
      <c r="U3588" s="39">
        <f t="shared" si="357"/>
        <v>0</v>
      </c>
      <c r="V3588" s="40"/>
    </row>
    <row r="3589" spans="2:22" x14ac:dyDescent="0.35">
      <c r="B3589" s="40">
        <v>38334</v>
      </c>
      <c r="C3589" s="39">
        <v>4219.24</v>
      </c>
      <c r="D3589" s="219">
        <f t="shared" si="358"/>
        <v>1.0648448979655166E-2</v>
      </c>
      <c r="F3589" s="40">
        <v>38334</v>
      </c>
      <c r="G3589" s="39">
        <v>4219.24</v>
      </c>
      <c r="H3589" s="39">
        <f t="shared" si="353"/>
        <v>1</v>
      </c>
      <c r="I3589" s="39">
        <f t="shared" si="354"/>
        <v>0</v>
      </c>
      <c r="K3589" s="40"/>
      <c r="Q3589" s="40">
        <v>38334</v>
      </c>
      <c r="R3589" s="39">
        <v>4219.24</v>
      </c>
      <c r="S3589" s="39">
        <f t="shared" si="355"/>
        <v>12</v>
      </c>
      <c r="T3589" s="39">
        <f t="shared" si="356"/>
        <v>0</v>
      </c>
      <c r="U3589" s="39">
        <f t="shared" si="357"/>
        <v>0</v>
      </c>
      <c r="V3589" s="40"/>
    </row>
    <row r="3590" spans="2:22" x14ac:dyDescent="0.35">
      <c r="B3590" s="40">
        <v>38335</v>
      </c>
      <c r="C3590" s="39">
        <v>4231.3</v>
      </c>
      <c r="D3590" s="219">
        <f t="shared" si="358"/>
        <v>2.8542574054482889E-3</v>
      </c>
      <c r="F3590" s="40">
        <v>38335</v>
      </c>
      <c r="G3590" s="39">
        <v>4231.3</v>
      </c>
      <c r="H3590" s="39">
        <f t="shared" si="353"/>
        <v>2</v>
      </c>
      <c r="I3590" s="39">
        <f t="shared" si="354"/>
        <v>0</v>
      </c>
      <c r="K3590" s="40"/>
      <c r="Q3590" s="40">
        <v>38335</v>
      </c>
      <c r="R3590" s="39">
        <v>4231.3</v>
      </c>
      <c r="S3590" s="39">
        <f t="shared" si="355"/>
        <v>12</v>
      </c>
      <c r="T3590" s="39">
        <f t="shared" si="356"/>
        <v>0</v>
      </c>
      <c r="U3590" s="39">
        <f t="shared" si="357"/>
        <v>0</v>
      </c>
      <c r="V3590" s="40"/>
    </row>
    <row r="3591" spans="2:22" x14ac:dyDescent="0.35">
      <c r="B3591" s="40">
        <v>38336</v>
      </c>
      <c r="C3591" s="39">
        <v>4213.6899999999996</v>
      </c>
      <c r="D3591" s="219">
        <f t="shared" si="358"/>
        <v>-4.1705260810594308E-3</v>
      </c>
      <c r="F3591" s="40">
        <v>38336</v>
      </c>
      <c r="G3591" s="39">
        <v>4213.6899999999996</v>
      </c>
      <c r="H3591" s="39">
        <f t="shared" si="353"/>
        <v>3</v>
      </c>
      <c r="I3591" s="39">
        <f t="shared" si="354"/>
        <v>0</v>
      </c>
      <c r="K3591" s="40"/>
      <c r="Q3591" s="40">
        <v>38336</v>
      </c>
      <c r="R3591" s="39">
        <v>4213.6899999999996</v>
      </c>
      <c r="S3591" s="39">
        <f t="shared" si="355"/>
        <v>12</v>
      </c>
      <c r="T3591" s="39">
        <f t="shared" si="356"/>
        <v>0</v>
      </c>
      <c r="U3591" s="39">
        <f t="shared" si="357"/>
        <v>0</v>
      </c>
      <c r="V3591" s="40"/>
    </row>
    <row r="3592" spans="2:22" x14ac:dyDescent="0.35">
      <c r="B3592" s="40">
        <v>38337</v>
      </c>
      <c r="C3592" s="39">
        <v>4233.71</v>
      </c>
      <c r="D3592" s="219">
        <f t="shared" si="358"/>
        <v>4.7399288496595008E-3</v>
      </c>
      <c r="F3592" s="40">
        <v>38337</v>
      </c>
      <c r="G3592" s="39">
        <v>4233.71</v>
      </c>
      <c r="H3592" s="39">
        <f t="shared" si="353"/>
        <v>4</v>
      </c>
      <c r="I3592" s="39">
        <f t="shared" si="354"/>
        <v>0</v>
      </c>
      <c r="K3592" s="40"/>
      <c r="Q3592" s="40">
        <v>38337</v>
      </c>
      <c r="R3592" s="39">
        <v>4233.71</v>
      </c>
      <c r="S3592" s="39">
        <f t="shared" si="355"/>
        <v>12</v>
      </c>
      <c r="T3592" s="39">
        <f t="shared" si="356"/>
        <v>0</v>
      </c>
      <c r="U3592" s="39">
        <f t="shared" si="357"/>
        <v>0</v>
      </c>
      <c r="V3592" s="40"/>
    </row>
    <row r="3593" spans="2:22" x14ac:dyDescent="0.35">
      <c r="B3593" s="40">
        <v>38338</v>
      </c>
      <c r="C3593" s="39">
        <v>4182.2700000000004</v>
      </c>
      <c r="D3593" s="219">
        <f t="shared" si="358"/>
        <v>-1.2224515883516368E-2</v>
      </c>
      <c r="F3593" s="40">
        <v>38338</v>
      </c>
      <c r="G3593" s="39">
        <v>4182.2700000000004</v>
      </c>
      <c r="H3593" s="39">
        <f t="shared" si="353"/>
        <v>5</v>
      </c>
      <c r="I3593" s="39">
        <f t="shared" si="354"/>
        <v>4182.2700000000004</v>
      </c>
      <c r="K3593" s="40"/>
      <c r="Q3593" s="40">
        <v>38338</v>
      </c>
      <c r="R3593" s="39">
        <v>4182.2700000000004</v>
      </c>
      <c r="S3593" s="39">
        <f t="shared" si="355"/>
        <v>12</v>
      </c>
      <c r="T3593" s="39">
        <f t="shared" si="356"/>
        <v>0</v>
      </c>
      <c r="U3593" s="39">
        <f t="shared" si="357"/>
        <v>0</v>
      </c>
      <c r="V3593" s="40"/>
    </row>
    <row r="3594" spans="2:22" x14ac:dyDescent="0.35">
      <c r="B3594" s="40">
        <v>38341</v>
      </c>
      <c r="C3594" s="39">
        <v>4211.55</v>
      </c>
      <c r="D3594" s="219">
        <f t="shared" si="358"/>
        <v>6.9765896246386889E-3</v>
      </c>
      <c r="F3594" s="40">
        <v>38341</v>
      </c>
      <c r="G3594" s="39">
        <v>4211.55</v>
      </c>
      <c r="H3594" s="39">
        <f t="shared" si="353"/>
        <v>1</v>
      </c>
      <c r="I3594" s="39">
        <f t="shared" si="354"/>
        <v>0</v>
      </c>
      <c r="K3594" s="40"/>
      <c r="Q3594" s="40">
        <v>38341</v>
      </c>
      <c r="R3594" s="39">
        <v>4211.55</v>
      </c>
      <c r="S3594" s="39">
        <f t="shared" si="355"/>
        <v>12</v>
      </c>
      <c r="T3594" s="39">
        <f t="shared" si="356"/>
        <v>0</v>
      </c>
      <c r="U3594" s="39">
        <f t="shared" si="357"/>
        <v>0</v>
      </c>
      <c r="V3594" s="40"/>
    </row>
    <row r="3595" spans="2:22" x14ac:dyDescent="0.35">
      <c r="B3595" s="40">
        <v>38342</v>
      </c>
      <c r="C3595" s="39">
        <v>4214.3900000000003</v>
      </c>
      <c r="D3595" s="219">
        <f t="shared" si="358"/>
        <v>6.74108789653563E-4</v>
      </c>
      <c r="F3595" s="40">
        <v>38342</v>
      </c>
      <c r="G3595" s="39">
        <v>4214.3900000000003</v>
      </c>
      <c r="H3595" s="39">
        <f t="shared" si="353"/>
        <v>2</v>
      </c>
      <c r="I3595" s="39">
        <f t="shared" si="354"/>
        <v>0</v>
      </c>
      <c r="K3595" s="40"/>
      <c r="Q3595" s="40">
        <v>38342</v>
      </c>
      <c r="R3595" s="39">
        <v>4214.3900000000003</v>
      </c>
      <c r="S3595" s="39">
        <f t="shared" si="355"/>
        <v>12</v>
      </c>
      <c r="T3595" s="39">
        <f t="shared" si="356"/>
        <v>0</v>
      </c>
      <c r="U3595" s="39">
        <f t="shared" si="357"/>
        <v>0</v>
      </c>
      <c r="V3595" s="40"/>
    </row>
    <row r="3596" spans="2:22" x14ac:dyDescent="0.35">
      <c r="B3596" s="40">
        <v>38343</v>
      </c>
      <c r="C3596" s="39">
        <v>4241.28</v>
      </c>
      <c r="D3596" s="219">
        <f t="shared" si="358"/>
        <v>6.3602507306687968E-3</v>
      </c>
      <c r="F3596" s="40">
        <v>38343</v>
      </c>
      <c r="G3596" s="39">
        <v>4241.28</v>
      </c>
      <c r="H3596" s="39">
        <f t="shared" si="353"/>
        <v>3</v>
      </c>
      <c r="I3596" s="39">
        <f t="shared" si="354"/>
        <v>0</v>
      </c>
      <c r="K3596" s="40"/>
      <c r="Q3596" s="40">
        <v>38343</v>
      </c>
      <c r="R3596" s="39">
        <v>4241.28</v>
      </c>
      <c r="S3596" s="39">
        <f t="shared" si="355"/>
        <v>12</v>
      </c>
      <c r="T3596" s="39">
        <f t="shared" si="356"/>
        <v>0</v>
      </c>
      <c r="U3596" s="39">
        <f t="shared" si="357"/>
        <v>0</v>
      </c>
      <c r="V3596" s="40"/>
    </row>
    <row r="3597" spans="2:22" x14ac:dyDescent="0.35">
      <c r="B3597" s="40">
        <v>38344</v>
      </c>
      <c r="C3597" s="39">
        <v>4251.62</v>
      </c>
      <c r="D3597" s="219">
        <f t="shared" si="358"/>
        <v>2.4349762999482951E-3</v>
      </c>
      <c r="F3597" s="40">
        <v>38344</v>
      </c>
      <c r="G3597" s="39">
        <v>4251.62</v>
      </c>
      <c r="H3597" s="39">
        <f t="shared" si="353"/>
        <v>4</v>
      </c>
      <c r="I3597" s="39">
        <f t="shared" si="354"/>
        <v>4251.62</v>
      </c>
      <c r="K3597" s="40"/>
      <c r="Q3597" s="40">
        <v>38344</v>
      </c>
      <c r="R3597" s="39">
        <v>4251.62</v>
      </c>
      <c r="S3597" s="39">
        <f t="shared" si="355"/>
        <v>12</v>
      </c>
      <c r="T3597" s="39">
        <f t="shared" si="356"/>
        <v>0</v>
      </c>
      <c r="U3597" s="39">
        <f t="shared" si="357"/>
        <v>0</v>
      </c>
      <c r="V3597" s="40"/>
    </row>
    <row r="3598" spans="2:22" x14ac:dyDescent="0.35">
      <c r="B3598" s="40">
        <v>38348</v>
      </c>
      <c r="C3598" s="39">
        <v>4235.3599999999997</v>
      </c>
      <c r="D3598" s="219">
        <f t="shared" si="358"/>
        <v>-3.8317563832102768E-3</v>
      </c>
      <c r="F3598" s="40">
        <v>38348</v>
      </c>
      <c r="G3598" s="39">
        <v>4235.3599999999997</v>
      </c>
      <c r="H3598" s="39">
        <f t="shared" si="353"/>
        <v>1</v>
      </c>
      <c r="I3598" s="39">
        <f t="shared" si="354"/>
        <v>0</v>
      </c>
      <c r="K3598" s="40"/>
      <c r="Q3598" s="40">
        <v>38348</v>
      </c>
      <c r="R3598" s="39">
        <v>4235.3599999999997</v>
      </c>
      <c r="S3598" s="39">
        <f t="shared" si="355"/>
        <v>12</v>
      </c>
      <c r="T3598" s="39">
        <f t="shared" si="356"/>
        <v>0</v>
      </c>
      <c r="U3598" s="39">
        <f t="shared" si="357"/>
        <v>0</v>
      </c>
      <c r="V3598" s="40"/>
    </row>
    <row r="3599" spans="2:22" x14ac:dyDescent="0.35">
      <c r="B3599" s="40">
        <v>38349</v>
      </c>
      <c r="C3599" s="39">
        <v>4261.79</v>
      </c>
      <c r="D3599" s="219">
        <f t="shared" si="358"/>
        <v>6.2209294261285405E-3</v>
      </c>
      <c r="F3599" s="40">
        <v>38349</v>
      </c>
      <c r="G3599" s="39">
        <v>4261.79</v>
      </c>
      <c r="H3599" s="39">
        <f t="shared" si="353"/>
        <v>2</v>
      </c>
      <c r="I3599" s="39">
        <f t="shared" si="354"/>
        <v>0</v>
      </c>
      <c r="K3599" s="40"/>
      <c r="Q3599" s="40">
        <v>38349</v>
      </c>
      <c r="R3599" s="39">
        <v>4261.79</v>
      </c>
      <c r="S3599" s="39">
        <f t="shared" si="355"/>
        <v>12</v>
      </c>
      <c r="T3599" s="39">
        <f t="shared" si="356"/>
        <v>0</v>
      </c>
      <c r="U3599" s="39">
        <f t="shared" si="357"/>
        <v>0</v>
      </c>
      <c r="V3599" s="40"/>
    </row>
    <row r="3600" spans="2:22" x14ac:dyDescent="0.35">
      <c r="B3600" s="40">
        <v>38350</v>
      </c>
      <c r="C3600" s="39">
        <v>4247.75</v>
      </c>
      <c r="D3600" s="219">
        <f t="shared" si="358"/>
        <v>-3.299828836805789E-3</v>
      </c>
      <c r="F3600" s="40">
        <v>38350</v>
      </c>
      <c r="G3600" s="39">
        <v>4247.75</v>
      </c>
      <c r="H3600" s="39">
        <f t="shared" si="353"/>
        <v>3</v>
      </c>
      <c r="I3600" s="39">
        <f t="shared" si="354"/>
        <v>0</v>
      </c>
      <c r="K3600" s="40"/>
      <c r="Q3600" s="40">
        <v>38350</v>
      </c>
      <c r="R3600" s="39">
        <v>4247.75</v>
      </c>
      <c r="S3600" s="39">
        <f t="shared" si="355"/>
        <v>12</v>
      </c>
      <c r="T3600" s="39">
        <f t="shared" si="356"/>
        <v>0</v>
      </c>
      <c r="U3600" s="39">
        <f t="shared" si="357"/>
        <v>0</v>
      </c>
      <c r="V3600" s="40"/>
    </row>
    <row r="3601" spans="2:22" x14ac:dyDescent="0.35">
      <c r="B3601" s="40">
        <v>38351</v>
      </c>
      <c r="C3601" s="39">
        <v>4256.08</v>
      </c>
      <c r="D3601" s="219">
        <f t="shared" si="358"/>
        <v>1.9591178714321897E-3</v>
      </c>
      <c r="F3601" s="40">
        <v>38351</v>
      </c>
      <c r="G3601" s="39">
        <v>4256.08</v>
      </c>
      <c r="H3601" s="39">
        <f t="shared" si="353"/>
        <v>4</v>
      </c>
      <c r="I3601" s="39">
        <f t="shared" si="354"/>
        <v>4256.08</v>
      </c>
      <c r="K3601" s="40"/>
      <c r="Q3601" s="40">
        <v>38351</v>
      </c>
      <c r="R3601" s="39">
        <v>4256.08</v>
      </c>
      <c r="S3601" s="39">
        <f t="shared" si="355"/>
        <v>12</v>
      </c>
      <c r="T3601" s="39">
        <f t="shared" si="356"/>
        <v>4256.08</v>
      </c>
      <c r="U3601" s="39">
        <f t="shared" si="357"/>
        <v>4256.08</v>
      </c>
      <c r="V3601" s="40"/>
    </row>
    <row r="3602" spans="2:22" x14ac:dyDescent="0.35">
      <c r="B3602" s="40">
        <v>38355</v>
      </c>
      <c r="C3602" s="39">
        <v>4291.53</v>
      </c>
      <c r="D3602" s="219">
        <f t="shared" si="358"/>
        <v>8.2947638592807474E-3</v>
      </c>
      <c r="F3602" s="40">
        <v>38355</v>
      </c>
      <c r="G3602" s="39">
        <v>4291.53</v>
      </c>
      <c r="H3602" s="39">
        <f t="shared" si="353"/>
        <v>1</v>
      </c>
      <c r="I3602" s="39">
        <f t="shared" si="354"/>
        <v>0</v>
      </c>
      <c r="K3602" s="40"/>
      <c r="Q3602" s="40">
        <v>38355</v>
      </c>
      <c r="R3602" s="39">
        <v>4291.53</v>
      </c>
      <c r="S3602" s="39">
        <f t="shared" si="355"/>
        <v>1</v>
      </c>
      <c r="T3602" s="39">
        <f t="shared" si="356"/>
        <v>0</v>
      </c>
      <c r="U3602" s="39">
        <f t="shared" si="357"/>
        <v>0</v>
      </c>
      <c r="V3602" s="40"/>
    </row>
    <row r="3603" spans="2:22" x14ac:dyDescent="0.35">
      <c r="B3603" s="40">
        <v>38356</v>
      </c>
      <c r="C3603" s="39">
        <v>4290.5</v>
      </c>
      <c r="D3603" s="219">
        <f t="shared" si="358"/>
        <v>-2.4003644940533592E-4</v>
      </c>
      <c r="F3603" s="40">
        <v>38356</v>
      </c>
      <c r="G3603" s="39">
        <v>4290.5</v>
      </c>
      <c r="H3603" s="39">
        <f t="shared" si="353"/>
        <v>2</v>
      </c>
      <c r="I3603" s="39">
        <f t="shared" si="354"/>
        <v>0</v>
      </c>
      <c r="K3603" s="40"/>
      <c r="Q3603" s="40">
        <v>38356</v>
      </c>
      <c r="R3603" s="39">
        <v>4290.5</v>
      </c>
      <c r="S3603" s="39">
        <f t="shared" si="355"/>
        <v>1</v>
      </c>
      <c r="T3603" s="39">
        <f t="shared" si="356"/>
        <v>0</v>
      </c>
      <c r="U3603" s="39">
        <f t="shared" si="357"/>
        <v>0</v>
      </c>
      <c r="V3603" s="40"/>
    </row>
    <row r="3604" spans="2:22" x14ac:dyDescent="0.35">
      <c r="B3604" s="40">
        <v>38357</v>
      </c>
      <c r="C3604" s="39">
        <v>4258.24</v>
      </c>
      <c r="D3604" s="219">
        <f t="shared" si="358"/>
        <v>-7.5473468917979904E-3</v>
      </c>
      <c r="F3604" s="40">
        <v>38357</v>
      </c>
      <c r="G3604" s="39">
        <v>4258.24</v>
      </c>
      <c r="H3604" s="39">
        <f t="shared" si="353"/>
        <v>3</v>
      </c>
      <c r="I3604" s="39">
        <f t="shared" si="354"/>
        <v>0</v>
      </c>
      <c r="K3604" s="40"/>
      <c r="Q3604" s="40">
        <v>38357</v>
      </c>
      <c r="R3604" s="39">
        <v>4258.24</v>
      </c>
      <c r="S3604" s="39">
        <f t="shared" si="355"/>
        <v>1</v>
      </c>
      <c r="T3604" s="39">
        <f t="shared" si="356"/>
        <v>0</v>
      </c>
      <c r="U3604" s="39">
        <f t="shared" si="357"/>
        <v>0</v>
      </c>
      <c r="V3604" s="40"/>
    </row>
    <row r="3605" spans="2:22" x14ac:dyDescent="0.35">
      <c r="B3605" s="40">
        <v>38358</v>
      </c>
      <c r="C3605" s="39">
        <v>4300.9399999999996</v>
      </c>
      <c r="D3605" s="219">
        <f t="shared" si="358"/>
        <v>9.9776740869238906E-3</v>
      </c>
      <c r="F3605" s="40">
        <v>38358</v>
      </c>
      <c r="G3605" s="39">
        <v>4300.9399999999996</v>
      </c>
      <c r="H3605" s="39">
        <f t="shared" si="353"/>
        <v>4</v>
      </c>
      <c r="I3605" s="39">
        <f t="shared" si="354"/>
        <v>0</v>
      </c>
      <c r="K3605" s="40"/>
      <c r="Q3605" s="40">
        <v>38358</v>
      </c>
      <c r="R3605" s="39">
        <v>4300.9399999999996</v>
      </c>
      <c r="S3605" s="39">
        <f t="shared" si="355"/>
        <v>1</v>
      </c>
      <c r="T3605" s="39">
        <f t="shared" si="356"/>
        <v>0</v>
      </c>
      <c r="U3605" s="39">
        <f t="shared" si="357"/>
        <v>0</v>
      </c>
      <c r="V3605" s="40"/>
    </row>
    <row r="3606" spans="2:22" x14ac:dyDescent="0.35">
      <c r="B3606" s="40">
        <v>38359</v>
      </c>
      <c r="C3606" s="39">
        <v>4316.3999999999996</v>
      </c>
      <c r="D3606" s="219">
        <f t="shared" si="358"/>
        <v>3.5881180472771479E-3</v>
      </c>
      <c r="F3606" s="40">
        <v>38359</v>
      </c>
      <c r="G3606" s="39">
        <v>4316.3999999999996</v>
      </c>
      <c r="H3606" s="39">
        <f t="shared" si="353"/>
        <v>5</v>
      </c>
      <c r="I3606" s="39">
        <f t="shared" si="354"/>
        <v>4316.3999999999996</v>
      </c>
      <c r="K3606" s="40"/>
      <c r="Q3606" s="40">
        <v>38359</v>
      </c>
      <c r="R3606" s="39">
        <v>4316.3999999999996</v>
      </c>
      <c r="S3606" s="39">
        <f t="shared" si="355"/>
        <v>1</v>
      </c>
      <c r="T3606" s="39">
        <f t="shared" si="356"/>
        <v>0</v>
      </c>
      <c r="U3606" s="39">
        <f t="shared" si="357"/>
        <v>0</v>
      </c>
      <c r="V3606" s="40"/>
    </row>
    <row r="3607" spans="2:22" x14ac:dyDescent="0.35">
      <c r="B3607" s="40">
        <v>38362</v>
      </c>
      <c r="C3607" s="39">
        <v>4307.37</v>
      </c>
      <c r="D3607" s="219">
        <f t="shared" si="358"/>
        <v>-2.0942124616630956E-3</v>
      </c>
      <c r="F3607" s="40">
        <v>38362</v>
      </c>
      <c r="G3607" s="39">
        <v>4307.37</v>
      </c>
      <c r="H3607" s="39">
        <f t="shared" si="353"/>
        <v>1</v>
      </c>
      <c r="I3607" s="39">
        <f t="shared" si="354"/>
        <v>0</v>
      </c>
      <c r="K3607" s="40"/>
      <c r="Q3607" s="40">
        <v>38362</v>
      </c>
      <c r="R3607" s="39">
        <v>4307.37</v>
      </c>
      <c r="S3607" s="39">
        <f t="shared" si="355"/>
        <v>1</v>
      </c>
      <c r="T3607" s="39">
        <f t="shared" si="356"/>
        <v>0</v>
      </c>
      <c r="U3607" s="39">
        <f t="shared" si="357"/>
        <v>0</v>
      </c>
      <c r="V3607" s="40"/>
    </row>
    <row r="3608" spans="2:22" x14ac:dyDescent="0.35">
      <c r="B3608" s="40">
        <v>38363</v>
      </c>
      <c r="C3608" s="39">
        <v>4258.01</v>
      </c>
      <c r="D3608" s="219">
        <f t="shared" si="358"/>
        <v>-1.1525594056816219E-2</v>
      </c>
      <c r="F3608" s="40">
        <v>38363</v>
      </c>
      <c r="G3608" s="39">
        <v>4258.01</v>
      </c>
      <c r="H3608" s="39">
        <f t="shared" si="353"/>
        <v>2</v>
      </c>
      <c r="I3608" s="39">
        <f t="shared" si="354"/>
        <v>0</v>
      </c>
      <c r="K3608" s="40"/>
      <c r="Q3608" s="40">
        <v>38363</v>
      </c>
      <c r="R3608" s="39">
        <v>4258.01</v>
      </c>
      <c r="S3608" s="39">
        <f t="shared" si="355"/>
        <v>1</v>
      </c>
      <c r="T3608" s="39">
        <f t="shared" si="356"/>
        <v>0</v>
      </c>
      <c r="U3608" s="39">
        <f t="shared" si="357"/>
        <v>0</v>
      </c>
      <c r="V3608" s="40"/>
    </row>
    <row r="3609" spans="2:22" x14ac:dyDescent="0.35">
      <c r="B3609" s="40">
        <v>38364</v>
      </c>
      <c r="C3609" s="39">
        <v>4208.82</v>
      </c>
      <c r="D3609" s="219">
        <f t="shared" si="358"/>
        <v>-1.1619591617493432E-2</v>
      </c>
      <c r="F3609" s="40">
        <v>38364</v>
      </c>
      <c r="G3609" s="39">
        <v>4208.82</v>
      </c>
      <c r="H3609" s="39">
        <f t="shared" si="353"/>
        <v>3</v>
      </c>
      <c r="I3609" s="39">
        <f t="shared" si="354"/>
        <v>0</v>
      </c>
      <c r="K3609" s="40"/>
      <c r="Q3609" s="40">
        <v>38364</v>
      </c>
      <c r="R3609" s="39">
        <v>4208.82</v>
      </c>
      <c r="S3609" s="39">
        <f t="shared" si="355"/>
        <v>1</v>
      </c>
      <c r="T3609" s="39">
        <f t="shared" si="356"/>
        <v>0</v>
      </c>
      <c r="U3609" s="39">
        <f t="shared" si="357"/>
        <v>0</v>
      </c>
      <c r="V3609" s="40"/>
    </row>
    <row r="3610" spans="2:22" x14ac:dyDescent="0.35">
      <c r="B3610" s="40">
        <v>38365</v>
      </c>
      <c r="C3610" s="39">
        <v>4212.1400000000003</v>
      </c>
      <c r="D3610" s="219">
        <f t="shared" si="358"/>
        <v>7.885087144498124E-4</v>
      </c>
      <c r="F3610" s="40">
        <v>38365</v>
      </c>
      <c r="G3610" s="39">
        <v>4212.1400000000003</v>
      </c>
      <c r="H3610" s="39">
        <f t="shared" si="353"/>
        <v>4</v>
      </c>
      <c r="I3610" s="39">
        <f t="shared" si="354"/>
        <v>0</v>
      </c>
      <c r="K3610" s="40"/>
      <c r="Q3610" s="40">
        <v>38365</v>
      </c>
      <c r="R3610" s="39">
        <v>4212.1400000000003</v>
      </c>
      <c r="S3610" s="39">
        <f t="shared" si="355"/>
        <v>1</v>
      </c>
      <c r="T3610" s="39">
        <f t="shared" si="356"/>
        <v>0</v>
      </c>
      <c r="U3610" s="39">
        <f t="shared" si="357"/>
        <v>0</v>
      </c>
      <c r="V3610" s="40"/>
    </row>
    <row r="3611" spans="2:22" x14ac:dyDescent="0.35">
      <c r="B3611" s="40">
        <v>38366</v>
      </c>
      <c r="C3611" s="39">
        <v>4232.3599999999997</v>
      </c>
      <c r="D3611" s="219">
        <f t="shared" si="358"/>
        <v>4.7889250147296874E-3</v>
      </c>
      <c r="F3611" s="40">
        <v>38366</v>
      </c>
      <c r="G3611" s="39">
        <v>4232.3599999999997</v>
      </c>
      <c r="H3611" s="39">
        <f t="shared" si="353"/>
        <v>5</v>
      </c>
      <c r="I3611" s="39">
        <f t="shared" si="354"/>
        <v>4232.3599999999997</v>
      </c>
      <c r="K3611" s="40"/>
      <c r="Q3611" s="40">
        <v>38366</v>
      </c>
      <c r="R3611" s="39">
        <v>4232.3599999999997</v>
      </c>
      <c r="S3611" s="39">
        <f t="shared" si="355"/>
        <v>1</v>
      </c>
      <c r="T3611" s="39">
        <f t="shared" si="356"/>
        <v>0</v>
      </c>
      <c r="U3611" s="39">
        <f t="shared" si="357"/>
        <v>0</v>
      </c>
      <c r="V3611" s="40"/>
    </row>
    <row r="3612" spans="2:22" x14ac:dyDescent="0.35">
      <c r="B3612" s="40">
        <v>38369</v>
      </c>
      <c r="C3612" s="39">
        <v>4245.51</v>
      </c>
      <c r="D3612" s="219">
        <f t="shared" si="358"/>
        <v>3.1021967890256094E-3</v>
      </c>
      <c r="F3612" s="40">
        <v>38369</v>
      </c>
      <c r="G3612" s="39">
        <v>4245.51</v>
      </c>
      <c r="H3612" s="39">
        <f t="shared" si="353"/>
        <v>1</v>
      </c>
      <c r="I3612" s="39">
        <f t="shared" si="354"/>
        <v>0</v>
      </c>
      <c r="K3612" s="40"/>
      <c r="Q3612" s="40">
        <v>38369</v>
      </c>
      <c r="R3612" s="39">
        <v>4245.51</v>
      </c>
      <c r="S3612" s="39">
        <f t="shared" si="355"/>
        <v>1</v>
      </c>
      <c r="T3612" s="39">
        <f t="shared" si="356"/>
        <v>0</v>
      </c>
      <c r="U3612" s="39">
        <f t="shared" si="357"/>
        <v>0</v>
      </c>
      <c r="V3612" s="40"/>
    </row>
    <row r="3613" spans="2:22" x14ac:dyDescent="0.35">
      <c r="B3613" s="40">
        <v>38370</v>
      </c>
      <c r="C3613" s="39">
        <v>4250.71</v>
      </c>
      <c r="D3613" s="219">
        <f t="shared" si="358"/>
        <v>1.2240739174098117E-3</v>
      </c>
      <c r="F3613" s="40">
        <v>38370</v>
      </c>
      <c r="G3613" s="39">
        <v>4250.71</v>
      </c>
      <c r="H3613" s="39">
        <f t="shared" si="353"/>
        <v>2</v>
      </c>
      <c r="I3613" s="39">
        <f t="shared" si="354"/>
        <v>0</v>
      </c>
      <c r="K3613" s="40"/>
      <c r="Q3613" s="40">
        <v>38370</v>
      </c>
      <c r="R3613" s="39">
        <v>4250.71</v>
      </c>
      <c r="S3613" s="39">
        <f t="shared" si="355"/>
        <v>1</v>
      </c>
      <c r="T3613" s="39">
        <f t="shared" si="356"/>
        <v>0</v>
      </c>
      <c r="U3613" s="39">
        <f t="shared" si="357"/>
        <v>0</v>
      </c>
      <c r="V3613" s="40"/>
    </row>
    <row r="3614" spans="2:22" x14ac:dyDescent="0.35">
      <c r="B3614" s="40">
        <v>38371</v>
      </c>
      <c r="C3614" s="39">
        <v>4245.55</v>
      </c>
      <c r="D3614" s="219">
        <f t="shared" si="358"/>
        <v>-1.2146522433195465E-3</v>
      </c>
      <c r="F3614" s="40">
        <v>38371</v>
      </c>
      <c r="G3614" s="39">
        <v>4245.55</v>
      </c>
      <c r="H3614" s="39">
        <f t="shared" si="353"/>
        <v>3</v>
      </c>
      <c r="I3614" s="39">
        <f t="shared" si="354"/>
        <v>0</v>
      </c>
      <c r="K3614" s="40"/>
      <c r="Q3614" s="40">
        <v>38371</v>
      </c>
      <c r="R3614" s="39">
        <v>4245.55</v>
      </c>
      <c r="S3614" s="39">
        <f t="shared" si="355"/>
        <v>1</v>
      </c>
      <c r="T3614" s="39">
        <f t="shared" si="356"/>
        <v>0</v>
      </c>
      <c r="U3614" s="39">
        <f t="shared" si="357"/>
        <v>0</v>
      </c>
      <c r="V3614" s="40"/>
    </row>
    <row r="3615" spans="2:22" x14ac:dyDescent="0.35">
      <c r="B3615" s="40">
        <v>38372</v>
      </c>
      <c r="C3615" s="39">
        <v>4220.43</v>
      </c>
      <c r="D3615" s="219">
        <f t="shared" si="358"/>
        <v>-5.9343569722640193E-3</v>
      </c>
      <c r="F3615" s="40">
        <v>38372</v>
      </c>
      <c r="G3615" s="39">
        <v>4220.43</v>
      </c>
      <c r="H3615" s="39">
        <f t="shared" si="353"/>
        <v>4</v>
      </c>
      <c r="I3615" s="39">
        <f t="shared" si="354"/>
        <v>0</v>
      </c>
      <c r="K3615" s="40"/>
      <c r="Q3615" s="40">
        <v>38372</v>
      </c>
      <c r="R3615" s="39">
        <v>4220.43</v>
      </c>
      <c r="S3615" s="39">
        <f t="shared" si="355"/>
        <v>1</v>
      </c>
      <c r="T3615" s="39">
        <f t="shared" si="356"/>
        <v>0</v>
      </c>
      <c r="U3615" s="39">
        <f t="shared" si="357"/>
        <v>0</v>
      </c>
      <c r="V3615" s="40"/>
    </row>
    <row r="3616" spans="2:22" x14ac:dyDescent="0.35">
      <c r="B3616" s="40">
        <v>38373</v>
      </c>
      <c r="C3616" s="39">
        <v>4213.7</v>
      </c>
      <c r="D3616" s="219">
        <f t="shared" si="358"/>
        <v>-1.595897010925751E-3</v>
      </c>
      <c r="F3616" s="40">
        <v>38373</v>
      </c>
      <c r="G3616" s="39">
        <v>4213.7</v>
      </c>
      <c r="H3616" s="39">
        <f t="shared" si="353"/>
        <v>5</v>
      </c>
      <c r="I3616" s="39">
        <f t="shared" si="354"/>
        <v>4213.7</v>
      </c>
      <c r="K3616" s="40"/>
      <c r="Q3616" s="40">
        <v>38373</v>
      </c>
      <c r="R3616" s="39">
        <v>4213.7</v>
      </c>
      <c r="S3616" s="39">
        <f t="shared" si="355"/>
        <v>1</v>
      </c>
      <c r="T3616" s="39">
        <f t="shared" si="356"/>
        <v>0</v>
      </c>
      <c r="U3616" s="39">
        <f t="shared" si="357"/>
        <v>0</v>
      </c>
      <c r="V3616" s="40"/>
    </row>
    <row r="3617" spans="2:22" x14ac:dyDescent="0.35">
      <c r="B3617" s="40">
        <v>38376</v>
      </c>
      <c r="C3617" s="39">
        <v>4201.8900000000003</v>
      </c>
      <c r="D3617" s="219">
        <f t="shared" si="358"/>
        <v>-2.8066975108866558E-3</v>
      </c>
      <c r="F3617" s="40">
        <v>38376</v>
      </c>
      <c r="G3617" s="39">
        <v>4201.8900000000003</v>
      </c>
      <c r="H3617" s="39">
        <f t="shared" si="353"/>
        <v>1</v>
      </c>
      <c r="I3617" s="39">
        <f t="shared" si="354"/>
        <v>0</v>
      </c>
      <c r="K3617" s="40"/>
      <c r="Q3617" s="40">
        <v>38376</v>
      </c>
      <c r="R3617" s="39">
        <v>4201.8900000000003</v>
      </c>
      <c r="S3617" s="39">
        <f t="shared" si="355"/>
        <v>1</v>
      </c>
      <c r="T3617" s="39">
        <f t="shared" si="356"/>
        <v>0</v>
      </c>
      <c r="U3617" s="39">
        <f t="shared" si="357"/>
        <v>0</v>
      </c>
      <c r="V3617" s="40"/>
    </row>
    <row r="3618" spans="2:22" x14ac:dyDescent="0.35">
      <c r="B3618" s="40">
        <v>38377</v>
      </c>
      <c r="C3618" s="39">
        <v>4233.95</v>
      </c>
      <c r="D3618" s="219">
        <f t="shared" si="358"/>
        <v>7.6009394093459757E-3</v>
      </c>
      <c r="F3618" s="40">
        <v>38377</v>
      </c>
      <c r="G3618" s="39">
        <v>4233.95</v>
      </c>
      <c r="H3618" s="39">
        <f t="shared" si="353"/>
        <v>2</v>
      </c>
      <c r="I3618" s="39">
        <f t="shared" si="354"/>
        <v>0</v>
      </c>
      <c r="K3618" s="40"/>
      <c r="Q3618" s="40">
        <v>38377</v>
      </c>
      <c r="R3618" s="39">
        <v>4233.95</v>
      </c>
      <c r="S3618" s="39">
        <f t="shared" si="355"/>
        <v>1</v>
      </c>
      <c r="T3618" s="39">
        <f t="shared" si="356"/>
        <v>0</v>
      </c>
      <c r="U3618" s="39">
        <f t="shared" si="357"/>
        <v>0</v>
      </c>
      <c r="V3618" s="40"/>
    </row>
    <row r="3619" spans="2:22" x14ac:dyDescent="0.35">
      <c r="B3619" s="40">
        <v>38378</v>
      </c>
      <c r="C3619" s="39">
        <v>4214.12</v>
      </c>
      <c r="D3619" s="219">
        <f t="shared" si="358"/>
        <v>-4.6945719956023781E-3</v>
      </c>
      <c r="F3619" s="40">
        <v>38378</v>
      </c>
      <c r="G3619" s="39">
        <v>4214.12</v>
      </c>
      <c r="H3619" s="39">
        <f t="shared" si="353"/>
        <v>3</v>
      </c>
      <c r="I3619" s="39">
        <f t="shared" si="354"/>
        <v>0</v>
      </c>
      <c r="K3619" s="40"/>
      <c r="Q3619" s="40">
        <v>38378</v>
      </c>
      <c r="R3619" s="39">
        <v>4214.12</v>
      </c>
      <c r="S3619" s="39">
        <f t="shared" si="355"/>
        <v>1</v>
      </c>
      <c r="T3619" s="39">
        <f t="shared" si="356"/>
        <v>0</v>
      </c>
      <c r="U3619" s="39">
        <f t="shared" si="357"/>
        <v>0</v>
      </c>
      <c r="V3619" s="40"/>
    </row>
    <row r="3620" spans="2:22" x14ac:dyDescent="0.35">
      <c r="B3620" s="40">
        <v>38379</v>
      </c>
      <c r="C3620" s="39">
        <v>4216.41</v>
      </c>
      <c r="D3620" s="219">
        <f t="shared" si="358"/>
        <v>5.4326360414392672E-4</v>
      </c>
      <c r="F3620" s="40">
        <v>38379</v>
      </c>
      <c r="G3620" s="39">
        <v>4216.41</v>
      </c>
      <c r="H3620" s="39">
        <f t="shared" si="353"/>
        <v>4</v>
      </c>
      <c r="I3620" s="39">
        <f t="shared" si="354"/>
        <v>0</v>
      </c>
      <c r="K3620" s="40"/>
      <c r="Q3620" s="40">
        <v>38379</v>
      </c>
      <c r="R3620" s="39">
        <v>4216.41</v>
      </c>
      <c r="S3620" s="39">
        <f t="shared" si="355"/>
        <v>1</v>
      </c>
      <c r="T3620" s="39">
        <f t="shared" si="356"/>
        <v>0</v>
      </c>
      <c r="U3620" s="39">
        <f t="shared" si="357"/>
        <v>0</v>
      </c>
      <c r="V3620" s="40"/>
    </row>
    <row r="3621" spans="2:22" x14ac:dyDescent="0.35">
      <c r="B3621" s="40">
        <v>38380</v>
      </c>
      <c r="C3621" s="39">
        <v>4201.8100000000004</v>
      </c>
      <c r="D3621" s="219">
        <f t="shared" si="358"/>
        <v>-3.4686702506070248E-3</v>
      </c>
      <c r="F3621" s="40">
        <v>38380</v>
      </c>
      <c r="G3621" s="39">
        <v>4201.8100000000004</v>
      </c>
      <c r="H3621" s="39">
        <f t="shared" si="353"/>
        <v>5</v>
      </c>
      <c r="I3621" s="39">
        <f t="shared" si="354"/>
        <v>4201.8100000000004</v>
      </c>
      <c r="K3621" s="40"/>
      <c r="Q3621" s="40">
        <v>38380</v>
      </c>
      <c r="R3621" s="39">
        <v>4201.8100000000004</v>
      </c>
      <c r="S3621" s="39">
        <f t="shared" si="355"/>
        <v>1</v>
      </c>
      <c r="T3621" s="39">
        <f t="shared" si="356"/>
        <v>0</v>
      </c>
      <c r="U3621" s="39">
        <f t="shared" si="357"/>
        <v>0</v>
      </c>
      <c r="V3621" s="40"/>
    </row>
    <row r="3622" spans="2:22" x14ac:dyDescent="0.35">
      <c r="B3622" s="40">
        <v>38383</v>
      </c>
      <c r="C3622" s="39">
        <v>4254.8500000000004</v>
      </c>
      <c r="D3622" s="219">
        <f t="shared" si="358"/>
        <v>1.254412392303216E-2</v>
      </c>
      <c r="F3622" s="40">
        <v>38383</v>
      </c>
      <c r="G3622" s="39">
        <v>4254.8500000000004</v>
      </c>
      <c r="H3622" s="39">
        <f t="shared" si="353"/>
        <v>1</v>
      </c>
      <c r="I3622" s="39">
        <f t="shared" si="354"/>
        <v>0</v>
      </c>
      <c r="K3622" s="40"/>
      <c r="Q3622" s="40">
        <v>38383</v>
      </c>
      <c r="R3622" s="39">
        <v>4254.8500000000004</v>
      </c>
      <c r="S3622" s="39">
        <f t="shared" si="355"/>
        <v>1</v>
      </c>
      <c r="T3622" s="39">
        <f t="shared" si="356"/>
        <v>4254.8500000000004</v>
      </c>
      <c r="U3622" s="39">
        <f t="shared" si="357"/>
        <v>4254.8500000000004</v>
      </c>
      <c r="V3622" s="40"/>
    </row>
    <row r="3623" spans="2:22" x14ac:dyDescent="0.35">
      <c r="B3623" s="40">
        <v>38384</v>
      </c>
      <c r="C3623" s="39">
        <v>4279.97</v>
      </c>
      <c r="D3623" s="219">
        <f t="shared" si="358"/>
        <v>5.8864914633453619E-3</v>
      </c>
      <c r="F3623" s="40">
        <v>38384</v>
      </c>
      <c r="G3623" s="39">
        <v>4279.97</v>
      </c>
      <c r="H3623" s="39">
        <f t="shared" si="353"/>
        <v>2</v>
      </c>
      <c r="I3623" s="39">
        <f t="shared" si="354"/>
        <v>0</v>
      </c>
      <c r="K3623" s="40"/>
      <c r="Q3623" s="40">
        <v>38384</v>
      </c>
      <c r="R3623" s="39">
        <v>4279.97</v>
      </c>
      <c r="S3623" s="39">
        <f t="shared" si="355"/>
        <v>2</v>
      </c>
      <c r="T3623" s="39">
        <f t="shared" si="356"/>
        <v>0</v>
      </c>
      <c r="U3623" s="39">
        <f t="shared" si="357"/>
        <v>0</v>
      </c>
      <c r="V3623" s="40"/>
    </row>
    <row r="3624" spans="2:22" x14ac:dyDescent="0.35">
      <c r="B3624" s="40">
        <v>38385</v>
      </c>
      <c r="C3624" s="39">
        <v>4296.3100000000004</v>
      </c>
      <c r="D3624" s="219">
        <f t="shared" si="358"/>
        <v>3.8105145287755525E-3</v>
      </c>
      <c r="F3624" s="40">
        <v>38385</v>
      </c>
      <c r="G3624" s="39">
        <v>4296.3100000000004</v>
      </c>
      <c r="H3624" s="39">
        <f t="shared" si="353"/>
        <v>3</v>
      </c>
      <c r="I3624" s="39">
        <f t="shared" si="354"/>
        <v>0</v>
      </c>
      <c r="K3624" s="40"/>
      <c r="Q3624" s="40">
        <v>38385</v>
      </c>
      <c r="R3624" s="39">
        <v>4296.3100000000004</v>
      </c>
      <c r="S3624" s="39">
        <f t="shared" si="355"/>
        <v>2</v>
      </c>
      <c r="T3624" s="39">
        <f t="shared" si="356"/>
        <v>0</v>
      </c>
      <c r="U3624" s="39">
        <f t="shared" si="357"/>
        <v>0</v>
      </c>
      <c r="V3624" s="40"/>
    </row>
    <row r="3625" spans="2:22" x14ac:dyDescent="0.35">
      <c r="B3625" s="40">
        <v>38386</v>
      </c>
      <c r="C3625" s="39">
        <v>4281.6400000000003</v>
      </c>
      <c r="D3625" s="219">
        <f t="shared" si="358"/>
        <v>-3.4204009820992822E-3</v>
      </c>
      <c r="F3625" s="40">
        <v>38386</v>
      </c>
      <c r="G3625" s="39">
        <v>4281.6400000000003</v>
      </c>
      <c r="H3625" s="39">
        <f t="shared" si="353"/>
        <v>4</v>
      </c>
      <c r="I3625" s="39">
        <f t="shared" si="354"/>
        <v>0</v>
      </c>
      <c r="K3625" s="40"/>
      <c r="Q3625" s="40">
        <v>38386</v>
      </c>
      <c r="R3625" s="39">
        <v>4281.6400000000003</v>
      </c>
      <c r="S3625" s="39">
        <f t="shared" si="355"/>
        <v>2</v>
      </c>
      <c r="T3625" s="39">
        <f t="shared" si="356"/>
        <v>0</v>
      </c>
      <c r="U3625" s="39">
        <f t="shared" si="357"/>
        <v>0</v>
      </c>
      <c r="V3625" s="40"/>
    </row>
    <row r="3626" spans="2:22" x14ac:dyDescent="0.35">
      <c r="B3626" s="40">
        <v>38387</v>
      </c>
      <c r="C3626" s="39">
        <v>4339.28</v>
      </c>
      <c r="D3626" s="219">
        <f t="shared" si="358"/>
        <v>1.3372321962082228E-2</v>
      </c>
      <c r="F3626" s="40">
        <v>38387</v>
      </c>
      <c r="G3626" s="39">
        <v>4339.28</v>
      </c>
      <c r="H3626" s="39">
        <f t="shared" si="353"/>
        <v>5</v>
      </c>
      <c r="I3626" s="39">
        <f t="shared" si="354"/>
        <v>4339.28</v>
      </c>
      <c r="K3626" s="40"/>
      <c r="Q3626" s="40">
        <v>38387</v>
      </c>
      <c r="R3626" s="39">
        <v>4339.28</v>
      </c>
      <c r="S3626" s="39">
        <f t="shared" si="355"/>
        <v>2</v>
      </c>
      <c r="T3626" s="39">
        <f t="shared" si="356"/>
        <v>0</v>
      </c>
      <c r="U3626" s="39">
        <f t="shared" si="357"/>
        <v>0</v>
      </c>
      <c r="V3626" s="40"/>
    </row>
    <row r="3627" spans="2:22" x14ac:dyDescent="0.35">
      <c r="B3627" s="40">
        <v>38390</v>
      </c>
      <c r="C3627" s="39">
        <v>4366.3500000000004</v>
      </c>
      <c r="D3627" s="219">
        <f t="shared" si="358"/>
        <v>6.2189840932868161E-3</v>
      </c>
      <c r="F3627" s="40">
        <v>38390</v>
      </c>
      <c r="G3627" s="39">
        <v>4366.3500000000004</v>
      </c>
      <c r="H3627" s="39">
        <f t="shared" si="353"/>
        <v>1</v>
      </c>
      <c r="I3627" s="39">
        <f t="shared" si="354"/>
        <v>0</v>
      </c>
      <c r="K3627" s="40"/>
      <c r="Q3627" s="40">
        <v>38390</v>
      </c>
      <c r="R3627" s="39">
        <v>4366.3500000000004</v>
      </c>
      <c r="S3627" s="39">
        <f t="shared" si="355"/>
        <v>2</v>
      </c>
      <c r="T3627" s="39">
        <f t="shared" si="356"/>
        <v>0</v>
      </c>
      <c r="U3627" s="39">
        <f t="shared" si="357"/>
        <v>0</v>
      </c>
      <c r="V3627" s="40"/>
    </row>
    <row r="3628" spans="2:22" x14ac:dyDescent="0.35">
      <c r="B3628" s="40">
        <v>38391</v>
      </c>
      <c r="C3628" s="39">
        <v>4371.3900000000003</v>
      </c>
      <c r="D3628" s="219">
        <f t="shared" si="358"/>
        <v>1.1536165092916706E-3</v>
      </c>
      <c r="F3628" s="40">
        <v>38391</v>
      </c>
      <c r="G3628" s="39">
        <v>4371.3900000000003</v>
      </c>
      <c r="H3628" s="39">
        <f t="shared" si="353"/>
        <v>2</v>
      </c>
      <c r="I3628" s="39">
        <f t="shared" si="354"/>
        <v>0</v>
      </c>
      <c r="K3628" s="40"/>
      <c r="Q3628" s="40">
        <v>38391</v>
      </c>
      <c r="R3628" s="39">
        <v>4371.3900000000003</v>
      </c>
      <c r="S3628" s="39">
        <f t="shared" si="355"/>
        <v>2</v>
      </c>
      <c r="T3628" s="39">
        <f t="shared" si="356"/>
        <v>0</v>
      </c>
      <c r="U3628" s="39">
        <f t="shared" si="357"/>
        <v>0</v>
      </c>
      <c r="V3628" s="40"/>
    </row>
    <row r="3629" spans="2:22" x14ac:dyDescent="0.35">
      <c r="B3629" s="40">
        <v>38392</v>
      </c>
      <c r="C3629" s="39">
        <v>4353.1499999999996</v>
      </c>
      <c r="D3629" s="219">
        <f t="shared" si="358"/>
        <v>-4.1813153644222785E-3</v>
      </c>
      <c r="F3629" s="40">
        <v>38392</v>
      </c>
      <c r="G3629" s="39">
        <v>4353.1499999999996</v>
      </c>
      <c r="H3629" s="39">
        <f t="shared" si="353"/>
        <v>3</v>
      </c>
      <c r="I3629" s="39">
        <f t="shared" si="354"/>
        <v>0</v>
      </c>
      <c r="K3629" s="40"/>
      <c r="Q3629" s="40">
        <v>38392</v>
      </c>
      <c r="R3629" s="39">
        <v>4353.1499999999996</v>
      </c>
      <c r="S3629" s="39">
        <f t="shared" si="355"/>
        <v>2</v>
      </c>
      <c r="T3629" s="39">
        <f t="shared" si="356"/>
        <v>0</v>
      </c>
      <c r="U3629" s="39">
        <f t="shared" si="357"/>
        <v>0</v>
      </c>
      <c r="V3629" s="40"/>
    </row>
    <row r="3630" spans="2:22" x14ac:dyDescent="0.35">
      <c r="B3630" s="40">
        <v>38393</v>
      </c>
      <c r="C3630" s="39">
        <v>4342.01</v>
      </c>
      <c r="D3630" s="219">
        <f t="shared" si="358"/>
        <v>-2.5623464306768449E-3</v>
      </c>
      <c r="F3630" s="40">
        <v>38393</v>
      </c>
      <c r="G3630" s="39">
        <v>4342.01</v>
      </c>
      <c r="H3630" s="39">
        <f t="shared" si="353"/>
        <v>4</v>
      </c>
      <c r="I3630" s="39">
        <f t="shared" si="354"/>
        <v>0</v>
      </c>
      <c r="K3630" s="40"/>
      <c r="Q3630" s="40">
        <v>38393</v>
      </c>
      <c r="R3630" s="39">
        <v>4342.01</v>
      </c>
      <c r="S3630" s="39">
        <f t="shared" si="355"/>
        <v>2</v>
      </c>
      <c r="T3630" s="39">
        <f t="shared" si="356"/>
        <v>0</v>
      </c>
      <c r="U3630" s="39">
        <f t="shared" si="357"/>
        <v>0</v>
      </c>
      <c r="V3630" s="40"/>
    </row>
    <row r="3631" spans="2:22" x14ac:dyDescent="0.35">
      <c r="B3631" s="40">
        <v>38394</v>
      </c>
      <c r="C3631" s="39">
        <v>4387.8</v>
      </c>
      <c r="D3631" s="219">
        <f t="shared" si="358"/>
        <v>1.049058798324012E-2</v>
      </c>
      <c r="F3631" s="40">
        <v>38394</v>
      </c>
      <c r="G3631" s="39">
        <v>4387.8</v>
      </c>
      <c r="H3631" s="39">
        <f t="shared" si="353"/>
        <v>5</v>
      </c>
      <c r="I3631" s="39">
        <f t="shared" si="354"/>
        <v>4387.8</v>
      </c>
      <c r="K3631" s="40"/>
      <c r="Q3631" s="40">
        <v>38394</v>
      </c>
      <c r="R3631" s="39">
        <v>4387.8</v>
      </c>
      <c r="S3631" s="39">
        <f t="shared" si="355"/>
        <v>2</v>
      </c>
      <c r="T3631" s="39">
        <f t="shared" si="356"/>
        <v>0</v>
      </c>
      <c r="U3631" s="39">
        <f t="shared" si="357"/>
        <v>0</v>
      </c>
      <c r="V3631" s="40"/>
    </row>
    <row r="3632" spans="2:22" x14ac:dyDescent="0.35">
      <c r="B3632" s="40">
        <v>38397</v>
      </c>
      <c r="C3632" s="39">
        <v>4386.3999999999996</v>
      </c>
      <c r="D3632" s="219">
        <f t="shared" si="358"/>
        <v>-3.191174151218843E-4</v>
      </c>
      <c r="F3632" s="40">
        <v>38397</v>
      </c>
      <c r="G3632" s="39">
        <v>4386.3999999999996</v>
      </c>
      <c r="H3632" s="39">
        <f t="shared" si="353"/>
        <v>1</v>
      </c>
      <c r="I3632" s="39">
        <f t="shared" si="354"/>
        <v>0</v>
      </c>
      <c r="K3632" s="40"/>
      <c r="Q3632" s="40">
        <v>38397</v>
      </c>
      <c r="R3632" s="39">
        <v>4386.3999999999996</v>
      </c>
      <c r="S3632" s="39">
        <f t="shared" si="355"/>
        <v>2</v>
      </c>
      <c r="T3632" s="39">
        <f t="shared" si="356"/>
        <v>0</v>
      </c>
      <c r="U3632" s="39">
        <f t="shared" si="357"/>
        <v>0</v>
      </c>
      <c r="V3632" s="40"/>
    </row>
    <row r="3633" spans="2:22" x14ac:dyDescent="0.35">
      <c r="B3633" s="40">
        <v>38398</v>
      </c>
      <c r="C3633" s="39">
        <v>4402.03</v>
      </c>
      <c r="D3633" s="219">
        <f t="shared" si="358"/>
        <v>3.5569530573983897E-3</v>
      </c>
      <c r="F3633" s="40">
        <v>38398</v>
      </c>
      <c r="G3633" s="39">
        <v>4402.03</v>
      </c>
      <c r="H3633" s="39">
        <f t="shared" si="353"/>
        <v>2</v>
      </c>
      <c r="I3633" s="39">
        <f t="shared" si="354"/>
        <v>0</v>
      </c>
      <c r="K3633" s="40"/>
      <c r="Q3633" s="40">
        <v>38398</v>
      </c>
      <c r="R3633" s="39">
        <v>4402.03</v>
      </c>
      <c r="S3633" s="39">
        <f t="shared" si="355"/>
        <v>2</v>
      </c>
      <c r="T3633" s="39">
        <f t="shared" si="356"/>
        <v>0</v>
      </c>
      <c r="U3633" s="39">
        <f t="shared" si="357"/>
        <v>0</v>
      </c>
      <c r="V3633" s="40"/>
    </row>
    <row r="3634" spans="2:22" x14ac:dyDescent="0.35">
      <c r="B3634" s="40">
        <v>38399</v>
      </c>
      <c r="C3634" s="39">
        <v>4368.7700000000004</v>
      </c>
      <c r="D3634" s="219">
        <f t="shared" si="358"/>
        <v>-7.5842932070689685E-3</v>
      </c>
      <c r="F3634" s="40">
        <v>38399</v>
      </c>
      <c r="G3634" s="39">
        <v>4368.7700000000004</v>
      </c>
      <c r="H3634" s="39">
        <f t="shared" si="353"/>
        <v>3</v>
      </c>
      <c r="I3634" s="39">
        <f t="shared" si="354"/>
        <v>0</v>
      </c>
      <c r="K3634" s="40"/>
      <c r="Q3634" s="40">
        <v>38399</v>
      </c>
      <c r="R3634" s="39">
        <v>4368.7700000000004</v>
      </c>
      <c r="S3634" s="39">
        <f t="shared" si="355"/>
        <v>2</v>
      </c>
      <c r="T3634" s="39">
        <f t="shared" si="356"/>
        <v>0</v>
      </c>
      <c r="U3634" s="39">
        <f t="shared" si="357"/>
        <v>0</v>
      </c>
      <c r="V3634" s="40"/>
    </row>
    <row r="3635" spans="2:22" x14ac:dyDescent="0.35">
      <c r="B3635" s="40">
        <v>38400</v>
      </c>
      <c r="C3635" s="39">
        <v>4369.68</v>
      </c>
      <c r="D3635" s="219">
        <f t="shared" si="358"/>
        <v>2.0827492365105927E-4</v>
      </c>
      <c r="F3635" s="40">
        <v>38400</v>
      </c>
      <c r="G3635" s="39">
        <v>4369.68</v>
      </c>
      <c r="H3635" s="39">
        <f t="shared" si="353"/>
        <v>4</v>
      </c>
      <c r="I3635" s="39">
        <f t="shared" si="354"/>
        <v>0</v>
      </c>
      <c r="K3635" s="40"/>
      <c r="Q3635" s="40">
        <v>38400</v>
      </c>
      <c r="R3635" s="39">
        <v>4369.68</v>
      </c>
      <c r="S3635" s="39">
        <f t="shared" si="355"/>
        <v>2</v>
      </c>
      <c r="T3635" s="39">
        <f t="shared" si="356"/>
        <v>0</v>
      </c>
      <c r="U3635" s="39">
        <f t="shared" si="357"/>
        <v>0</v>
      </c>
      <c r="V3635" s="40"/>
    </row>
    <row r="3636" spans="2:22" x14ac:dyDescent="0.35">
      <c r="B3636" s="40">
        <v>38401</v>
      </c>
      <c r="C3636" s="39">
        <v>4359.47</v>
      </c>
      <c r="D3636" s="219">
        <f t="shared" si="358"/>
        <v>-2.3392895427375802E-3</v>
      </c>
      <c r="F3636" s="40">
        <v>38401</v>
      </c>
      <c r="G3636" s="39">
        <v>4359.47</v>
      </c>
      <c r="H3636" s="39">
        <f t="shared" si="353"/>
        <v>5</v>
      </c>
      <c r="I3636" s="39">
        <f t="shared" si="354"/>
        <v>4359.47</v>
      </c>
      <c r="K3636" s="40"/>
      <c r="Q3636" s="40">
        <v>38401</v>
      </c>
      <c r="R3636" s="39">
        <v>4359.47</v>
      </c>
      <c r="S3636" s="39">
        <f t="shared" si="355"/>
        <v>2</v>
      </c>
      <c r="T3636" s="39">
        <f t="shared" si="356"/>
        <v>0</v>
      </c>
      <c r="U3636" s="39">
        <f t="shared" si="357"/>
        <v>0</v>
      </c>
      <c r="V3636" s="40"/>
    </row>
    <row r="3637" spans="2:22" x14ac:dyDescent="0.35">
      <c r="B3637" s="40">
        <v>38404</v>
      </c>
      <c r="C3637" s="39">
        <v>4353.34</v>
      </c>
      <c r="D3637" s="219">
        <f t="shared" si="358"/>
        <v>-1.4071237663735338E-3</v>
      </c>
      <c r="F3637" s="40">
        <v>38404</v>
      </c>
      <c r="G3637" s="39">
        <v>4353.34</v>
      </c>
      <c r="H3637" s="39">
        <f t="shared" si="353"/>
        <v>1</v>
      </c>
      <c r="I3637" s="39">
        <f t="shared" si="354"/>
        <v>0</v>
      </c>
      <c r="K3637" s="40"/>
      <c r="Q3637" s="40">
        <v>38404</v>
      </c>
      <c r="R3637" s="39">
        <v>4353.34</v>
      </c>
      <c r="S3637" s="39">
        <f t="shared" si="355"/>
        <v>2</v>
      </c>
      <c r="T3637" s="39">
        <f t="shared" si="356"/>
        <v>0</v>
      </c>
      <c r="U3637" s="39">
        <f t="shared" si="357"/>
        <v>0</v>
      </c>
      <c r="V3637" s="40"/>
    </row>
    <row r="3638" spans="2:22" x14ac:dyDescent="0.35">
      <c r="B3638" s="40">
        <v>38405</v>
      </c>
      <c r="C3638" s="39">
        <v>4323.21</v>
      </c>
      <c r="D3638" s="219">
        <f t="shared" si="358"/>
        <v>-6.9451846900970447E-3</v>
      </c>
      <c r="F3638" s="40">
        <v>38405</v>
      </c>
      <c r="G3638" s="39">
        <v>4323.21</v>
      </c>
      <c r="H3638" s="39">
        <f t="shared" si="353"/>
        <v>2</v>
      </c>
      <c r="I3638" s="39">
        <f t="shared" si="354"/>
        <v>0</v>
      </c>
      <c r="K3638" s="40"/>
      <c r="Q3638" s="40">
        <v>38405</v>
      </c>
      <c r="R3638" s="39">
        <v>4323.21</v>
      </c>
      <c r="S3638" s="39">
        <f t="shared" si="355"/>
        <v>2</v>
      </c>
      <c r="T3638" s="39">
        <f t="shared" si="356"/>
        <v>0</v>
      </c>
      <c r="U3638" s="39">
        <f t="shared" si="357"/>
        <v>0</v>
      </c>
      <c r="V3638" s="40"/>
    </row>
    <row r="3639" spans="2:22" x14ac:dyDescent="0.35">
      <c r="B3639" s="40">
        <v>38406</v>
      </c>
      <c r="C3639" s="39">
        <v>4310.66</v>
      </c>
      <c r="D3639" s="219">
        <f t="shared" si="358"/>
        <v>-2.9071572397836227E-3</v>
      </c>
      <c r="F3639" s="40">
        <v>38406</v>
      </c>
      <c r="G3639" s="39">
        <v>4310.66</v>
      </c>
      <c r="H3639" s="39">
        <f t="shared" ref="H3639:H3702" si="359">WEEKDAY(F3639,2)</f>
        <v>3</v>
      </c>
      <c r="I3639" s="39">
        <f t="shared" ref="I3639:I3702" si="360">IF(H3639&gt;H3640,G3639,0)</f>
        <v>0</v>
      </c>
      <c r="K3639" s="40"/>
      <c r="Q3639" s="40">
        <v>38406</v>
      </c>
      <c r="R3639" s="39">
        <v>4310.66</v>
      </c>
      <c r="S3639" s="39">
        <f t="shared" ref="S3639:S3702" si="361">MONTH(Q3639)</f>
        <v>2</v>
      </c>
      <c r="T3639" s="39">
        <f t="shared" ref="T3639:T3702" si="362">IF(S3640&lt;&gt;S3639,R3639,0)</f>
        <v>0</v>
      </c>
      <c r="U3639" s="39">
        <f t="shared" ref="U3639:U3702" si="363">IF(S3640=S3639,0,R3639)</f>
        <v>0</v>
      </c>
      <c r="V3639" s="40"/>
    </row>
    <row r="3640" spans="2:22" x14ac:dyDescent="0.35">
      <c r="B3640" s="40">
        <v>38407</v>
      </c>
      <c r="C3640" s="39">
        <v>4304.29</v>
      </c>
      <c r="D3640" s="219">
        <f t="shared" ref="D3640:D3703" si="364">LN(C3640/C3639)</f>
        <v>-1.4788248709259337E-3</v>
      </c>
      <c r="F3640" s="40">
        <v>38407</v>
      </c>
      <c r="G3640" s="39">
        <v>4304.29</v>
      </c>
      <c r="H3640" s="39">
        <f t="shared" si="359"/>
        <v>4</v>
      </c>
      <c r="I3640" s="39">
        <f t="shared" si="360"/>
        <v>0</v>
      </c>
      <c r="K3640" s="40"/>
      <c r="Q3640" s="40">
        <v>38407</v>
      </c>
      <c r="R3640" s="39">
        <v>4304.29</v>
      </c>
      <c r="S3640" s="39">
        <f t="shared" si="361"/>
        <v>2</v>
      </c>
      <c r="T3640" s="39">
        <f t="shared" si="362"/>
        <v>0</v>
      </c>
      <c r="U3640" s="39">
        <f t="shared" si="363"/>
        <v>0</v>
      </c>
      <c r="V3640" s="40"/>
    </row>
    <row r="3641" spans="2:22" x14ac:dyDescent="0.35">
      <c r="B3641" s="40">
        <v>38408</v>
      </c>
      <c r="C3641" s="39">
        <v>4348.6400000000003</v>
      </c>
      <c r="D3641" s="219">
        <f t="shared" si="364"/>
        <v>1.0250952767443863E-2</v>
      </c>
      <c r="F3641" s="40">
        <v>38408</v>
      </c>
      <c r="G3641" s="39">
        <v>4348.6400000000003</v>
      </c>
      <c r="H3641" s="39">
        <f t="shared" si="359"/>
        <v>5</v>
      </c>
      <c r="I3641" s="39">
        <f t="shared" si="360"/>
        <v>4348.6400000000003</v>
      </c>
      <c r="K3641" s="40"/>
      <c r="Q3641" s="40">
        <v>38408</v>
      </c>
      <c r="R3641" s="39">
        <v>4348.6400000000003</v>
      </c>
      <c r="S3641" s="39">
        <f t="shared" si="361"/>
        <v>2</v>
      </c>
      <c r="T3641" s="39">
        <f t="shared" si="362"/>
        <v>0</v>
      </c>
      <c r="U3641" s="39">
        <f t="shared" si="363"/>
        <v>0</v>
      </c>
      <c r="V3641" s="40"/>
    </row>
    <row r="3642" spans="2:22" x14ac:dyDescent="0.35">
      <c r="B3642" s="40">
        <v>38411</v>
      </c>
      <c r="C3642" s="39">
        <v>4350.49</v>
      </c>
      <c r="D3642" s="219">
        <f t="shared" si="364"/>
        <v>4.253298957227771E-4</v>
      </c>
      <c r="F3642" s="40">
        <v>38411</v>
      </c>
      <c r="G3642" s="39">
        <v>4350.49</v>
      </c>
      <c r="H3642" s="39">
        <f t="shared" si="359"/>
        <v>1</v>
      </c>
      <c r="I3642" s="39">
        <f t="shared" si="360"/>
        <v>0</v>
      </c>
      <c r="K3642" s="40"/>
      <c r="Q3642" s="40">
        <v>38411</v>
      </c>
      <c r="R3642" s="39">
        <v>4350.49</v>
      </c>
      <c r="S3642" s="39">
        <f t="shared" si="361"/>
        <v>2</v>
      </c>
      <c r="T3642" s="39">
        <f t="shared" si="362"/>
        <v>4350.49</v>
      </c>
      <c r="U3642" s="39">
        <f t="shared" si="363"/>
        <v>4350.49</v>
      </c>
      <c r="V3642" s="40"/>
    </row>
    <row r="3643" spans="2:22" x14ac:dyDescent="0.35">
      <c r="B3643" s="40">
        <v>38412</v>
      </c>
      <c r="C3643" s="39">
        <v>4383.62</v>
      </c>
      <c r="D3643" s="219">
        <f t="shared" si="364"/>
        <v>7.5863846218396256E-3</v>
      </c>
      <c r="F3643" s="40">
        <v>38412</v>
      </c>
      <c r="G3643" s="39">
        <v>4383.62</v>
      </c>
      <c r="H3643" s="39">
        <f t="shared" si="359"/>
        <v>2</v>
      </c>
      <c r="I3643" s="39">
        <f t="shared" si="360"/>
        <v>0</v>
      </c>
      <c r="K3643" s="40"/>
      <c r="Q3643" s="40">
        <v>38412</v>
      </c>
      <c r="R3643" s="39">
        <v>4383.62</v>
      </c>
      <c r="S3643" s="39">
        <f t="shared" si="361"/>
        <v>3</v>
      </c>
      <c r="T3643" s="39">
        <f t="shared" si="362"/>
        <v>0</v>
      </c>
      <c r="U3643" s="39">
        <f t="shared" si="363"/>
        <v>0</v>
      </c>
      <c r="V3643" s="40"/>
    </row>
    <row r="3644" spans="2:22" x14ac:dyDescent="0.35">
      <c r="B3644" s="40">
        <v>38413</v>
      </c>
      <c r="C3644" s="39">
        <v>4393.43</v>
      </c>
      <c r="D3644" s="219">
        <f t="shared" si="364"/>
        <v>2.2353761423191862E-3</v>
      </c>
      <c r="F3644" s="40">
        <v>38413</v>
      </c>
      <c r="G3644" s="39">
        <v>4393.43</v>
      </c>
      <c r="H3644" s="39">
        <f t="shared" si="359"/>
        <v>3</v>
      </c>
      <c r="I3644" s="39">
        <f t="shared" si="360"/>
        <v>0</v>
      </c>
      <c r="K3644" s="40"/>
      <c r="Q3644" s="40">
        <v>38413</v>
      </c>
      <c r="R3644" s="39">
        <v>4393.43</v>
      </c>
      <c r="S3644" s="39">
        <f t="shared" si="361"/>
        <v>3</v>
      </c>
      <c r="T3644" s="39">
        <f t="shared" si="362"/>
        <v>0</v>
      </c>
      <c r="U3644" s="39">
        <f t="shared" si="363"/>
        <v>0</v>
      </c>
      <c r="V3644" s="40"/>
    </row>
    <row r="3645" spans="2:22" x14ac:dyDescent="0.35">
      <c r="B3645" s="40">
        <v>38414</v>
      </c>
      <c r="C3645" s="39">
        <v>4373.2700000000004</v>
      </c>
      <c r="D3645" s="219">
        <f t="shared" si="364"/>
        <v>-4.5992301634342455E-3</v>
      </c>
      <c r="F3645" s="40">
        <v>38414</v>
      </c>
      <c r="G3645" s="39">
        <v>4373.2700000000004</v>
      </c>
      <c r="H3645" s="39">
        <f t="shared" si="359"/>
        <v>4</v>
      </c>
      <c r="I3645" s="39">
        <f t="shared" si="360"/>
        <v>0</v>
      </c>
      <c r="K3645" s="40"/>
      <c r="Q3645" s="40">
        <v>38414</v>
      </c>
      <c r="R3645" s="39">
        <v>4373.2700000000004</v>
      </c>
      <c r="S3645" s="39">
        <f t="shared" si="361"/>
        <v>3</v>
      </c>
      <c r="T3645" s="39">
        <f t="shared" si="362"/>
        <v>0</v>
      </c>
      <c r="U3645" s="39">
        <f t="shared" si="363"/>
        <v>0</v>
      </c>
      <c r="V3645" s="40"/>
    </row>
    <row r="3646" spans="2:22" x14ac:dyDescent="0.35">
      <c r="B3646" s="40">
        <v>38415</v>
      </c>
      <c r="C3646" s="39">
        <v>4423.5200000000004</v>
      </c>
      <c r="D3646" s="219">
        <f t="shared" si="364"/>
        <v>1.1424746202084852E-2</v>
      </c>
      <c r="F3646" s="40">
        <v>38415</v>
      </c>
      <c r="G3646" s="39">
        <v>4423.5200000000004</v>
      </c>
      <c r="H3646" s="39">
        <f t="shared" si="359"/>
        <v>5</v>
      </c>
      <c r="I3646" s="39">
        <f t="shared" si="360"/>
        <v>4423.5200000000004</v>
      </c>
      <c r="K3646" s="40"/>
      <c r="Q3646" s="40">
        <v>38415</v>
      </c>
      <c r="R3646" s="39">
        <v>4423.5200000000004</v>
      </c>
      <c r="S3646" s="39">
        <f t="shared" si="361"/>
        <v>3</v>
      </c>
      <c r="T3646" s="39">
        <f t="shared" si="362"/>
        <v>0</v>
      </c>
      <c r="U3646" s="39">
        <f t="shared" si="363"/>
        <v>0</v>
      </c>
      <c r="V3646" s="40"/>
    </row>
    <row r="3647" spans="2:22" x14ac:dyDescent="0.35">
      <c r="B3647" s="40">
        <v>38418</v>
      </c>
      <c r="C3647" s="39">
        <v>4428.09</v>
      </c>
      <c r="D3647" s="219">
        <f t="shared" si="364"/>
        <v>1.032580605348059E-3</v>
      </c>
      <c r="F3647" s="40">
        <v>38418</v>
      </c>
      <c r="G3647" s="39">
        <v>4428.09</v>
      </c>
      <c r="H3647" s="39">
        <f t="shared" si="359"/>
        <v>1</v>
      </c>
      <c r="I3647" s="39">
        <f t="shared" si="360"/>
        <v>0</v>
      </c>
      <c r="K3647" s="40"/>
      <c r="Q3647" s="40">
        <v>38418</v>
      </c>
      <c r="R3647" s="39">
        <v>4428.09</v>
      </c>
      <c r="S3647" s="39">
        <f t="shared" si="361"/>
        <v>3</v>
      </c>
      <c r="T3647" s="39">
        <f t="shared" si="362"/>
        <v>0</v>
      </c>
      <c r="U3647" s="39">
        <f t="shared" si="363"/>
        <v>0</v>
      </c>
      <c r="V3647" s="40"/>
    </row>
    <row r="3648" spans="2:22" x14ac:dyDescent="0.35">
      <c r="B3648" s="40">
        <v>38419</v>
      </c>
      <c r="C3648" s="39">
        <v>4396.5</v>
      </c>
      <c r="D3648" s="219">
        <f t="shared" si="364"/>
        <v>-7.1595700061685792E-3</v>
      </c>
      <c r="F3648" s="40">
        <v>38419</v>
      </c>
      <c r="G3648" s="39">
        <v>4396.5</v>
      </c>
      <c r="H3648" s="39">
        <f t="shared" si="359"/>
        <v>2</v>
      </c>
      <c r="I3648" s="39">
        <f t="shared" si="360"/>
        <v>0</v>
      </c>
      <c r="K3648" s="40"/>
      <c r="Q3648" s="40">
        <v>38419</v>
      </c>
      <c r="R3648" s="39">
        <v>4396.5</v>
      </c>
      <c r="S3648" s="39">
        <f t="shared" si="361"/>
        <v>3</v>
      </c>
      <c r="T3648" s="39">
        <f t="shared" si="362"/>
        <v>0</v>
      </c>
      <c r="U3648" s="39">
        <f t="shared" si="363"/>
        <v>0</v>
      </c>
      <c r="V3648" s="40"/>
    </row>
    <row r="3649" spans="2:22" x14ac:dyDescent="0.35">
      <c r="B3649" s="40">
        <v>38420</v>
      </c>
      <c r="C3649" s="39">
        <v>4375.6000000000004</v>
      </c>
      <c r="D3649" s="219">
        <f t="shared" si="364"/>
        <v>-4.7651165734209893E-3</v>
      </c>
      <c r="F3649" s="40">
        <v>38420</v>
      </c>
      <c r="G3649" s="39">
        <v>4375.6000000000004</v>
      </c>
      <c r="H3649" s="39">
        <f t="shared" si="359"/>
        <v>3</v>
      </c>
      <c r="I3649" s="39">
        <f t="shared" si="360"/>
        <v>0</v>
      </c>
      <c r="K3649" s="40"/>
      <c r="Q3649" s="40">
        <v>38420</v>
      </c>
      <c r="R3649" s="39">
        <v>4375.6000000000004</v>
      </c>
      <c r="S3649" s="39">
        <f t="shared" si="361"/>
        <v>3</v>
      </c>
      <c r="T3649" s="39">
        <f t="shared" si="362"/>
        <v>0</v>
      </c>
      <c r="U3649" s="39">
        <f t="shared" si="363"/>
        <v>0</v>
      </c>
      <c r="V3649" s="40"/>
    </row>
    <row r="3650" spans="2:22" x14ac:dyDescent="0.35">
      <c r="B3650" s="40">
        <v>38421</v>
      </c>
      <c r="C3650" s="39">
        <v>4337.68</v>
      </c>
      <c r="D3650" s="219">
        <f t="shared" si="364"/>
        <v>-8.7040102924846666E-3</v>
      </c>
      <c r="F3650" s="40">
        <v>38421</v>
      </c>
      <c r="G3650" s="39">
        <v>4337.68</v>
      </c>
      <c r="H3650" s="39">
        <f t="shared" si="359"/>
        <v>4</v>
      </c>
      <c r="I3650" s="39">
        <f t="shared" si="360"/>
        <v>0</v>
      </c>
      <c r="K3650" s="40"/>
      <c r="Q3650" s="40">
        <v>38421</v>
      </c>
      <c r="R3650" s="39">
        <v>4337.68</v>
      </c>
      <c r="S3650" s="39">
        <f t="shared" si="361"/>
        <v>3</v>
      </c>
      <c r="T3650" s="39">
        <f t="shared" si="362"/>
        <v>0</v>
      </c>
      <c r="U3650" s="39">
        <f t="shared" si="363"/>
        <v>0</v>
      </c>
      <c r="V3650" s="40"/>
    </row>
    <row r="3651" spans="2:22" x14ac:dyDescent="0.35">
      <c r="B3651" s="40">
        <v>38422</v>
      </c>
      <c r="C3651" s="39">
        <v>4360.49</v>
      </c>
      <c r="D3651" s="219">
        <f t="shared" si="364"/>
        <v>5.2447933962727379E-3</v>
      </c>
      <c r="F3651" s="40">
        <v>38422</v>
      </c>
      <c r="G3651" s="39">
        <v>4360.49</v>
      </c>
      <c r="H3651" s="39">
        <f t="shared" si="359"/>
        <v>5</v>
      </c>
      <c r="I3651" s="39">
        <f t="shared" si="360"/>
        <v>4360.49</v>
      </c>
      <c r="K3651" s="40"/>
      <c r="Q3651" s="40">
        <v>38422</v>
      </c>
      <c r="R3651" s="39">
        <v>4360.49</v>
      </c>
      <c r="S3651" s="39">
        <f t="shared" si="361"/>
        <v>3</v>
      </c>
      <c r="T3651" s="39">
        <f t="shared" si="362"/>
        <v>0</v>
      </c>
      <c r="U3651" s="39">
        <f t="shared" si="363"/>
        <v>0</v>
      </c>
      <c r="V3651" s="40"/>
    </row>
    <row r="3652" spans="2:22" x14ac:dyDescent="0.35">
      <c r="B3652" s="40">
        <v>38425</v>
      </c>
      <c r="C3652" s="39">
        <v>4367.3</v>
      </c>
      <c r="D3652" s="219">
        <f t="shared" si="364"/>
        <v>1.5605328226301492E-3</v>
      </c>
      <c r="F3652" s="40">
        <v>38425</v>
      </c>
      <c r="G3652" s="39">
        <v>4367.3</v>
      </c>
      <c r="H3652" s="39">
        <f t="shared" si="359"/>
        <v>1</v>
      </c>
      <c r="I3652" s="39">
        <f t="shared" si="360"/>
        <v>0</v>
      </c>
      <c r="K3652" s="40"/>
      <c r="Q3652" s="40">
        <v>38425</v>
      </c>
      <c r="R3652" s="39">
        <v>4367.3</v>
      </c>
      <c r="S3652" s="39">
        <f t="shared" si="361"/>
        <v>3</v>
      </c>
      <c r="T3652" s="39">
        <f t="shared" si="362"/>
        <v>0</v>
      </c>
      <c r="U3652" s="39">
        <f t="shared" si="363"/>
        <v>0</v>
      </c>
      <c r="V3652" s="40"/>
    </row>
    <row r="3653" spans="2:22" x14ac:dyDescent="0.35">
      <c r="B3653" s="40">
        <v>38426</v>
      </c>
      <c r="C3653" s="39">
        <v>4387.6899999999996</v>
      </c>
      <c r="D3653" s="219">
        <f t="shared" si="364"/>
        <v>4.6579235077442967E-3</v>
      </c>
      <c r="F3653" s="40">
        <v>38426</v>
      </c>
      <c r="G3653" s="39">
        <v>4387.6899999999996</v>
      </c>
      <c r="H3653" s="39">
        <f t="shared" si="359"/>
        <v>2</v>
      </c>
      <c r="I3653" s="39">
        <f t="shared" si="360"/>
        <v>0</v>
      </c>
      <c r="K3653" s="40"/>
      <c r="Q3653" s="40">
        <v>38426</v>
      </c>
      <c r="R3653" s="39">
        <v>4387.6899999999996</v>
      </c>
      <c r="S3653" s="39">
        <f t="shared" si="361"/>
        <v>3</v>
      </c>
      <c r="T3653" s="39">
        <f t="shared" si="362"/>
        <v>0</v>
      </c>
      <c r="U3653" s="39">
        <f t="shared" si="363"/>
        <v>0</v>
      </c>
      <c r="V3653" s="40"/>
    </row>
    <row r="3654" spans="2:22" x14ac:dyDescent="0.35">
      <c r="B3654" s="40">
        <v>38427</v>
      </c>
      <c r="C3654" s="39">
        <v>4309.1099999999997</v>
      </c>
      <c r="D3654" s="219">
        <f t="shared" si="364"/>
        <v>-1.8071506425068343E-2</v>
      </c>
      <c r="F3654" s="40">
        <v>38427</v>
      </c>
      <c r="G3654" s="39">
        <v>4309.1099999999997</v>
      </c>
      <c r="H3654" s="39">
        <f t="shared" si="359"/>
        <v>3</v>
      </c>
      <c r="I3654" s="39">
        <f t="shared" si="360"/>
        <v>0</v>
      </c>
      <c r="K3654" s="40"/>
      <c r="Q3654" s="40">
        <v>38427</v>
      </c>
      <c r="R3654" s="39">
        <v>4309.1099999999997</v>
      </c>
      <c r="S3654" s="39">
        <f t="shared" si="361"/>
        <v>3</v>
      </c>
      <c r="T3654" s="39">
        <f t="shared" si="362"/>
        <v>0</v>
      </c>
      <c r="U3654" s="39">
        <f t="shared" si="363"/>
        <v>0</v>
      </c>
      <c r="V3654" s="40"/>
    </row>
    <row r="3655" spans="2:22" x14ac:dyDescent="0.35">
      <c r="B3655" s="40">
        <v>38428</v>
      </c>
      <c r="C3655" s="39">
        <v>4315.92</v>
      </c>
      <c r="D3655" s="219">
        <f t="shared" si="364"/>
        <v>1.5791252703212305E-3</v>
      </c>
      <c r="F3655" s="40">
        <v>38428</v>
      </c>
      <c r="G3655" s="39">
        <v>4315.92</v>
      </c>
      <c r="H3655" s="39">
        <f t="shared" si="359"/>
        <v>4</v>
      </c>
      <c r="I3655" s="39">
        <f t="shared" si="360"/>
        <v>0</v>
      </c>
      <c r="K3655" s="40"/>
      <c r="Q3655" s="40">
        <v>38428</v>
      </c>
      <c r="R3655" s="39">
        <v>4315.92</v>
      </c>
      <c r="S3655" s="39">
        <f t="shared" si="361"/>
        <v>3</v>
      </c>
      <c r="T3655" s="39">
        <f t="shared" si="362"/>
        <v>0</v>
      </c>
      <c r="U3655" s="39">
        <f t="shared" si="363"/>
        <v>0</v>
      </c>
      <c r="V3655" s="40"/>
    </row>
    <row r="3656" spans="2:22" x14ac:dyDescent="0.35">
      <c r="B3656" s="40">
        <v>38429</v>
      </c>
      <c r="C3656" s="39">
        <v>4327.18</v>
      </c>
      <c r="D3656" s="219">
        <f t="shared" si="364"/>
        <v>2.6055480950659664E-3</v>
      </c>
      <c r="F3656" s="40">
        <v>38429</v>
      </c>
      <c r="G3656" s="39">
        <v>4327.18</v>
      </c>
      <c r="H3656" s="39">
        <f t="shared" si="359"/>
        <v>5</v>
      </c>
      <c r="I3656" s="39">
        <f t="shared" si="360"/>
        <v>4327.18</v>
      </c>
      <c r="K3656" s="40"/>
      <c r="Q3656" s="40">
        <v>38429</v>
      </c>
      <c r="R3656" s="39">
        <v>4327.18</v>
      </c>
      <c r="S3656" s="39">
        <f t="shared" si="361"/>
        <v>3</v>
      </c>
      <c r="T3656" s="39">
        <f t="shared" si="362"/>
        <v>0</v>
      </c>
      <c r="U3656" s="39">
        <f t="shared" si="363"/>
        <v>0</v>
      </c>
      <c r="V3656" s="40"/>
    </row>
    <row r="3657" spans="2:22" x14ac:dyDescent="0.35">
      <c r="B3657" s="40">
        <v>38432</v>
      </c>
      <c r="C3657" s="39">
        <v>4296.3599999999997</v>
      </c>
      <c r="D3657" s="219">
        <f t="shared" si="364"/>
        <v>-7.147907059665364E-3</v>
      </c>
      <c r="F3657" s="40">
        <v>38432</v>
      </c>
      <c r="G3657" s="39">
        <v>4296.3599999999997</v>
      </c>
      <c r="H3657" s="39">
        <f t="shared" si="359"/>
        <v>1</v>
      </c>
      <c r="I3657" s="39">
        <f t="shared" si="360"/>
        <v>0</v>
      </c>
      <c r="K3657" s="40"/>
      <c r="Q3657" s="40">
        <v>38432</v>
      </c>
      <c r="R3657" s="39">
        <v>4296.3599999999997</v>
      </c>
      <c r="S3657" s="39">
        <f t="shared" si="361"/>
        <v>3</v>
      </c>
      <c r="T3657" s="39">
        <f t="shared" si="362"/>
        <v>0</v>
      </c>
      <c r="U3657" s="39">
        <f t="shared" si="363"/>
        <v>0</v>
      </c>
      <c r="V3657" s="40"/>
    </row>
    <row r="3658" spans="2:22" x14ac:dyDescent="0.35">
      <c r="B3658" s="40">
        <v>38433</v>
      </c>
      <c r="C3658" s="39">
        <v>4320.6899999999996</v>
      </c>
      <c r="D3658" s="219">
        <f t="shared" si="364"/>
        <v>5.6469591456900885E-3</v>
      </c>
      <c r="F3658" s="40">
        <v>38433</v>
      </c>
      <c r="G3658" s="39">
        <v>4320.6899999999996</v>
      </c>
      <c r="H3658" s="39">
        <f t="shared" si="359"/>
        <v>2</v>
      </c>
      <c r="I3658" s="39">
        <f t="shared" si="360"/>
        <v>0</v>
      </c>
      <c r="K3658" s="40"/>
      <c r="Q3658" s="40">
        <v>38433</v>
      </c>
      <c r="R3658" s="39">
        <v>4320.6899999999996</v>
      </c>
      <c r="S3658" s="39">
        <f t="shared" si="361"/>
        <v>3</v>
      </c>
      <c r="T3658" s="39">
        <f t="shared" si="362"/>
        <v>0</v>
      </c>
      <c r="U3658" s="39">
        <f t="shared" si="363"/>
        <v>0</v>
      </c>
      <c r="V3658" s="40"/>
    </row>
    <row r="3659" spans="2:22" x14ac:dyDescent="0.35">
      <c r="B3659" s="40">
        <v>38434</v>
      </c>
      <c r="C3659" s="39">
        <v>4317.2</v>
      </c>
      <c r="D3659" s="219">
        <f t="shared" si="364"/>
        <v>-8.0806775495085551E-4</v>
      </c>
      <c r="F3659" s="40">
        <v>38434</v>
      </c>
      <c r="G3659" s="39">
        <v>4317.2</v>
      </c>
      <c r="H3659" s="39">
        <f t="shared" si="359"/>
        <v>3</v>
      </c>
      <c r="I3659" s="39">
        <f t="shared" si="360"/>
        <v>0</v>
      </c>
      <c r="K3659" s="40"/>
      <c r="Q3659" s="40">
        <v>38434</v>
      </c>
      <c r="R3659" s="39">
        <v>4317.2</v>
      </c>
      <c r="S3659" s="39">
        <f t="shared" si="361"/>
        <v>3</v>
      </c>
      <c r="T3659" s="39">
        <f t="shared" si="362"/>
        <v>0</v>
      </c>
      <c r="U3659" s="39">
        <f t="shared" si="363"/>
        <v>0</v>
      </c>
      <c r="V3659" s="40"/>
    </row>
    <row r="3660" spans="2:22" x14ac:dyDescent="0.35">
      <c r="B3660" s="40">
        <v>38435</v>
      </c>
      <c r="C3660" s="39">
        <v>4343.6000000000004</v>
      </c>
      <c r="D3660" s="219">
        <f t="shared" si="364"/>
        <v>6.0964533915542482E-3</v>
      </c>
      <c r="F3660" s="40">
        <v>38435</v>
      </c>
      <c r="G3660" s="39">
        <v>4343.6000000000004</v>
      </c>
      <c r="H3660" s="39">
        <f t="shared" si="359"/>
        <v>4</v>
      </c>
      <c r="I3660" s="39">
        <f t="shared" si="360"/>
        <v>4343.6000000000004</v>
      </c>
      <c r="K3660" s="40"/>
      <c r="Q3660" s="40">
        <v>38435</v>
      </c>
      <c r="R3660" s="39">
        <v>4343.6000000000004</v>
      </c>
      <c r="S3660" s="39">
        <f t="shared" si="361"/>
        <v>3</v>
      </c>
      <c r="T3660" s="39">
        <f t="shared" si="362"/>
        <v>0</v>
      </c>
      <c r="U3660" s="39">
        <f t="shared" si="363"/>
        <v>0</v>
      </c>
      <c r="V3660" s="40"/>
    </row>
    <row r="3661" spans="2:22" x14ac:dyDescent="0.35">
      <c r="B3661" s="40">
        <v>38440</v>
      </c>
      <c r="C3661" s="39">
        <v>4351.8900000000003</v>
      </c>
      <c r="D3661" s="219">
        <f t="shared" si="364"/>
        <v>1.906736138302355E-3</v>
      </c>
      <c r="F3661" s="40">
        <v>38440</v>
      </c>
      <c r="G3661" s="39">
        <v>4351.8900000000003</v>
      </c>
      <c r="H3661" s="39">
        <f t="shared" si="359"/>
        <v>2</v>
      </c>
      <c r="I3661" s="39">
        <f t="shared" si="360"/>
        <v>0</v>
      </c>
      <c r="K3661" s="40"/>
      <c r="Q3661" s="40">
        <v>38440</v>
      </c>
      <c r="R3661" s="39">
        <v>4351.8900000000003</v>
      </c>
      <c r="S3661" s="39">
        <f t="shared" si="361"/>
        <v>3</v>
      </c>
      <c r="T3661" s="39">
        <f t="shared" si="362"/>
        <v>0</v>
      </c>
      <c r="U3661" s="39">
        <f t="shared" si="363"/>
        <v>0</v>
      </c>
      <c r="V3661" s="40"/>
    </row>
    <row r="3662" spans="2:22" x14ac:dyDescent="0.35">
      <c r="B3662" s="40">
        <v>38441</v>
      </c>
      <c r="C3662" s="39">
        <v>4347.5200000000004</v>
      </c>
      <c r="D3662" s="219">
        <f t="shared" si="364"/>
        <v>-1.0046659181652481E-3</v>
      </c>
      <c r="F3662" s="40">
        <v>38441</v>
      </c>
      <c r="G3662" s="39">
        <v>4347.5200000000004</v>
      </c>
      <c r="H3662" s="39">
        <f t="shared" si="359"/>
        <v>3</v>
      </c>
      <c r="I3662" s="39">
        <f t="shared" si="360"/>
        <v>0</v>
      </c>
      <c r="K3662" s="40"/>
      <c r="Q3662" s="40">
        <v>38441</v>
      </c>
      <c r="R3662" s="39">
        <v>4347.5200000000004</v>
      </c>
      <c r="S3662" s="39">
        <f t="shared" si="361"/>
        <v>3</v>
      </c>
      <c r="T3662" s="39">
        <f t="shared" si="362"/>
        <v>0</v>
      </c>
      <c r="U3662" s="39">
        <f t="shared" si="363"/>
        <v>0</v>
      </c>
      <c r="V3662" s="40"/>
    </row>
    <row r="3663" spans="2:22" x14ac:dyDescent="0.35">
      <c r="B3663" s="40">
        <v>38442</v>
      </c>
      <c r="C3663" s="39">
        <v>4348.7700000000004</v>
      </c>
      <c r="D3663" s="219">
        <f t="shared" si="364"/>
        <v>2.8747891540155119E-4</v>
      </c>
      <c r="F3663" s="40">
        <v>38442</v>
      </c>
      <c r="G3663" s="39">
        <v>4348.7700000000004</v>
      </c>
      <c r="H3663" s="39">
        <f t="shared" si="359"/>
        <v>4</v>
      </c>
      <c r="I3663" s="39">
        <f t="shared" si="360"/>
        <v>0</v>
      </c>
      <c r="K3663" s="40"/>
      <c r="Q3663" s="40">
        <v>38442</v>
      </c>
      <c r="R3663" s="39">
        <v>4348.7700000000004</v>
      </c>
      <c r="S3663" s="39">
        <f t="shared" si="361"/>
        <v>3</v>
      </c>
      <c r="T3663" s="39">
        <f t="shared" si="362"/>
        <v>4348.7700000000004</v>
      </c>
      <c r="U3663" s="39">
        <f t="shared" si="363"/>
        <v>4348.7700000000004</v>
      </c>
      <c r="V3663" s="40"/>
    </row>
    <row r="3664" spans="2:22" x14ac:dyDescent="0.35">
      <c r="B3664" s="40">
        <v>38443</v>
      </c>
      <c r="C3664" s="39">
        <v>4373.53</v>
      </c>
      <c r="D3664" s="219">
        <f t="shared" si="364"/>
        <v>5.6774168527831586E-3</v>
      </c>
      <c r="F3664" s="40">
        <v>38443</v>
      </c>
      <c r="G3664" s="39">
        <v>4373.53</v>
      </c>
      <c r="H3664" s="39">
        <f t="shared" si="359"/>
        <v>5</v>
      </c>
      <c r="I3664" s="39">
        <f t="shared" si="360"/>
        <v>4373.53</v>
      </c>
      <c r="K3664" s="40"/>
      <c r="Q3664" s="40">
        <v>38443</v>
      </c>
      <c r="R3664" s="39">
        <v>4373.53</v>
      </c>
      <c r="S3664" s="39">
        <f t="shared" si="361"/>
        <v>4</v>
      </c>
      <c r="T3664" s="39">
        <f t="shared" si="362"/>
        <v>0</v>
      </c>
      <c r="U3664" s="39">
        <f t="shared" si="363"/>
        <v>0</v>
      </c>
      <c r="V3664" s="40"/>
    </row>
    <row r="3665" spans="2:22" x14ac:dyDescent="0.35">
      <c r="B3665" s="40">
        <v>38446</v>
      </c>
      <c r="C3665" s="39">
        <v>4341.3900000000003</v>
      </c>
      <c r="D3665" s="219">
        <f t="shared" si="364"/>
        <v>-7.3758900164897969E-3</v>
      </c>
      <c r="F3665" s="40">
        <v>38446</v>
      </c>
      <c r="G3665" s="39">
        <v>4341.3900000000003</v>
      </c>
      <c r="H3665" s="39">
        <f t="shared" si="359"/>
        <v>1</v>
      </c>
      <c r="I3665" s="39">
        <f t="shared" si="360"/>
        <v>0</v>
      </c>
      <c r="K3665" s="40"/>
      <c r="Q3665" s="40">
        <v>38446</v>
      </c>
      <c r="R3665" s="39">
        <v>4341.3900000000003</v>
      </c>
      <c r="S3665" s="39">
        <f t="shared" si="361"/>
        <v>4</v>
      </c>
      <c r="T3665" s="39">
        <f t="shared" si="362"/>
        <v>0</v>
      </c>
      <c r="U3665" s="39">
        <f t="shared" si="363"/>
        <v>0</v>
      </c>
      <c r="V3665" s="40"/>
    </row>
    <row r="3666" spans="2:22" x14ac:dyDescent="0.35">
      <c r="B3666" s="40">
        <v>38447</v>
      </c>
      <c r="C3666" s="39">
        <v>4362.6099999999997</v>
      </c>
      <c r="D3666" s="219">
        <f t="shared" si="364"/>
        <v>4.8759287779283553E-3</v>
      </c>
      <c r="F3666" s="40">
        <v>38447</v>
      </c>
      <c r="G3666" s="39">
        <v>4362.6099999999997</v>
      </c>
      <c r="H3666" s="39">
        <f t="shared" si="359"/>
        <v>2</v>
      </c>
      <c r="I3666" s="39">
        <f t="shared" si="360"/>
        <v>0</v>
      </c>
      <c r="K3666" s="40"/>
      <c r="Q3666" s="40">
        <v>38447</v>
      </c>
      <c r="R3666" s="39">
        <v>4362.6099999999997</v>
      </c>
      <c r="S3666" s="39">
        <f t="shared" si="361"/>
        <v>4</v>
      </c>
      <c r="T3666" s="39">
        <f t="shared" si="362"/>
        <v>0</v>
      </c>
      <c r="U3666" s="39">
        <f t="shared" si="363"/>
        <v>0</v>
      </c>
      <c r="V3666" s="40"/>
    </row>
    <row r="3667" spans="2:22" x14ac:dyDescent="0.35">
      <c r="B3667" s="40">
        <v>38448</v>
      </c>
      <c r="C3667" s="39">
        <v>4379.18</v>
      </c>
      <c r="D3667" s="219">
        <f t="shared" si="364"/>
        <v>3.7909901392709261E-3</v>
      </c>
      <c r="F3667" s="40">
        <v>38448</v>
      </c>
      <c r="G3667" s="39">
        <v>4379.18</v>
      </c>
      <c r="H3667" s="39">
        <f t="shared" si="359"/>
        <v>3</v>
      </c>
      <c r="I3667" s="39">
        <f t="shared" si="360"/>
        <v>0</v>
      </c>
      <c r="K3667" s="40"/>
      <c r="Q3667" s="40">
        <v>38448</v>
      </c>
      <c r="R3667" s="39">
        <v>4379.18</v>
      </c>
      <c r="S3667" s="39">
        <f t="shared" si="361"/>
        <v>4</v>
      </c>
      <c r="T3667" s="39">
        <f t="shared" si="362"/>
        <v>0</v>
      </c>
      <c r="U3667" s="39">
        <f t="shared" si="363"/>
        <v>0</v>
      </c>
      <c r="V3667" s="40"/>
    </row>
    <row r="3668" spans="2:22" x14ac:dyDescent="0.35">
      <c r="B3668" s="40">
        <v>38449</v>
      </c>
      <c r="C3668" s="39">
        <v>4389.5200000000004</v>
      </c>
      <c r="D3668" s="219">
        <f t="shared" si="364"/>
        <v>2.3583894517067504E-3</v>
      </c>
      <c r="F3668" s="40">
        <v>38449</v>
      </c>
      <c r="G3668" s="39">
        <v>4389.5200000000004</v>
      </c>
      <c r="H3668" s="39">
        <f t="shared" si="359"/>
        <v>4</v>
      </c>
      <c r="I3668" s="39">
        <f t="shared" si="360"/>
        <v>0</v>
      </c>
      <c r="K3668" s="40"/>
      <c r="Q3668" s="40">
        <v>38449</v>
      </c>
      <c r="R3668" s="39">
        <v>4389.5200000000004</v>
      </c>
      <c r="S3668" s="39">
        <f t="shared" si="361"/>
        <v>4</v>
      </c>
      <c r="T3668" s="39">
        <f t="shared" si="362"/>
        <v>0</v>
      </c>
      <c r="U3668" s="39">
        <f t="shared" si="363"/>
        <v>0</v>
      </c>
      <c r="V3668" s="40"/>
    </row>
    <row r="3669" spans="2:22" x14ac:dyDescent="0.35">
      <c r="B3669" s="40">
        <v>38450</v>
      </c>
      <c r="C3669" s="39">
        <v>4400.68</v>
      </c>
      <c r="D3669" s="219">
        <f t="shared" si="364"/>
        <v>2.5391927364960356E-3</v>
      </c>
      <c r="F3669" s="40">
        <v>38450</v>
      </c>
      <c r="G3669" s="39">
        <v>4400.68</v>
      </c>
      <c r="H3669" s="39">
        <f t="shared" si="359"/>
        <v>5</v>
      </c>
      <c r="I3669" s="39">
        <f t="shared" si="360"/>
        <v>4400.68</v>
      </c>
      <c r="K3669" s="40"/>
      <c r="Q3669" s="40">
        <v>38450</v>
      </c>
      <c r="R3669" s="39">
        <v>4400.68</v>
      </c>
      <c r="S3669" s="39">
        <f t="shared" si="361"/>
        <v>4</v>
      </c>
      <c r="T3669" s="39">
        <f t="shared" si="362"/>
        <v>0</v>
      </c>
      <c r="U3669" s="39">
        <f t="shared" si="363"/>
        <v>0</v>
      </c>
      <c r="V3669" s="40"/>
    </row>
    <row r="3670" spans="2:22" x14ac:dyDescent="0.35">
      <c r="B3670" s="40">
        <v>38453</v>
      </c>
      <c r="C3670" s="39">
        <v>4396.09</v>
      </c>
      <c r="D3670" s="219">
        <f t="shared" si="364"/>
        <v>-1.0435649486239859E-3</v>
      </c>
      <c r="F3670" s="40">
        <v>38453</v>
      </c>
      <c r="G3670" s="39">
        <v>4396.09</v>
      </c>
      <c r="H3670" s="39">
        <f t="shared" si="359"/>
        <v>1</v>
      </c>
      <c r="I3670" s="39">
        <f t="shared" si="360"/>
        <v>0</v>
      </c>
      <c r="K3670" s="40"/>
      <c r="Q3670" s="40">
        <v>38453</v>
      </c>
      <c r="R3670" s="39">
        <v>4396.09</v>
      </c>
      <c r="S3670" s="39">
        <f t="shared" si="361"/>
        <v>4</v>
      </c>
      <c r="T3670" s="39">
        <f t="shared" si="362"/>
        <v>0</v>
      </c>
      <c r="U3670" s="39">
        <f t="shared" si="363"/>
        <v>0</v>
      </c>
      <c r="V3670" s="40"/>
    </row>
    <row r="3671" spans="2:22" x14ac:dyDescent="0.35">
      <c r="B3671" s="40">
        <v>38454</v>
      </c>
      <c r="C3671" s="39">
        <v>4372.12</v>
      </c>
      <c r="D3671" s="219">
        <f t="shared" si="364"/>
        <v>-5.4674921591015843E-3</v>
      </c>
      <c r="F3671" s="40">
        <v>38454</v>
      </c>
      <c r="G3671" s="39">
        <v>4372.12</v>
      </c>
      <c r="H3671" s="39">
        <f t="shared" si="359"/>
        <v>2</v>
      </c>
      <c r="I3671" s="39">
        <f t="shared" si="360"/>
        <v>0</v>
      </c>
      <c r="K3671" s="40"/>
      <c r="Q3671" s="40">
        <v>38454</v>
      </c>
      <c r="R3671" s="39">
        <v>4372.12</v>
      </c>
      <c r="S3671" s="39">
        <f t="shared" si="361"/>
        <v>4</v>
      </c>
      <c r="T3671" s="39">
        <f t="shared" si="362"/>
        <v>0</v>
      </c>
      <c r="U3671" s="39">
        <f t="shared" si="363"/>
        <v>0</v>
      </c>
      <c r="V3671" s="40"/>
    </row>
    <row r="3672" spans="2:22" x14ac:dyDescent="0.35">
      <c r="B3672" s="40">
        <v>38455</v>
      </c>
      <c r="C3672" s="39">
        <v>4405.6899999999996</v>
      </c>
      <c r="D3672" s="219">
        <f t="shared" si="364"/>
        <v>7.6488699728452167E-3</v>
      </c>
      <c r="F3672" s="40">
        <v>38455</v>
      </c>
      <c r="G3672" s="39">
        <v>4405.6899999999996</v>
      </c>
      <c r="H3672" s="39">
        <f t="shared" si="359"/>
        <v>3</v>
      </c>
      <c r="I3672" s="39">
        <f t="shared" si="360"/>
        <v>0</v>
      </c>
      <c r="K3672" s="40"/>
      <c r="Q3672" s="40">
        <v>38455</v>
      </c>
      <c r="R3672" s="39">
        <v>4405.6899999999996</v>
      </c>
      <c r="S3672" s="39">
        <f t="shared" si="361"/>
        <v>4</v>
      </c>
      <c r="T3672" s="39">
        <f t="shared" si="362"/>
        <v>0</v>
      </c>
      <c r="U3672" s="39">
        <f t="shared" si="363"/>
        <v>0</v>
      </c>
      <c r="V3672" s="40"/>
    </row>
    <row r="3673" spans="2:22" x14ac:dyDescent="0.35">
      <c r="B3673" s="40">
        <v>38456</v>
      </c>
      <c r="C3673" s="39">
        <v>4402.05</v>
      </c>
      <c r="D3673" s="219">
        <f t="shared" si="364"/>
        <v>-8.2654578977809203E-4</v>
      </c>
      <c r="F3673" s="40">
        <v>38456</v>
      </c>
      <c r="G3673" s="39">
        <v>4402.05</v>
      </c>
      <c r="H3673" s="39">
        <f t="shared" si="359"/>
        <v>4</v>
      </c>
      <c r="I3673" s="39">
        <f t="shared" si="360"/>
        <v>0</v>
      </c>
      <c r="K3673" s="40"/>
      <c r="Q3673" s="40">
        <v>38456</v>
      </c>
      <c r="R3673" s="39">
        <v>4402.05</v>
      </c>
      <c r="S3673" s="39">
        <f t="shared" si="361"/>
        <v>4</v>
      </c>
      <c r="T3673" s="39">
        <f t="shared" si="362"/>
        <v>0</v>
      </c>
      <c r="U3673" s="39">
        <f t="shared" si="363"/>
        <v>0</v>
      </c>
      <c r="V3673" s="40"/>
    </row>
    <row r="3674" spans="2:22" x14ac:dyDescent="0.35">
      <c r="B3674" s="40">
        <v>38457</v>
      </c>
      <c r="C3674" s="39">
        <v>4312.25</v>
      </c>
      <c r="D3674" s="219">
        <f t="shared" si="364"/>
        <v>-2.0610531850582998E-2</v>
      </c>
      <c r="F3674" s="40">
        <v>38457</v>
      </c>
      <c r="G3674" s="39">
        <v>4312.25</v>
      </c>
      <c r="H3674" s="39">
        <f t="shared" si="359"/>
        <v>5</v>
      </c>
      <c r="I3674" s="39">
        <f t="shared" si="360"/>
        <v>4312.25</v>
      </c>
      <c r="K3674" s="40"/>
      <c r="Q3674" s="40">
        <v>38457</v>
      </c>
      <c r="R3674" s="39">
        <v>4312.25</v>
      </c>
      <c r="S3674" s="39">
        <f t="shared" si="361"/>
        <v>4</v>
      </c>
      <c r="T3674" s="39">
        <f t="shared" si="362"/>
        <v>0</v>
      </c>
      <c r="U3674" s="39">
        <f t="shared" si="363"/>
        <v>0</v>
      </c>
      <c r="V3674" s="40"/>
    </row>
    <row r="3675" spans="2:22" x14ac:dyDescent="0.35">
      <c r="B3675" s="40">
        <v>38460</v>
      </c>
      <c r="C3675" s="39">
        <v>4202.2</v>
      </c>
      <c r="D3675" s="219">
        <f t="shared" si="364"/>
        <v>-2.5851611989789545E-2</v>
      </c>
      <c r="F3675" s="40">
        <v>38460</v>
      </c>
      <c r="G3675" s="39">
        <v>4202.2</v>
      </c>
      <c r="H3675" s="39">
        <f t="shared" si="359"/>
        <v>1</v>
      </c>
      <c r="I3675" s="39">
        <f t="shared" si="360"/>
        <v>0</v>
      </c>
      <c r="K3675" s="40"/>
      <c r="Q3675" s="40">
        <v>38460</v>
      </c>
      <c r="R3675" s="39">
        <v>4202.2</v>
      </c>
      <c r="S3675" s="39">
        <f t="shared" si="361"/>
        <v>4</v>
      </c>
      <c r="T3675" s="39">
        <f t="shared" si="362"/>
        <v>0</v>
      </c>
      <c r="U3675" s="39">
        <f t="shared" si="363"/>
        <v>0</v>
      </c>
      <c r="V3675" s="40"/>
    </row>
    <row r="3676" spans="2:22" x14ac:dyDescent="0.35">
      <c r="B3676" s="40">
        <v>38461</v>
      </c>
      <c r="C3676" s="39">
        <v>4204.6099999999997</v>
      </c>
      <c r="D3676" s="219">
        <f t="shared" si="364"/>
        <v>5.7334472077237434E-4</v>
      </c>
      <c r="F3676" s="40">
        <v>38461</v>
      </c>
      <c r="G3676" s="39">
        <v>4204.6099999999997</v>
      </c>
      <c r="H3676" s="39">
        <f t="shared" si="359"/>
        <v>2</v>
      </c>
      <c r="I3676" s="39">
        <f t="shared" si="360"/>
        <v>0</v>
      </c>
      <c r="K3676" s="40"/>
      <c r="Q3676" s="40">
        <v>38461</v>
      </c>
      <c r="R3676" s="39">
        <v>4204.6099999999997</v>
      </c>
      <c r="S3676" s="39">
        <f t="shared" si="361"/>
        <v>4</v>
      </c>
      <c r="T3676" s="39">
        <f t="shared" si="362"/>
        <v>0</v>
      </c>
      <c r="U3676" s="39">
        <f t="shared" si="363"/>
        <v>0</v>
      </c>
      <c r="V3676" s="40"/>
    </row>
    <row r="3677" spans="2:22" x14ac:dyDescent="0.35">
      <c r="B3677" s="40">
        <v>38462</v>
      </c>
      <c r="C3677" s="39">
        <v>4178.62</v>
      </c>
      <c r="D3677" s="219">
        <f t="shared" si="364"/>
        <v>-6.2004939069654572E-3</v>
      </c>
      <c r="F3677" s="40">
        <v>38462</v>
      </c>
      <c r="G3677" s="39">
        <v>4178.62</v>
      </c>
      <c r="H3677" s="39">
        <f t="shared" si="359"/>
        <v>3</v>
      </c>
      <c r="I3677" s="39">
        <f t="shared" si="360"/>
        <v>0</v>
      </c>
      <c r="K3677" s="40"/>
      <c r="Q3677" s="40">
        <v>38462</v>
      </c>
      <c r="R3677" s="39">
        <v>4178.62</v>
      </c>
      <c r="S3677" s="39">
        <f t="shared" si="361"/>
        <v>4</v>
      </c>
      <c r="T3677" s="39">
        <f t="shared" si="362"/>
        <v>0</v>
      </c>
      <c r="U3677" s="39">
        <f t="shared" si="363"/>
        <v>0</v>
      </c>
      <c r="V3677" s="40"/>
    </row>
    <row r="3678" spans="2:22" x14ac:dyDescent="0.35">
      <c r="B3678" s="40">
        <v>38463</v>
      </c>
      <c r="C3678" s="39">
        <v>4193.7</v>
      </c>
      <c r="D3678" s="219">
        <f t="shared" si="364"/>
        <v>3.6023506764366149E-3</v>
      </c>
      <c r="F3678" s="40">
        <v>38463</v>
      </c>
      <c r="G3678" s="39">
        <v>4193.7</v>
      </c>
      <c r="H3678" s="39">
        <f t="shared" si="359"/>
        <v>4</v>
      </c>
      <c r="I3678" s="39">
        <f t="shared" si="360"/>
        <v>0</v>
      </c>
      <c r="K3678" s="40"/>
      <c r="Q3678" s="40">
        <v>38463</v>
      </c>
      <c r="R3678" s="39">
        <v>4193.7</v>
      </c>
      <c r="S3678" s="39">
        <f t="shared" si="361"/>
        <v>4</v>
      </c>
      <c r="T3678" s="39">
        <f t="shared" si="362"/>
        <v>0</v>
      </c>
      <c r="U3678" s="39">
        <f t="shared" si="363"/>
        <v>0</v>
      </c>
      <c r="V3678" s="40"/>
    </row>
    <row r="3679" spans="2:22" x14ac:dyDescent="0.35">
      <c r="B3679" s="40">
        <v>38464</v>
      </c>
      <c r="C3679" s="39">
        <v>4223.04</v>
      </c>
      <c r="D3679" s="219">
        <f t="shared" si="364"/>
        <v>6.9718486832720597E-3</v>
      </c>
      <c r="F3679" s="40">
        <v>38464</v>
      </c>
      <c r="G3679" s="39">
        <v>4223.04</v>
      </c>
      <c r="H3679" s="39">
        <f t="shared" si="359"/>
        <v>5</v>
      </c>
      <c r="I3679" s="39">
        <f t="shared" si="360"/>
        <v>4223.04</v>
      </c>
      <c r="K3679" s="40"/>
      <c r="Q3679" s="40">
        <v>38464</v>
      </c>
      <c r="R3679" s="39">
        <v>4223.04</v>
      </c>
      <c r="S3679" s="39">
        <f t="shared" si="361"/>
        <v>4</v>
      </c>
      <c r="T3679" s="39">
        <f t="shared" si="362"/>
        <v>0</v>
      </c>
      <c r="U3679" s="39">
        <f t="shared" si="363"/>
        <v>0</v>
      </c>
      <c r="V3679" s="40"/>
    </row>
    <row r="3680" spans="2:22" x14ac:dyDescent="0.35">
      <c r="B3680" s="40">
        <v>38467</v>
      </c>
      <c r="C3680" s="39">
        <v>4246.96</v>
      </c>
      <c r="D3680" s="219">
        <f t="shared" si="364"/>
        <v>5.6481850274555335E-3</v>
      </c>
      <c r="F3680" s="40">
        <v>38467</v>
      </c>
      <c r="G3680" s="39">
        <v>4246.96</v>
      </c>
      <c r="H3680" s="39">
        <f t="shared" si="359"/>
        <v>1</v>
      </c>
      <c r="I3680" s="39">
        <f t="shared" si="360"/>
        <v>0</v>
      </c>
      <c r="K3680" s="40"/>
      <c r="Q3680" s="40">
        <v>38467</v>
      </c>
      <c r="R3680" s="39">
        <v>4246.96</v>
      </c>
      <c r="S3680" s="39">
        <f t="shared" si="361"/>
        <v>4</v>
      </c>
      <c r="T3680" s="39">
        <f t="shared" si="362"/>
        <v>0</v>
      </c>
      <c r="U3680" s="39">
        <f t="shared" si="363"/>
        <v>0</v>
      </c>
      <c r="V3680" s="40"/>
    </row>
    <row r="3681" spans="2:22" x14ac:dyDescent="0.35">
      <c r="B3681" s="40">
        <v>38468</v>
      </c>
      <c r="C3681" s="39">
        <v>4233.76</v>
      </c>
      <c r="D3681" s="219">
        <f t="shared" si="364"/>
        <v>-3.1129457544812962E-3</v>
      </c>
      <c r="F3681" s="40">
        <v>38468</v>
      </c>
      <c r="G3681" s="39">
        <v>4233.76</v>
      </c>
      <c r="H3681" s="39">
        <f t="shared" si="359"/>
        <v>2</v>
      </c>
      <c r="I3681" s="39">
        <f t="shared" si="360"/>
        <v>0</v>
      </c>
      <c r="K3681" s="40"/>
      <c r="Q3681" s="40">
        <v>38468</v>
      </c>
      <c r="R3681" s="39">
        <v>4233.76</v>
      </c>
      <c r="S3681" s="39">
        <f t="shared" si="361"/>
        <v>4</v>
      </c>
      <c r="T3681" s="39">
        <f t="shared" si="362"/>
        <v>0</v>
      </c>
      <c r="U3681" s="39">
        <f t="shared" si="363"/>
        <v>0</v>
      </c>
      <c r="V3681" s="40"/>
    </row>
    <row r="3682" spans="2:22" x14ac:dyDescent="0.35">
      <c r="B3682" s="40">
        <v>38469</v>
      </c>
      <c r="C3682" s="39">
        <v>4189.0200000000004</v>
      </c>
      <c r="D3682" s="219">
        <f t="shared" si="364"/>
        <v>-1.0623670756634526E-2</v>
      </c>
      <c r="F3682" s="40">
        <v>38469</v>
      </c>
      <c r="G3682" s="39">
        <v>4189.0200000000004</v>
      </c>
      <c r="H3682" s="39">
        <f t="shared" si="359"/>
        <v>3</v>
      </c>
      <c r="I3682" s="39">
        <f t="shared" si="360"/>
        <v>0</v>
      </c>
      <c r="K3682" s="40"/>
      <c r="Q3682" s="40">
        <v>38469</v>
      </c>
      <c r="R3682" s="39">
        <v>4189.0200000000004</v>
      </c>
      <c r="S3682" s="39">
        <f t="shared" si="361"/>
        <v>4</v>
      </c>
      <c r="T3682" s="39">
        <f t="shared" si="362"/>
        <v>0</v>
      </c>
      <c r="U3682" s="39">
        <f t="shared" si="363"/>
        <v>0</v>
      </c>
      <c r="V3682" s="40"/>
    </row>
    <row r="3683" spans="2:22" x14ac:dyDescent="0.35">
      <c r="B3683" s="40">
        <v>38470</v>
      </c>
      <c r="C3683" s="39">
        <v>4178.1000000000004</v>
      </c>
      <c r="D3683" s="219">
        <f t="shared" si="364"/>
        <v>-2.6102186176483596E-3</v>
      </c>
      <c r="F3683" s="40">
        <v>38470</v>
      </c>
      <c r="G3683" s="39">
        <v>4178.1000000000004</v>
      </c>
      <c r="H3683" s="39">
        <f t="shared" si="359"/>
        <v>4</v>
      </c>
      <c r="I3683" s="39">
        <f t="shared" si="360"/>
        <v>0</v>
      </c>
      <c r="K3683" s="40"/>
      <c r="Q3683" s="40">
        <v>38470</v>
      </c>
      <c r="R3683" s="39">
        <v>4178.1000000000004</v>
      </c>
      <c r="S3683" s="39">
        <f t="shared" si="361"/>
        <v>4</v>
      </c>
      <c r="T3683" s="39">
        <f t="shared" si="362"/>
        <v>0</v>
      </c>
      <c r="U3683" s="39">
        <f t="shared" si="363"/>
        <v>0</v>
      </c>
      <c r="V3683" s="40"/>
    </row>
    <row r="3684" spans="2:22" x14ac:dyDescent="0.35">
      <c r="B3684" s="40">
        <v>38471</v>
      </c>
      <c r="C3684" s="39">
        <v>4184.84</v>
      </c>
      <c r="D3684" s="219">
        <f t="shared" si="364"/>
        <v>1.6118736853992328E-3</v>
      </c>
      <c r="F3684" s="40">
        <v>38471</v>
      </c>
      <c r="G3684" s="39">
        <v>4184.84</v>
      </c>
      <c r="H3684" s="39">
        <f t="shared" si="359"/>
        <v>5</v>
      </c>
      <c r="I3684" s="39">
        <f t="shared" si="360"/>
        <v>4184.84</v>
      </c>
      <c r="K3684" s="40"/>
      <c r="Q3684" s="40">
        <v>38471</v>
      </c>
      <c r="R3684" s="39">
        <v>4184.84</v>
      </c>
      <c r="S3684" s="39">
        <f t="shared" si="361"/>
        <v>4</v>
      </c>
      <c r="T3684" s="39">
        <f t="shared" si="362"/>
        <v>4184.84</v>
      </c>
      <c r="U3684" s="39">
        <f t="shared" si="363"/>
        <v>4184.84</v>
      </c>
      <c r="V3684" s="40"/>
    </row>
    <row r="3685" spans="2:22" x14ac:dyDescent="0.35">
      <c r="B3685" s="40">
        <v>38474</v>
      </c>
      <c r="C3685" s="39">
        <v>4224.0200000000004</v>
      </c>
      <c r="D3685" s="219">
        <f t="shared" si="364"/>
        <v>9.3188098108175754E-3</v>
      </c>
      <c r="F3685" s="40">
        <v>38474</v>
      </c>
      <c r="G3685" s="39">
        <v>4224.0200000000004</v>
      </c>
      <c r="H3685" s="39">
        <f t="shared" si="359"/>
        <v>1</v>
      </c>
      <c r="I3685" s="39">
        <f t="shared" si="360"/>
        <v>0</v>
      </c>
      <c r="K3685" s="40"/>
      <c r="Q3685" s="40">
        <v>38474</v>
      </c>
      <c r="R3685" s="39">
        <v>4224.0200000000004</v>
      </c>
      <c r="S3685" s="39">
        <f t="shared" si="361"/>
        <v>5</v>
      </c>
      <c r="T3685" s="39">
        <f t="shared" si="362"/>
        <v>0</v>
      </c>
      <c r="U3685" s="39">
        <f t="shared" si="363"/>
        <v>0</v>
      </c>
      <c r="V3685" s="40"/>
    </row>
    <row r="3686" spans="2:22" x14ac:dyDescent="0.35">
      <c r="B3686" s="40">
        <v>38475</v>
      </c>
      <c r="C3686" s="39">
        <v>4245.54</v>
      </c>
      <c r="D3686" s="219">
        <f t="shared" si="364"/>
        <v>5.0817389123273297E-3</v>
      </c>
      <c r="F3686" s="40">
        <v>38475</v>
      </c>
      <c r="G3686" s="39">
        <v>4245.54</v>
      </c>
      <c r="H3686" s="39">
        <f t="shared" si="359"/>
        <v>2</v>
      </c>
      <c r="I3686" s="39">
        <f t="shared" si="360"/>
        <v>0</v>
      </c>
      <c r="K3686" s="40"/>
      <c r="Q3686" s="40">
        <v>38475</v>
      </c>
      <c r="R3686" s="39">
        <v>4245.54</v>
      </c>
      <c r="S3686" s="39">
        <f t="shared" si="361"/>
        <v>5</v>
      </c>
      <c r="T3686" s="39">
        <f t="shared" si="362"/>
        <v>0</v>
      </c>
      <c r="U3686" s="39">
        <f t="shared" si="363"/>
        <v>0</v>
      </c>
      <c r="V3686" s="40"/>
    </row>
    <row r="3687" spans="2:22" x14ac:dyDescent="0.35">
      <c r="B3687" s="40">
        <v>38476</v>
      </c>
      <c r="C3687" s="39">
        <v>4264.3500000000004</v>
      </c>
      <c r="D3687" s="219">
        <f t="shared" si="364"/>
        <v>4.420745892986533E-3</v>
      </c>
      <c r="F3687" s="40">
        <v>38476</v>
      </c>
      <c r="G3687" s="39">
        <v>4264.3500000000004</v>
      </c>
      <c r="H3687" s="39">
        <f t="shared" si="359"/>
        <v>3</v>
      </c>
      <c r="I3687" s="39">
        <f t="shared" si="360"/>
        <v>0</v>
      </c>
      <c r="K3687" s="40"/>
      <c r="Q3687" s="40">
        <v>38476</v>
      </c>
      <c r="R3687" s="39">
        <v>4264.3500000000004</v>
      </c>
      <c r="S3687" s="39">
        <f t="shared" si="361"/>
        <v>5</v>
      </c>
      <c r="T3687" s="39">
        <f t="shared" si="362"/>
        <v>0</v>
      </c>
      <c r="U3687" s="39">
        <f t="shared" si="363"/>
        <v>0</v>
      </c>
      <c r="V3687" s="40"/>
    </row>
    <row r="3688" spans="2:22" x14ac:dyDescent="0.35">
      <c r="B3688" s="40">
        <v>38477</v>
      </c>
      <c r="C3688" s="39">
        <v>4299.51</v>
      </c>
      <c r="D3688" s="219">
        <f t="shared" si="364"/>
        <v>8.2112966714027718E-3</v>
      </c>
      <c r="F3688" s="40">
        <v>38477</v>
      </c>
      <c r="G3688" s="39">
        <v>4299.51</v>
      </c>
      <c r="H3688" s="39">
        <f t="shared" si="359"/>
        <v>4</v>
      </c>
      <c r="I3688" s="39">
        <f t="shared" si="360"/>
        <v>0</v>
      </c>
      <c r="K3688" s="40"/>
      <c r="Q3688" s="40">
        <v>38477</v>
      </c>
      <c r="R3688" s="39">
        <v>4299.51</v>
      </c>
      <c r="S3688" s="39">
        <f t="shared" si="361"/>
        <v>5</v>
      </c>
      <c r="T3688" s="39">
        <f t="shared" si="362"/>
        <v>0</v>
      </c>
      <c r="U3688" s="39">
        <f t="shared" si="363"/>
        <v>0</v>
      </c>
      <c r="V3688" s="40"/>
    </row>
    <row r="3689" spans="2:22" x14ac:dyDescent="0.35">
      <c r="B3689" s="40">
        <v>38478</v>
      </c>
      <c r="C3689" s="39">
        <v>4311.0600000000004</v>
      </c>
      <c r="D3689" s="219">
        <f t="shared" si="364"/>
        <v>2.6827508346735996E-3</v>
      </c>
      <c r="F3689" s="40">
        <v>38478</v>
      </c>
      <c r="G3689" s="39">
        <v>4311.0600000000004</v>
      </c>
      <c r="H3689" s="39">
        <f t="shared" si="359"/>
        <v>5</v>
      </c>
      <c r="I3689" s="39">
        <f t="shared" si="360"/>
        <v>4311.0600000000004</v>
      </c>
      <c r="K3689" s="40"/>
      <c r="Q3689" s="40">
        <v>38478</v>
      </c>
      <c r="R3689" s="39">
        <v>4311.0600000000004</v>
      </c>
      <c r="S3689" s="39">
        <f t="shared" si="361"/>
        <v>5</v>
      </c>
      <c r="T3689" s="39">
        <f t="shared" si="362"/>
        <v>0</v>
      </c>
      <c r="U3689" s="39">
        <f t="shared" si="363"/>
        <v>0</v>
      </c>
      <c r="V3689" s="40"/>
    </row>
    <row r="3690" spans="2:22" x14ac:dyDescent="0.35">
      <c r="B3690" s="40">
        <v>38481</v>
      </c>
      <c r="C3690" s="39">
        <v>4292.41</v>
      </c>
      <c r="D3690" s="219">
        <f t="shared" si="364"/>
        <v>-4.3354667855019834E-3</v>
      </c>
      <c r="F3690" s="40">
        <v>38481</v>
      </c>
      <c r="G3690" s="39">
        <v>4292.41</v>
      </c>
      <c r="H3690" s="39">
        <f t="shared" si="359"/>
        <v>1</v>
      </c>
      <c r="I3690" s="39">
        <f t="shared" si="360"/>
        <v>0</v>
      </c>
      <c r="K3690" s="40"/>
      <c r="Q3690" s="40">
        <v>38481</v>
      </c>
      <c r="R3690" s="39">
        <v>4292.41</v>
      </c>
      <c r="S3690" s="39">
        <f t="shared" si="361"/>
        <v>5</v>
      </c>
      <c r="T3690" s="39">
        <f t="shared" si="362"/>
        <v>0</v>
      </c>
      <c r="U3690" s="39">
        <f t="shared" si="363"/>
        <v>0</v>
      </c>
      <c r="V3690" s="40"/>
    </row>
    <row r="3691" spans="2:22" x14ac:dyDescent="0.35">
      <c r="B3691" s="40">
        <v>38482</v>
      </c>
      <c r="C3691" s="39">
        <v>4251.13</v>
      </c>
      <c r="D3691" s="219">
        <f t="shared" si="364"/>
        <v>-9.6635168183064005E-3</v>
      </c>
      <c r="F3691" s="40">
        <v>38482</v>
      </c>
      <c r="G3691" s="39">
        <v>4251.13</v>
      </c>
      <c r="H3691" s="39">
        <f t="shared" si="359"/>
        <v>2</v>
      </c>
      <c r="I3691" s="39">
        <f t="shared" si="360"/>
        <v>0</v>
      </c>
      <c r="K3691" s="40"/>
      <c r="Q3691" s="40">
        <v>38482</v>
      </c>
      <c r="R3691" s="39">
        <v>4251.13</v>
      </c>
      <c r="S3691" s="39">
        <f t="shared" si="361"/>
        <v>5</v>
      </c>
      <c r="T3691" s="39">
        <f t="shared" si="362"/>
        <v>0</v>
      </c>
      <c r="U3691" s="39">
        <f t="shared" si="363"/>
        <v>0</v>
      </c>
      <c r="V3691" s="40"/>
    </row>
    <row r="3692" spans="2:22" x14ac:dyDescent="0.35">
      <c r="B3692" s="40">
        <v>38483</v>
      </c>
      <c r="C3692" s="39">
        <v>4244.16</v>
      </c>
      <c r="D3692" s="219">
        <f t="shared" si="364"/>
        <v>-1.6409096249670515E-3</v>
      </c>
      <c r="F3692" s="40">
        <v>38483</v>
      </c>
      <c r="G3692" s="39">
        <v>4244.16</v>
      </c>
      <c r="H3692" s="39">
        <f t="shared" si="359"/>
        <v>3</v>
      </c>
      <c r="I3692" s="39">
        <f t="shared" si="360"/>
        <v>0</v>
      </c>
      <c r="K3692" s="40"/>
      <c r="Q3692" s="40">
        <v>38483</v>
      </c>
      <c r="R3692" s="39">
        <v>4244.16</v>
      </c>
      <c r="S3692" s="39">
        <f t="shared" si="361"/>
        <v>5</v>
      </c>
      <c r="T3692" s="39">
        <f t="shared" si="362"/>
        <v>0</v>
      </c>
      <c r="U3692" s="39">
        <f t="shared" si="363"/>
        <v>0</v>
      </c>
      <c r="V3692" s="40"/>
    </row>
    <row r="3693" spans="2:22" x14ac:dyDescent="0.35">
      <c r="B3693" s="40">
        <v>38484</v>
      </c>
      <c r="C3693" s="39">
        <v>4267.05</v>
      </c>
      <c r="D3693" s="219">
        <f t="shared" si="364"/>
        <v>5.3788016479028727E-3</v>
      </c>
      <c r="F3693" s="40">
        <v>38484</v>
      </c>
      <c r="G3693" s="39">
        <v>4267.05</v>
      </c>
      <c r="H3693" s="39">
        <f t="shared" si="359"/>
        <v>4</v>
      </c>
      <c r="I3693" s="39">
        <f t="shared" si="360"/>
        <v>0</v>
      </c>
      <c r="K3693" s="40"/>
      <c r="Q3693" s="40">
        <v>38484</v>
      </c>
      <c r="R3693" s="39">
        <v>4267.05</v>
      </c>
      <c r="S3693" s="39">
        <f t="shared" si="361"/>
        <v>5</v>
      </c>
      <c r="T3693" s="39">
        <f t="shared" si="362"/>
        <v>0</v>
      </c>
      <c r="U3693" s="39">
        <f t="shared" si="363"/>
        <v>0</v>
      </c>
      <c r="V3693" s="40"/>
    </row>
    <row r="3694" spans="2:22" x14ac:dyDescent="0.35">
      <c r="B3694" s="40">
        <v>38485</v>
      </c>
      <c r="C3694" s="39">
        <v>4275.7</v>
      </c>
      <c r="D3694" s="219">
        <f t="shared" si="364"/>
        <v>2.02510970265701E-3</v>
      </c>
      <c r="F3694" s="40">
        <v>38485</v>
      </c>
      <c r="G3694" s="39">
        <v>4275.7</v>
      </c>
      <c r="H3694" s="39">
        <f t="shared" si="359"/>
        <v>5</v>
      </c>
      <c r="I3694" s="39">
        <f t="shared" si="360"/>
        <v>4275.7</v>
      </c>
      <c r="K3694" s="40"/>
      <c r="Q3694" s="40">
        <v>38485</v>
      </c>
      <c r="R3694" s="39">
        <v>4275.7</v>
      </c>
      <c r="S3694" s="39">
        <f t="shared" si="361"/>
        <v>5</v>
      </c>
      <c r="T3694" s="39">
        <f t="shared" si="362"/>
        <v>0</v>
      </c>
      <c r="U3694" s="39">
        <f t="shared" si="363"/>
        <v>0</v>
      </c>
      <c r="V3694" s="40"/>
    </row>
    <row r="3695" spans="2:22" x14ac:dyDescent="0.35">
      <c r="B3695" s="40">
        <v>38488</v>
      </c>
      <c r="C3695" s="39">
        <v>4262.18</v>
      </c>
      <c r="D3695" s="219">
        <f t="shared" si="364"/>
        <v>-3.1670651967009218E-3</v>
      </c>
      <c r="F3695" s="40">
        <v>38488</v>
      </c>
      <c r="G3695" s="39">
        <v>4262.18</v>
      </c>
      <c r="H3695" s="39">
        <f t="shared" si="359"/>
        <v>1</v>
      </c>
      <c r="I3695" s="39">
        <f t="shared" si="360"/>
        <v>0</v>
      </c>
      <c r="K3695" s="40"/>
      <c r="Q3695" s="40">
        <v>38488</v>
      </c>
      <c r="R3695" s="39">
        <v>4262.18</v>
      </c>
      <c r="S3695" s="39">
        <f t="shared" si="361"/>
        <v>5</v>
      </c>
      <c r="T3695" s="39">
        <f t="shared" si="362"/>
        <v>0</v>
      </c>
      <c r="U3695" s="39">
        <f t="shared" si="363"/>
        <v>0</v>
      </c>
      <c r="V3695" s="40"/>
    </row>
    <row r="3696" spans="2:22" x14ac:dyDescent="0.35">
      <c r="B3696" s="40">
        <v>38489</v>
      </c>
      <c r="C3696" s="39">
        <v>4251.7700000000004</v>
      </c>
      <c r="D3696" s="219">
        <f t="shared" si="364"/>
        <v>-2.4453996529534392E-3</v>
      </c>
      <c r="F3696" s="40">
        <v>38489</v>
      </c>
      <c r="G3696" s="39">
        <v>4251.7700000000004</v>
      </c>
      <c r="H3696" s="39">
        <f t="shared" si="359"/>
        <v>2</v>
      </c>
      <c r="I3696" s="39">
        <f t="shared" si="360"/>
        <v>0</v>
      </c>
      <c r="K3696" s="40"/>
      <c r="Q3696" s="40">
        <v>38489</v>
      </c>
      <c r="R3696" s="39">
        <v>4251.7700000000004</v>
      </c>
      <c r="S3696" s="39">
        <f t="shared" si="361"/>
        <v>5</v>
      </c>
      <c r="T3696" s="39">
        <f t="shared" si="362"/>
        <v>0</v>
      </c>
      <c r="U3696" s="39">
        <f t="shared" si="363"/>
        <v>0</v>
      </c>
      <c r="V3696" s="40"/>
    </row>
    <row r="3697" spans="2:22" x14ac:dyDescent="0.35">
      <c r="B3697" s="40">
        <v>38490</v>
      </c>
      <c r="C3697" s="39">
        <v>4324.6000000000004</v>
      </c>
      <c r="D3697" s="219">
        <f t="shared" si="364"/>
        <v>1.6984283732901173E-2</v>
      </c>
      <c r="F3697" s="40">
        <v>38490</v>
      </c>
      <c r="G3697" s="39">
        <v>4324.6000000000004</v>
      </c>
      <c r="H3697" s="39">
        <f t="shared" si="359"/>
        <v>3</v>
      </c>
      <c r="I3697" s="39">
        <f t="shared" si="360"/>
        <v>0</v>
      </c>
      <c r="K3697" s="40"/>
      <c r="Q3697" s="40">
        <v>38490</v>
      </c>
      <c r="R3697" s="39">
        <v>4324.6000000000004</v>
      </c>
      <c r="S3697" s="39">
        <f t="shared" si="361"/>
        <v>5</v>
      </c>
      <c r="T3697" s="39">
        <f t="shared" si="362"/>
        <v>0</v>
      </c>
      <c r="U3697" s="39">
        <f t="shared" si="363"/>
        <v>0</v>
      </c>
      <c r="V3697" s="40"/>
    </row>
    <row r="3698" spans="2:22" x14ac:dyDescent="0.35">
      <c r="B3698" s="40">
        <v>38491</v>
      </c>
      <c r="C3698" s="39">
        <v>4360.42</v>
      </c>
      <c r="D3698" s="219">
        <f t="shared" si="364"/>
        <v>8.2487324390516249E-3</v>
      </c>
      <c r="F3698" s="40">
        <v>38491</v>
      </c>
      <c r="G3698" s="39">
        <v>4360.42</v>
      </c>
      <c r="H3698" s="39">
        <f t="shared" si="359"/>
        <v>4</v>
      </c>
      <c r="I3698" s="39">
        <f t="shared" si="360"/>
        <v>0</v>
      </c>
      <c r="K3698" s="40"/>
      <c r="Q3698" s="40">
        <v>38491</v>
      </c>
      <c r="R3698" s="39">
        <v>4360.42</v>
      </c>
      <c r="S3698" s="39">
        <f t="shared" si="361"/>
        <v>5</v>
      </c>
      <c r="T3698" s="39">
        <f t="shared" si="362"/>
        <v>0</v>
      </c>
      <c r="U3698" s="39">
        <f t="shared" si="363"/>
        <v>0</v>
      </c>
      <c r="V3698" s="40"/>
    </row>
    <row r="3699" spans="2:22" x14ac:dyDescent="0.35">
      <c r="B3699" s="40">
        <v>38492</v>
      </c>
      <c r="C3699" s="39">
        <v>4360.68</v>
      </c>
      <c r="D3699" s="219">
        <f t="shared" si="364"/>
        <v>5.9625505974607467E-5</v>
      </c>
      <c r="F3699" s="40">
        <v>38492</v>
      </c>
      <c r="G3699" s="39">
        <v>4360.68</v>
      </c>
      <c r="H3699" s="39">
        <f t="shared" si="359"/>
        <v>5</v>
      </c>
      <c r="I3699" s="39">
        <f t="shared" si="360"/>
        <v>4360.68</v>
      </c>
      <c r="K3699" s="40"/>
      <c r="Q3699" s="40">
        <v>38492</v>
      </c>
      <c r="R3699" s="39">
        <v>4360.68</v>
      </c>
      <c r="S3699" s="39">
        <f t="shared" si="361"/>
        <v>5</v>
      </c>
      <c r="T3699" s="39">
        <f t="shared" si="362"/>
        <v>0</v>
      </c>
      <c r="U3699" s="39">
        <f t="shared" si="363"/>
        <v>0</v>
      </c>
      <c r="V3699" s="40"/>
    </row>
    <row r="3700" spans="2:22" x14ac:dyDescent="0.35">
      <c r="B3700" s="40">
        <v>38495</v>
      </c>
      <c r="C3700" s="39">
        <v>4406.95</v>
      </c>
      <c r="D3700" s="219">
        <f t="shared" si="364"/>
        <v>1.0554831706237536E-2</v>
      </c>
      <c r="F3700" s="40">
        <v>38495</v>
      </c>
      <c r="G3700" s="39">
        <v>4406.95</v>
      </c>
      <c r="H3700" s="39">
        <f t="shared" si="359"/>
        <v>1</v>
      </c>
      <c r="I3700" s="39">
        <f t="shared" si="360"/>
        <v>0</v>
      </c>
      <c r="K3700" s="40"/>
      <c r="Q3700" s="40">
        <v>38495</v>
      </c>
      <c r="R3700" s="39">
        <v>4406.95</v>
      </c>
      <c r="S3700" s="39">
        <f t="shared" si="361"/>
        <v>5</v>
      </c>
      <c r="T3700" s="39">
        <f t="shared" si="362"/>
        <v>0</v>
      </c>
      <c r="U3700" s="39">
        <f t="shared" si="363"/>
        <v>0</v>
      </c>
      <c r="V3700" s="40"/>
    </row>
    <row r="3701" spans="2:22" x14ac:dyDescent="0.35">
      <c r="B3701" s="40">
        <v>38496</v>
      </c>
      <c r="C3701" s="39">
        <v>4396.6400000000003</v>
      </c>
      <c r="D3701" s="219">
        <f t="shared" si="364"/>
        <v>-2.3422273671109771E-3</v>
      </c>
      <c r="F3701" s="40">
        <v>38496</v>
      </c>
      <c r="G3701" s="39">
        <v>4396.6400000000003</v>
      </c>
      <c r="H3701" s="39">
        <f t="shared" si="359"/>
        <v>2</v>
      </c>
      <c r="I3701" s="39">
        <f t="shared" si="360"/>
        <v>0</v>
      </c>
      <c r="K3701" s="40"/>
      <c r="Q3701" s="40">
        <v>38496</v>
      </c>
      <c r="R3701" s="39">
        <v>4396.6400000000003</v>
      </c>
      <c r="S3701" s="39">
        <f t="shared" si="361"/>
        <v>5</v>
      </c>
      <c r="T3701" s="39">
        <f t="shared" si="362"/>
        <v>0</v>
      </c>
      <c r="U3701" s="39">
        <f t="shared" si="363"/>
        <v>0</v>
      </c>
      <c r="V3701" s="40"/>
    </row>
    <row r="3702" spans="2:22" x14ac:dyDescent="0.35">
      <c r="B3702" s="40">
        <v>38497</v>
      </c>
      <c r="C3702" s="39">
        <v>4389.54</v>
      </c>
      <c r="D3702" s="219">
        <f t="shared" si="364"/>
        <v>-1.6161748440040819E-3</v>
      </c>
      <c r="F3702" s="40">
        <v>38497</v>
      </c>
      <c r="G3702" s="39">
        <v>4389.54</v>
      </c>
      <c r="H3702" s="39">
        <f t="shared" si="359"/>
        <v>3</v>
      </c>
      <c r="I3702" s="39">
        <f t="shared" si="360"/>
        <v>0</v>
      </c>
      <c r="K3702" s="40"/>
      <c r="Q3702" s="40">
        <v>38497</v>
      </c>
      <c r="R3702" s="39">
        <v>4389.54</v>
      </c>
      <c r="S3702" s="39">
        <f t="shared" si="361"/>
        <v>5</v>
      </c>
      <c r="T3702" s="39">
        <f t="shared" si="362"/>
        <v>0</v>
      </c>
      <c r="U3702" s="39">
        <f t="shared" si="363"/>
        <v>0</v>
      </c>
      <c r="V3702" s="40"/>
    </row>
    <row r="3703" spans="2:22" x14ac:dyDescent="0.35">
      <c r="B3703" s="40">
        <v>38498</v>
      </c>
      <c r="C3703" s="39">
        <v>4436.6000000000004</v>
      </c>
      <c r="D3703" s="219">
        <f t="shared" si="364"/>
        <v>1.0663879332190453E-2</v>
      </c>
      <c r="F3703" s="40">
        <v>38498</v>
      </c>
      <c r="G3703" s="39">
        <v>4436.6000000000004</v>
      </c>
      <c r="H3703" s="39">
        <f t="shared" ref="H3703:H3766" si="365">WEEKDAY(F3703,2)</f>
        <v>4</v>
      </c>
      <c r="I3703" s="39">
        <f t="shared" ref="I3703:I3766" si="366">IF(H3703&gt;H3704,G3703,0)</f>
        <v>0</v>
      </c>
      <c r="K3703" s="40"/>
      <c r="Q3703" s="40">
        <v>38498</v>
      </c>
      <c r="R3703" s="39">
        <v>4436.6000000000004</v>
      </c>
      <c r="S3703" s="39">
        <f t="shared" ref="S3703:S3766" si="367">MONTH(Q3703)</f>
        <v>5</v>
      </c>
      <c r="T3703" s="39">
        <f t="shared" ref="T3703:T3766" si="368">IF(S3704&lt;&gt;S3703,R3703,0)</f>
        <v>0</v>
      </c>
      <c r="U3703" s="39">
        <f t="shared" ref="U3703:U3766" si="369">IF(S3704=S3703,0,R3703)</f>
        <v>0</v>
      </c>
      <c r="V3703" s="40"/>
    </row>
    <row r="3704" spans="2:22" x14ac:dyDescent="0.35">
      <c r="B3704" s="40">
        <v>38499</v>
      </c>
      <c r="C3704" s="39">
        <v>4444.71</v>
      </c>
      <c r="D3704" s="219">
        <f t="shared" ref="D3704:D3767" si="370">LN(C3704/C3703)</f>
        <v>1.8263076627599943E-3</v>
      </c>
      <c r="F3704" s="40">
        <v>38499</v>
      </c>
      <c r="G3704" s="39">
        <v>4444.71</v>
      </c>
      <c r="H3704" s="39">
        <f t="shared" si="365"/>
        <v>5</v>
      </c>
      <c r="I3704" s="39">
        <f t="shared" si="366"/>
        <v>4444.71</v>
      </c>
      <c r="K3704" s="40"/>
      <c r="Q3704" s="40">
        <v>38499</v>
      </c>
      <c r="R3704" s="39">
        <v>4444.71</v>
      </c>
      <c r="S3704" s="39">
        <f t="shared" si="367"/>
        <v>5</v>
      </c>
      <c r="T3704" s="39">
        <f t="shared" si="368"/>
        <v>0</v>
      </c>
      <c r="U3704" s="39">
        <f t="shared" si="369"/>
        <v>0</v>
      </c>
      <c r="V3704" s="40"/>
    </row>
    <row r="3705" spans="2:22" x14ac:dyDescent="0.35">
      <c r="B3705" s="40">
        <v>38502</v>
      </c>
      <c r="C3705" s="39">
        <v>4480.43</v>
      </c>
      <c r="D3705" s="219">
        <f t="shared" si="370"/>
        <v>8.0043989710029857E-3</v>
      </c>
      <c r="F3705" s="40">
        <v>38502</v>
      </c>
      <c r="G3705" s="39">
        <v>4480.43</v>
      </c>
      <c r="H3705" s="39">
        <f t="shared" si="365"/>
        <v>1</v>
      </c>
      <c r="I3705" s="39">
        <f t="shared" si="366"/>
        <v>0</v>
      </c>
      <c r="K3705" s="40"/>
      <c r="Q3705" s="40">
        <v>38502</v>
      </c>
      <c r="R3705" s="39">
        <v>4480.43</v>
      </c>
      <c r="S3705" s="39">
        <f t="shared" si="367"/>
        <v>5</v>
      </c>
      <c r="T3705" s="39">
        <f t="shared" si="368"/>
        <v>0</v>
      </c>
      <c r="U3705" s="39">
        <f t="shared" si="369"/>
        <v>0</v>
      </c>
      <c r="V3705" s="40"/>
    </row>
    <row r="3706" spans="2:22" x14ac:dyDescent="0.35">
      <c r="B3706" s="40">
        <v>38503</v>
      </c>
      <c r="C3706" s="39">
        <v>4460.63</v>
      </c>
      <c r="D3706" s="219">
        <f t="shared" si="370"/>
        <v>-4.4290123020396255E-3</v>
      </c>
      <c r="F3706" s="40">
        <v>38503</v>
      </c>
      <c r="G3706" s="39">
        <v>4460.63</v>
      </c>
      <c r="H3706" s="39">
        <f t="shared" si="365"/>
        <v>2</v>
      </c>
      <c r="I3706" s="39">
        <f t="shared" si="366"/>
        <v>0</v>
      </c>
      <c r="K3706" s="40"/>
      <c r="Q3706" s="40">
        <v>38503</v>
      </c>
      <c r="R3706" s="39">
        <v>4460.63</v>
      </c>
      <c r="S3706" s="39">
        <f t="shared" si="367"/>
        <v>5</v>
      </c>
      <c r="T3706" s="39">
        <f t="shared" si="368"/>
        <v>4460.63</v>
      </c>
      <c r="U3706" s="39">
        <f t="shared" si="369"/>
        <v>4460.63</v>
      </c>
      <c r="V3706" s="40"/>
    </row>
    <row r="3707" spans="2:22" x14ac:dyDescent="0.35">
      <c r="B3707" s="40">
        <v>38504</v>
      </c>
      <c r="C3707" s="39">
        <v>4527.17</v>
      </c>
      <c r="D3707" s="219">
        <f t="shared" si="370"/>
        <v>1.4807008550025067E-2</v>
      </c>
      <c r="F3707" s="40">
        <v>38504</v>
      </c>
      <c r="G3707" s="39">
        <v>4527.17</v>
      </c>
      <c r="H3707" s="39">
        <f t="shared" si="365"/>
        <v>3</v>
      </c>
      <c r="I3707" s="39">
        <f t="shared" si="366"/>
        <v>0</v>
      </c>
      <c r="K3707" s="40"/>
      <c r="Q3707" s="40">
        <v>38504</v>
      </c>
      <c r="R3707" s="39">
        <v>4527.17</v>
      </c>
      <c r="S3707" s="39">
        <f t="shared" si="367"/>
        <v>6</v>
      </c>
      <c r="T3707" s="39">
        <f t="shared" si="368"/>
        <v>0</v>
      </c>
      <c r="U3707" s="39">
        <f t="shared" si="369"/>
        <v>0</v>
      </c>
      <c r="V3707" s="40"/>
    </row>
    <row r="3708" spans="2:22" x14ac:dyDescent="0.35">
      <c r="B3708" s="40">
        <v>38505</v>
      </c>
      <c r="C3708" s="39">
        <v>4532.17</v>
      </c>
      <c r="D3708" s="219">
        <f t="shared" si="370"/>
        <v>1.1038332831502171E-3</v>
      </c>
      <c r="F3708" s="40">
        <v>38505</v>
      </c>
      <c r="G3708" s="39">
        <v>4532.17</v>
      </c>
      <c r="H3708" s="39">
        <f t="shared" si="365"/>
        <v>4</v>
      </c>
      <c r="I3708" s="39">
        <f t="shared" si="366"/>
        <v>0</v>
      </c>
      <c r="K3708" s="40"/>
      <c r="Q3708" s="40">
        <v>38505</v>
      </c>
      <c r="R3708" s="39">
        <v>4532.17</v>
      </c>
      <c r="S3708" s="39">
        <f t="shared" si="367"/>
        <v>6</v>
      </c>
      <c r="T3708" s="39">
        <f t="shared" si="368"/>
        <v>0</v>
      </c>
      <c r="U3708" s="39">
        <f t="shared" si="369"/>
        <v>0</v>
      </c>
      <c r="V3708" s="40"/>
    </row>
    <row r="3709" spans="2:22" x14ac:dyDescent="0.35">
      <c r="B3709" s="40">
        <v>38506</v>
      </c>
      <c r="C3709" s="39">
        <v>4510.3900000000003</v>
      </c>
      <c r="D3709" s="219">
        <f t="shared" si="370"/>
        <v>-4.817229217903847E-3</v>
      </c>
      <c r="F3709" s="40">
        <v>38506</v>
      </c>
      <c r="G3709" s="39">
        <v>4510.3900000000003</v>
      </c>
      <c r="H3709" s="39">
        <f t="shared" si="365"/>
        <v>5</v>
      </c>
      <c r="I3709" s="39">
        <f t="shared" si="366"/>
        <v>4510.3900000000003</v>
      </c>
      <c r="K3709" s="40"/>
      <c r="Q3709" s="40">
        <v>38506</v>
      </c>
      <c r="R3709" s="39">
        <v>4510.3900000000003</v>
      </c>
      <c r="S3709" s="39">
        <f t="shared" si="367"/>
        <v>6</v>
      </c>
      <c r="T3709" s="39">
        <f t="shared" si="368"/>
        <v>0</v>
      </c>
      <c r="U3709" s="39">
        <f t="shared" si="369"/>
        <v>0</v>
      </c>
      <c r="V3709" s="40"/>
    </row>
    <row r="3710" spans="2:22" x14ac:dyDescent="0.35">
      <c r="B3710" s="40">
        <v>38509</v>
      </c>
      <c r="C3710" s="39">
        <v>4497.26</v>
      </c>
      <c r="D3710" s="219">
        <f t="shared" si="370"/>
        <v>-2.9153018377278974E-3</v>
      </c>
      <c r="F3710" s="40">
        <v>38509</v>
      </c>
      <c r="G3710" s="39">
        <v>4497.26</v>
      </c>
      <c r="H3710" s="39">
        <f t="shared" si="365"/>
        <v>1</v>
      </c>
      <c r="I3710" s="39">
        <f t="shared" si="366"/>
        <v>0</v>
      </c>
      <c r="K3710" s="40"/>
      <c r="Q3710" s="40">
        <v>38509</v>
      </c>
      <c r="R3710" s="39">
        <v>4497.26</v>
      </c>
      <c r="S3710" s="39">
        <f t="shared" si="367"/>
        <v>6</v>
      </c>
      <c r="T3710" s="39">
        <f t="shared" si="368"/>
        <v>0</v>
      </c>
      <c r="U3710" s="39">
        <f t="shared" si="369"/>
        <v>0</v>
      </c>
      <c r="V3710" s="40"/>
    </row>
    <row r="3711" spans="2:22" x14ac:dyDescent="0.35">
      <c r="B3711" s="40">
        <v>38510</v>
      </c>
      <c r="C3711" s="39">
        <v>4566.01</v>
      </c>
      <c r="D3711" s="219">
        <f t="shared" si="370"/>
        <v>1.5171415766686515E-2</v>
      </c>
      <c r="F3711" s="40">
        <v>38510</v>
      </c>
      <c r="G3711" s="39">
        <v>4566.01</v>
      </c>
      <c r="H3711" s="39">
        <f t="shared" si="365"/>
        <v>2</v>
      </c>
      <c r="I3711" s="39">
        <f t="shared" si="366"/>
        <v>0</v>
      </c>
      <c r="K3711" s="40"/>
      <c r="Q3711" s="40">
        <v>38510</v>
      </c>
      <c r="R3711" s="39">
        <v>4566.01</v>
      </c>
      <c r="S3711" s="39">
        <f t="shared" si="367"/>
        <v>6</v>
      </c>
      <c r="T3711" s="39">
        <f t="shared" si="368"/>
        <v>0</v>
      </c>
      <c r="U3711" s="39">
        <f t="shared" si="369"/>
        <v>0</v>
      </c>
      <c r="V3711" s="40"/>
    </row>
    <row r="3712" spans="2:22" x14ac:dyDescent="0.35">
      <c r="B3712" s="40">
        <v>38511</v>
      </c>
      <c r="C3712" s="39">
        <v>4557.29</v>
      </c>
      <c r="D3712" s="219">
        <f t="shared" si="370"/>
        <v>-1.9115895904699527E-3</v>
      </c>
      <c r="F3712" s="40">
        <v>38511</v>
      </c>
      <c r="G3712" s="39">
        <v>4557.29</v>
      </c>
      <c r="H3712" s="39">
        <f t="shared" si="365"/>
        <v>3</v>
      </c>
      <c r="I3712" s="39">
        <f t="shared" si="366"/>
        <v>0</v>
      </c>
      <c r="K3712" s="40"/>
      <c r="Q3712" s="40">
        <v>38511</v>
      </c>
      <c r="R3712" s="39">
        <v>4557.29</v>
      </c>
      <c r="S3712" s="39">
        <f t="shared" si="367"/>
        <v>6</v>
      </c>
      <c r="T3712" s="39">
        <f t="shared" si="368"/>
        <v>0</v>
      </c>
      <c r="U3712" s="39">
        <f t="shared" si="369"/>
        <v>0</v>
      </c>
      <c r="V3712" s="40"/>
    </row>
    <row r="3713" spans="2:22" x14ac:dyDescent="0.35">
      <c r="B3713" s="40">
        <v>38512</v>
      </c>
      <c r="C3713" s="39">
        <v>4562.75</v>
      </c>
      <c r="D3713" s="219">
        <f t="shared" si="370"/>
        <v>1.1973633125125656E-3</v>
      </c>
      <c r="F3713" s="40">
        <v>38512</v>
      </c>
      <c r="G3713" s="39">
        <v>4562.75</v>
      </c>
      <c r="H3713" s="39">
        <f t="shared" si="365"/>
        <v>4</v>
      </c>
      <c r="I3713" s="39">
        <f t="shared" si="366"/>
        <v>0</v>
      </c>
      <c r="K3713" s="40"/>
      <c r="Q3713" s="40">
        <v>38512</v>
      </c>
      <c r="R3713" s="39">
        <v>4562.75</v>
      </c>
      <c r="S3713" s="39">
        <f t="shared" si="367"/>
        <v>6</v>
      </c>
      <c r="T3713" s="39">
        <f t="shared" si="368"/>
        <v>0</v>
      </c>
      <c r="U3713" s="39">
        <f t="shared" si="369"/>
        <v>0</v>
      </c>
      <c r="V3713" s="40"/>
    </row>
    <row r="3714" spans="2:22" x14ac:dyDescent="0.35">
      <c r="B3714" s="40">
        <v>38513</v>
      </c>
      <c r="C3714" s="39">
        <v>4586.1000000000004</v>
      </c>
      <c r="D3714" s="219">
        <f t="shared" si="370"/>
        <v>5.1044777649681275E-3</v>
      </c>
      <c r="F3714" s="40">
        <v>38513</v>
      </c>
      <c r="G3714" s="39">
        <v>4586.1000000000004</v>
      </c>
      <c r="H3714" s="39">
        <f t="shared" si="365"/>
        <v>5</v>
      </c>
      <c r="I3714" s="39">
        <f t="shared" si="366"/>
        <v>4586.1000000000004</v>
      </c>
      <c r="K3714" s="40"/>
      <c r="Q3714" s="40">
        <v>38513</v>
      </c>
      <c r="R3714" s="39">
        <v>4586.1000000000004</v>
      </c>
      <c r="S3714" s="39">
        <f t="shared" si="367"/>
        <v>6</v>
      </c>
      <c r="T3714" s="39">
        <f t="shared" si="368"/>
        <v>0</v>
      </c>
      <c r="U3714" s="39">
        <f t="shared" si="369"/>
        <v>0</v>
      </c>
      <c r="V3714" s="40"/>
    </row>
    <row r="3715" spans="2:22" x14ac:dyDescent="0.35">
      <c r="B3715" s="40">
        <v>38516</v>
      </c>
      <c r="C3715" s="39">
        <v>4599.21</v>
      </c>
      <c r="D3715" s="219">
        <f t="shared" si="370"/>
        <v>2.8545599228002316E-3</v>
      </c>
      <c r="F3715" s="40">
        <v>38516</v>
      </c>
      <c r="G3715" s="39">
        <v>4599.21</v>
      </c>
      <c r="H3715" s="39">
        <f t="shared" si="365"/>
        <v>1</v>
      </c>
      <c r="I3715" s="39">
        <f t="shared" si="366"/>
        <v>0</v>
      </c>
      <c r="K3715" s="40"/>
      <c r="Q3715" s="40">
        <v>38516</v>
      </c>
      <c r="R3715" s="39">
        <v>4599.21</v>
      </c>
      <c r="S3715" s="39">
        <f t="shared" si="367"/>
        <v>6</v>
      </c>
      <c r="T3715" s="39">
        <f t="shared" si="368"/>
        <v>0</v>
      </c>
      <c r="U3715" s="39">
        <f t="shared" si="369"/>
        <v>0</v>
      </c>
      <c r="V3715" s="40"/>
    </row>
    <row r="3716" spans="2:22" x14ac:dyDescent="0.35">
      <c r="B3716" s="40">
        <v>38517</v>
      </c>
      <c r="C3716" s="39">
        <v>4591.6899999999996</v>
      </c>
      <c r="D3716" s="219">
        <f t="shared" si="370"/>
        <v>-1.6364015881131899E-3</v>
      </c>
      <c r="F3716" s="40">
        <v>38517</v>
      </c>
      <c r="G3716" s="39">
        <v>4591.6899999999996</v>
      </c>
      <c r="H3716" s="39">
        <f t="shared" si="365"/>
        <v>2</v>
      </c>
      <c r="I3716" s="39">
        <f t="shared" si="366"/>
        <v>0</v>
      </c>
      <c r="K3716" s="40"/>
      <c r="Q3716" s="40">
        <v>38517</v>
      </c>
      <c r="R3716" s="39">
        <v>4591.6899999999996</v>
      </c>
      <c r="S3716" s="39">
        <f t="shared" si="367"/>
        <v>6</v>
      </c>
      <c r="T3716" s="39">
        <f t="shared" si="368"/>
        <v>0</v>
      </c>
      <c r="U3716" s="39">
        <f t="shared" si="369"/>
        <v>0</v>
      </c>
      <c r="V3716" s="40"/>
    </row>
    <row r="3717" spans="2:22" x14ac:dyDescent="0.35">
      <c r="B3717" s="40">
        <v>38518</v>
      </c>
      <c r="C3717" s="39">
        <v>4548.42</v>
      </c>
      <c r="D3717" s="219">
        <f t="shared" si="370"/>
        <v>-9.4682281182385825E-3</v>
      </c>
      <c r="F3717" s="40">
        <v>38518</v>
      </c>
      <c r="G3717" s="39">
        <v>4548.42</v>
      </c>
      <c r="H3717" s="39">
        <f t="shared" si="365"/>
        <v>3</v>
      </c>
      <c r="I3717" s="39">
        <f t="shared" si="366"/>
        <v>0</v>
      </c>
      <c r="K3717" s="40"/>
      <c r="Q3717" s="40">
        <v>38518</v>
      </c>
      <c r="R3717" s="39">
        <v>4548.42</v>
      </c>
      <c r="S3717" s="39">
        <f t="shared" si="367"/>
        <v>6</v>
      </c>
      <c r="T3717" s="39">
        <f t="shared" si="368"/>
        <v>0</v>
      </c>
      <c r="U3717" s="39">
        <f t="shared" si="369"/>
        <v>0</v>
      </c>
      <c r="V3717" s="40"/>
    </row>
    <row r="3718" spans="2:22" x14ac:dyDescent="0.35">
      <c r="B3718" s="40">
        <v>38519</v>
      </c>
      <c r="C3718" s="39">
        <v>4579.87</v>
      </c>
      <c r="D3718" s="219">
        <f t="shared" si="370"/>
        <v>6.8906935343666991E-3</v>
      </c>
      <c r="F3718" s="40">
        <v>38519</v>
      </c>
      <c r="G3718" s="39">
        <v>4579.87</v>
      </c>
      <c r="H3718" s="39">
        <f t="shared" si="365"/>
        <v>4</v>
      </c>
      <c r="I3718" s="39">
        <f t="shared" si="366"/>
        <v>0</v>
      </c>
      <c r="K3718" s="40"/>
      <c r="Q3718" s="40">
        <v>38519</v>
      </c>
      <c r="R3718" s="39">
        <v>4579.87</v>
      </c>
      <c r="S3718" s="39">
        <f t="shared" si="367"/>
        <v>6</v>
      </c>
      <c r="T3718" s="39">
        <f t="shared" si="368"/>
        <v>0</v>
      </c>
      <c r="U3718" s="39">
        <f t="shared" si="369"/>
        <v>0</v>
      </c>
      <c r="V3718" s="40"/>
    </row>
    <row r="3719" spans="2:22" x14ac:dyDescent="0.35">
      <c r="B3719" s="40">
        <v>38520</v>
      </c>
      <c r="C3719" s="39">
        <v>4604.57</v>
      </c>
      <c r="D3719" s="219">
        <f t="shared" si="370"/>
        <v>5.3786751392257016E-3</v>
      </c>
      <c r="F3719" s="40">
        <v>38520</v>
      </c>
      <c r="G3719" s="39">
        <v>4604.57</v>
      </c>
      <c r="H3719" s="39">
        <f t="shared" si="365"/>
        <v>5</v>
      </c>
      <c r="I3719" s="39">
        <f t="shared" si="366"/>
        <v>4604.57</v>
      </c>
      <c r="K3719" s="40"/>
      <c r="Q3719" s="40">
        <v>38520</v>
      </c>
      <c r="R3719" s="39">
        <v>4604.57</v>
      </c>
      <c r="S3719" s="39">
        <f t="shared" si="367"/>
        <v>6</v>
      </c>
      <c r="T3719" s="39">
        <f t="shared" si="368"/>
        <v>0</v>
      </c>
      <c r="U3719" s="39">
        <f t="shared" si="369"/>
        <v>0</v>
      </c>
      <c r="V3719" s="40"/>
    </row>
    <row r="3720" spans="2:22" x14ac:dyDescent="0.35">
      <c r="B3720" s="40">
        <v>38523</v>
      </c>
      <c r="C3720" s="39">
        <v>4586.8599999999997</v>
      </c>
      <c r="D3720" s="219">
        <f t="shared" si="370"/>
        <v>-3.853594471458853E-3</v>
      </c>
      <c r="F3720" s="40">
        <v>38523</v>
      </c>
      <c r="G3720" s="39">
        <v>4586.8599999999997</v>
      </c>
      <c r="H3720" s="39">
        <f t="shared" si="365"/>
        <v>1</v>
      </c>
      <c r="I3720" s="39">
        <f t="shared" si="366"/>
        <v>0</v>
      </c>
      <c r="K3720" s="40"/>
      <c r="Q3720" s="40">
        <v>38523</v>
      </c>
      <c r="R3720" s="39">
        <v>4586.8599999999997</v>
      </c>
      <c r="S3720" s="39">
        <f t="shared" si="367"/>
        <v>6</v>
      </c>
      <c r="T3720" s="39">
        <f t="shared" si="368"/>
        <v>0</v>
      </c>
      <c r="U3720" s="39">
        <f t="shared" si="369"/>
        <v>0</v>
      </c>
      <c r="V3720" s="40"/>
    </row>
    <row r="3721" spans="2:22" x14ac:dyDescent="0.35">
      <c r="B3721" s="40">
        <v>38524</v>
      </c>
      <c r="C3721" s="39">
        <v>4608.1099999999997</v>
      </c>
      <c r="D3721" s="219">
        <f t="shared" si="370"/>
        <v>4.6221005249042187E-3</v>
      </c>
      <c r="F3721" s="40">
        <v>38524</v>
      </c>
      <c r="G3721" s="39">
        <v>4608.1099999999997</v>
      </c>
      <c r="H3721" s="39">
        <f t="shared" si="365"/>
        <v>2</v>
      </c>
      <c r="I3721" s="39">
        <f t="shared" si="366"/>
        <v>0</v>
      </c>
      <c r="K3721" s="40"/>
      <c r="Q3721" s="40">
        <v>38524</v>
      </c>
      <c r="R3721" s="39">
        <v>4608.1099999999997</v>
      </c>
      <c r="S3721" s="39">
        <f t="shared" si="367"/>
        <v>6</v>
      </c>
      <c r="T3721" s="39">
        <f t="shared" si="368"/>
        <v>0</v>
      </c>
      <c r="U3721" s="39">
        <f t="shared" si="369"/>
        <v>0</v>
      </c>
      <c r="V3721" s="40"/>
    </row>
    <row r="3722" spans="2:22" x14ac:dyDescent="0.35">
      <c r="B3722" s="40">
        <v>38525</v>
      </c>
      <c r="C3722" s="39">
        <v>4619.6000000000004</v>
      </c>
      <c r="D3722" s="219">
        <f t="shared" si="370"/>
        <v>2.4903266223480877E-3</v>
      </c>
      <c r="F3722" s="40">
        <v>38525</v>
      </c>
      <c r="G3722" s="39">
        <v>4619.6000000000004</v>
      </c>
      <c r="H3722" s="39">
        <f t="shared" si="365"/>
        <v>3</v>
      </c>
      <c r="I3722" s="39">
        <f t="shared" si="366"/>
        <v>0</v>
      </c>
      <c r="K3722" s="40"/>
      <c r="Q3722" s="40">
        <v>38525</v>
      </c>
      <c r="R3722" s="39">
        <v>4619.6000000000004</v>
      </c>
      <c r="S3722" s="39">
        <f t="shared" si="367"/>
        <v>6</v>
      </c>
      <c r="T3722" s="39">
        <f t="shared" si="368"/>
        <v>0</v>
      </c>
      <c r="U3722" s="39">
        <f t="shared" si="369"/>
        <v>0</v>
      </c>
      <c r="V3722" s="40"/>
    </row>
    <row r="3723" spans="2:22" x14ac:dyDescent="0.35">
      <c r="B3723" s="40">
        <v>38526</v>
      </c>
      <c r="C3723" s="39">
        <v>4627.4799999999996</v>
      </c>
      <c r="D3723" s="219">
        <f t="shared" si="370"/>
        <v>1.704322209265613E-3</v>
      </c>
      <c r="F3723" s="40">
        <v>38526</v>
      </c>
      <c r="G3723" s="39">
        <v>4627.4799999999996</v>
      </c>
      <c r="H3723" s="39">
        <f t="shared" si="365"/>
        <v>4</v>
      </c>
      <c r="I3723" s="39">
        <f t="shared" si="366"/>
        <v>0</v>
      </c>
      <c r="K3723" s="40"/>
      <c r="Q3723" s="40">
        <v>38526</v>
      </c>
      <c r="R3723" s="39">
        <v>4627.4799999999996</v>
      </c>
      <c r="S3723" s="39">
        <f t="shared" si="367"/>
        <v>6</v>
      </c>
      <c r="T3723" s="39">
        <f t="shared" si="368"/>
        <v>0</v>
      </c>
      <c r="U3723" s="39">
        <f t="shared" si="369"/>
        <v>0</v>
      </c>
      <c r="V3723" s="40"/>
    </row>
    <row r="3724" spans="2:22" x14ac:dyDescent="0.35">
      <c r="B3724" s="40">
        <v>38527</v>
      </c>
      <c r="C3724" s="39">
        <v>4566.4799999999996</v>
      </c>
      <c r="D3724" s="219">
        <f t="shared" si="370"/>
        <v>-1.3269776049943231E-2</v>
      </c>
      <c r="F3724" s="40">
        <v>38527</v>
      </c>
      <c r="G3724" s="39">
        <v>4566.4799999999996</v>
      </c>
      <c r="H3724" s="39">
        <f t="shared" si="365"/>
        <v>5</v>
      </c>
      <c r="I3724" s="39">
        <f t="shared" si="366"/>
        <v>4566.4799999999996</v>
      </c>
      <c r="K3724" s="40"/>
      <c r="Q3724" s="40">
        <v>38527</v>
      </c>
      <c r="R3724" s="39">
        <v>4566.4799999999996</v>
      </c>
      <c r="S3724" s="39">
        <f t="shared" si="367"/>
        <v>6</v>
      </c>
      <c r="T3724" s="39">
        <f t="shared" si="368"/>
        <v>0</v>
      </c>
      <c r="U3724" s="39">
        <f t="shared" si="369"/>
        <v>0</v>
      </c>
      <c r="V3724" s="40"/>
    </row>
    <row r="3725" spans="2:22" x14ac:dyDescent="0.35">
      <c r="B3725" s="40">
        <v>38530</v>
      </c>
      <c r="C3725" s="39">
        <v>4523.82</v>
      </c>
      <c r="D3725" s="219">
        <f t="shared" si="370"/>
        <v>-9.385897754207782E-3</v>
      </c>
      <c r="F3725" s="40">
        <v>38530</v>
      </c>
      <c r="G3725" s="39">
        <v>4523.82</v>
      </c>
      <c r="H3725" s="39">
        <f t="shared" si="365"/>
        <v>1</v>
      </c>
      <c r="I3725" s="39">
        <f t="shared" si="366"/>
        <v>0</v>
      </c>
      <c r="K3725" s="40"/>
      <c r="Q3725" s="40">
        <v>38530</v>
      </c>
      <c r="R3725" s="39">
        <v>4523.82</v>
      </c>
      <c r="S3725" s="39">
        <f t="shared" si="367"/>
        <v>6</v>
      </c>
      <c r="T3725" s="39">
        <f t="shared" si="368"/>
        <v>0</v>
      </c>
      <c r="U3725" s="39">
        <f t="shared" si="369"/>
        <v>0</v>
      </c>
      <c r="V3725" s="40"/>
    </row>
    <row r="3726" spans="2:22" x14ac:dyDescent="0.35">
      <c r="B3726" s="40">
        <v>38531</v>
      </c>
      <c r="C3726" s="39">
        <v>4557.46</v>
      </c>
      <c r="D3726" s="219">
        <f t="shared" si="370"/>
        <v>7.4086811266205668E-3</v>
      </c>
      <c r="F3726" s="40">
        <v>38531</v>
      </c>
      <c r="G3726" s="39">
        <v>4557.46</v>
      </c>
      <c r="H3726" s="39">
        <f t="shared" si="365"/>
        <v>2</v>
      </c>
      <c r="I3726" s="39">
        <f t="shared" si="366"/>
        <v>0</v>
      </c>
      <c r="K3726" s="40"/>
      <c r="Q3726" s="40">
        <v>38531</v>
      </c>
      <c r="R3726" s="39">
        <v>4557.46</v>
      </c>
      <c r="S3726" s="39">
        <f t="shared" si="367"/>
        <v>6</v>
      </c>
      <c r="T3726" s="39">
        <f t="shared" si="368"/>
        <v>0</v>
      </c>
      <c r="U3726" s="39">
        <f t="shared" si="369"/>
        <v>0</v>
      </c>
      <c r="V3726" s="40"/>
    </row>
    <row r="3727" spans="2:22" x14ac:dyDescent="0.35">
      <c r="B3727" s="40">
        <v>38532</v>
      </c>
      <c r="C3727" s="39">
        <v>4583.63</v>
      </c>
      <c r="D3727" s="219">
        <f t="shared" si="370"/>
        <v>5.7258098319478709E-3</v>
      </c>
      <c r="F3727" s="40">
        <v>38532</v>
      </c>
      <c r="G3727" s="39">
        <v>4583.63</v>
      </c>
      <c r="H3727" s="39">
        <f t="shared" si="365"/>
        <v>3</v>
      </c>
      <c r="I3727" s="39">
        <f t="shared" si="366"/>
        <v>0</v>
      </c>
      <c r="K3727" s="40"/>
      <c r="Q3727" s="40">
        <v>38532</v>
      </c>
      <c r="R3727" s="39">
        <v>4583.63</v>
      </c>
      <c r="S3727" s="39">
        <f t="shared" si="367"/>
        <v>6</v>
      </c>
      <c r="T3727" s="39">
        <f t="shared" si="368"/>
        <v>0</v>
      </c>
      <c r="U3727" s="39">
        <f t="shared" si="369"/>
        <v>0</v>
      </c>
      <c r="V3727" s="40"/>
    </row>
    <row r="3728" spans="2:22" x14ac:dyDescent="0.35">
      <c r="B3728" s="40">
        <v>38533</v>
      </c>
      <c r="C3728" s="39">
        <v>4586.28</v>
      </c>
      <c r="D3728" s="219">
        <f t="shared" si="370"/>
        <v>5.7797733538723548E-4</v>
      </c>
      <c r="F3728" s="40">
        <v>38533</v>
      </c>
      <c r="G3728" s="39">
        <v>4586.28</v>
      </c>
      <c r="H3728" s="39">
        <f t="shared" si="365"/>
        <v>4</v>
      </c>
      <c r="I3728" s="39">
        <f t="shared" si="366"/>
        <v>0</v>
      </c>
      <c r="K3728" s="40"/>
      <c r="Q3728" s="40">
        <v>38533</v>
      </c>
      <c r="R3728" s="39">
        <v>4586.28</v>
      </c>
      <c r="S3728" s="39">
        <f t="shared" si="367"/>
        <v>6</v>
      </c>
      <c r="T3728" s="39">
        <f t="shared" si="368"/>
        <v>4586.28</v>
      </c>
      <c r="U3728" s="39">
        <f t="shared" si="369"/>
        <v>4586.28</v>
      </c>
      <c r="V3728" s="40"/>
    </row>
    <row r="3729" spans="2:22" x14ac:dyDescent="0.35">
      <c r="B3729" s="40">
        <v>38534</v>
      </c>
      <c r="C3729" s="39">
        <v>4617.07</v>
      </c>
      <c r="D3729" s="219">
        <f t="shared" si="370"/>
        <v>6.6910668122444946E-3</v>
      </c>
      <c r="F3729" s="40">
        <v>38534</v>
      </c>
      <c r="G3729" s="39">
        <v>4617.07</v>
      </c>
      <c r="H3729" s="39">
        <f t="shared" si="365"/>
        <v>5</v>
      </c>
      <c r="I3729" s="39">
        <f t="shared" si="366"/>
        <v>4617.07</v>
      </c>
      <c r="K3729" s="40"/>
      <c r="Q3729" s="40">
        <v>38534</v>
      </c>
      <c r="R3729" s="39">
        <v>4617.07</v>
      </c>
      <c r="S3729" s="39">
        <f t="shared" si="367"/>
        <v>7</v>
      </c>
      <c r="T3729" s="39">
        <f t="shared" si="368"/>
        <v>0</v>
      </c>
      <c r="U3729" s="39">
        <f t="shared" si="369"/>
        <v>0</v>
      </c>
      <c r="V3729" s="40"/>
    </row>
    <row r="3730" spans="2:22" x14ac:dyDescent="0.35">
      <c r="B3730" s="40">
        <v>38537</v>
      </c>
      <c r="C3730" s="39">
        <v>4623.41</v>
      </c>
      <c r="D3730" s="219">
        <f t="shared" si="370"/>
        <v>1.372223303302456E-3</v>
      </c>
      <c r="F3730" s="40">
        <v>38537</v>
      </c>
      <c r="G3730" s="39">
        <v>4623.41</v>
      </c>
      <c r="H3730" s="39">
        <f t="shared" si="365"/>
        <v>1</v>
      </c>
      <c r="I3730" s="39">
        <f t="shared" si="366"/>
        <v>0</v>
      </c>
      <c r="K3730" s="40"/>
      <c r="Q3730" s="40">
        <v>38537</v>
      </c>
      <c r="R3730" s="39">
        <v>4623.41</v>
      </c>
      <c r="S3730" s="39">
        <f t="shared" si="367"/>
        <v>7</v>
      </c>
      <c r="T3730" s="39">
        <f t="shared" si="368"/>
        <v>0</v>
      </c>
      <c r="U3730" s="39">
        <f t="shared" si="369"/>
        <v>0</v>
      </c>
      <c r="V3730" s="40"/>
    </row>
    <row r="3731" spans="2:22" x14ac:dyDescent="0.35">
      <c r="B3731" s="40">
        <v>38538</v>
      </c>
      <c r="C3731" s="39">
        <v>4603.6499999999996</v>
      </c>
      <c r="D3731" s="219">
        <f t="shared" si="370"/>
        <v>-4.2830609549413205E-3</v>
      </c>
      <c r="F3731" s="40">
        <v>38538</v>
      </c>
      <c r="G3731" s="39">
        <v>4603.6499999999996</v>
      </c>
      <c r="H3731" s="39">
        <f t="shared" si="365"/>
        <v>2</v>
      </c>
      <c r="I3731" s="39">
        <f t="shared" si="366"/>
        <v>0</v>
      </c>
      <c r="K3731" s="40"/>
      <c r="Q3731" s="40">
        <v>38538</v>
      </c>
      <c r="R3731" s="39">
        <v>4603.6499999999996</v>
      </c>
      <c r="S3731" s="39">
        <f t="shared" si="367"/>
        <v>7</v>
      </c>
      <c r="T3731" s="39">
        <f t="shared" si="368"/>
        <v>0</v>
      </c>
      <c r="U3731" s="39">
        <f t="shared" si="369"/>
        <v>0</v>
      </c>
      <c r="V3731" s="40"/>
    </row>
    <row r="3732" spans="2:22" x14ac:dyDescent="0.35">
      <c r="B3732" s="40">
        <v>38539</v>
      </c>
      <c r="C3732" s="39">
        <v>4615.49</v>
      </c>
      <c r="D3732" s="219">
        <f t="shared" si="370"/>
        <v>2.5685707147493574E-3</v>
      </c>
      <c r="F3732" s="40">
        <v>38539</v>
      </c>
      <c r="G3732" s="39">
        <v>4615.49</v>
      </c>
      <c r="H3732" s="39">
        <f t="shared" si="365"/>
        <v>3</v>
      </c>
      <c r="I3732" s="39">
        <f t="shared" si="366"/>
        <v>0</v>
      </c>
      <c r="K3732" s="40"/>
      <c r="Q3732" s="40">
        <v>38539</v>
      </c>
      <c r="R3732" s="39">
        <v>4615.49</v>
      </c>
      <c r="S3732" s="39">
        <f t="shared" si="367"/>
        <v>7</v>
      </c>
      <c r="T3732" s="39">
        <f t="shared" si="368"/>
        <v>0</v>
      </c>
      <c r="U3732" s="39">
        <f t="shared" si="369"/>
        <v>0</v>
      </c>
      <c r="V3732" s="40"/>
    </row>
    <row r="3733" spans="2:22" x14ac:dyDescent="0.35">
      <c r="B3733" s="40">
        <v>38540</v>
      </c>
      <c r="C3733" s="39">
        <v>4530.18</v>
      </c>
      <c r="D3733" s="219">
        <f t="shared" si="370"/>
        <v>-1.8656364028358307E-2</v>
      </c>
      <c r="F3733" s="40">
        <v>38540</v>
      </c>
      <c r="G3733" s="39">
        <v>4530.18</v>
      </c>
      <c r="H3733" s="39">
        <f t="shared" si="365"/>
        <v>4</v>
      </c>
      <c r="I3733" s="39">
        <f t="shared" si="366"/>
        <v>0</v>
      </c>
      <c r="K3733" s="40"/>
      <c r="Q3733" s="40">
        <v>38540</v>
      </c>
      <c r="R3733" s="39">
        <v>4530.18</v>
      </c>
      <c r="S3733" s="39">
        <f t="shared" si="367"/>
        <v>7</v>
      </c>
      <c r="T3733" s="39">
        <f t="shared" si="368"/>
        <v>0</v>
      </c>
      <c r="U3733" s="39">
        <f t="shared" si="369"/>
        <v>0</v>
      </c>
      <c r="V3733" s="40"/>
    </row>
    <row r="3734" spans="2:22" x14ac:dyDescent="0.35">
      <c r="B3734" s="40">
        <v>38541</v>
      </c>
      <c r="C3734" s="39">
        <v>4597.97</v>
      </c>
      <c r="D3734" s="219">
        <f t="shared" si="370"/>
        <v>1.4853227938939888E-2</v>
      </c>
      <c r="F3734" s="40">
        <v>38541</v>
      </c>
      <c r="G3734" s="39">
        <v>4597.97</v>
      </c>
      <c r="H3734" s="39">
        <f t="shared" si="365"/>
        <v>5</v>
      </c>
      <c r="I3734" s="39">
        <f t="shared" si="366"/>
        <v>4597.97</v>
      </c>
      <c r="K3734" s="40"/>
      <c r="Q3734" s="40">
        <v>38541</v>
      </c>
      <c r="R3734" s="39">
        <v>4597.97</v>
      </c>
      <c r="S3734" s="39">
        <f t="shared" si="367"/>
        <v>7</v>
      </c>
      <c r="T3734" s="39">
        <f t="shared" si="368"/>
        <v>0</v>
      </c>
      <c r="U3734" s="39">
        <f t="shared" si="369"/>
        <v>0</v>
      </c>
      <c r="V3734" s="40"/>
    </row>
    <row r="3735" spans="2:22" x14ac:dyDescent="0.35">
      <c r="B3735" s="40">
        <v>38544</v>
      </c>
      <c r="C3735" s="39">
        <v>4663.38</v>
      </c>
      <c r="D3735" s="219">
        <f t="shared" si="370"/>
        <v>1.4125605363369537E-2</v>
      </c>
      <c r="F3735" s="40">
        <v>38544</v>
      </c>
      <c r="G3735" s="39">
        <v>4663.38</v>
      </c>
      <c r="H3735" s="39">
        <f t="shared" si="365"/>
        <v>1</v>
      </c>
      <c r="I3735" s="39">
        <f t="shared" si="366"/>
        <v>0</v>
      </c>
      <c r="K3735" s="40"/>
      <c r="Q3735" s="40">
        <v>38544</v>
      </c>
      <c r="R3735" s="39">
        <v>4663.38</v>
      </c>
      <c r="S3735" s="39">
        <f t="shared" si="367"/>
        <v>7</v>
      </c>
      <c r="T3735" s="39">
        <f t="shared" si="368"/>
        <v>0</v>
      </c>
      <c r="U3735" s="39">
        <f t="shared" si="369"/>
        <v>0</v>
      </c>
      <c r="V3735" s="40"/>
    </row>
    <row r="3736" spans="2:22" x14ac:dyDescent="0.35">
      <c r="B3736" s="40">
        <v>38545</v>
      </c>
      <c r="C3736" s="39">
        <v>4653.03</v>
      </c>
      <c r="D3736" s="219">
        <f t="shared" si="370"/>
        <v>-2.2218868121891776E-3</v>
      </c>
      <c r="F3736" s="40">
        <v>38545</v>
      </c>
      <c r="G3736" s="39">
        <v>4653.03</v>
      </c>
      <c r="H3736" s="39">
        <f t="shared" si="365"/>
        <v>2</v>
      </c>
      <c r="I3736" s="39">
        <f t="shared" si="366"/>
        <v>0</v>
      </c>
      <c r="K3736" s="40"/>
      <c r="Q3736" s="40">
        <v>38545</v>
      </c>
      <c r="R3736" s="39">
        <v>4653.03</v>
      </c>
      <c r="S3736" s="39">
        <f t="shared" si="367"/>
        <v>7</v>
      </c>
      <c r="T3736" s="39">
        <f t="shared" si="368"/>
        <v>0</v>
      </c>
      <c r="U3736" s="39">
        <f t="shared" si="369"/>
        <v>0</v>
      </c>
      <c r="V3736" s="40"/>
    </row>
    <row r="3737" spans="2:22" x14ac:dyDescent="0.35">
      <c r="B3737" s="40">
        <v>38546</v>
      </c>
      <c r="C3737" s="39">
        <v>4679.8900000000003</v>
      </c>
      <c r="D3737" s="219">
        <f t="shared" si="370"/>
        <v>5.7559850848388511E-3</v>
      </c>
      <c r="F3737" s="40">
        <v>38546</v>
      </c>
      <c r="G3737" s="39">
        <v>4679.8900000000003</v>
      </c>
      <c r="H3737" s="39">
        <f t="shared" si="365"/>
        <v>3</v>
      </c>
      <c r="I3737" s="39">
        <f t="shared" si="366"/>
        <v>0</v>
      </c>
      <c r="K3737" s="40"/>
      <c r="Q3737" s="40">
        <v>38546</v>
      </c>
      <c r="R3737" s="39">
        <v>4679.8900000000003</v>
      </c>
      <c r="S3737" s="39">
        <f t="shared" si="367"/>
        <v>7</v>
      </c>
      <c r="T3737" s="39">
        <f t="shared" si="368"/>
        <v>0</v>
      </c>
      <c r="U3737" s="39">
        <f t="shared" si="369"/>
        <v>0</v>
      </c>
      <c r="V3737" s="40"/>
    </row>
    <row r="3738" spans="2:22" x14ac:dyDescent="0.35">
      <c r="B3738" s="40">
        <v>38547</v>
      </c>
      <c r="C3738" s="39">
        <v>4699.2700000000004</v>
      </c>
      <c r="D3738" s="219">
        <f t="shared" si="370"/>
        <v>4.1325721239873145E-3</v>
      </c>
      <c r="F3738" s="40">
        <v>38547</v>
      </c>
      <c r="G3738" s="39">
        <v>4699.2700000000004</v>
      </c>
      <c r="H3738" s="39">
        <f t="shared" si="365"/>
        <v>4</v>
      </c>
      <c r="I3738" s="39">
        <f t="shared" si="366"/>
        <v>0</v>
      </c>
      <c r="K3738" s="40"/>
      <c r="Q3738" s="40">
        <v>38547</v>
      </c>
      <c r="R3738" s="39">
        <v>4699.2700000000004</v>
      </c>
      <c r="S3738" s="39">
        <f t="shared" si="367"/>
        <v>7</v>
      </c>
      <c r="T3738" s="39">
        <f t="shared" si="368"/>
        <v>0</v>
      </c>
      <c r="U3738" s="39">
        <f t="shared" si="369"/>
        <v>0</v>
      </c>
      <c r="V3738" s="40"/>
    </row>
    <row r="3739" spans="2:22" x14ac:dyDescent="0.35">
      <c r="B3739" s="40">
        <v>38548</v>
      </c>
      <c r="C3739" s="39">
        <v>4712.8999999999996</v>
      </c>
      <c r="D3739" s="219">
        <f t="shared" si="370"/>
        <v>2.8962523047677932E-3</v>
      </c>
      <c r="F3739" s="40">
        <v>38548</v>
      </c>
      <c r="G3739" s="39">
        <v>4712.8999999999996</v>
      </c>
      <c r="H3739" s="39">
        <f t="shared" si="365"/>
        <v>5</v>
      </c>
      <c r="I3739" s="39">
        <f t="shared" si="366"/>
        <v>4712.8999999999996</v>
      </c>
      <c r="K3739" s="40"/>
      <c r="Q3739" s="40">
        <v>38548</v>
      </c>
      <c r="R3739" s="39">
        <v>4712.8999999999996</v>
      </c>
      <c r="S3739" s="39">
        <f t="shared" si="367"/>
        <v>7</v>
      </c>
      <c r="T3739" s="39">
        <f t="shared" si="368"/>
        <v>0</v>
      </c>
      <c r="U3739" s="39">
        <f t="shared" si="369"/>
        <v>0</v>
      </c>
      <c r="V3739" s="40"/>
    </row>
    <row r="3740" spans="2:22" x14ac:dyDescent="0.35">
      <c r="B3740" s="40">
        <v>38551</v>
      </c>
      <c r="C3740" s="39">
        <v>4719.57</v>
      </c>
      <c r="D3740" s="219">
        <f t="shared" si="370"/>
        <v>1.4142639439606983E-3</v>
      </c>
      <c r="F3740" s="40">
        <v>38551</v>
      </c>
      <c r="G3740" s="39">
        <v>4719.57</v>
      </c>
      <c r="H3740" s="39">
        <f t="shared" si="365"/>
        <v>1</v>
      </c>
      <c r="I3740" s="39">
        <f t="shared" si="366"/>
        <v>0</v>
      </c>
      <c r="K3740" s="40"/>
      <c r="Q3740" s="40">
        <v>38551</v>
      </c>
      <c r="R3740" s="39">
        <v>4719.57</v>
      </c>
      <c r="S3740" s="39">
        <f t="shared" si="367"/>
        <v>7</v>
      </c>
      <c r="T3740" s="39">
        <f t="shared" si="368"/>
        <v>0</v>
      </c>
      <c r="U3740" s="39">
        <f t="shared" si="369"/>
        <v>0</v>
      </c>
      <c r="V3740" s="40"/>
    </row>
    <row r="3741" spans="2:22" x14ac:dyDescent="0.35">
      <c r="B3741" s="40">
        <v>38552</v>
      </c>
      <c r="C3741" s="39">
        <v>4770.54</v>
      </c>
      <c r="D3741" s="219">
        <f t="shared" si="370"/>
        <v>1.0741812287391565E-2</v>
      </c>
      <c r="F3741" s="40">
        <v>38552</v>
      </c>
      <c r="G3741" s="39">
        <v>4770.54</v>
      </c>
      <c r="H3741" s="39">
        <f t="shared" si="365"/>
        <v>2</v>
      </c>
      <c r="I3741" s="39">
        <f t="shared" si="366"/>
        <v>0</v>
      </c>
      <c r="K3741" s="40"/>
      <c r="Q3741" s="40">
        <v>38552</v>
      </c>
      <c r="R3741" s="39">
        <v>4770.54</v>
      </c>
      <c r="S3741" s="39">
        <f t="shared" si="367"/>
        <v>7</v>
      </c>
      <c r="T3741" s="39">
        <f t="shared" si="368"/>
        <v>0</v>
      </c>
      <c r="U3741" s="39">
        <f t="shared" si="369"/>
        <v>0</v>
      </c>
      <c r="V3741" s="40"/>
    </row>
    <row r="3742" spans="2:22" x14ac:dyDescent="0.35">
      <c r="B3742" s="40">
        <v>38553</v>
      </c>
      <c r="C3742" s="39">
        <v>4784.5</v>
      </c>
      <c r="D3742" s="219">
        <f t="shared" si="370"/>
        <v>2.9220201972517137E-3</v>
      </c>
      <c r="F3742" s="40">
        <v>38553</v>
      </c>
      <c r="G3742" s="39">
        <v>4784.5</v>
      </c>
      <c r="H3742" s="39">
        <f t="shared" si="365"/>
        <v>3</v>
      </c>
      <c r="I3742" s="39">
        <f t="shared" si="366"/>
        <v>0</v>
      </c>
      <c r="K3742" s="40"/>
      <c r="Q3742" s="40">
        <v>38553</v>
      </c>
      <c r="R3742" s="39">
        <v>4784.5</v>
      </c>
      <c r="S3742" s="39">
        <f t="shared" si="367"/>
        <v>7</v>
      </c>
      <c r="T3742" s="39">
        <f t="shared" si="368"/>
        <v>0</v>
      </c>
      <c r="U3742" s="39">
        <f t="shared" si="369"/>
        <v>0</v>
      </c>
      <c r="V3742" s="40"/>
    </row>
    <row r="3743" spans="2:22" x14ac:dyDescent="0.35">
      <c r="B3743" s="40">
        <v>38554</v>
      </c>
      <c r="C3743" s="39">
        <v>4829.87</v>
      </c>
      <c r="D3743" s="219">
        <f t="shared" si="370"/>
        <v>9.4380259512110362E-3</v>
      </c>
      <c r="F3743" s="40">
        <v>38554</v>
      </c>
      <c r="G3743" s="39">
        <v>4829.87</v>
      </c>
      <c r="H3743" s="39">
        <f t="shared" si="365"/>
        <v>4</v>
      </c>
      <c r="I3743" s="39">
        <f t="shared" si="366"/>
        <v>0</v>
      </c>
      <c r="K3743" s="40"/>
      <c r="Q3743" s="40">
        <v>38554</v>
      </c>
      <c r="R3743" s="39">
        <v>4829.87</v>
      </c>
      <c r="S3743" s="39">
        <f t="shared" si="367"/>
        <v>7</v>
      </c>
      <c r="T3743" s="39">
        <f t="shared" si="368"/>
        <v>0</v>
      </c>
      <c r="U3743" s="39">
        <f t="shared" si="369"/>
        <v>0</v>
      </c>
      <c r="V3743" s="40"/>
    </row>
    <row r="3744" spans="2:22" x14ac:dyDescent="0.35">
      <c r="B3744" s="40">
        <v>38555</v>
      </c>
      <c r="C3744" s="39">
        <v>4836.8999999999996</v>
      </c>
      <c r="D3744" s="219">
        <f t="shared" si="370"/>
        <v>1.4544674672752149E-3</v>
      </c>
      <c r="F3744" s="40">
        <v>38555</v>
      </c>
      <c r="G3744" s="39">
        <v>4836.8999999999996</v>
      </c>
      <c r="H3744" s="39">
        <f t="shared" si="365"/>
        <v>5</v>
      </c>
      <c r="I3744" s="39">
        <f t="shared" si="366"/>
        <v>4836.8999999999996</v>
      </c>
      <c r="K3744" s="40"/>
      <c r="Q3744" s="40">
        <v>38555</v>
      </c>
      <c r="R3744" s="39">
        <v>4836.8999999999996</v>
      </c>
      <c r="S3744" s="39">
        <f t="shared" si="367"/>
        <v>7</v>
      </c>
      <c r="T3744" s="39">
        <f t="shared" si="368"/>
        <v>0</v>
      </c>
      <c r="U3744" s="39">
        <f t="shared" si="369"/>
        <v>0</v>
      </c>
      <c r="V3744" s="40"/>
    </row>
    <row r="3745" spans="2:22" x14ac:dyDescent="0.35">
      <c r="B3745" s="40">
        <v>38558</v>
      </c>
      <c r="C3745" s="39">
        <v>4842.7</v>
      </c>
      <c r="D3745" s="219">
        <f t="shared" si="370"/>
        <v>1.1983967713835608E-3</v>
      </c>
      <c r="F3745" s="40">
        <v>38558</v>
      </c>
      <c r="G3745" s="39">
        <v>4842.7</v>
      </c>
      <c r="H3745" s="39">
        <f t="shared" si="365"/>
        <v>1</v>
      </c>
      <c r="I3745" s="39">
        <f t="shared" si="366"/>
        <v>0</v>
      </c>
      <c r="K3745" s="40"/>
      <c r="Q3745" s="40">
        <v>38558</v>
      </c>
      <c r="R3745" s="39">
        <v>4842.7</v>
      </c>
      <c r="S3745" s="39">
        <f t="shared" si="367"/>
        <v>7</v>
      </c>
      <c r="T3745" s="39">
        <f t="shared" si="368"/>
        <v>0</v>
      </c>
      <c r="U3745" s="39">
        <f t="shared" si="369"/>
        <v>0</v>
      </c>
      <c r="V3745" s="40"/>
    </row>
    <row r="3746" spans="2:22" x14ac:dyDescent="0.35">
      <c r="B3746" s="40">
        <v>38559</v>
      </c>
      <c r="C3746" s="39">
        <v>4843.49</v>
      </c>
      <c r="D3746" s="219">
        <f t="shared" si="370"/>
        <v>1.6311883243086067E-4</v>
      </c>
      <c r="F3746" s="40">
        <v>38559</v>
      </c>
      <c r="G3746" s="39">
        <v>4843.49</v>
      </c>
      <c r="H3746" s="39">
        <f t="shared" si="365"/>
        <v>2</v>
      </c>
      <c r="I3746" s="39">
        <f t="shared" si="366"/>
        <v>0</v>
      </c>
      <c r="K3746" s="40"/>
      <c r="Q3746" s="40">
        <v>38559</v>
      </c>
      <c r="R3746" s="39">
        <v>4843.49</v>
      </c>
      <c r="S3746" s="39">
        <f t="shared" si="367"/>
        <v>7</v>
      </c>
      <c r="T3746" s="39">
        <f t="shared" si="368"/>
        <v>0</v>
      </c>
      <c r="U3746" s="39">
        <f t="shared" si="369"/>
        <v>0</v>
      </c>
      <c r="V3746" s="40"/>
    </row>
    <row r="3747" spans="2:22" x14ac:dyDescent="0.35">
      <c r="B3747" s="40">
        <v>38560</v>
      </c>
      <c r="C3747" s="39">
        <v>4855.3500000000004</v>
      </c>
      <c r="D3747" s="219">
        <f t="shared" si="370"/>
        <v>2.4456545136213206E-3</v>
      </c>
      <c r="F3747" s="40">
        <v>38560</v>
      </c>
      <c r="G3747" s="39">
        <v>4855.3500000000004</v>
      </c>
      <c r="H3747" s="39">
        <f t="shared" si="365"/>
        <v>3</v>
      </c>
      <c r="I3747" s="39">
        <f t="shared" si="366"/>
        <v>0</v>
      </c>
      <c r="K3747" s="40"/>
      <c r="Q3747" s="40">
        <v>38560</v>
      </c>
      <c r="R3747" s="39">
        <v>4855.3500000000004</v>
      </c>
      <c r="S3747" s="39">
        <f t="shared" si="367"/>
        <v>7</v>
      </c>
      <c r="T3747" s="39">
        <f t="shared" si="368"/>
        <v>0</v>
      </c>
      <c r="U3747" s="39">
        <f t="shared" si="369"/>
        <v>0</v>
      </c>
      <c r="V3747" s="40"/>
    </row>
    <row r="3748" spans="2:22" x14ac:dyDescent="0.35">
      <c r="B3748" s="40">
        <v>38561</v>
      </c>
      <c r="C3748" s="39">
        <v>4892.5</v>
      </c>
      <c r="D3748" s="219">
        <f t="shared" si="370"/>
        <v>7.6222305149919994E-3</v>
      </c>
      <c r="F3748" s="40">
        <v>38561</v>
      </c>
      <c r="G3748" s="39">
        <v>4892.5</v>
      </c>
      <c r="H3748" s="39">
        <f t="shared" si="365"/>
        <v>4</v>
      </c>
      <c r="I3748" s="39">
        <f t="shared" si="366"/>
        <v>0</v>
      </c>
      <c r="K3748" s="40"/>
      <c r="Q3748" s="40">
        <v>38561</v>
      </c>
      <c r="R3748" s="39">
        <v>4892.5</v>
      </c>
      <c r="S3748" s="39">
        <f t="shared" si="367"/>
        <v>7</v>
      </c>
      <c r="T3748" s="39">
        <f t="shared" si="368"/>
        <v>0</v>
      </c>
      <c r="U3748" s="39">
        <f t="shared" si="369"/>
        <v>0</v>
      </c>
      <c r="V3748" s="40"/>
    </row>
    <row r="3749" spans="2:22" x14ac:dyDescent="0.35">
      <c r="B3749" s="40">
        <v>38562</v>
      </c>
      <c r="C3749" s="39">
        <v>4886.5</v>
      </c>
      <c r="D3749" s="219">
        <f t="shared" si="370"/>
        <v>-1.2271194913407982E-3</v>
      </c>
      <c r="F3749" s="40">
        <v>38562</v>
      </c>
      <c r="G3749" s="39">
        <v>4886.5</v>
      </c>
      <c r="H3749" s="39">
        <f t="shared" si="365"/>
        <v>5</v>
      </c>
      <c r="I3749" s="39">
        <f t="shared" si="366"/>
        <v>4886.5</v>
      </c>
      <c r="K3749" s="40"/>
      <c r="Q3749" s="40">
        <v>38562</v>
      </c>
      <c r="R3749" s="39">
        <v>4886.5</v>
      </c>
      <c r="S3749" s="39">
        <f t="shared" si="367"/>
        <v>7</v>
      </c>
      <c r="T3749" s="39">
        <f t="shared" si="368"/>
        <v>4886.5</v>
      </c>
      <c r="U3749" s="39">
        <f t="shared" si="369"/>
        <v>4886.5</v>
      </c>
      <c r="V3749" s="40"/>
    </row>
    <row r="3750" spans="2:22" x14ac:dyDescent="0.35">
      <c r="B3750" s="40">
        <v>38565</v>
      </c>
      <c r="C3750" s="39">
        <v>4890.8500000000004</v>
      </c>
      <c r="D3750" s="219">
        <f t="shared" si="370"/>
        <v>8.8981171524289942E-4</v>
      </c>
      <c r="F3750" s="40">
        <v>38565</v>
      </c>
      <c r="G3750" s="39">
        <v>4890.8500000000004</v>
      </c>
      <c r="H3750" s="39">
        <f t="shared" si="365"/>
        <v>1</v>
      </c>
      <c r="I3750" s="39">
        <f t="shared" si="366"/>
        <v>0</v>
      </c>
      <c r="K3750" s="40"/>
      <c r="Q3750" s="40">
        <v>38565</v>
      </c>
      <c r="R3750" s="39">
        <v>4890.8500000000004</v>
      </c>
      <c r="S3750" s="39">
        <f t="shared" si="367"/>
        <v>8</v>
      </c>
      <c r="T3750" s="39">
        <f t="shared" si="368"/>
        <v>0</v>
      </c>
      <c r="U3750" s="39">
        <f t="shared" si="369"/>
        <v>0</v>
      </c>
      <c r="V3750" s="40"/>
    </row>
    <row r="3751" spans="2:22" x14ac:dyDescent="0.35">
      <c r="B3751" s="40">
        <v>38566</v>
      </c>
      <c r="C3751" s="39">
        <v>4932.87</v>
      </c>
      <c r="D3751" s="219">
        <f t="shared" si="370"/>
        <v>8.5548562603866216E-3</v>
      </c>
      <c r="F3751" s="40">
        <v>38566</v>
      </c>
      <c r="G3751" s="39">
        <v>4932.87</v>
      </c>
      <c r="H3751" s="39">
        <f t="shared" si="365"/>
        <v>2</v>
      </c>
      <c r="I3751" s="39">
        <f t="shared" si="366"/>
        <v>0</v>
      </c>
      <c r="K3751" s="40"/>
      <c r="Q3751" s="40">
        <v>38566</v>
      </c>
      <c r="R3751" s="39">
        <v>4932.87</v>
      </c>
      <c r="S3751" s="39">
        <f t="shared" si="367"/>
        <v>8</v>
      </c>
      <c r="T3751" s="39">
        <f t="shared" si="368"/>
        <v>0</v>
      </c>
      <c r="U3751" s="39">
        <f t="shared" si="369"/>
        <v>0</v>
      </c>
      <c r="V3751" s="40"/>
    </row>
    <row r="3752" spans="2:22" x14ac:dyDescent="0.35">
      <c r="B3752" s="40">
        <v>38567</v>
      </c>
      <c r="C3752" s="39">
        <v>4923.12</v>
      </c>
      <c r="D3752" s="219">
        <f t="shared" si="370"/>
        <v>-1.9784929125288169E-3</v>
      </c>
      <c r="F3752" s="40">
        <v>38567</v>
      </c>
      <c r="G3752" s="39">
        <v>4923.12</v>
      </c>
      <c r="H3752" s="39">
        <f t="shared" si="365"/>
        <v>3</v>
      </c>
      <c r="I3752" s="39">
        <f t="shared" si="366"/>
        <v>0</v>
      </c>
      <c r="K3752" s="40"/>
      <c r="Q3752" s="40">
        <v>38567</v>
      </c>
      <c r="R3752" s="39">
        <v>4923.12</v>
      </c>
      <c r="S3752" s="39">
        <f t="shared" si="367"/>
        <v>8</v>
      </c>
      <c r="T3752" s="39">
        <f t="shared" si="368"/>
        <v>0</v>
      </c>
      <c r="U3752" s="39">
        <f t="shared" si="369"/>
        <v>0</v>
      </c>
      <c r="V3752" s="40"/>
    </row>
    <row r="3753" spans="2:22" x14ac:dyDescent="0.35">
      <c r="B3753" s="40">
        <v>38568</v>
      </c>
      <c r="C3753" s="39">
        <v>4874.0600000000004</v>
      </c>
      <c r="D3753" s="219">
        <f t="shared" si="370"/>
        <v>-1.0015210515129077E-2</v>
      </c>
      <c r="F3753" s="40">
        <v>38568</v>
      </c>
      <c r="G3753" s="39">
        <v>4874.0600000000004</v>
      </c>
      <c r="H3753" s="39">
        <f t="shared" si="365"/>
        <v>4</v>
      </c>
      <c r="I3753" s="39">
        <f t="shared" si="366"/>
        <v>0</v>
      </c>
      <c r="K3753" s="40"/>
      <c r="Q3753" s="40">
        <v>38568</v>
      </c>
      <c r="R3753" s="39">
        <v>4874.0600000000004</v>
      </c>
      <c r="S3753" s="39">
        <f t="shared" si="367"/>
        <v>8</v>
      </c>
      <c r="T3753" s="39">
        <f t="shared" si="368"/>
        <v>0</v>
      </c>
      <c r="U3753" s="39">
        <f t="shared" si="369"/>
        <v>0</v>
      </c>
      <c r="V3753" s="40"/>
    </row>
    <row r="3754" spans="2:22" x14ac:dyDescent="0.35">
      <c r="B3754" s="40">
        <v>38569</v>
      </c>
      <c r="C3754" s="39">
        <v>4827.18</v>
      </c>
      <c r="D3754" s="219">
        <f t="shared" si="370"/>
        <v>-9.6648191192463349E-3</v>
      </c>
      <c r="F3754" s="40">
        <v>38569</v>
      </c>
      <c r="G3754" s="39">
        <v>4827.18</v>
      </c>
      <c r="H3754" s="39">
        <f t="shared" si="365"/>
        <v>5</v>
      </c>
      <c r="I3754" s="39">
        <f t="shared" si="366"/>
        <v>4827.18</v>
      </c>
      <c r="K3754" s="40"/>
      <c r="Q3754" s="40">
        <v>38569</v>
      </c>
      <c r="R3754" s="39">
        <v>4827.18</v>
      </c>
      <c r="S3754" s="39">
        <f t="shared" si="367"/>
        <v>8</v>
      </c>
      <c r="T3754" s="39">
        <f t="shared" si="368"/>
        <v>0</v>
      </c>
      <c r="U3754" s="39">
        <f t="shared" si="369"/>
        <v>0</v>
      </c>
      <c r="V3754" s="40"/>
    </row>
    <row r="3755" spans="2:22" x14ac:dyDescent="0.35">
      <c r="B3755" s="40">
        <v>38572</v>
      </c>
      <c r="C3755" s="39">
        <v>4837.8599999999997</v>
      </c>
      <c r="D3755" s="219">
        <f t="shared" si="370"/>
        <v>2.2100279661456585E-3</v>
      </c>
      <c r="F3755" s="40">
        <v>38572</v>
      </c>
      <c r="G3755" s="39">
        <v>4837.8599999999997</v>
      </c>
      <c r="H3755" s="39">
        <f t="shared" si="365"/>
        <v>1</v>
      </c>
      <c r="I3755" s="39">
        <f t="shared" si="366"/>
        <v>0</v>
      </c>
      <c r="K3755" s="40"/>
      <c r="Q3755" s="40">
        <v>38572</v>
      </c>
      <c r="R3755" s="39">
        <v>4837.8599999999997</v>
      </c>
      <c r="S3755" s="39">
        <f t="shared" si="367"/>
        <v>8</v>
      </c>
      <c r="T3755" s="39">
        <f t="shared" si="368"/>
        <v>0</v>
      </c>
      <c r="U3755" s="39">
        <f t="shared" si="369"/>
        <v>0</v>
      </c>
      <c r="V3755" s="40"/>
    </row>
    <row r="3756" spans="2:22" x14ac:dyDescent="0.35">
      <c r="B3756" s="40">
        <v>38573</v>
      </c>
      <c r="C3756" s="39">
        <v>4909.4799999999996</v>
      </c>
      <c r="D3756" s="219">
        <f t="shared" si="370"/>
        <v>1.4695555692689629E-2</v>
      </c>
      <c r="F3756" s="40">
        <v>38573</v>
      </c>
      <c r="G3756" s="39">
        <v>4909.4799999999996</v>
      </c>
      <c r="H3756" s="39">
        <f t="shared" si="365"/>
        <v>2</v>
      </c>
      <c r="I3756" s="39">
        <f t="shared" si="366"/>
        <v>0</v>
      </c>
      <c r="K3756" s="40"/>
      <c r="Q3756" s="40">
        <v>38573</v>
      </c>
      <c r="R3756" s="39">
        <v>4909.4799999999996</v>
      </c>
      <c r="S3756" s="39">
        <f t="shared" si="367"/>
        <v>8</v>
      </c>
      <c r="T3756" s="39">
        <f t="shared" si="368"/>
        <v>0</v>
      </c>
      <c r="U3756" s="39">
        <f t="shared" si="369"/>
        <v>0</v>
      </c>
      <c r="V3756" s="40"/>
    </row>
    <row r="3757" spans="2:22" x14ac:dyDescent="0.35">
      <c r="B3757" s="40">
        <v>38574</v>
      </c>
      <c r="C3757" s="39">
        <v>4990.57</v>
      </c>
      <c r="D3757" s="219">
        <f t="shared" si="370"/>
        <v>1.638210181245375E-2</v>
      </c>
      <c r="F3757" s="40">
        <v>38574</v>
      </c>
      <c r="G3757" s="39">
        <v>4990.57</v>
      </c>
      <c r="H3757" s="39">
        <f t="shared" si="365"/>
        <v>3</v>
      </c>
      <c r="I3757" s="39">
        <f t="shared" si="366"/>
        <v>0</v>
      </c>
      <c r="K3757" s="40"/>
      <c r="Q3757" s="40">
        <v>38574</v>
      </c>
      <c r="R3757" s="39">
        <v>4990.57</v>
      </c>
      <c r="S3757" s="39">
        <f t="shared" si="367"/>
        <v>8</v>
      </c>
      <c r="T3757" s="39">
        <f t="shared" si="368"/>
        <v>0</v>
      </c>
      <c r="U3757" s="39">
        <f t="shared" si="369"/>
        <v>0</v>
      </c>
      <c r="V3757" s="40"/>
    </row>
    <row r="3758" spans="2:22" x14ac:dyDescent="0.35">
      <c r="B3758" s="40">
        <v>38575</v>
      </c>
      <c r="C3758" s="39">
        <v>4953.93</v>
      </c>
      <c r="D3758" s="219">
        <f t="shared" si="370"/>
        <v>-7.3689307253919359E-3</v>
      </c>
      <c r="F3758" s="40">
        <v>38575</v>
      </c>
      <c r="G3758" s="39">
        <v>4953.93</v>
      </c>
      <c r="H3758" s="39">
        <f t="shared" si="365"/>
        <v>4</v>
      </c>
      <c r="I3758" s="39">
        <f t="shared" si="366"/>
        <v>0</v>
      </c>
      <c r="K3758" s="40"/>
      <c r="Q3758" s="40">
        <v>38575</v>
      </c>
      <c r="R3758" s="39">
        <v>4953.93</v>
      </c>
      <c r="S3758" s="39">
        <f t="shared" si="367"/>
        <v>8</v>
      </c>
      <c r="T3758" s="39">
        <f t="shared" si="368"/>
        <v>0</v>
      </c>
      <c r="U3758" s="39">
        <f t="shared" si="369"/>
        <v>0</v>
      </c>
      <c r="V3758" s="40"/>
    </row>
    <row r="3759" spans="2:22" x14ac:dyDescent="0.35">
      <c r="B3759" s="40">
        <v>38576</v>
      </c>
      <c r="C3759" s="39">
        <v>4937.33</v>
      </c>
      <c r="D3759" s="219">
        <f t="shared" si="370"/>
        <v>-3.3565017166214046E-3</v>
      </c>
      <c r="F3759" s="40">
        <v>38576</v>
      </c>
      <c r="G3759" s="39">
        <v>4937.33</v>
      </c>
      <c r="H3759" s="39">
        <f t="shared" si="365"/>
        <v>5</v>
      </c>
      <c r="I3759" s="39">
        <f t="shared" si="366"/>
        <v>4937.33</v>
      </c>
      <c r="K3759" s="40"/>
      <c r="Q3759" s="40">
        <v>38576</v>
      </c>
      <c r="R3759" s="39">
        <v>4937.33</v>
      </c>
      <c r="S3759" s="39">
        <f t="shared" si="367"/>
        <v>8</v>
      </c>
      <c r="T3759" s="39">
        <f t="shared" si="368"/>
        <v>0</v>
      </c>
      <c r="U3759" s="39">
        <f t="shared" si="369"/>
        <v>0</v>
      </c>
      <c r="V3759" s="40"/>
    </row>
    <row r="3760" spans="2:22" x14ac:dyDescent="0.35">
      <c r="B3760" s="40">
        <v>38579</v>
      </c>
      <c r="C3760" s="39">
        <v>4922.34</v>
      </c>
      <c r="D3760" s="219">
        <f t="shared" si="370"/>
        <v>-3.0406720609110899E-3</v>
      </c>
      <c r="F3760" s="40">
        <v>38579</v>
      </c>
      <c r="G3760" s="39">
        <v>4922.34</v>
      </c>
      <c r="H3760" s="39">
        <f t="shared" si="365"/>
        <v>1</v>
      </c>
      <c r="I3760" s="39">
        <f t="shared" si="366"/>
        <v>0</v>
      </c>
      <c r="K3760" s="40"/>
      <c r="Q3760" s="40">
        <v>38579</v>
      </c>
      <c r="R3760" s="39">
        <v>4922.34</v>
      </c>
      <c r="S3760" s="39">
        <f t="shared" si="367"/>
        <v>8</v>
      </c>
      <c r="T3760" s="39">
        <f t="shared" si="368"/>
        <v>0</v>
      </c>
      <c r="U3760" s="39">
        <f t="shared" si="369"/>
        <v>0</v>
      </c>
      <c r="V3760" s="40"/>
    </row>
    <row r="3761" spans="2:22" x14ac:dyDescent="0.35">
      <c r="B3761" s="40">
        <v>38580</v>
      </c>
      <c r="C3761" s="39">
        <v>4883.8100000000004</v>
      </c>
      <c r="D3761" s="219">
        <f t="shared" si="370"/>
        <v>-7.8583742410108706E-3</v>
      </c>
      <c r="F3761" s="40">
        <v>38580</v>
      </c>
      <c r="G3761" s="39">
        <v>4883.8100000000004</v>
      </c>
      <c r="H3761" s="39">
        <f t="shared" si="365"/>
        <v>2</v>
      </c>
      <c r="I3761" s="39">
        <f t="shared" si="366"/>
        <v>0</v>
      </c>
      <c r="K3761" s="40"/>
      <c r="Q3761" s="40">
        <v>38580</v>
      </c>
      <c r="R3761" s="39">
        <v>4883.8100000000004</v>
      </c>
      <c r="S3761" s="39">
        <f t="shared" si="367"/>
        <v>8</v>
      </c>
      <c r="T3761" s="39">
        <f t="shared" si="368"/>
        <v>0</v>
      </c>
      <c r="U3761" s="39">
        <f t="shared" si="369"/>
        <v>0</v>
      </c>
      <c r="V3761" s="40"/>
    </row>
    <row r="3762" spans="2:22" x14ac:dyDescent="0.35">
      <c r="B3762" s="40">
        <v>38581</v>
      </c>
      <c r="C3762" s="39">
        <v>4871.46</v>
      </c>
      <c r="D3762" s="219">
        <f t="shared" si="370"/>
        <v>-2.5319661265829083E-3</v>
      </c>
      <c r="F3762" s="40">
        <v>38581</v>
      </c>
      <c r="G3762" s="39">
        <v>4871.46</v>
      </c>
      <c r="H3762" s="39">
        <f t="shared" si="365"/>
        <v>3</v>
      </c>
      <c r="I3762" s="39">
        <f t="shared" si="366"/>
        <v>0</v>
      </c>
      <c r="K3762" s="40"/>
      <c r="Q3762" s="40">
        <v>38581</v>
      </c>
      <c r="R3762" s="39">
        <v>4871.46</v>
      </c>
      <c r="S3762" s="39">
        <f t="shared" si="367"/>
        <v>8</v>
      </c>
      <c r="T3762" s="39">
        <f t="shared" si="368"/>
        <v>0</v>
      </c>
      <c r="U3762" s="39">
        <f t="shared" si="369"/>
        <v>0</v>
      </c>
      <c r="V3762" s="40"/>
    </row>
    <row r="3763" spans="2:22" x14ac:dyDescent="0.35">
      <c r="B3763" s="40">
        <v>38582</v>
      </c>
      <c r="C3763" s="39">
        <v>4851.2700000000004</v>
      </c>
      <c r="D3763" s="219">
        <f t="shared" si="370"/>
        <v>-4.1531604849665785E-3</v>
      </c>
      <c r="F3763" s="40">
        <v>38582</v>
      </c>
      <c r="G3763" s="39">
        <v>4851.2700000000004</v>
      </c>
      <c r="H3763" s="39">
        <f t="shared" si="365"/>
        <v>4</v>
      </c>
      <c r="I3763" s="39">
        <f t="shared" si="366"/>
        <v>0</v>
      </c>
      <c r="K3763" s="40"/>
      <c r="Q3763" s="40">
        <v>38582</v>
      </c>
      <c r="R3763" s="39">
        <v>4851.2700000000004</v>
      </c>
      <c r="S3763" s="39">
        <f t="shared" si="367"/>
        <v>8</v>
      </c>
      <c r="T3763" s="39">
        <f t="shared" si="368"/>
        <v>0</v>
      </c>
      <c r="U3763" s="39">
        <f t="shared" si="369"/>
        <v>0</v>
      </c>
      <c r="V3763" s="40"/>
    </row>
    <row r="3764" spans="2:22" x14ac:dyDescent="0.35">
      <c r="B3764" s="40">
        <v>38583</v>
      </c>
      <c r="C3764" s="39">
        <v>4929.91</v>
      </c>
      <c r="D3764" s="219">
        <f t="shared" si="370"/>
        <v>1.6080205968587381E-2</v>
      </c>
      <c r="F3764" s="40">
        <v>38583</v>
      </c>
      <c r="G3764" s="39">
        <v>4929.91</v>
      </c>
      <c r="H3764" s="39">
        <f t="shared" si="365"/>
        <v>5</v>
      </c>
      <c r="I3764" s="39">
        <f t="shared" si="366"/>
        <v>4929.91</v>
      </c>
      <c r="K3764" s="40"/>
      <c r="Q3764" s="40">
        <v>38583</v>
      </c>
      <c r="R3764" s="39">
        <v>4929.91</v>
      </c>
      <c r="S3764" s="39">
        <f t="shared" si="367"/>
        <v>8</v>
      </c>
      <c r="T3764" s="39">
        <f t="shared" si="368"/>
        <v>0</v>
      </c>
      <c r="U3764" s="39">
        <f t="shared" si="369"/>
        <v>0</v>
      </c>
      <c r="V3764" s="40"/>
    </row>
    <row r="3765" spans="2:22" x14ac:dyDescent="0.35">
      <c r="B3765" s="40">
        <v>38586</v>
      </c>
      <c r="C3765" s="39">
        <v>4941.6899999999996</v>
      </c>
      <c r="D3765" s="219">
        <f t="shared" si="370"/>
        <v>2.3866456484559115E-3</v>
      </c>
      <c r="F3765" s="40">
        <v>38586</v>
      </c>
      <c r="G3765" s="39">
        <v>4941.6899999999996</v>
      </c>
      <c r="H3765" s="39">
        <f t="shared" si="365"/>
        <v>1</v>
      </c>
      <c r="I3765" s="39">
        <f t="shared" si="366"/>
        <v>0</v>
      </c>
      <c r="K3765" s="40"/>
      <c r="Q3765" s="40">
        <v>38586</v>
      </c>
      <c r="R3765" s="39">
        <v>4941.6899999999996</v>
      </c>
      <c r="S3765" s="39">
        <f t="shared" si="367"/>
        <v>8</v>
      </c>
      <c r="T3765" s="39">
        <f t="shared" si="368"/>
        <v>0</v>
      </c>
      <c r="U3765" s="39">
        <f t="shared" si="369"/>
        <v>0</v>
      </c>
      <c r="V3765" s="40"/>
    </row>
    <row r="3766" spans="2:22" x14ac:dyDescent="0.35">
      <c r="B3766" s="40">
        <v>38587</v>
      </c>
      <c r="C3766" s="39">
        <v>4917.74</v>
      </c>
      <c r="D3766" s="219">
        <f t="shared" si="370"/>
        <v>-4.8583025809489939E-3</v>
      </c>
      <c r="F3766" s="40">
        <v>38587</v>
      </c>
      <c r="G3766" s="39">
        <v>4917.74</v>
      </c>
      <c r="H3766" s="39">
        <f t="shared" si="365"/>
        <v>2</v>
      </c>
      <c r="I3766" s="39">
        <f t="shared" si="366"/>
        <v>0</v>
      </c>
      <c r="K3766" s="40"/>
      <c r="Q3766" s="40">
        <v>38587</v>
      </c>
      <c r="R3766" s="39">
        <v>4917.74</v>
      </c>
      <c r="S3766" s="39">
        <f t="shared" si="367"/>
        <v>8</v>
      </c>
      <c r="T3766" s="39">
        <f t="shared" si="368"/>
        <v>0</v>
      </c>
      <c r="U3766" s="39">
        <f t="shared" si="369"/>
        <v>0</v>
      </c>
      <c r="V3766" s="40"/>
    </row>
    <row r="3767" spans="2:22" x14ac:dyDescent="0.35">
      <c r="B3767" s="40">
        <v>38588</v>
      </c>
      <c r="C3767" s="39">
        <v>4915.95</v>
      </c>
      <c r="D3767" s="219">
        <f t="shared" si="370"/>
        <v>-3.6405459593906106E-4</v>
      </c>
      <c r="F3767" s="40">
        <v>38588</v>
      </c>
      <c r="G3767" s="39">
        <v>4915.95</v>
      </c>
      <c r="H3767" s="39">
        <f t="shared" ref="H3767:H3830" si="371">WEEKDAY(F3767,2)</f>
        <v>3</v>
      </c>
      <c r="I3767" s="39">
        <f t="shared" ref="I3767:I3830" si="372">IF(H3767&gt;H3768,G3767,0)</f>
        <v>0</v>
      </c>
      <c r="K3767" s="40"/>
      <c r="Q3767" s="40">
        <v>38588</v>
      </c>
      <c r="R3767" s="39">
        <v>4915.95</v>
      </c>
      <c r="S3767" s="39">
        <f t="shared" ref="S3767:S3830" si="373">MONTH(Q3767)</f>
        <v>8</v>
      </c>
      <c r="T3767" s="39">
        <f t="shared" ref="T3767:T3830" si="374">IF(S3768&lt;&gt;S3767,R3767,0)</f>
        <v>0</v>
      </c>
      <c r="U3767" s="39">
        <f t="shared" ref="U3767:U3830" si="375">IF(S3768=S3767,0,R3767)</f>
        <v>0</v>
      </c>
      <c r="V3767" s="40"/>
    </row>
    <row r="3768" spans="2:22" x14ac:dyDescent="0.35">
      <c r="B3768" s="40">
        <v>38589</v>
      </c>
      <c r="C3768" s="39">
        <v>4856.01</v>
      </c>
      <c r="D3768" s="219">
        <f t="shared" ref="D3768:D3831" si="376">LN(C3768/C3767)</f>
        <v>-1.2267907718288815E-2</v>
      </c>
      <c r="F3768" s="40">
        <v>38589</v>
      </c>
      <c r="G3768" s="39">
        <v>4856.01</v>
      </c>
      <c r="H3768" s="39">
        <f t="shared" si="371"/>
        <v>4</v>
      </c>
      <c r="I3768" s="39">
        <f t="shared" si="372"/>
        <v>0</v>
      </c>
      <c r="K3768" s="40"/>
      <c r="Q3768" s="40">
        <v>38589</v>
      </c>
      <c r="R3768" s="39">
        <v>4856.01</v>
      </c>
      <c r="S3768" s="39">
        <f t="shared" si="373"/>
        <v>8</v>
      </c>
      <c r="T3768" s="39">
        <f t="shared" si="374"/>
        <v>0</v>
      </c>
      <c r="U3768" s="39">
        <f t="shared" si="375"/>
        <v>0</v>
      </c>
      <c r="V3768" s="40"/>
    </row>
    <row r="3769" spans="2:22" x14ac:dyDescent="0.35">
      <c r="B3769" s="40">
        <v>38590</v>
      </c>
      <c r="C3769" s="39">
        <v>4783.8</v>
      </c>
      <c r="D3769" s="219">
        <f t="shared" si="376"/>
        <v>-1.4981903308781498E-2</v>
      </c>
      <c r="F3769" s="40">
        <v>38590</v>
      </c>
      <c r="G3769" s="39">
        <v>4783.8</v>
      </c>
      <c r="H3769" s="39">
        <f t="shared" si="371"/>
        <v>5</v>
      </c>
      <c r="I3769" s="39">
        <f t="shared" si="372"/>
        <v>4783.8</v>
      </c>
      <c r="K3769" s="40"/>
      <c r="Q3769" s="40">
        <v>38590</v>
      </c>
      <c r="R3769" s="39">
        <v>4783.8</v>
      </c>
      <c r="S3769" s="39">
        <f t="shared" si="373"/>
        <v>8</v>
      </c>
      <c r="T3769" s="39">
        <f t="shared" si="374"/>
        <v>0</v>
      </c>
      <c r="U3769" s="39">
        <f t="shared" si="375"/>
        <v>0</v>
      </c>
      <c r="V3769" s="40"/>
    </row>
    <row r="3770" spans="2:22" x14ac:dyDescent="0.35">
      <c r="B3770" s="40">
        <v>38593</v>
      </c>
      <c r="C3770" s="39">
        <v>4812.24</v>
      </c>
      <c r="D3770" s="219">
        <f t="shared" si="376"/>
        <v>5.9274624260533069E-3</v>
      </c>
      <c r="F3770" s="40">
        <v>38593</v>
      </c>
      <c r="G3770" s="39">
        <v>4812.24</v>
      </c>
      <c r="H3770" s="39">
        <f t="shared" si="371"/>
        <v>1</v>
      </c>
      <c r="I3770" s="39">
        <f t="shared" si="372"/>
        <v>0</v>
      </c>
      <c r="K3770" s="40"/>
      <c r="Q3770" s="40">
        <v>38593</v>
      </c>
      <c r="R3770" s="39">
        <v>4812.24</v>
      </c>
      <c r="S3770" s="39">
        <f t="shared" si="373"/>
        <v>8</v>
      </c>
      <c r="T3770" s="39">
        <f t="shared" si="374"/>
        <v>0</v>
      </c>
      <c r="U3770" s="39">
        <f t="shared" si="375"/>
        <v>0</v>
      </c>
      <c r="V3770" s="40"/>
    </row>
    <row r="3771" spans="2:22" x14ac:dyDescent="0.35">
      <c r="B3771" s="40">
        <v>38594</v>
      </c>
      <c r="C3771" s="39">
        <v>4791.72</v>
      </c>
      <c r="D3771" s="219">
        <f t="shared" si="376"/>
        <v>-4.2732437922768027E-3</v>
      </c>
      <c r="F3771" s="40">
        <v>38594</v>
      </c>
      <c r="G3771" s="39">
        <v>4791.72</v>
      </c>
      <c r="H3771" s="39">
        <f t="shared" si="371"/>
        <v>2</v>
      </c>
      <c r="I3771" s="39">
        <f t="shared" si="372"/>
        <v>0</v>
      </c>
      <c r="K3771" s="40"/>
      <c r="Q3771" s="40">
        <v>38594</v>
      </c>
      <c r="R3771" s="39">
        <v>4791.72</v>
      </c>
      <c r="S3771" s="39">
        <f t="shared" si="373"/>
        <v>8</v>
      </c>
      <c r="T3771" s="39">
        <f t="shared" si="374"/>
        <v>0</v>
      </c>
      <c r="U3771" s="39">
        <f t="shared" si="375"/>
        <v>0</v>
      </c>
      <c r="V3771" s="40"/>
    </row>
    <row r="3772" spans="2:22" x14ac:dyDescent="0.35">
      <c r="B3772" s="40">
        <v>38595</v>
      </c>
      <c r="C3772" s="39">
        <v>4829.6899999999996</v>
      </c>
      <c r="D3772" s="219">
        <f t="shared" si="376"/>
        <v>7.8928550219548969E-3</v>
      </c>
      <c r="F3772" s="40">
        <v>38595</v>
      </c>
      <c r="G3772" s="39">
        <v>4829.6899999999996</v>
      </c>
      <c r="H3772" s="39">
        <f t="shared" si="371"/>
        <v>3</v>
      </c>
      <c r="I3772" s="39">
        <f t="shared" si="372"/>
        <v>0</v>
      </c>
      <c r="K3772" s="40"/>
      <c r="Q3772" s="40">
        <v>38595</v>
      </c>
      <c r="R3772" s="39">
        <v>4829.6899999999996</v>
      </c>
      <c r="S3772" s="39">
        <f t="shared" si="373"/>
        <v>8</v>
      </c>
      <c r="T3772" s="39">
        <f t="shared" si="374"/>
        <v>4829.6899999999996</v>
      </c>
      <c r="U3772" s="39">
        <f t="shared" si="375"/>
        <v>4829.6899999999996</v>
      </c>
      <c r="V3772" s="40"/>
    </row>
    <row r="3773" spans="2:22" x14ac:dyDescent="0.35">
      <c r="B3773" s="40">
        <v>38596</v>
      </c>
      <c r="C3773" s="39">
        <v>4842.9399999999996</v>
      </c>
      <c r="D3773" s="219">
        <f t="shared" si="376"/>
        <v>2.739690919175107E-3</v>
      </c>
      <c r="F3773" s="40">
        <v>38596</v>
      </c>
      <c r="G3773" s="39">
        <v>4842.9399999999996</v>
      </c>
      <c r="H3773" s="39">
        <f t="shared" si="371"/>
        <v>4</v>
      </c>
      <c r="I3773" s="39">
        <f t="shared" si="372"/>
        <v>0</v>
      </c>
      <c r="K3773" s="40"/>
      <c r="Q3773" s="40">
        <v>38596</v>
      </c>
      <c r="R3773" s="39">
        <v>4842.9399999999996</v>
      </c>
      <c r="S3773" s="39">
        <f t="shared" si="373"/>
        <v>9</v>
      </c>
      <c r="T3773" s="39">
        <f t="shared" si="374"/>
        <v>0</v>
      </c>
      <c r="U3773" s="39">
        <f t="shared" si="375"/>
        <v>0</v>
      </c>
      <c r="V3773" s="40"/>
    </row>
    <row r="3774" spans="2:22" x14ac:dyDescent="0.35">
      <c r="B3774" s="40">
        <v>38597</v>
      </c>
      <c r="C3774" s="39">
        <v>4837.8100000000004</v>
      </c>
      <c r="D3774" s="219">
        <f t="shared" si="376"/>
        <v>-1.0598353392431063E-3</v>
      </c>
      <c r="F3774" s="40">
        <v>38597</v>
      </c>
      <c r="G3774" s="39">
        <v>4837.8100000000004</v>
      </c>
      <c r="H3774" s="39">
        <f t="shared" si="371"/>
        <v>5</v>
      </c>
      <c r="I3774" s="39">
        <f t="shared" si="372"/>
        <v>4837.8100000000004</v>
      </c>
      <c r="K3774" s="40"/>
      <c r="Q3774" s="40">
        <v>38597</v>
      </c>
      <c r="R3774" s="39">
        <v>4837.8100000000004</v>
      </c>
      <c r="S3774" s="39">
        <f t="shared" si="373"/>
        <v>9</v>
      </c>
      <c r="T3774" s="39">
        <f t="shared" si="374"/>
        <v>0</v>
      </c>
      <c r="U3774" s="39">
        <f t="shared" si="375"/>
        <v>0</v>
      </c>
      <c r="V3774" s="40"/>
    </row>
    <row r="3775" spans="2:22" x14ac:dyDescent="0.35">
      <c r="B3775" s="40">
        <v>38600</v>
      </c>
      <c r="C3775" s="39">
        <v>4909.8900000000003</v>
      </c>
      <c r="D3775" s="219">
        <f t="shared" si="376"/>
        <v>1.4789399306785727E-2</v>
      </c>
      <c r="F3775" s="40">
        <v>38600</v>
      </c>
      <c r="G3775" s="39">
        <v>4909.8900000000003</v>
      </c>
      <c r="H3775" s="39">
        <f t="shared" si="371"/>
        <v>1</v>
      </c>
      <c r="I3775" s="39">
        <f t="shared" si="372"/>
        <v>0</v>
      </c>
      <c r="K3775" s="40"/>
      <c r="Q3775" s="40">
        <v>38600</v>
      </c>
      <c r="R3775" s="39">
        <v>4909.8900000000003</v>
      </c>
      <c r="S3775" s="39">
        <f t="shared" si="373"/>
        <v>9</v>
      </c>
      <c r="T3775" s="39">
        <f t="shared" si="374"/>
        <v>0</v>
      </c>
      <c r="U3775" s="39">
        <f t="shared" si="375"/>
        <v>0</v>
      </c>
      <c r="V3775" s="40"/>
    </row>
    <row r="3776" spans="2:22" x14ac:dyDescent="0.35">
      <c r="B3776" s="40">
        <v>38601</v>
      </c>
      <c r="C3776" s="39">
        <v>4968.28</v>
      </c>
      <c r="D3776" s="219">
        <f t="shared" si="376"/>
        <v>1.182216545469047E-2</v>
      </c>
      <c r="F3776" s="40">
        <v>38601</v>
      </c>
      <c r="G3776" s="39">
        <v>4968.28</v>
      </c>
      <c r="H3776" s="39">
        <f t="shared" si="371"/>
        <v>2</v>
      </c>
      <c r="I3776" s="39">
        <f t="shared" si="372"/>
        <v>0</v>
      </c>
      <c r="K3776" s="40"/>
      <c r="Q3776" s="40">
        <v>38601</v>
      </c>
      <c r="R3776" s="39">
        <v>4968.28</v>
      </c>
      <c r="S3776" s="39">
        <f t="shared" si="373"/>
        <v>9</v>
      </c>
      <c r="T3776" s="39">
        <f t="shared" si="374"/>
        <v>0</v>
      </c>
      <c r="U3776" s="39">
        <f t="shared" si="375"/>
        <v>0</v>
      </c>
      <c r="V3776" s="40"/>
    </row>
    <row r="3777" spans="2:22" x14ac:dyDescent="0.35">
      <c r="B3777" s="40">
        <v>38602</v>
      </c>
      <c r="C3777" s="39">
        <v>4988.1400000000003</v>
      </c>
      <c r="D3777" s="219">
        <f t="shared" si="376"/>
        <v>3.9893910340698798E-3</v>
      </c>
      <c r="F3777" s="40">
        <v>38602</v>
      </c>
      <c r="G3777" s="39">
        <v>4988.1400000000003</v>
      </c>
      <c r="H3777" s="39">
        <f t="shared" si="371"/>
        <v>3</v>
      </c>
      <c r="I3777" s="39">
        <f t="shared" si="372"/>
        <v>0</v>
      </c>
      <c r="K3777" s="40"/>
      <c r="Q3777" s="40">
        <v>38602</v>
      </c>
      <c r="R3777" s="39">
        <v>4988.1400000000003</v>
      </c>
      <c r="S3777" s="39">
        <f t="shared" si="373"/>
        <v>9</v>
      </c>
      <c r="T3777" s="39">
        <f t="shared" si="374"/>
        <v>0</v>
      </c>
      <c r="U3777" s="39">
        <f t="shared" si="375"/>
        <v>0</v>
      </c>
      <c r="V3777" s="40"/>
    </row>
    <row r="3778" spans="2:22" x14ac:dyDescent="0.35">
      <c r="B3778" s="40">
        <v>38603</v>
      </c>
      <c r="C3778" s="39">
        <v>4992.75</v>
      </c>
      <c r="D3778" s="219">
        <f t="shared" si="376"/>
        <v>9.2376538120860397E-4</v>
      </c>
      <c r="F3778" s="40">
        <v>38603</v>
      </c>
      <c r="G3778" s="39">
        <v>4992.75</v>
      </c>
      <c r="H3778" s="39">
        <f t="shared" si="371"/>
        <v>4</v>
      </c>
      <c r="I3778" s="39">
        <f t="shared" si="372"/>
        <v>0</v>
      </c>
      <c r="K3778" s="40"/>
      <c r="Q3778" s="40">
        <v>38603</v>
      </c>
      <c r="R3778" s="39">
        <v>4992.75</v>
      </c>
      <c r="S3778" s="39">
        <f t="shared" si="373"/>
        <v>9</v>
      </c>
      <c r="T3778" s="39">
        <f t="shared" si="374"/>
        <v>0</v>
      </c>
      <c r="U3778" s="39">
        <f t="shared" si="375"/>
        <v>0</v>
      </c>
      <c r="V3778" s="40"/>
    </row>
    <row r="3779" spans="2:22" x14ac:dyDescent="0.35">
      <c r="B3779" s="40">
        <v>38604</v>
      </c>
      <c r="C3779" s="39">
        <v>5005.93</v>
      </c>
      <c r="D3779" s="219">
        <f t="shared" si="376"/>
        <v>2.6363495248949908E-3</v>
      </c>
      <c r="F3779" s="40">
        <v>38604</v>
      </c>
      <c r="G3779" s="39">
        <v>5005.93</v>
      </c>
      <c r="H3779" s="39">
        <f t="shared" si="371"/>
        <v>5</v>
      </c>
      <c r="I3779" s="39">
        <f t="shared" si="372"/>
        <v>5005.93</v>
      </c>
      <c r="K3779" s="40"/>
      <c r="Q3779" s="40">
        <v>38604</v>
      </c>
      <c r="R3779" s="39">
        <v>5005.93</v>
      </c>
      <c r="S3779" s="39">
        <f t="shared" si="373"/>
        <v>9</v>
      </c>
      <c r="T3779" s="39">
        <f t="shared" si="374"/>
        <v>0</v>
      </c>
      <c r="U3779" s="39">
        <f t="shared" si="375"/>
        <v>0</v>
      </c>
      <c r="V3779" s="40"/>
    </row>
    <row r="3780" spans="2:22" x14ac:dyDescent="0.35">
      <c r="B3780" s="40">
        <v>38607</v>
      </c>
      <c r="C3780" s="39">
        <v>4989.9799999999996</v>
      </c>
      <c r="D3780" s="219">
        <f t="shared" si="376"/>
        <v>-3.1913079523175373E-3</v>
      </c>
      <c r="F3780" s="40">
        <v>38607</v>
      </c>
      <c r="G3780" s="39">
        <v>4989.9799999999996</v>
      </c>
      <c r="H3780" s="39">
        <f t="shared" si="371"/>
        <v>1</v>
      </c>
      <c r="I3780" s="39">
        <f t="shared" si="372"/>
        <v>0</v>
      </c>
      <c r="K3780" s="40"/>
      <c r="Q3780" s="40">
        <v>38607</v>
      </c>
      <c r="R3780" s="39">
        <v>4989.9799999999996</v>
      </c>
      <c r="S3780" s="39">
        <f t="shared" si="373"/>
        <v>9</v>
      </c>
      <c r="T3780" s="39">
        <f t="shared" si="374"/>
        <v>0</v>
      </c>
      <c r="U3780" s="39">
        <f t="shared" si="375"/>
        <v>0</v>
      </c>
      <c r="V3780" s="40"/>
    </row>
    <row r="3781" spans="2:22" x14ac:dyDescent="0.35">
      <c r="B3781" s="40">
        <v>38608</v>
      </c>
      <c r="C3781" s="39">
        <v>4901.88</v>
      </c>
      <c r="D3781" s="219">
        <f t="shared" si="376"/>
        <v>-1.7813096737239031E-2</v>
      </c>
      <c r="F3781" s="40">
        <v>38608</v>
      </c>
      <c r="G3781" s="39">
        <v>4901.88</v>
      </c>
      <c r="H3781" s="39">
        <f t="shared" si="371"/>
        <v>2</v>
      </c>
      <c r="I3781" s="39">
        <f t="shared" si="372"/>
        <v>0</v>
      </c>
      <c r="K3781" s="40"/>
      <c r="Q3781" s="40">
        <v>38608</v>
      </c>
      <c r="R3781" s="39">
        <v>4901.88</v>
      </c>
      <c r="S3781" s="39">
        <f t="shared" si="373"/>
        <v>9</v>
      </c>
      <c r="T3781" s="39">
        <f t="shared" si="374"/>
        <v>0</v>
      </c>
      <c r="U3781" s="39">
        <f t="shared" si="375"/>
        <v>0</v>
      </c>
      <c r="V3781" s="40"/>
    </row>
    <row r="3782" spans="2:22" x14ac:dyDescent="0.35">
      <c r="B3782" s="40">
        <v>38609</v>
      </c>
      <c r="C3782" s="39">
        <v>4911.17</v>
      </c>
      <c r="D3782" s="219">
        <f t="shared" si="376"/>
        <v>1.8933976236445629E-3</v>
      </c>
      <c r="F3782" s="40">
        <v>38609</v>
      </c>
      <c r="G3782" s="39">
        <v>4911.17</v>
      </c>
      <c r="H3782" s="39">
        <f t="shared" si="371"/>
        <v>3</v>
      </c>
      <c r="I3782" s="39">
        <f t="shared" si="372"/>
        <v>0</v>
      </c>
      <c r="K3782" s="40"/>
      <c r="Q3782" s="40">
        <v>38609</v>
      </c>
      <c r="R3782" s="39">
        <v>4911.17</v>
      </c>
      <c r="S3782" s="39">
        <f t="shared" si="373"/>
        <v>9</v>
      </c>
      <c r="T3782" s="39">
        <f t="shared" si="374"/>
        <v>0</v>
      </c>
      <c r="U3782" s="39">
        <f t="shared" si="375"/>
        <v>0</v>
      </c>
      <c r="V3782" s="40"/>
    </row>
    <row r="3783" spans="2:22" x14ac:dyDescent="0.35">
      <c r="B3783" s="40">
        <v>38610</v>
      </c>
      <c r="C3783" s="39">
        <v>4905.9799999999996</v>
      </c>
      <c r="D3783" s="219">
        <f t="shared" si="376"/>
        <v>-1.0573334386284863E-3</v>
      </c>
      <c r="F3783" s="40">
        <v>38610</v>
      </c>
      <c r="G3783" s="39">
        <v>4905.9799999999996</v>
      </c>
      <c r="H3783" s="39">
        <f t="shared" si="371"/>
        <v>4</v>
      </c>
      <c r="I3783" s="39">
        <f t="shared" si="372"/>
        <v>0</v>
      </c>
      <c r="K3783" s="40"/>
      <c r="Q3783" s="40">
        <v>38610</v>
      </c>
      <c r="R3783" s="39">
        <v>4905.9799999999996</v>
      </c>
      <c r="S3783" s="39">
        <f t="shared" si="373"/>
        <v>9</v>
      </c>
      <c r="T3783" s="39">
        <f t="shared" si="374"/>
        <v>0</v>
      </c>
      <c r="U3783" s="39">
        <f t="shared" si="375"/>
        <v>0</v>
      </c>
      <c r="V3783" s="40"/>
    </row>
    <row r="3784" spans="2:22" x14ac:dyDescent="0.35">
      <c r="B3784" s="40">
        <v>38611</v>
      </c>
      <c r="C3784" s="39">
        <v>4986.5</v>
      </c>
      <c r="D3784" s="219">
        <f t="shared" si="376"/>
        <v>1.6279391672645683E-2</v>
      </c>
      <c r="F3784" s="40">
        <v>38611</v>
      </c>
      <c r="G3784" s="39">
        <v>4986.5</v>
      </c>
      <c r="H3784" s="39">
        <f t="shared" si="371"/>
        <v>5</v>
      </c>
      <c r="I3784" s="39">
        <f t="shared" si="372"/>
        <v>4986.5</v>
      </c>
      <c r="K3784" s="40"/>
      <c r="Q3784" s="40">
        <v>38611</v>
      </c>
      <c r="R3784" s="39">
        <v>4986.5</v>
      </c>
      <c r="S3784" s="39">
        <f t="shared" si="373"/>
        <v>9</v>
      </c>
      <c r="T3784" s="39">
        <f t="shared" si="374"/>
        <v>0</v>
      </c>
      <c r="U3784" s="39">
        <f t="shared" si="375"/>
        <v>0</v>
      </c>
      <c r="V3784" s="40"/>
    </row>
    <row r="3785" spans="2:22" x14ac:dyDescent="0.35">
      <c r="B3785" s="40">
        <v>38614</v>
      </c>
      <c r="C3785" s="39">
        <v>4926.13</v>
      </c>
      <c r="D3785" s="219">
        <f t="shared" si="376"/>
        <v>-1.2180570929071891E-2</v>
      </c>
      <c r="F3785" s="40">
        <v>38614</v>
      </c>
      <c r="G3785" s="39">
        <v>4926.13</v>
      </c>
      <c r="H3785" s="39">
        <f t="shared" si="371"/>
        <v>1</v>
      </c>
      <c r="I3785" s="39">
        <f t="shared" si="372"/>
        <v>0</v>
      </c>
      <c r="K3785" s="40"/>
      <c r="Q3785" s="40">
        <v>38614</v>
      </c>
      <c r="R3785" s="39">
        <v>4926.13</v>
      </c>
      <c r="S3785" s="39">
        <f t="shared" si="373"/>
        <v>9</v>
      </c>
      <c r="T3785" s="39">
        <f t="shared" si="374"/>
        <v>0</v>
      </c>
      <c r="U3785" s="39">
        <f t="shared" si="375"/>
        <v>0</v>
      </c>
      <c r="V3785" s="40"/>
    </row>
    <row r="3786" spans="2:22" x14ac:dyDescent="0.35">
      <c r="B3786" s="40">
        <v>38615</v>
      </c>
      <c r="C3786" s="39">
        <v>4962.8599999999997</v>
      </c>
      <c r="D3786" s="219">
        <f t="shared" si="376"/>
        <v>7.4284975320048768E-3</v>
      </c>
      <c r="F3786" s="40">
        <v>38615</v>
      </c>
      <c r="G3786" s="39">
        <v>4962.8599999999997</v>
      </c>
      <c r="H3786" s="39">
        <f t="shared" si="371"/>
        <v>2</v>
      </c>
      <c r="I3786" s="39">
        <f t="shared" si="372"/>
        <v>0</v>
      </c>
      <c r="K3786" s="40"/>
      <c r="Q3786" s="40">
        <v>38615</v>
      </c>
      <c r="R3786" s="39">
        <v>4962.8599999999997</v>
      </c>
      <c r="S3786" s="39">
        <f t="shared" si="373"/>
        <v>9</v>
      </c>
      <c r="T3786" s="39">
        <f t="shared" si="374"/>
        <v>0</v>
      </c>
      <c r="U3786" s="39">
        <f t="shared" si="375"/>
        <v>0</v>
      </c>
      <c r="V3786" s="40"/>
    </row>
    <row r="3787" spans="2:22" x14ac:dyDescent="0.35">
      <c r="B3787" s="40">
        <v>38616</v>
      </c>
      <c r="C3787" s="39">
        <v>4875.22</v>
      </c>
      <c r="D3787" s="219">
        <f t="shared" si="376"/>
        <v>-1.7816955826026753E-2</v>
      </c>
      <c r="F3787" s="40">
        <v>38616</v>
      </c>
      <c r="G3787" s="39">
        <v>4875.22</v>
      </c>
      <c r="H3787" s="39">
        <f t="shared" si="371"/>
        <v>3</v>
      </c>
      <c r="I3787" s="39">
        <f t="shared" si="372"/>
        <v>0</v>
      </c>
      <c r="K3787" s="40"/>
      <c r="Q3787" s="40">
        <v>38616</v>
      </c>
      <c r="R3787" s="39">
        <v>4875.22</v>
      </c>
      <c r="S3787" s="39">
        <f t="shared" si="373"/>
        <v>9</v>
      </c>
      <c r="T3787" s="39">
        <f t="shared" si="374"/>
        <v>0</v>
      </c>
      <c r="U3787" s="39">
        <f t="shared" si="375"/>
        <v>0</v>
      </c>
      <c r="V3787" s="40"/>
    </row>
    <row r="3788" spans="2:22" x14ac:dyDescent="0.35">
      <c r="B3788" s="40">
        <v>38617</v>
      </c>
      <c r="C3788" s="39">
        <v>4849.01</v>
      </c>
      <c r="D3788" s="219">
        <f t="shared" si="376"/>
        <v>-5.3906712347205317E-3</v>
      </c>
      <c r="F3788" s="40">
        <v>38617</v>
      </c>
      <c r="G3788" s="39">
        <v>4849.01</v>
      </c>
      <c r="H3788" s="39">
        <f t="shared" si="371"/>
        <v>4</v>
      </c>
      <c r="I3788" s="39">
        <f t="shared" si="372"/>
        <v>0</v>
      </c>
      <c r="K3788" s="40"/>
      <c r="Q3788" s="40">
        <v>38617</v>
      </c>
      <c r="R3788" s="39">
        <v>4849.01</v>
      </c>
      <c r="S3788" s="39">
        <f t="shared" si="373"/>
        <v>9</v>
      </c>
      <c r="T3788" s="39">
        <f t="shared" si="374"/>
        <v>0</v>
      </c>
      <c r="U3788" s="39">
        <f t="shared" si="375"/>
        <v>0</v>
      </c>
      <c r="V3788" s="40"/>
    </row>
    <row r="3789" spans="2:22" x14ac:dyDescent="0.35">
      <c r="B3789" s="40">
        <v>38618</v>
      </c>
      <c r="C3789" s="39">
        <v>4882.58</v>
      </c>
      <c r="D3789" s="219">
        <f t="shared" si="376"/>
        <v>6.8992082811350783E-3</v>
      </c>
      <c r="F3789" s="40">
        <v>38618</v>
      </c>
      <c r="G3789" s="39">
        <v>4882.58</v>
      </c>
      <c r="H3789" s="39">
        <f t="shared" si="371"/>
        <v>5</v>
      </c>
      <c r="I3789" s="39">
        <f t="shared" si="372"/>
        <v>4882.58</v>
      </c>
      <c r="K3789" s="40"/>
      <c r="Q3789" s="40">
        <v>38618</v>
      </c>
      <c r="R3789" s="39">
        <v>4882.58</v>
      </c>
      <c r="S3789" s="39">
        <f t="shared" si="373"/>
        <v>9</v>
      </c>
      <c r="T3789" s="39">
        <f t="shared" si="374"/>
        <v>0</v>
      </c>
      <c r="U3789" s="39">
        <f t="shared" si="375"/>
        <v>0</v>
      </c>
      <c r="V3789" s="40"/>
    </row>
    <row r="3790" spans="2:22" x14ac:dyDescent="0.35">
      <c r="B3790" s="40">
        <v>38621</v>
      </c>
      <c r="C3790" s="39">
        <v>4998.16</v>
      </c>
      <c r="D3790" s="219">
        <f t="shared" si="376"/>
        <v>2.3396076022377133E-2</v>
      </c>
      <c r="F3790" s="40">
        <v>38621</v>
      </c>
      <c r="G3790" s="39">
        <v>4998.16</v>
      </c>
      <c r="H3790" s="39">
        <f t="shared" si="371"/>
        <v>1</v>
      </c>
      <c r="I3790" s="39">
        <f t="shared" si="372"/>
        <v>0</v>
      </c>
      <c r="K3790" s="40"/>
      <c r="Q3790" s="40">
        <v>38621</v>
      </c>
      <c r="R3790" s="39">
        <v>4998.16</v>
      </c>
      <c r="S3790" s="39">
        <f t="shared" si="373"/>
        <v>9</v>
      </c>
      <c r="T3790" s="39">
        <f t="shared" si="374"/>
        <v>0</v>
      </c>
      <c r="U3790" s="39">
        <f t="shared" si="375"/>
        <v>0</v>
      </c>
      <c r="V3790" s="40"/>
    </row>
    <row r="3791" spans="2:22" x14ac:dyDescent="0.35">
      <c r="B3791" s="40">
        <v>38622</v>
      </c>
      <c r="C3791" s="39">
        <v>4965.88</v>
      </c>
      <c r="D3791" s="219">
        <f t="shared" si="376"/>
        <v>-6.4793222288287329E-3</v>
      </c>
      <c r="F3791" s="40">
        <v>38622</v>
      </c>
      <c r="G3791" s="39">
        <v>4965.88</v>
      </c>
      <c r="H3791" s="39">
        <f t="shared" si="371"/>
        <v>2</v>
      </c>
      <c r="I3791" s="39">
        <f t="shared" si="372"/>
        <v>0</v>
      </c>
      <c r="K3791" s="40"/>
      <c r="Q3791" s="40">
        <v>38622</v>
      </c>
      <c r="R3791" s="39">
        <v>4965.88</v>
      </c>
      <c r="S3791" s="39">
        <f t="shared" si="373"/>
        <v>9</v>
      </c>
      <c r="T3791" s="39">
        <f t="shared" si="374"/>
        <v>0</v>
      </c>
      <c r="U3791" s="39">
        <f t="shared" si="375"/>
        <v>0</v>
      </c>
      <c r="V3791" s="40"/>
    </row>
    <row r="3792" spans="2:22" x14ac:dyDescent="0.35">
      <c r="B3792" s="40">
        <v>38623</v>
      </c>
      <c r="C3792" s="39">
        <v>5048.74</v>
      </c>
      <c r="D3792" s="219">
        <f t="shared" si="376"/>
        <v>1.6548184728579784E-2</v>
      </c>
      <c r="F3792" s="40">
        <v>38623</v>
      </c>
      <c r="G3792" s="39">
        <v>5048.74</v>
      </c>
      <c r="H3792" s="39">
        <f t="shared" si="371"/>
        <v>3</v>
      </c>
      <c r="I3792" s="39">
        <f t="shared" si="372"/>
        <v>0</v>
      </c>
      <c r="K3792" s="40"/>
      <c r="Q3792" s="40">
        <v>38623</v>
      </c>
      <c r="R3792" s="39">
        <v>5048.74</v>
      </c>
      <c r="S3792" s="39">
        <f t="shared" si="373"/>
        <v>9</v>
      </c>
      <c r="T3792" s="39">
        <f t="shared" si="374"/>
        <v>0</v>
      </c>
      <c r="U3792" s="39">
        <f t="shared" si="375"/>
        <v>0</v>
      </c>
      <c r="V3792" s="40"/>
    </row>
    <row r="3793" spans="2:22" x14ac:dyDescent="0.35">
      <c r="B3793" s="40">
        <v>38624</v>
      </c>
      <c r="C3793" s="39">
        <v>5021.17</v>
      </c>
      <c r="D3793" s="219">
        <f t="shared" si="376"/>
        <v>-5.4757329285770404E-3</v>
      </c>
      <c r="F3793" s="40">
        <v>38624</v>
      </c>
      <c r="G3793" s="39">
        <v>5021.17</v>
      </c>
      <c r="H3793" s="39">
        <f t="shared" si="371"/>
        <v>4</v>
      </c>
      <c r="I3793" s="39">
        <f t="shared" si="372"/>
        <v>0</v>
      </c>
      <c r="K3793" s="40"/>
      <c r="Q3793" s="40">
        <v>38624</v>
      </c>
      <c r="R3793" s="39">
        <v>5021.17</v>
      </c>
      <c r="S3793" s="39">
        <f t="shared" si="373"/>
        <v>9</v>
      </c>
      <c r="T3793" s="39">
        <f t="shared" si="374"/>
        <v>0</v>
      </c>
      <c r="U3793" s="39">
        <f t="shared" si="375"/>
        <v>0</v>
      </c>
      <c r="V3793" s="40"/>
    </row>
    <row r="3794" spans="2:22" x14ac:dyDescent="0.35">
      <c r="B3794" s="40">
        <v>38625</v>
      </c>
      <c r="C3794" s="39">
        <v>5044.12</v>
      </c>
      <c r="D3794" s="219">
        <f t="shared" si="376"/>
        <v>4.5602341853698764E-3</v>
      </c>
      <c r="F3794" s="40">
        <v>38625</v>
      </c>
      <c r="G3794" s="39">
        <v>5044.12</v>
      </c>
      <c r="H3794" s="39">
        <f t="shared" si="371"/>
        <v>5</v>
      </c>
      <c r="I3794" s="39">
        <f t="shared" si="372"/>
        <v>5044.12</v>
      </c>
      <c r="K3794" s="40"/>
      <c r="Q3794" s="40">
        <v>38625</v>
      </c>
      <c r="R3794" s="39">
        <v>5044.12</v>
      </c>
      <c r="S3794" s="39">
        <f t="shared" si="373"/>
        <v>9</v>
      </c>
      <c r="T3794" s="39">
        <f t="shared" si="374"/>
        <v>5044.12</v>
      </c>
      <c r="U3794" s="39">
        <f t="shared" si="375"/>
        <v>5044.12</v>
      </c>
      <c r="V3794" s="40"/>
    </row>
    <row r="3795" spans="2:22" x14ac:dyDescent="0.35">
      <c r="B3795" s="40">
        <v>38628</v>
      </c>
      <c r="C3795" s="39">
        <v>5082.07</v>
      </c>
      <c r="D3795" s="219">
        <f t="shared" si="376"/>
        <v>7.4954504457656994E-3</v>
      </c>
      <c r="F3795" s="40">
        <v>38628</v>
      </c>
      <c r="G3795" s="39">
        <v>5082.07</v>
      </c>
      <c r="H3795" s="39">
        <f t="shared" si="371"/>
        <v>1</v>
      </c>
      <c r="I3795" s="39">
        <f t="shared" si="372"/>
        <v>0</v>
      </c>
      <c r="K3795" s="40"/>
      <c r="Q3795" s="40">
        <v>38628</v>
      </c>
      <c r="R3795" s="39">
        <v>5082.07</v>
      </c>
      <c r="S3795" s="39">
        <f t="shared" si="373"/>
        <v>10</v>
      </c>
      <c r="T3795" s="39">
        <f t="shared" si="374"/>
        <v>0</v>
      </c>
      <c r="U3795" s="39">
        <f t="shared" si="375"/>
        <v>0</v>
      </c>
      <c r="V3795" s="40"/>
    </row>
    <row r="3796" spans="2:22" x14ac:dyDescent="0.35">
      <c r="B3796" s="40">
        <v>38629</v>
      </c>
      <c r="C3796" s="39">
        <v>5138.0200000000004</v>
      </c>
      <c r="D3796" s="219">
        <f t="shared" si="376"/>
        <v>1.0949132337522939E-2</v>
      </c>
      <c r="F3796" s="40">
        <v>38629</v>
      </c>
      <c r="G3796" s="39">
        <v>5138.0200000000004</v>
      </c>
      <c r="H3796" s="39">
        <f t="shared" si="371"/>
        <v>2</v>
      </c>
      <c r="I3796" s="39">
        <f t="shared" si="372"/>
        <v>0</v>
      </c>
      <c r="K3796" s="40"/>
      <c r="Q3796" s="40">
        <v>38629</v>
      </c>
      <c r="R3796" s="39">
        <v>5138.0200000000004</v>
      </c>
      <c r="S3796" s="39">
        <f t="shared" si="373"/>
        <v>10</v>
      </c>
      <c r="T3796" s="39">
        <f t="shared" si="374"/>
        <v>0</v>
      </c>
      <c r="U3796" s="39">
        <f t="shared" si="375"/>
        <v>0</v>
      </c>
      <c r="V3796" s="40"/>
    </row>
    <row r="3797" spans="2:22" x14ac:dyDescent="0.35">
      <c r="B3797" s="40">
        <v>38630</v>
      </c>
      <c r="C3797" s="39">
        <v>5069.42</v>
      </c>
      <c r="D3797" s="219">
        <f t="shared" si="376"/>
        <v>-1.3441378608313853E-2</v>
      </c>
      <c r="F3797" s="40">
        <v>38630</v>
      </c>
      <c r="G3797" s="39">
        <v>5069.42</v>
      </c>
      <c r="H3797" s="39">
        <f t="shared" si="371"/>
        <v>3</v>
      </c>
      <c r="I3797" s="39">
        <f t="shared" si="372"/>
        <v>0</v>
      </c>
      <c r="K3797" s="40"/>
      <c r="Q3797" s="40">
        <v>38630</v>
      </c>
      <c r="R3797" s="39">
        <v>5069.42</v>
      </c>
      <c r="S3797" s="39">
        <f t="shared" si="373"/>
        <v>10</v>
      </c>
      <c r="T3797" s="39">
        <f t="shared" si="374"/>
        <v>0</v>
      </c>
      <c r="U3797" s="39">
        <f t="shared" si="375"/>
        <v>0</v>
      </c>
      <c r="V3797" s="40"/>
    </row>
    <row r="3798" spans="2:22" x14ac:dyDescent="0.35">
      <c r="B3798" s="40">
        <v>38631</v>
      </c>
      <c r="C3798" s="39">
        <v>5017.2700000000004</v>
      </c>
      <c r="D3798" s="219">
        <f t="shared" si="376"/>
        <v>-1.0340451560845704E-2</v>
      </c>
      <c r="F3798" s="40">
        <v>38631</v>
      </c>
      <c r="G3798" s="39">
        <v>5017.2700000000004</v>
      </c>
      <c r="H3798" s="39">
        <f t="shared" si="371"/>
        <v>4</v>
      </c>
      <c r="I3798" s="39">
        <f t="shared" si="372"/>
        <v>0</v>
      </c>
      <c r="K3798" s="40"/>
      <c r="Q3798" s="40">
        <v>38631</v>
      </c>
      <c r="R3798" s="39">
        <v>5017.2700000000004</v>
      </c>
      <c r="S3798" s="39">
        <f t="shared" si="373"/>
        <v>10</v>
      </c>
      <c r="T3798" s="39">
        <f t="shared" si="374"/>
        <v>0</v>
      </c>
      <c r="U3798" s="39">
        <f t="shared" si="375"/>
        <v>0</v>
      </c>
      <c r="V3798" s="40"/>
    </row>
    <row r="3799" spans="2:22" x14ac:dyDescent="0.35">
      <c r="B3799" s="40">
        <v>38632</v>
      </c>
      <c r="C3799" s="39">
        <v>5007.7700000000004</v>
      </c>
      <c r="D3799" s="219">
        <f t="shared" si="376"/>
        <v>-1.8952548505860077E-3</v>
      </c>
      <c r="F3799" s="40">
        <v>38632</v>
      </c>
      <c r="G3799" s="39">
        <v>5007.7700000000004</v>
      </c>
      <c r="H3799" s="39">
        <f t="shared" si="371"/>
        <v>5</v>
      </c>
      <c r="I3799" s="39">
        <f t="shared" si="372"/>
        <v>5007.7700000000004</v>
      </c>
      <c r="K3799" s="40"/>
      <c r="Q3799" s="40">
        <v>38632</v>
      </c>
      <c r="R3799" s="39">
        <v>5007.7700000000004</v>
      </c>
      <c r="S3799" s="39">
        <f t="shared" si="373"/>
        <v>10</v>
      </c>
      <c r="T3799" s="39">
        <f t="shared" si="374"/>
        <v>0</v>
      </c>
      <c r="U3799" s="39">
        <f t="shared" si="375"/>
        <v>0</v>
      </c>
      <c r="V3799" s="40"/>
    </row>
    <row r="3800" spans="2:22" x14ac:dyDescent="0.35">
      <c r="B3800" s="40">
        <v>38635</v>
      </c>
      <c r="C3800" s="39">
        <v>5022.79</v>
      </c>
      <c r="D3800" s="219">
        <f t="shared" si="376"/>
        <v>2.9948499837205828E-3</v>
      </c>
      <c r="F3800" s="40">
        <v>38635</v>
      </c>
      <c r="G3800" s="39">
        <v>5022.79</v>
      </c>
      <c r="H3800" s="39">
        <f t="shared" si="371"/>
        <v>1</v>
      </c>
      <c r="I3800" s="39">
        <f t="shared" si="372"/>
        <v>0</v>
      </c>
      <c r="K3800" s="40"/>
      <c r="Q3800" s="40">
        <v>38635</v>
      </c>
      <c r="R3800" s="39">
        <v>5022.79</v>
      </c>
      <c r="S3800" s="39">
        <f t="shared" si="373"/>
        <v>10</v>
      </c>
      <c r="T3800" s="39">
        <f t="shared" si="374"/>
        <v>0</v>
      </c>
      <c r="U3800" s="39">
        <f t="shared" si="375"/>
        <v>0</v>
      </c>
      <c r="V3800" s="40"/>
    </row>
    <row r="3801" spans="2:22" x14ac:dyDescent="0.35">
      <c r="B3801" s="40">
        <v>38636</v>
      </c>
      <c r="C3801" s="39">
        <v>5032.46</v>
      </c>
      <c r="D3801" s="219">
        <f t="shared" si="376"/>
        <v>1.9233739551127436E-3</v>
      </c>
      <c r="F3801" s="40">
        <v>38636</v>
      </c>
      <c r="G3801" s="39">
        <v>5032.46</v>
      </c>
      <c r="H3801" s="39">
        <f t="shared" si="371"/>
        <v>2</v>
      </c>
      <c r="I3801" s="39">
        <f t="shared" si="372"/>
        <v>0</v>
      </c>
      <c r="K3801" s="40"/>
      <c r="Q3801" s="40">
        <v>38636</v>
      </c>
      <c r="R3801" s="39">
        <v>5032.46</v>
      </c>
      <c r="S3801" s="39">
        <f t="shared" si="373"/>
        <v>10</v>
      </c>
      <c r="T3801" s="39">
        <f t="shared" si="374"/>
        <v>0</v>
      </c>
      <c r="U3801" s="39">
        <f t="shared" si="375"/>
        <v>0</v>
      </c>
      <c r="V3801" s="40"/>
    </row>
    <row r="3802" spans="2:22" x14ac:dyDescent="0.35">
      <c r="B3802" s="40">
        <v>38637</v>
      </c>
      <c r="C3802" s="39">
        <v>4981.7700000000004</v>
      </c>
      <c r="D3802" s="219">
        <f t="shared" si="376"/>
        <v>-1.0123680588420989E-2</v>
      </c>
      <c r="F3802" s="40">
        <v>38637</v>
      </c>
      <c r="G3802" s="39">
        <v>4981.7700000000004</v>
      </c>
      <c r="H3802" s="39">
        <f t="shared" si="371"/>
        <v>3</v>
      </c>
      <c r="I3802" s="39">
        <f t="shared" si="372"/>
        <v>0</v>
      </c>
      <c r="K3802" s="40"/>
      <c r="Q3802" s="40">
        <v>38637</v>
      </c>
      <c r="R3802" s="39">
        <v>4981.7700000000004</v>
      </c>
      <c r="S3802" s="39">
        <f t="shared" si="373"/>
        <v>10</v>
      </c>
      <c r="T3802" s="39">
        <f t="shared" si="374"/>
        <v>0</v>
      </c>
      <c r="U3802" s="39">
        <f t="shared" si="375"/>
        <v>0</v>
      </c>
      <c r="V3802" s="40"/>
    </row>
    <row r="3803" spans="2:22" x14ac:dyDescent="0.35">
      <c r="B3803" s="40">
        <v>38638</v>
      </c>
      <c r="C3803" s="39">
        <v>4950.07</v>
      </c>
      <c r="D3803" s="219">
        <f t="shared" si="376"/>
        <v>-6.3835316812316158E-3</v>
      </c>
      <c r="F3803" s="40">
        <v>38638</v>
      </c>
      <c r="G3803" s="39">
        <v>4950.07</v>
      </c>
      <c r="H3803" s="39">
        <f t="shared" si="371"/>
        <v>4</v>
      </c>
      <c r="I3803" s="39">
        <f t="shared" si="372"/>
        <v>0</v>
      </c>
      <c r="K3803" s="40"/>
      <c r="Q3803" s="40">
        <v>38638</v>
      </c>
      <c r="R3803" s="39">
        <v>4950.07</v>
      </c>
      <c r="S3803" s="39">
        <f t="shared" si="373"/>
        <v>10</v>
      </c>
      <c r="T3803" s="39">
        <f t="shared" si="374"/>
        <v>0</v>
      </c>
      <c r="U3803" s="39">
        <f t="shared" si="375"/>
        <v>0</v>
      </c>
      <c r="V3803" s="40"/>
    </row>
    <row r="3804" spans="2:22" x14ac:dyDescent="0.35">
      <c r="B3804" s="40">
        <v>38639</v>
      </c>
      <c r="C3804" s="39">
        <v>4975.5600000000004</v>
      </c>
      <c r="D3804" s="219">
        <f t="shared" si="376"/>
        <v>5.136209195156915E-3</v>
      </c>
      <c r="F3804" s="40">
        <v>38639</v>
      </c>
      <c r="G3804" s="39">
        <v>4975.5600000000004</v>
      </c>
      <c r="H3804" s="39">
        <f t="shared" si="371"/>
        <v>5</v>
      </c>
      <c r="I3804" s="39">
        <f t="shared" si="372"/>
        <v>4975.5600000000004</v>
      </c>
      <c r="K3804" s="40"/>
      <c r="Q3804" s="40">
        <v>38639</v>
      </c>
      <c r="R3804" s="39">
        <v>4975.5600000000004</v>
      </c>
      <c r="S3804" s="39">
        <f t="shared" si="373"/>
        <v>10</v>
      </c>
      <c r="T3804" s="39">
        <f t="shared" si="374"/>
        <v>0</v>
      </c>
      <c r="U3804" s="39">
        <f t="shared" si="375"/>
        <v>0</v>
      </c>
      <c r="V3804" s="40"/>
    </row>
    <row r="3805" spans="2:22" x14ac:dyDescent="0.35">
      <c r="B3805" s="40">
        <v>38642</v>
      </c>
      <c r="C3805" s="39">
        <v>4978.83</v>
      </c>
      <c r="D3805" s="219">
        <f t="shared" si="376"/>
        <v>6.5699658494856406E-4</v>
      </c>
      <c r="F3805" s="40">
        <v>38642</v>
      </c>
      <c r="G3805" s="39">
        <v>4978.83</v>
      </c>
      <c r="H3805" s="39">
        <f t="shared" si="371"/>
        <v>1</v>
      </c>
      <c r="I3805" s="39">
        <f t="shared" si="372"/>
        <v>0</v>
      </c>
      <c r="K3805" s="40"/>
      <c r="Q3805" s="40">
        <v>38642</v>
      </c>
      <c r="R3805" s="39">
        <v>4978.83</v>
      </c>
      <c r="S3805" s="39">
        <f t="shared" si="373"/>
        <v>10</v>
      </c>
      <c r="T3805" s="39">
        <f t="shared" si="374"/>
        <v>0</v>
      </c>
      <c r="U3805" s="39">
        <f t="shared" si="375"/>
        <v>0</v>
      </c>
      <c r="V3805" s="40"/>
    </row>
    <row r="3806" spans="2:22" x14ac:dyDescent="0.35">
      <c r="B3806" s="40">
        <v>38643</v>
      </c>
      <c r="C3806" s="39">
        <v>4947.18</v>
      </c>
      <c r="D3806" s="219">
        <f t="shared" si="376"/>
        <v>-6.3772064029323991E-3</v>
      </c>
      <c r="F3806" s="40">
        <v>38643</v>
      </c>
      <c r="G3806" s="39">
        <v>4947.18</v>
      </c>
      <c r="H3806" s="39">
        <f t="shared" si="371"/>
        <v>2</v>
      </c>
      <c r="I3806" s="39">
        <f t="shared" si="372"/>
        <v>0</v>
      </c>
      <c r="K3806" s="40"/>
      <c r="Q3806" s="40">
        <v>38643</v>
      </c>
      <c r="R3806" s="39">
        <v>4947.18</v>
      </c>
      <c r="S3806" s="39">
        <f t="shared" si="373"/>
        <v>10</v>
      </c>
      <c r="T3806" s="39">
        <f t="shared" si="374"/>
        <v>0</v>
      </c>
      <c r="U3806" s="39">
        <f t="shared" si="375"/>
        <v>0</v>
      </c>
      <c r="V3806" s="40"/>
    </row>
    <row r="3807" spans="2:22" x14ac:dyDescent="0.35">
      <c r="B3807" s="40">
        <v>38644</v>
      </c>
      <c r="C3807" s="39">
        <v>4845.9799999999996</v>
      </c>
      <c r="D3807" s="219">
        <f t="shared" si="376"/>
        <v>-2.0668222001253664E-2</v>
      </c>
      <c r="F3807" s="40">
        <v>38644</v>
      </c>
      <c r="G3807" s="39">
        <v>4845.9799999999996</v>
      </c>
      <c r="H3807" s="39">
        <f t="shared" si="371"/>
        <v>3</v>
      </c>
      <c r="I3807" s="39">
        <f t="shared" si="372"/>
        <v>0</v>
      </c>
      <c r="K3807" s="40"/>
      <c r="Q3807" s="40">
        <v>38644</v>
      </c>
      <c r="R3807" s="39">
        <v>4845.9799999999996</v>
      </c>
      <c r="S3807" s="39">
        <f t="shared" si="373"/>
        <v>10</v>
      </c>
      <c r="T3807" s="39">
        <f t="shared" si="374"/>
        <v>0</v>
      </c>
      <c r="U3807" s="39">
        <f t="shared" si="375"/>
        <v>0</v>
      </c>
      <c r="V3807" s="40"/>
    </row>
    <row r="3808" spans="2:22" x14ac:dyDescent="0.35">
      <c r="B3808" s="40">
        <v>38645</v>
      </c>
      <c r="C3808" s="39">
        <v>4864.25</v>
      </c>
      <c r="D3808" s="219">
        <f t="shared" si="376"/>
        <v>3.7630460986776216E-3</v>
      </c>
      <c r="F3808" s="40">
        <v>38645</v>
      </c>
      <c r="G3808" s="39">
        <v>4864.25</v>
      </c>
      <c r="H3808" s="39">
        <f t="shared" si="371"/>
        <v>4</v>
      </c>
      <c r="I3808" s="39">
        <f t="shared" si="372"/>
        <v>0</v>
      </c>
      <c r="K3808" s="40"/>
      <c r="Q3808" s="40">
        <v>38645</v>
      </c>
      <c r="R3808" s="39">
        <v>4864.25</v>
      </c>
      <c r="S3808" s="39">
        <f t="shared" si="373"/>
        <v>10</v>
      </c>
      <c r="T3808" s="39">
        <f t="shared" si="374"/>
        <v>0</v>
      </c>
      <c r="U3808" s="39">
        <f t="shared" si="375"/>
        <v>0</v>
      </c>
      <c r="V3808" s="40"/>
    </row>
    <row r="3809" spans="2:22" x14ac:dyDescent="0.35">
      <c r="B3809" s="40">
        <v>38646</v>
      </c>
      <c r="C3809" s="39">
        <v>4838.3999999999996</v>
      </c>
      <c r="D3809" s="219">
        <f t="shared" si="376"/>
        <v>-5.3284538063263125E-3</v>
      </c>
      <c r="F3809" s="40">
        <v>38646</v>
      </c>
      <c r="G3809" s="39">
        <v>4838.3999999999996</v>
      </c>
      <c r="H3809" s="39">
        <f t="shared" si="371"/>
        <v>5</v>
      </c>
      <c r="I3809" s="39">
        <f t="shared" si="372"/>
        <v>4838.3999999999996</v>
      </c>
      <c r="K3809" s="40"/>
      <c r="Q3809" s="40">
        <v>38646</v>
      </c>
      <c r="R3809" s="39">
        <v>4838.3999999999996</v>
      </c>
      <c r="S3809" s="39">
        <f t="shared" si="373"/>
        <v>10</v>
      </c>
      <c r="T3809" s="39">
        <f t="shared" si="374"/>
        <v>0</v>
      </c>
      <c r="U3809" s="39">
        <f t="shared" si="375"/>
        <v>0</v>
      </c>
      <c r="V3809" s="40"/>
    </row>
    <row r="3810" spans="2:22" x14ac:dyDescent="0.35">
      <c r="B3810" s="40">
        <v>38649</v>
      </c>
      <c r="C3810" s="39">
        <v>4901.79</v>
      </c>
      <c r="D3810" s="219">
        <f t="shared" si="376"/>
        <v>1.301635696797173E-2</v>
      </c>
      <c r="F3810" s="40">
        <v>38649</v>
      </c>
      <c r="G3810" s="39">
        <v>4901.79</v>
      </c>
      <c r="H3810" s="39">
        <f t="shared" si="371"/>
        <v>1</v>
      </c>
      <c r="I3810" s="39">
        <f t="shared" si="372"/>
        <v>0</v>
      </c>
      <c r="K3810" s="40"/>
      <c r="Q3810" s="40">
        <v>38649</v>
      </c>
      <c r="R3810" s="39">
        <v>4901.79</v>
      </c>
      <c r="S3810" s="39">
        <f t="shared" si="373"/>
        <v>10</v>
      </c>
      <c r="T3810" s="39">
        <f t="shared" si="374"/>
        <v>0</v>
      </c>
      <c r="U3810" s="39">
        <f t="shared" si="375"/>
        <v>0</v>
      </c>
      <c r="V3810" s="40"/>
    </row>
    <row r="3811" spans="2:22" x14ac:dyDescent="0.35">
      <c r="B3811" s="40">
        <v>38650</v>
      </c>
      <c r="C3811" s="39">
        <v>4872.97</v>
      </c>
      <c r="D3811" s="219">
        <f t="shared" si="376"/>
        <v>-5.8968370604199401E-3</v>
      </c>
      <c r="F3811" s="40">
        <v>38650</v>
      </c>
      <c r="G3811" s="39">
        <v>4872.97</v>
      </c>
      <c r="H3811" s="39">
        <f t="shared" si="371"/>
        <v>2</v>
      </c>
      <c r="I3811" s="39">
        <f t="shared" si="372"/>
        <v>0</v>
      </c>
      <c r="K3811" s="40"/>
      <c r="Q3811" s="40">
        <v>38650</v>
      </c>
      <c r="R3811" s="39">
        <v>4872.97</v>
      </c>
      <c r="S3811" s="39">
        <f t="shared" si="373"/>
        <v>10</v>
      </c>
      <c r="T3811" s="39">
        <f t="shared" si="374"/>
        <v>0</v>
      </c>
      <c r="U3811" s="39">
        <f t="shared" si="375"/>
        <v>0</v>
      </c>
      <c r="V3811" s="40"/>
    </row>
    <row r="3812" spans="2:22" x14ac:dyDescent="0.35">
      <c r="B3812" s="40">
        <v>38651</v>
      </c>
      <c r="C3812" s="39">
        <v>4900.79</v>
      </c>
      <c r="D3812" s="219">
        <f t="shared" si="376"/>
        <v>5.6928091405317417E-3</v>
      </c>
      <c r="F3812" s="40">
        <v>38651</v>
      </c>
      <c r="G3812" s="39">
        <v>4900.79</v>
      </c>
      <c r="H3812" s="39">
        <f t="shared" si="371"/>
        <v>3</v>
      </c>
      <c r="I3812" s="39">
        <f t="shared" si="372"/>
        <v>0</v>
      </c>
      <c r="K3812" s="40"/>
      <c r="Q3812" s="40">
        <v>38651</v>
      </c>
      <c r="R3812" s="39">
        <v>4900.79</v>
      </c>
      <c r="S3812" s="39">
        <f t="shared" si="373"/>
        <v>10</v>
      </c>
      <c r="T3812" s="39">
        <f t="shared" si="374"/>
        <v>0</v>
      </c>
      <c r="U3812" s="39">
        <f t="shared" si="375"/>
        <v>0</v>
      </c>
      <c r="V3812" s="40"/>
    </row>
    <row r="3813" spans="2:22" x14ac:dyDescent="0.35">
      <c r="B3813" s="40">
        <v>38652</v>
      </c>
      <c r="C3813" s="39">
        <v>4806.05</v>
      </c>
      <c r="D3813" s="219">
        <f t="shared" si="376"/>
        <v>-1.9520875688856933E-2</v>
      </c>
      <c r="F3813" s="40">
        <v>38652</v>
      </c>
      <c r="G3813" s="39">
        <v>4806.05</v>
      </c>
      <c r="H3813" s="39">
        <f t="shared" si="371"/>
        <v>4</v>
      </c>
      <c r="I3813" s="39">
        <f t="shared" si="372"/>
        <v>0</v>
      </c>
      <c r="K3813" s="40"/>
      <c r="Q3813" s="40">
        <v>38652</v>
      </c>
      <c r="R3813" s="39">
        <v>4806.05</v>
      </c>
      <c r="S3813" s="39">
        <f t="shared" si="373"/>
        <v>10</v>
      </c>
      <c r="T3813" s="39">
        <f t="shared" si="374"/>
        <v>0</v>
      </c>
      <c r="U3813" s="39">
        <f t="shared" si="375"/>
        <v>0</v>
      </c>
      <c r="V3813" s="40"/>
    </row>
    <row r="3814" spans="2:22" x14ac:dyDescent="0.35">
      <c r="B3814" s="40">
        <v>38653</v>
      </c>
      <c r="C3814" s="39">
        <v>4825.6400000000003</v>
      </c>
      <c r="D3814" s="219">
        <f t="shared" si="376"/>
        <v>4.0678275595106232E-3</v>
      </c>
      <c r="F3814" s="40">
        <v>38653</v>
      </c>
      <c r="G3814" s="39">
        <v>4825.6400000000003</v>
      </c>
      <c r="H3814" s="39">
        <f t="shared" si="371"/>
        <v>5</v>
      </c>
      <c r="I3814" s="39">
        <f t="shared" si="372"/>
        <v>4825.6400000000003</v>
      </c>
      <c r="K3814" s="40"/>
      <c r="Q3814" s="40">
        <v>38653</v>
      </c>
      <c r="R3814" s="39">
        <v>4825.6400000000003</v>
      </c>
      <c r="S3814" s="39">
        <f t="shared" si="373"/>
        <v>10</v>
      </c>
      <c r="T3814" s="39">
        <f t="shared" si="374"/>
        <v>0</v>
      </c>
      <c r="U3814" s="39">
        <f t="shared" si="375"/>
        <v>0</v>
      </c>
      <c r="V3814" s="40"/>
    </row>
    <row r="3815" spans="2:22" x14ac:dyDescent="0.35">
      <c r="B3815" s="40">
        <v>38656</v>
      </c>
      <c r="C3815" s="39">
        <v>4929.07</v>
      </c>
      <c r="D3815" s="219">
        <f t="shared" si="376"/>
        <v>2.1206960804262456E-2</v>
      </c>
      <c r="F3815" s="40">
        <v>38656</v>
      </c>
      <c r="G3815" s="39">
        <v>4929.07</v>
      </c>
      <c r="H3815" s="39">
        <f t="shared" si="371"/>
        <v>1</v>
      </c>
      <c r="I3815" s="39">
        <f t="shared" si="372"/>
        <v>0</v>
      </c>
      <c r="K3815" s="40"/>
      <c r="Q3815" s="40">
        <v>38656</v>
      </c>
      <c r="R3815" s="39">
        <v>4929.07</v>
      </c>
      <c r="S3815" s="39">
        <f t="shared" si="373"/>
        <v>10</v>
      </c>
      <c r="T3815" s="39">
        <f t="shared" si="374"/>
        <v>4929.07</v>
      </c>
      <c r="U3815" s="39">
        <f t="shared" si="375"/>
        <v>4929.07</v>
      </c>
      <c r="V3815" s="40"/>
    </row>
    <row r="3816" spans="2:22" x14ac:dyDescent="0.35">
      <c r="B3816" s="40">
        <v>38657</v>
      </c>
      <c r="C3816" s="39">
        <v>4922.55</v>
      </c>
      <c r="D3816" s="219">
        <f t="shared" si="376"/>
        <v>-1.3236403661392769E-3</v>
      </c>
      <c r="F3816" s="40">
        <v>38657</v>
      </c>
      <c r="G3816" s="39">
        <v>4922.55</v>
      </c>
      <c r="H3816" s="39">
        <f t="shared" si="371"/>
        <v>2</v>
      </c>
      <c r="I3816" s="39">
        <f t="shared" si="372"/>
        <v>0</v>
      </c>
      <c r="K3816" s="40"/>
      <c r="Q3816" s="40">
        <v>38657</v>
      </c>
      <c r="R3816" s="39">
        <v>4922.55</v>
      </c>
      <c r="S3816" s="39">
        <f t="shared" si="373"/>
        <v>11</v>
      </c>
      <c r="T3816" s="39">
        <f t="shared" si="374"/>
        <v>0</v>
      </c>
      <c r="U3816" s="39">
        <f t="shared" si="375"/>
        <v>0</v>
      </c>
      <c r="V3816" s="40"/>
    </row>
    <row r="3817" spans="2:22" x14ac:dyDescent="0.35">
      <c r="B3817" s="40">
        <v>38658</v>
      </c>
      <c r="C3817" s="39">
        <v>4954.83</v>
      </c>
      <c r="D3817" s="219">
        <f t="shared" si="376"/>
        <v>6.5361694944984974E-3</v>
      </c>
      <c r="F3817" s="40">
        <v>38658</v>
      </c>
      <c r="G3817" s="39">
        <v>4954.83</v>
      </c>
      <c r="H3817" s="39">
        <f t="shared" si="371"/>
        <v>3</v>
      </c>
      <c r="I3817" s="39">
        <f t="shared" si="372"/>
        <v>0</v>
      </c>
      <c r="K3817" s="40"/>
      <c r="Q3817" s="40">
        <v>38658</v>
      </c>
      <c r="R3817" s="39">
        <v>4954.83</v>
      </c>
      <c r="S3817" s="39">
        <f t="shared" si="373"/>
        <v>11</v>
      </c>
      <c r="T3817" s="39">
        <f t="shared" si="374"/>
        <v>0</v>
      </c>
      <c r="U3817" s="39">
        <f t="shared" si="375"/>
        <v>0</v>
      </c>
      <c r="V3817" s="40"/>
    </row>
    <row r="3818" spans="2:22" x14ac:dyDescent="0.35">
      <c r="B3818" s="40">
        <v>38659</v>
      </c>
      <c r="C3818" s="39">
        <v>5011</v>
      </c>
      <c r="D3818" s="219">
        <f t="shared" si="376"/>
        <v>1.1272637563207091E-2</v>
      </c>
      <c r="F3818" s="40">
        <v>38659</v>
      </c>
      <c r="G3818" s="39">
        <v>5011</v>
      </c>
      <c r="H3818" s="39">
        <f t="shared" si="371"/>
        <v>4</v>
      </c>
      <c r="I3818" s="39">
        <f t="shared" si="372"/>
        <v>0</v>
      </c>
      <c r="K3818" s="40"/>
      <c r="Q3818" s="40">
        <v>38659</v>
      </c>
      <c r="R3818" s="39">
        <v>5011</v>
      </c>
      <c r="S3818" s="39">
        <f t="shared" si="373"/>
        <v>11</v>
      </c>
      <c r="T3818" s="39">
        <f t="shared" si="374"/>
        <v>0</v>
      </c>
      <c r="U3818" s="39">
        <f t="shared" si="375"/>
        <v>0</v>
      </c>
      <c r="V3818" s="40"/>
    </row>
    <row r="3819" spans="2:22" x14ac:dyDescent="0.35">
      <c r="B3819" s="40">
        <v>38660</v>
      </c>
      <c r="C3819" s="39">
        <v>4995.24</v>
      </c>
      <c r="D3819" s="219">
        <f t="shared" si="376"/>
        <v>-3.1500369832932413E-3</v>
      </c>
      <c r="F3819" s="40">
        <v>38660</v>
      </c>
      <c r="G3819" s="39">
        <v>4995.24</v>
      </c>
      <c r="H3819" s="39">
        <f t="shared" si="371"/>
        <v>5</v>
      </c>
      <c r="I3819" s="39">
        <f t="shared" si="372"/>
        <v>4995.24</v>
      </c>
      <c r="K3819" s="40"/>
      <c r="Q3819" s="40">
        <v>38660</v>
      </c>
      <c r="R3819" s="39">
        <v>4995.24</v>
      </c>
      <c r="S3819" s="39">
        <f t="shared" si="373"/>
        <v>11</v>
      </c>
      <c r="T3819" s="39">
        <f t="shared" si="374"/>
        <v>0</v>
      </c>
      <c r="U3819" s="39">
        <f t="shared" si="375"/>
        <v>0</v>
      </c>
      <c r="V3819" s="40"/>
    </row>
    <row r="3820" spans="2:22" x14ac:dyDescent="0.35">
      <c r="B3820" s="40">
        <v>38663</v>
      </c>
      <c r="C3820" s="39">
        <v>5024.2</v>
      </c>
      <c r="D3820" s="219">
        <f t="shared" si="376"/>
        <v>5.7807782964466523E-3</v>
      </c>
      <c r="F3820" s="40">
        <v>38663</v>
      </c>
      <c r="G3820" s="39">
        <v>5024.2</v>
      </c>
      <c r="H3820" s="39">
        <f t="shared" si="371"/>
        <v>1</v>
      </c>
      <c r="I3820" s="39">
        <f t="shared" si="372"/>
        <v>0</v>
      </c>
      <c r="K3820" s="40"/>
      <c r="Q3820" s="40">
        <v>38663</v>
      </c>
      <c r="R3820" s="39">
        <v>5024.2</v>
      </c>
      <c r="S3820" s="39">
        <f t="shared" si="373"/>
        <v>11</v>
      </c>
      <c r="T3820" s="39">
        <f t="shared" si="374"/>
        <v>0</v>
      </c>
      <c r="U3820" s="39">
        <f t="shared" si="375"/>
        <v>0</v>
      </c>
      <c r="V3820" s="40"/>
    </row>
    <row r="3821" spans="2:22" x14ac:dyDescent="0.35">
      <c r="B3821" s="40">
        <v>38664</v>
      </c>
      <c r="C3821" s="39">
        <v>5008.83</v>
      </c>
      <c r="D3821" s="219">
        <f t="shared" si="376"/>
        <v>-3.0638824011612132E-3</v>
      </c>
      <c r="F3821" s="40">
        <v>38664</v>
      </c>
      <c r="G3821" s="39">
        <v>5008.83</v>
      </c>
      <c r="H3821" s="39">
        <f t="shared" si="371"/>
        <v>2</v>
      </c>
      <c r="I3821" s="39">
        <f t="shared" si="372"/>
        <v>0</v>
      </c>
      <c r="K3821" s="40"/>
      <c r="Q3821" s="40">
        <v>38664</v>
      </c>
      <c r="R3821" s="39">
        <v>5008.83</v>
      </c>
      <c r="S3821" s="39">
        <f t="shared" si="373"/>
        <v>11</v>
      </c>
      <c r="T3821" s="39">
        <f t="shared" si="374"/>
        <v>0</v>
      </c>
      <c r="U3821" s="39">
        <f t="shared" si="375"/>
        <v>0</v>
      </c>
      <c r="V3821" s="40"/>
    </row>
    <row r="3822" spans="2:22" x14ac:dyDescent="0.35">
      <c r="B3822" s="40">
        <v>38665</v>
      </c>
      <c r="C3822" s="39">
        <v>5011.38</v>
      </c>
      <c r="D3822" s="219">
        <f t="shared" si="376"/>
        <v>5.089713798510266E-4</v>
      </c>
      <c r="F3822" s="40">
        <v>38665</v>
      </c>
      <c r="G3822" s="39">
        <v>5011.38</v>
      </c>
      <c r="H3822" s="39">
        <f t="shared" si="371"/>
        <v>3</v>
      </c>
      <c r="I3822" s="39">
        <f t="shared" si="372"/>
        <v>0</v>
      </c>
      <c r="K3822" s="40"/>
      <c r="Q3822" s="40">
        <v>38665</v>
      </c>
      <c r="R3822" s="39">
        <v>5011.38</v>
      </c>
      <c r="S3822" s="39">
        <f t="shared" si="373"/>
        <v>11</v>
      </c>
      <c r="T3822" s="39">
        <f t="shared" si="374"/>
        <v>0</v>
      </c>
      <c r="U3822" s="39">
        <f t="shared" si="375"/>
        <v>0</v>
      </c>
      <c r="V3822" s="40"/>
    </row>
    <row r="3823" spans="2:22" x14ac:dyDescent="0.35">
      <c r="B3823" s="40">
        <v>38666</v>
      </c>
      <c r="C3823" s="39">
        <v>5015.55</v>
      </c>
      <c r="D3823" s="219">
        <f t="shared" si="376"/>
        <v>8.317601180838776E-4</v>
      </c>
      <c r="F3823" s="40">
        <v>38666</v>
      </c>
      <c r="G3823" s="39">
        <v>5015.55</v>
      </c>
      <c r="H3823" s="39">
        <f t="shared" si="371"/>
        <v>4</v>
      </c>
      <c r="I3823" s="39">
        <f t="shared" si="372"/>
        <v>0</v>
      </c>
      <c r="K3823" s="40"/>
      <c r="Q3823" s="40">
        <v>38666</v>
      </c>
      <c r="R3823" s="39">
        <v>5015.55</v>
      </c>
      <c r="S3823" s="39">
        <f t="shared" si="373"/>
        <v>11</v>
      </c>
      <c r="T3823" s="39">
        <f t="shared" si="374"/>
        <v>0</v>
      </c>
      <c r="U3823" s="39">
        <f t="shared" si="375"/>
        <v>0</v>
      </c>
      <c r="V3823" s="40"/>
    </row>
    <row r="3824" spans="2:22" x14ac:dyDescent="0.35">
      <c r="B3824" s="40">
        <v>38667</v>
      </c>
      <c r="C3824" s="39">
        <v>5090.75</v>
      </c>
      <c r="D3824" s="219">
        <f t="shared" si="376"/>
        <v>1.488208106097255E-2</v>
      </c>
      <c r="F3824" s="40">
        <v>38667</v>
      </c>
      <c r="G3824" s="39">
        <v>5090.75</v>
      </c>
      <c r="H3824" s="39">
        <f t="shared" si="371"/>
        <v>5</v>
      </c>
      <c r="I3824" s="39">
        <f t="shared" si="372"/>
        <v>5090.75</v>
      </c>
      <c r="K3824" s="40"/>
      <c r="Q3824" s="40">
        <v>38667</v>
      </c>
      <c r="R3824" s="39">
        <v>5090.75</v>
      </c>
      <c r="S3824" s="39">
        <f t="shared" si="373"/>
        <v>11</v>
      </c>
      <c r="T3824" s="39">
        <f t="shared" si="374"/>
        <v>0</v>
      </c>
      <c r="U3824" s="39">
        <f t="shared" si="375"/>
        <v>0</v>
      </c>
      <c r="V3824" s="40"/>
    </row>
    <row r="3825" spans="2:22" x14ac:dyDescent="0.35">
      <c r="B3825" s="40">
        <v>38670</v>
      </c>
      <c r="C3825" s="39">
        <v>5092.43</v>
      </c>
      <c r="D3825" s="219">
        <f t="shared" si="376"/>
        <v>3.2995587139618947E-4</v>
      </c>
      <c r="F3825" s="40">
        <v>38670</v>
      </c>
      <c r="G3825" s="39">
        <v>5092.43</v>
      </c>
      <c r="H3825" s="39">
        <f t="shared" si="371"/>
        <v>1</v>
      </c>
      <c r="I3825" s="39">
        <f t="shared" si="372"/>
        <v>0</v>
      </c>
      <c r="K3825" s="40"/>
      <c r="Q3825" s="40">
        <v>38670</v>
      </c>
      <c r="R3825" s="39">
        <v>5092.43</v>
      </c>
      <c r="S3825" s="39">
        <f t="shared" si="373"/>
        <v>11</v>
      </c>
      <c r="T3825" s="39">
        <f t="shared" si="374"/>
        <v>0</v>
      </c>
      <c r="U3825" s="39">
        <f t="shared" si="375"/>
        <v>0</v>
      </c>
      <c r="V3825" s="40"/>
    </row>
    <row r="3826" spans="2:22" x14ac:dyDescent="0.35">
      <c r="B3826" s="40">
        <v>38671</v>
      </c>
      <c r="C3826" s="39">
        <v>5110.6099999999997</v>
      </c>
      <c r="D3826" s="219">
        <f t="shared" si="376"/>
        <v>3.5636475481552556E-3</v>
      </c>
      <c r="F3826" s="40">
        <v>38671</v>
      </c>
      <c r="G3826" s="39">
        <v>5110.6099999999997</v>
      </c>
      <c r="H3826" s="39">
        <f t="shared" si="371"/>
        <v>2</v>
      </c>
      <c r="I3826" s="39">
        <f t="shared" si="372"/>
        <v>0</v>
      </c>
      <c r="K3826" s="40"/>
      <c r="Q3826" s="40">
        <v>38671</v>
      </c>
      <c r="R3826" s="39">
        <v>5110.6099999999997</v>
      </c>
      <c r="S3826" s="39">
        <f t="shared" si="373"/>
        <v>11</v>
      </c>
      <c r="T3826" s="39">
        <f t="shared" si="374"/>
        <v>0</v>
      </c>
      <c r="U3826" s="39">
        <f t="shared" si="375"/>
        <v>0</v>
      </c>
      <c r="V3826" s="40"/>
    </row>
    <row r="3827" spans="2:22" x14ac:dyDescent="0.35">
      <c r="B3827" s="40">
        <v>38672</v>
      </c>
      <c r="C3827" s="39">
        <v>5081.46</v>
      </c>
      <c r="D3827" s="219">
        <f t="shared" si="376"/>
        <v>-5.7201489947662793E-3</v>
      </c>
      <c r="F3827" s="40">
        <v>38672</v>
      </c>
      <c r="G3827" s="39">
        <v>5081.46</v>
      </c>
      <c r="H3827" s="39">
        <f t="shared" si="371"/>
        <v>3</v>
      </c>
      <c r="I3827" s="39">
        <f t="shared" si="372"/>
        <v>0</v>
      </c>
      <c r="K3827" s="40"/>
      <c r="Q3827" s="40">
        <v>38672</v>
      </c>
      <c r="R3827" s="39">
        <v>5081.46</v>
      </c>
      <c r="S3827" s="39">
        <f t="shared" si="373"/>
        <v>11</v>
      </c>
      <c r="T3827" s="39">
        <f t="shared" si="374"/>
        <v>0</v>
      </c>
      <c r="U3827" s="39">
        <f t="shared" si="375"/>
        <v>0</v>
      </c>
      <c r="V3827" s="40"/>
    </row>
    <row r="3828" spans="2:22" x14ac:dyDescent="0.35">
      <c r="B3828" s="40">
        <v>38673</v>
      </c>
      <c r="C3828" s="39">
        <v>5099.72</v>
      </c>
      <c r="D3828" s="219">
        <f t="shared" si="376"/>
        <v>3.5870143890555394E-3</v>
      </c>
      <c r="F3828" s="40">
        <v>38673</v>
      </c>
      <c r="G3828" s="39">
        <v>5099.72</v>
      </c>
      <c r="H3828" s="39">
        <f t="shared" si="371"/>
        <v>4</v>
      </c>
      <c r="I3828" s="39">
        <f t="shared" si="372"/>
        <v>0</v>
      </c>
      <c r="K3828" s="40"/>
      <c r="Q3828" s="40">
        <v>38673</v>
      </c>
      <c r="R3828" s="39">
        <v>5099.72</v>
      </c>
      <c r="S3828" s="39">
        <f t="shared" si="373"/>
        <v>11</v>
      </c>
      <c r="T3828" s="39">
        <f t="shared" si="374"/>
        <v>0</v>
      </c>
      <c r="U3828" s="39">
        <f t="shared" si="375"/>
        <v>0</v>
      </c>
      <c r="V3828" s="40"/>
    </row>
    <row r="3829" spans="2:22" x14ac:dyDescent="0.35">
      <c r="B3829" s="40">
        <v>38674</v>
      </c>
      <c r="C3829" s="39">
        <v>5123.5</v>
      </c>
      <c r="D3829" s="219">
        <f t="shared" si="376"/>
        <v>4.652162995307494E-3</v>
      </c>
      <c r="F3829" s="40">
        <v>38674</v>
      </c>
      <c r="G3829" s="39">
        <v>5123.5</v>
      </c>
      <c r="H3829" s="39">
        <f t="shared" si="371"/>
        <v>5</v>
      </c>
      <c r="I3829" s="39">
        <f t="shared" si="372"/>
        <v>5123.5</v>
      </c>
      <c r="K3829" s="40"/>
      <c r="Q3829" s="40">
        <v>38674</v>
      </c>
      <c r="R3829" s="39">
        <v>5123.5</v>
      </c>
      <c r="S3829" s="39">
        <f t="shared" si="373"/>
        <v>11</v>
      </c>
      <c r="T3829" s="39">
        <f t="shared" si="374"/>
        <v>0</v>
      </c>
      <c r="U3829" s="39">
        <f t="shared" si="375"/>
        <v>0</v>
      </c>
      <c r="V3829" s="40"/>
    </row>
    <row r="3830" spans="2:22" x14ac:dyDescent="0.35">
      <c r="B3830" s="40">
        <v>38677</v>
      </c>
      <c r="C3830" s="39">
        <v>5170.6099999999997</v>
      </c>
      <c r="D3830" s="219">
        <f t="shared" si="376"/>
        <v>9.1528706972030856E-3</v>
      </c>
      <c r="F3830" s="40">
        <v>38677</v>
      </c>
      <c r="G3830" s="39">
        <v>5170.6099999999997</v>
      </c>
      <c r="H3830" s="39">
        <f t="shared" si="371"/>
        <v>1</v>
      </c>
      <c r="I3830" s="39">
        <f t="shared" si="372"/>
        <v>0</v>
      </c>
      <c r="K3830" s="40"/>
      <c r="Q3830" s="40">
        <v>38677</v>
      </c>
      <c r="R3830" s="39">
        <v>5170.6099999999997</v>
      </c>
      <c r="S3830" s="39">
        <f t="shared" si="373"/>
        <v>11</v>
      </c>
      <c r="T3830" s="39">
        <f t="shared" si="374"/>
        <v>0</v>
      </c>
      <c r="U3830" s="39">
        <f t="shared" si="375"/>
        <v>0</v>
      </c>
      <c r="V3830" s="40"/>
    </row>
    <row r="3831" spans="2:22" x14ac:dyDescent="0.35">
      <c r="B3831" s="40">
        <v>38678</v>
      </c>
      <c r="C3831" s="39">
        <v>5174.72</v>
      </c>
      <c r="D3831" s="219">
        <f t="shared" si="376"/>
        <v>7.9456145260339795E-4</v>
      </c>
      <c r="F3831" s="40">
        <v>38678</v>
      </c>
      <c r="G3831" s="39">
        <v>5174.72</v>
      </c>
      <c r="H3831" s="39">
        <f t="shared" ref="H3831:H3894" si="377">WEEKDAY(F3831,2)</f>
        <v>2</v>
      </c>
      <c r="I3831" s="39">
        <f t="shared" ref="I3831:I3894" si="378">IF(H3831&gt;H3832,G3831,0)</f>
        <v>0</v>
      </c>
      <c r="K3831" s="40"/>
      <c r="Q3831" s="40">
        <v>38678</v>
      </c>
      <c r="R3831" s="39">
        <v>5174.72</v>
      </c>
      <c r="S3831" s="39">
        <f t="shared" ref="S3831:S3894" si="379">MONTH(Q3831)</f>
        <v>11</v>
      </c>
      <c r="T3831" s="39">
        <f t="shared" ref="T3831:T3894" si="380">IF(S3832&lt;&gt;S3831,R3831,0)</f>
        <v>0</v>
      </c>
      <c r="U3831" s="39">
        <f t="shared" ref="U3831:U3894" si="381">IF(S3832=S3831,0,R3831)</f>
        <v>0</v>
      </c>
      <c r="V3831" s="40"/>
    </row>
    <row r="3832" spans="2:22" x14ac:dyDescent="0.35">
      <c r="B3832" s="40">
        <v>38679</v>
      </c>
      <c r="C3832" s="39">
        <v>5196.08</v>
      </c>
      <c r="D3832" s="219">
        <f t="shared" ref="D3832:D3895" si="382">LN(C3832/C3831)</f>
        <v>4.1192637412013422E-3</v>
      </c>
      <c r="F3832" s="40">
        <v>38679</v>
      </c>
      <c r="G3832" s="39">
        <v>5196.08</v>
      </c>
      <c r="H3832" s="39">
        <f t="shared" si="377"/>
        <v>3</v>
      </c>
      <c r="I3832" s="39">
        <f t="shared" si="378"/>
        <v>0</v>
      </c>
      <c r="K3832" s="40"/>
      <c r="Q3832" s="40">
        <v>38679</v>
      </c>
      <c r="R3832" s="39">
        <v>5196.08</v>
      </c>
      <c r="S3832" s="39">
        <f t="shared" si="379"/>
        <v>11</v>
      </c>
      <c r="T3832" s="39">
        <f t="shared" si="380"/>
        <v>0</v>
      </c>
      <c r="U3832" s="39">
        <f t="shared" si="381"/>
        <v>0</v>
      </c>
      <c r="V3832" s="40"/>
    </row>
    <row r="3833" spans="2:22" x14ac:dyDescent="0.35">
      <c r="B3833" s="40">
        <v>38680</v>
      </c>
      <c r="C3833" s="39">
        <v>5187.9799999999996</v>
      </c>
      <c r="D3833" s="219">
        <f t="shared" si="382"/>
        <v>-1.5600837519923031E-3</v>
      </c>
      <c r="F3833" s="40">
        <v>38680</v>
      </c>
      <c r="G3833" s="39">
        <v>5187.9799999999996</v>
      </c>
      <c r="H3833" s="39">
        <f t="shared" si="377"/>
        <v>4</v>
      </c>
      <c r="I3833" s="39">
        <f t="shared" si="378"/>
        <v>0</v>
      </c>
      <c r="K3833" s="40"/>
      <c r="Q3833" s="40">
        <v>38680</v>
      </c>
      <c r="R3833" s="39">
        <v>5187.9799999999996</v>
      </c>
      <c r="S3833" s="39">
        <f t="shared" si="379"/>
        <v>11</v>
      </c>
      <c r="T3833" s="39">
        <f t="shared" si="380"/>
        <v>0</v>
      </c>
      <c r="U3833" s="39">
        <f t="shared" si="381"/>
        <v>0</v>
      </c>
      <c r="V3833" s="40"/>
    </row>
    <row r="3834" spans="2:22" x14ac:dyDescent="0.35">
      <c r="B3834" s="40">
        <v>38681</v>
      </c>
      <c r="C3834" s="39">
        <v>5194.2700000000004</v>
      </c>
      <c r="D3834" s="219">
        <f t="shared" si="382"/>
        <v>1.2116835502074942E-3</v>
      </c>
      <c r="F3834" s="40">
        <v>38681</v>
      </c>
      <c r="G3834" s="39">
        <v>5194.2700000000004</v>
      </c>
      <c r="H3834" s="39">
        <f t="shared" si="377"/>
        <v>5</v>
      </c>
      <c r="I3834" s="39">
        <f t="shared" si="378"/>
        <v>5194.2700000000004</v>
      </c>
      <c r="K3834" s="40"/>
      <c r="Q3834" s="40">
        <v>38681</v>
      </c>
      <c r="R3834" s="39">
        <v>5194.2700000000004</v>
      </c>
      <c r="S3834" s="39">
        <f t="shared" si="379"/>
        <v>11</v>
      </c>
      <c r="T3834" s="39">
        <f t="shared" si="380"/>
        <v>0</v>
      </c>
      <c r="U3834" s="39">
        <f t="shared" si="381"/>
        <v>0</v>
      </c>
      <c r="V3834" s="40"/>
    </row>
    <row r="3835" spans="2:22" x14ac:dyDescent="0.35">
      <c r="B3835" s="40">
        <v>38684</v>
      </c>
      <c r="C3835" s="39">
        <v>5176.59</v>
      </c>
      <c r="D3835" s="219">
        <f t="shared" si="382"/>
        <v>-3.4095566091161718E-3</v>
      </c>
      <c r="F3835" s="40">
        <v>38684</v>
      </c>
      <c r="G3835" s="39">
        <v>5176.59</v>
      </c>
      <c r="H3835" s="39">
        <f t="shared" si="377"/>
        <v>1</v>
      </c>
      <c r="I3835" s="39">
        <f t="shared" si="378"/>
        <v>0</v>
      </c>
      <c r="K3835" s="40"/>
      <c r="Q3835" s="40">
        <v>38684</v>
      </c>
      <c r="R3835" s="39">
        <v>5176.59</v>
      </c>
      <c r="S3835" s="39">
        <f t="shared" si="379"/>
        <v>11</v>
      </c>
      <c r="T3835" s="39">
        <f t="shared" si="380"/>
        <v>0</v>
      </c>
      <c r="U3835" s="39">
        <f t="shared" si="381"/>
        <v>0</v>
      </c>
      <c r="V3835" s="40"/>
    </row>
    <row r="3836" spans="2:22" x14ac:dyDescent="0.35">
      <c r="B3836" s="40">
        <v>38685</v>
      </c>
      <c r="C3836" s="39">
        <v>5199.4799999999996</v>
      </c>
      <c r="D3836" s="219">
        <f t="shared" si="382"/>
        <v>4.4120822493059486E-3</v>
      </c>
      <c r="F3836" s="40">
        <v>38685</v>
      </c>
      <c r="G3836" s="39">
        <v>5199.4799999999996</v>
      </c>
      <c r="H3836" s="39">
        <f t="shared" si="377"/>
        <v>2</v>
      </c>
      <c r="I3836" s="39">
        <f t="shared" si="378"/>
        <v>0</v>
      </c>
      <c r="K3836" s="40"/>
      <c r="Q3836" s="40">
        <v>38685</v>
      </c>
      <c r="R3836" s="39">
        <v>5199.4799999999996</v>
      </c>
      <c r="S3836" s="39">
        <f t="shared" si="379"/>
        <v>11</v>
      </c>
      <c r="T3836" s="39">
        <f t="shared" si="380"/>
        <v>0</v>
      </c>
      <c r="U3836" s="39">
        <f t="shared" si="381"/>
        <v>0</v>
      </c>
      <c r="V3836" s="40"/>
    </row>
    <row r="3837" spans="2:22" x14ac:dyDescent="0.35">
      <c r="B3837" s="40">
        <v>38686</v>
      </c>
      <c r="C3837" s="39">
        <v>5193.3999999999996</v>
      </c>
      <c r="D3837" s="219">
        <f t="shared" si="382"/>
        <v>-1.1700319244739841E-3</v>
      </c>
      <c r="F3837" s="40">
        <v>38686</v>
      </c>
      <c r="G3837" s="39">
        <v>5193.3999999999996</v>
      </c>
      <c r="H3837" s="39">
        <f t="shared" si="377"/>
        <v>3</v>
      </c>
      <c r="I3837" s="39">
        <f t="shared" si="378"/>
        <v>0</v>
      </c>
      <c r="K3837" s="40"/>
      <c r="Q3837" s="40">
        <v>38686</v>
      </c>
      <c r="R3837" s="39">
        <v>5193.3999999999996</v>
      </c>
      <c r="S3837" s="39">
        <f t="shared" si="379"/>
        <v>11</v>
      </c>
      <c r="T3837" s="39">
        <f t="shared" si="380"/>
        <v>5193.3999999999996</v>
      </c>
      <c r="U3837" s="39">
        <f t="shared" si="381"/>
        <v>5193.3999999999996</v>
      </c>
      <c r="V3837" s="40"/>
    </row>
    <row r="3838" spans="2:22" x14ac:dyDescent="0.35">
      <c r="B3838" s="40">
        <v>38687</v>
      </c>
      <c r="C3838" s="39">
        <v>5266.55</v>
      </c>
      <c r="D3838" s="219">
        <f t="shared" si="382"/>
        <v>1.3986910558146097E-2</v>
      </c>
      <c r="F3838" s="40">
        <v>38687</v>
      </c>
      <c r="G3838" s="39">
        <v>5266.55</v>
      </c>
      <c r="H3838" s="39">
        <f t="shared" si="377"/>
        <v>4</v>
      </c>
      <c r="I3838" s="39">
        <f t="shared" si="378"/>
        <v>0</v>
      </c>
      <c r="K3838" s="40"/>
      <c r="Q3838" s="40">
        <v>38687</v>
      </c>
      <c r="R3838" s="39">
        <v>5266.55</v>
      </c>
      <c r="S3838" s="39">
        <f t="shared" si="379"/>
        <v>12</v>
      </c>
      <c r="T3838" s="39">
        <f t="shared" si="380"/>
        <v>0</v>
      </c>
      <c r="U3838" s="39">
        <f t="shared" si="381"/>
        <v>0</v>
      </c>
      <c r="V3838" s="40"/>
    </row>
    <row r="3839" spans="2:22" x14ac:dyDescent="0.35">
      <c r="B3839" s="40">
        <v>38688</v>
      </c>
      <c r="C3839" s="39">
        <v>5307.99</v>
      </c>
      <c r="D3839" s="219">
        <f t="shared" si="382"/>
        <v>7.8377332987095028E-3</v>
      </c>
      <c r="F3839" s="40">
        <v>38688</v>
      </c>
      <c r="G3839" s="39">
        <v>5307.99</v>
      </c>
      <c r="H3839" s="39">
        <f t="shared" si="377"/>
        <v>5</v>
      </c>
      <c r="I3839" s="39">
        <f t="shared" si="378"/>
        <v>5307.99</v>
      </c>
      <c r="K3839" s="40"/>
      <c r="Q3839" s="40">
        <v>38688</v>
      </c>
      <c r="R3839" s="39">
        <v>5307.99</v>
      </c>
      <c r="S3839" s="39">
        <f t="shared" si="379"/>
        <v>12</v>
      </c>
      <c r="T3839" s="39">
        <f t="shared" si="380"/>
        <v>0</v>
      </c>
      <c r="U3839" s="39">
        <f t="shared" si="381"/>
        <v>0</v>
      </c>
      <c r="V3839" s="40"/>
    </row>
    <row r="3840" spans="2:22" x14ac:dyDescent="0.35">
      <c r="B3840" s="40">
        <v>38691</v>
      </c>
      <c r="C3840" s="39">
        <v>5266.86</v>
      </c>
      <c r="D3840" s="219">
        <f t="shared" si="382"/>
        <v>-7.7788729676126741E-3</v>
      </c>
      <c r="F3840" s="40">
        <v>38691</v>
      </c>
      <c r="G3840" s="39">
        <v>5266.86</v>
      </c>
      <c r="H3840" s="39">
        <f t="shared" si="377"/>
        <v>1</v>
      </c>
      <c r="I3840" s="39">
        <f t="shared" si="378"/>
        <v>0</v>
      </c>
      <c r="K3840" s="40"/>
      <c r="Q3840" s="40">
        <v>38691</v>
      </c>
      <c r="R3840" s="39">
        <v>5266.86</v>
      </c>
      <c r="S3840" s="39">
        <f t="shared" si="379"/>
        <v>12</v>
      </c>
      <c r="T3840" s="39">
        <f t="shared" si="380"/>
        <v>0</v>
      </c>
      <c r="U3840" s="39">
        <f t="shared" si="381"/>
        <v>0</v>
      </c>
      <c r="V3840" s="40"/>
    </row>
    <row r="3841" spans="2:22" x14ac:dyDescent="0.35">
      <c r="B3841" s="40">
        <v>38692</v>
      </c>
      <c r="C3841" s="39">
        <v>5300.85</v>
      </c>
      <c r="D3841" s="219">
        <f t="shared" si="382"/>
        <v>6.4328255056758836E-3</v>
      </c>
      <c r="F3841" s="40">
        <v>38692</v>
      </c>
      <c r="G3841" s="39">
        <v>5300.85</v>
      </c>
      <c r="H3841" s="39">
        <f t="shared" si="377"/>
        <v>2</v>
      </c>
      <c r="I3841" s="39">
        <f t="shared" si="378"/>
        <v>0</v>
      </c>
      <c r="K3841" s="40"/>
      <c r="Q3841" s="40">
        <v>38692</v>
      </c>
      <c r="R3841" s="39">
        <v>5300.85</v>
      </c>
      <c r="S3841" s="39">
        <f t="shared" si="379"/>
        <v>12</v>
      </c>
      <c r="T3841" s="39">
        <f t="shared" si="380"/>
        <v>0</v>
      </c>
      <c r="U3841" s="39">
        <f t="shared" si="381"/>
        <v>0</v>
      </c>
      <c r="V3841" s="40"/>
    </row>
    <row r="3842" spans="2:22" x14ac:dyDescent="0.35">
      <c r="B3842" s="40">
        <v>38693</v>
      </c>
      <c r="C3842" s="39">
        <v>5266.75</v>
      </c>
      <c r="D3842" s="219">
        <f t="shared" si="382"/>
        <v>-6.4537110330504504E-3</v>
      </c>
      <c r="F3842" s="40">
        <v>38693</v>
      </c>
      <c r="G3842" s="39">
        <v>5266.75</v>
      </c>
      <c r="H3842" s="39">
        <f t="shared" si="377"/>
        <v>3</v>
      </c>
      <c r="I3842" s="39">
        <f t="shared" si="378"/>
        <v>0</v>
      </c>
      <c r="K3842" s="40"/>
      <c r="Q3842" s="40">
        <v>38693</v>
      </c>
      <c r="R3842" s="39">
        <v>5266.75</v>
      </c>
      <c r="S3842" s="39">
        <f t="shared" si="379"/>
        <v>12</v>
      </c>
      <c r="T3842" s="39">
        <f t="shared" si="380"/>
        <v>0</v>
      </c>
      <c r="U3842" s="39">
        <f t="shared" si="381"/>
        <v>0</v>
      </c>
      <c r="V3842" s="40"/>
    </row>
    <row r="3843" spans="2:22" x14ac:dyDescent="0.35">
      <c r="B3843" s="40">
        <v>38694</v>
      </c>
      <c r="C3843" s="39">
        <v>5286.75</v>
      </c>
      <c r="D3843" s="219">
        <f t="shared" si="382"/>
        <v>3.7902163155150489E-3</v>
      </c>
      <c r="F3843" s="40">
        <v>38694</v>
      </c>
      <c r="G3843" s="39">
        <v>5286.75</v>
      </c>
      <c r="H3843" s="39">
        <f t="shared" si="377"/>
        <v>4</v>
      </c>
      <c r="I3843" s="39">
        <f t="shared" si="378"/>
        <v>0</v>
      </c>
      <c r="K3843" s="40"/>
      <c r="Q3843" s="40">
        <v>38694</v>
      </c>
      <c r="R3843" s="39">
        <v>5286.75</v>
      </c>
      <c r="S3843" s="39">
        <f t="shared" si="379"/>
        <v>12</v>
      </c>
      <c r="T3843" s="39">
        <f t="shared" si="380"/>
        <v>0</v>
      </c>
      <c r="U3843" s="39">
        <f t="shared" si="381"/>
        <v>0</v>
      </c>
      <c r="V3843" s="40"/>
    </row>
    <row r="3844" spans="2:22" x14ac:dyDescent="0.35">
      <c r="B3844" s="40">
        <v>38695</v>
      </c>
      <c r="C3844" s="39">
        <v>5282.13</v>
      </c>
      <c r="D3844" s="219">
        <f t="shared" si="382"/>
        <v>-8.7426487844884581E-4</v>
      </c>
      <c r="F3844" s="40">
        <v>38695</v>
      </c>
      <c r="G3844" s="39">
        <v>5282.13</v>
      </c>
      <c r="H3844" s="39">
        <f t="shared" si="377"/>
        <v>5</v>
      </c>
      <c r="I3844" s="39">
        <f t="shared" si="378"/>
        <v>5282.13</v>
      </c>
      <c r="K3844" s="40"/>
      <c r="Q3844" s="40">
        <v>38695</v>
      </c>
      <c r="R3844" s="39">
        <v>5282.13</v>
      </c>
      <c r="S3844" s="39">
        <f t="shared" si="379"/>
        <v>12</v>
      </c>
      <c r="T3844" s="39">
        <f t="shared" si="380"/>
        <v>0</v>
      </c>
      <c r="U3844" s="39">
        <f t="shared" si="381"/>
        <v>0</v>
      </c>
      <c r="V3844" s="40"/>
    </row>
    <row r="3845" spans="2:22" x14ac:dyDescent="0.35">
      <c r="B3845" s="40">
        <v>38698</v>
      </c>
      <c r="C3845" s="39">
        <v>5301.21</v>
      </c>
      <c r="D3845" s="219">
        <f t="shared" si="382"/>
        <v>3.6056709264500391E-3</v>
      </c>
      <c r="F3845" s="40">
        <v>38698</v>
      </c>
      <c r="G3845" s="39">
        <v>5301.21</v>
      </c>
      <c r="H3845" s="39">
        <f t="shared" si="377"/>
        <v>1</v>
      </c>
      <c r="I3845" s="39">
        <f t="shared" si="378"/>
        <v>0</v>
      </c>
      <c r="K3845" s="40"/>
      <c r="Q3845" s="40">
        <v>38698</v>
      </c>
      <c r="R3845" s="39">
        <v>5301.21</v>
      </c>
      <c r="S3845" s="39">
        <f t="shared" si="379"/>
        <v>12</v>
      </c>
      <c r="T3845" s="39">
        <f t="shared" si="380"/>
        <v>0</v>
      </c>
      <c r="U3845" s="39">
        <f t="shared" si="381"/>
        <v>0</v>
      </c>
      <c r="V3845" s="40"/>
    </row>
    <row r="3846" spans="2:22" x14ac:dyDescent="0.35">
      <c r="B3846" s="40">
        <v>38699</v>
      </c>
      <c r="C3846" s="39">
        <v>5310.28</v>
      </c>
      <c r="D3846" s="219">
        <f t="shared" si="382"/>
        <v>1.7094681724729595E-3</v>
      </c>
      <c r="F3846" s="40">
        <v>38699</v>
      </c>
      <c r="G3846" s="39">
        <v>5310.28</v>
      </c>
      <c r="H3846" s="39">
        <f t="shared" si="377"/>
        <v>2</v>
      </c>
      <c r="I3846" s="39">
        <f t="shared" si="378"/>
        <v>0</v>
      </c>
      <c r="K3846" s="40"/>
      <c r="Q3846" s="40">
        <v>38699</v>
      </c>
      <c r="R3846" s="39">
        <v>5310.28</v>
      </c>
      <c r="S3846" s="39">
        <f t="shared" si="379"/>
        <v>12</v>
      </c>
      <c r="T3846" s="39">
        <f t="shared" si="380"/>
        <v>0</v>
      </c>
      <c r="U3846" s="39">
        <f t="shared" si="381"/>
        <v>0</v>
      </c>
      <c r="V3846" s="40"/>
    </row>
    <row r="3847" spans="2:22" x14ac:dyDescent="0.35">
      <c r="B3847" s="40">
        <v>38700</v>
      </c>
      <c r="C3847" s="39">
        <v>5286.76</v>
      </c>
      <c r="D3847" s="219">
        <f t="shared" si="382"/>
        <v>-4.4389827010068482E-3</v>
      </c>
      <c r="F3847" s="40">
        <v>38700</v>
      </c>
      <c r="G3847" s="39">
        <v>5286.76</v>
      </c>
      <c r="H3847" s="39">
        <f t="shared" si="377"/>
        <v>3</v>
      </c>
      <c r="I3847" s="39">
        <f t="shared" si="378"/>
        <v>0</v>
      </c>
      <c r="K3847" s="40"/>
      <c r="Q3847" s="40">
        <v>38700</v>
      </c>
      <c r="R3847" s="39">
        <v>5286.76</v>
      </c>
      <c r="S3847" s="39">
        <f t="shared" si="379"/>
        <v>12</v>
      </c>
      <c r="T3847" s="39">
        <f t="shared" si="380"/>
        <v>0</v>
      </c>
      <c r="U3847" s="39">
        <f t="shared" si="381"/>
        <v>0</v>
      </c>
      <c r="V3847" s="40"/>
    </row>
    <row r="3848" spans="2:22" x14ac:dyDescent="0.35">
      <c r="B3848" s="40">
        <v>38701</v>
      </c>
      <c r="C3848" s="39">
        <v>5295.82</v>
      </c>
      <c r="D3848" s="219">
        <f t="shared" si="382"/>
        <v>1.7122482822721397E-3</v>
      </c>
      <c r="F3848" s="40">
        <v>38701</v>
      </c>
      <c r="G3848" s="39">
        <v>5295.82</v>
      </c>
      <c r="H3848" s="39">
        <f t="shared" si="377"/>
        <v>4</v>
      </c>
      <c r="I3848" s="39">
        <f t="shared" si="378"/>
        <v>0</v>
      </c>
      <c r="K3848" s="40"/>
      <c r="Q3848" s="40">
        <v>38701</v>
      </c>
      <c r="R3848" s="39">
        <v>5295.82</v>
      </c>
      <c r="S3848" s="39">
        <f t="shared" si="379"/>
        <v>12</v>
      </c>
      <c r="T3848" s="39">
        <f t="shared" si="380"/>
        <v>0</v>
      </c>
      <c r="U3848" s="39">
        <f t="shared" si="381"/>
        <v>0</v>
      </c>
      <c r="V3848" s="40"/>
    </row>
    <row r="3849" spans="2:22" x14ac:dyDescent="0.35">
      <c r="B3849" s="40">
        <v>38702</v>
      </c>
      <c r="C3849" s="39">
        <v>5353.66</v>
      </c>
      <c r="D3849" s="219">
        <f t="shared" si="382"/>
        <v>1.0862609017703214E-2</v>
      </c>
      <c r="F3849" s="40">
        <v>38702</v>
      </c>
      <c r="G3849" s="39">
        <v>5353.66</v>
      </c>
      <c r="H3849" s="39">
        <f t="shared" si="377"/>
        <v>5</v>
      </c>
      <c r="I3849" s="39">
        <f t="shared" si="378"/>
        <v>5353.66</v>
      </c>
      <c r="K3849" s="40"/>
      <c r="Q3849" s="40">
        <v>38702</v>
      </c>
      <c r="R3849" s="39">
        <v>5353.66</v>
      </c>
      <c r="S3849" s="39">
        <f t="shared" si="379"/>
        <v>12</v>
      </c>
      <c r="T3849" s="39">
        <f t="shared" si="380"/>
        <v>0</v>
      </c>
      <c r="U3849" s="39">
        <f t="shared" si="381"/>
        <v>0</v>
      </c>
      <c r="V3849" s="40"/>
    </row>
    <row r="3850" spans="2:22" x14ac:dyDescent="0.35">
      <c r="B3850" s="40">
        <v>38705</v>
      </c>
      <c r="C3850" s="39">
        <v>5350.18</v>
      </c>
      <c r="D3850" s="219">
        <f t="shared" si="382"/>
        <v>-6.5023395764750107E-4</v>
      </c>
      <c r="F3850" s="40">
        <v>38705</v>
      </c>
      <c r="G3850" s="39">
        <v>5350.18</v>
      </c>
      <c r="H3850" s="39">
        <f t="shared" si="377"/>
        <v>1</v>
      </c>
      <c r="I3850" s="39">
        <f t="shared" si="378"/>
        <v>0</v>
      </c>
      <c r="K3850" s="40"/>
      <c r="Q3850" s="40">
        <v>38705</v>
      </c>
      <c r="R3850" s="39">
        <v>5350.18</v>
      </c>
      <c r="S3850" s="39">
        <f t="shared" si="379"/>
        <v>12</v>
      </c>
      <c r="T3850" s="39">
        <f t="shared" si="380"/>
        <v>0</v>
      </c>
      <c r="U3850" s="39">
        <f t="shared" si="381"/>
        <v>0</v>
      </c>
      <c r="V3850" s="40"/>
    </row>
    <row r="3851" spans="2:22" x14ac:dyDescent="0.35">
      <c r="B3851" s="40">
        <v>38706</v>
      </c>
      <c r="C3851" s="39">
        <v>5356.6</v>
      </c>
      <c r="D3851" s="219">
        <f t="shared" si="382"/>
        <v>1.1992402513966891E-3</v>
      </c>
      <c r="F3851" s="40">
        <v>38706</v>
      </c>
      <c r="G3851" s="39">
        <v>5356.6</v>
      </c>
      <c r="H3851" s="39">
        <f t="shared" si="377"/>
        <v>2</v>
      </c>
      <c r="I3851" s="39">
        <f t="shared" si="378"/>
        <v>0</v>
      </c>
      <c r="K3851" s="40"/>
      <c r="Q3851" s="40">
        <v>38706</v>
      </c>
      <c r="R3851" s="39">
        <v>5356.6</v>
      </c>
      <c r="S3851" s="39">
        <f t="shared" si="379"/>
        <v>12</v>
      </c>
      <c r="T3851" s="39">
        <f t="shared" si="380"/>
        <v>0</v>
      </c>
      <c r="U3851" s="39">
        <f t="shared" si="381"/>
        <v>0</v>
      </c>
      <c r="V3851" s="40"/>
    </row>
    <row r="3852" spans="2:22" x14ac:dyDescent="0.35">
      <c r="B3852" s="40">
        <v>38707</v>
      </c>
      <c r="C3852" s="39">
        <v>5397.23</v>
      </c>
      <c r="D3852" s="219">
        <f t="shared" si="382"/>
        <v>7.5564135436061285E-3</v>
      </c>
      <c r="F3852" s="40">
        <v>38707</v>
      </c>
      <c r="G3852" s="39">
        <v>5397.23</v>
      </c>
      <c r="H3852" s="39">
        <f t="shared" si="377"/>
        <v>3</v>
      </c>
      <c r="I3852" s="39">
        <f t="shared" si="378"/>
        <v>0</v>
      </c>
      <c r="K3852" s="40"/>
      <c r="Q3852" s="40">
        <v>38707</v>
      </c>
      <c r="R3852" s="39">
        <v>5397.23</v>
      </c>
      <c r="S3852" s="39">
        <f t="shared" si="379"/>
        <v>12</v>
      </c>
      <c r="T3852" s="39">
        <f t="shared" si="380"/>
        <v>0</v>
      </c>
      <c r="U3852" s="39">
        <f t="shared" si="381"/>
        <v>0</v>
      </c>
      <c r="V3852" s="40"/>
    </row>
    <row r="3853" spans="2:22" x14ac:dyDescent="0.35">
      <c r="B3853" s="40">
        <v>38708</v>
      </c>
      <c r="C3853" s="39">
        <v>5398.28</v>
      </c>
      <c r="D3853" s="219">
        <f t="shared" si="382"/>
        <v>1.9452531715708163E-4</v>
      </c>
      <c r="F3853" s="40">
        <v>38708</v>
      </c>
      <c r="G3853" s="39">
        <v>5398.28</v>
      </c>
      <c r="H3853" s="39">
        <f t="shared" si="377"/>
        <v>4</v>
      </c>
      <c r="I3853" s="39">
        <f t="shared" si="378"/>
        <v>0</v>
      </c>
      <c r="K3853" s="40"/>
      <c r="Q3853" s="40">
        <v>38708</v>
      </c>
      <c r="R3853" s="39">
        <v>5398.28</v>
      </c>
      <c r="S3853" s="39">
        <f t="shared" si="379"/>
        <v>12</v>
      </c>
      <c r="T3853" s="39">
        <f t="shared" si="380"/>
        <v>0</v>
      </c>
      <c r="U3853" s="39">
        <f t="shared" si="381"/>
        <v>0</v>
      </c>
      <c r="V3853" s="40"/>
    </row>
    <row r="3854" spans="2:22" x14ac:dyDescent="0.35">
      <c r="B3854" s="40">
        <v>38709</v>
      </c>
      <c r="C3854" s="39">
        <v>5419.05</v>
      </c>
      <c r="D3854" s="219">
        <f t="shared" si="382"/>
        <v>3.8401390221096598E-3</v>
      </c>
      <c r="F3854" s="40">
        <v>38709</v>
      </c>
      <c r="G3854" s="39">
        <v>5419.05</v>
      </c>
      <c r="H3854" s="39">
        <f t="shared" si="377"/>
        <v>5</v>
      </c>
      <c r="I3854" s="39">
        <f t="shared" si="378"/>
        <v>5419.05</v>
      </c>
      <c r="K3854" s="40"/>
      <c r="Q3854" s="40">
        <v>38709</v>
      </c>
      <c r="R3854" s="39">
        <v>5419.05</v>
      </c>
      <c r="S3854" s="39">
        <f t="shared" si="379"/>
        <v>12</v>
      </c>
      <c r="T3854" s="39">
        <f t="shared" si="380"/>
        <v>0</v>
      </c>
      <c r="U3854" s="39">
        <f t="shared" si="381"/>
        <v>0</v>
      </c>
      <c r="V3854" s="40"/>
    </row>
    <row r="3855" spans="2:22" x14ac:dyDescent="0.35">
      <c r="B3855" s="40">
        <v>38713</v>
      </c>
      <c r="C3855" s="39">
        <v>5444.84</v>
      </c>
      <c r="D3855" s="219">
        <f t="shared" si="382"/>
        <v>4.7478478605037511E-3</v>
      </c>
      <c r="F3855" s="40">
        <v>38713</v>
      </c>
      <c r="G3855" s="39">
        <v>5444.84</v>
      </c>
      <c r="H3855" s="39">
        <f t="shared" si="377"/>
        <v>2</v>
      </c>
      <c r="I3855" s="39">
        <f t="shared" si="378"/>
        <v>0</v>
      </c>
      <c r="K3855" s="40"/>
      <c r="Q3855" s="40">
        <v>38713</v>
      </c>
      <c r="R3855" s="39">
        <v>5444.84</v>
      </c>
      <c r="S3855" s="39">
        <f t="shared" si="379"/>
        <v>12</v>
      </c>
      <c r="T3855" s="39">
        <f t="shared" si="380"/>
        <v>0</v>
      </c>
      <c r="U3855" s="39">
        <f t="shared" si="381"/>
        <v>0</v>
      </c>
      <c r="V3855" s="40"/>
    </row>
    <row r="3856" spans="2:22" x14ac:dyDescent="0.35">
      <c r="B3856" s="40">
        <v>38714</v>
      </c>
      <c r="C3856" s="39">
        <v>5447.15</v>
      </c>
      <c r="D3856" s="219">
        <f t="shared" si="382"/>
        <v>4.2416492020894045E-4</v>
      </c>
      <c r="F3856" s="40">
        <v>38714</v>
      </c>
      <c r="G3856" s="39">
        <v>5447.15</v>
      </c>
      <c r="H3856" s="39">
        <f t="shared" si="377"/>
        <v>3</v>
      </c>
      <c r="I3856" s="39">
        <f t="shared" si="378"/>
        <v>0</v>
      </c>
      <c r="K3856" s="40"/>
      <c r="Q3856" s="40">
        <v>38714</v>
      </c>
      <c r="R3856" s="39">
        <v>5447.15</v>
      </c>
      <c r="S3856" s="39">
        <f t="shared" si="379"/>
        <v>12</v>
      </c>
      <c r="T3856" s="39">
        <f t="shared" si="380"/>
        <v>0</v>
      </c>
      <c r="U3856" s="39">
        <f t="shared" si="381"/>
        <v>0</v>
      </c>
      <c r="V3856" s="40"/>
    </row>
    <row r="3857" spans="2:22" x14ac:dyDescent="0.35">
      <c r="B3857" s="40">
        <v>38715</v>
      </c>
      <c r="C3857" s="39">
        <v>5458.58</v>
      </c>
      <c r="D3857" s="219">
        <f t="shared" si="382"/>
        <v>2.0961465550903753E-3</v>
      </c>
      <c r="F3857" s="40">
        <v>38715</v>
      </c>
      <c r="G3857" s="39">
        <v>5458.58</v>
      </c>
      <c r="H3857" s="39">
        <f t="shared" si="377"/>
        <v>4</v>
      </c>
      <c r="I3857" s="39">
        <f t="shared" si="378"/>
        <v>0</v>
      </c>
      <c r="K3857" s="40"/>
      <c r="Q3857" s="40">
        <v>38715</v>
      </c>
      <c r="R3857" s="39">
        <v>5458.58</v>
      </c>
      <c r="S3857" s="39">
        <f t="shared" si="379"/>
        <v>12</v>
      </c>
      <c r="T3857" s="39">
        <f t="shared" si="380"/>
        <v>0</v>
      </c>
      <c r="U3857" s="39">
        <f t="shared" si="381"/>
        <v>0</v>
      </c>
      <c r="V3857" s="40"/>
    </row>
    <row r="3858" spans="2:22" x14ac:dyDescent="0.35">
      <c r="B3858" s="40">
        <v>38716</v>
      </c>
      <c r="C3858" s="39">
        <v>5408.26</v>
      </c>
      <c r="D3858" s="219">
        <f t="shared" si="382"/>
        <v>-9.2612681637435877E-3</v>
      </c>
      <c r="F3858" s="40">
        <v>38716</v>
      </c>
      <c r="G3858" s="39">
        <v>5408.26</v>
      </c>
      <c r="H3858" s="39">
        <f t="shared" si="377"/>
        <v>5</v>
      </c>
      <c r="I3858" s="39">
        <f t="shared" si="378"/>
        <v>5408.26</v>
      </c>
      <c r="K3858" s="40"/>
      <c r="Q3858" s="40">
        <v>38716</v>
      </c>
      <c r="R3858" s="39">
        <v>5408.26</v>
      </c>
      <c r="S3858" s="39">
        <f t="shared" si="379"/>
        <v>12</v>
      </c>
      <c r="T3858" s="39">
        <f t="shared" si="380"/>
        <v>5408.26</v>
      </c>
      <c r="U3858" s="39">
        <f t="shared" si="381"/>
        <v>5408.26</v>
      </c>
      <c r="V3858" s="40"/>
    </row>
    <row r="3859" spans="2:22" x14ac:dyDescent="0.35">
      <c r="B3859" s="40">
        <v>38719</v>
      </c>
      <c r="C3859" s="39">
        <v>5449.98</v>
      </c>
      <c r="D3859" s="219">
        <f t="shared" si="382"/>
        <v>7.6845244355668871E-3</v>
      </c>
      <c r="F3859" s="40">
        <v>38719</v>
      </c>
      <c r="G3859" s="39">
        <v>5449.98</v>
      </c>
      <c r="H3859" s="39">
        <f t="shared" si="377"/>
        <v>1</v>
      </c>
      <c r="I3859" s="39">
        <f t="shared" si="378"/>
        <v>0</v>
      </c>
      <c r="K3859" s="40"/>
      <c r="Q3859" s="40">
        <v>38719</v>
      </c>
      <c r="R3859" s="39">
        <v>5449.98</v>
      </c>
      <c r="S3859" s="39">
        <f t="shared" si="379"/>
        <v>1</v>
      </c>
      <c r="T3859" s="39">
        <f t="shared" si="380"/>
        <v>0</v>
      </c>
      <c r="U3859" s="39">
        <f t="shared" si="381"/>
        <v>0</v>
      </c>
      <c r="V3859" s="40"/>
    </row>
    <row r="3860" spans="2:22" x14ac:dyDescent="0.35">
      <c r="B3860" s="40">
        <v>38720</v>
      </c>
      <c r="C3860" s="39">
        <v>5460.68</v>
      </c>
      <c r="D3860" s="219">
        <f t="shared" si="382"/>
        <v>1.9613851829807026E-3</v>
      </c>
      <c r="F3860" s="40">
        <v>38720</v>
      </c>
      <c r="G3860" s="39">
        <v>5460.68</v>
      </c>
      <c r="H3860" s="39">
        <f t="shared" si="377"/>
        <v>2</v>
      </c>
      <c r="I3860" s="39">
        <f t="shared" si="378"/>
        <v>0</v>
      </c>
      <c r="K3860" s="40"/>
      <c r="Q3860" s="40">
        <v>38720</v>
      </c>
      <c r="R3860" s="39">
        <v>5460.68</v>
      </c>
      <c r="S3860" s="39">
        <f t="shared" si="379"/>
        <v>1</v>
      </c>
      <c r="T3860" s="39">
        <f t="shared" si="380"/>
        <v>0</v>
      </c>
      <c r="U3860" s="39">
        <f t="shared" si="381"/>
        <v>0</v>
      </c>
      <c r="V3860" s="40"/>
    </row>
    <row r="3861" spans="2:22" x14ac:dyDescent="0.35">
      <c r="B3861" s="40">
        <v>38721</v>
      </c>
      <c r="C3861" s="39">
        <v>5523.62</v>
      </c>
      <c r="D3861" s="219">
        <f t="shared" si="382"/>
        <v>1.1460118322871461E-2</v>
      </c>
      <c r="F3861" s="40">
        <v>38721</v>
      </c>
      <c r="G3861" s="39">
        <v>5523.62</v>
      </c>
      <c r="H3861" s="39">
        <f t="shared" si="377"/>
        <v>3</v>
      </c>
      <c r="I3861" s="39">
        <f t="shared" si="378"/>
        <v>0</v>
      </c>
      <c r="K3861" s="40"/>
      <c r="Q3861" s="40">
        <v>38721</v>
      </c>
      <c r="R3861" s="39">
        <v>5523.62</v>
      </c>
      <c r="S3861" s="39">
        <f t="shared" si="379"/>
        <v>1</v>
      </c>
      <c r="T3861" s="39">
        <f t="shared" si="380"/>
        <v>0</v>
      </c>
      <c r="U3861" s="39">
        <f t="shared" si="381"/>
        <v>0</v>
      </c>
      <c r="V3861" s="40"/>
    </row>
    <row r="3862" spans="2:22" x14ac:dyDescent="0.35">
      <c r="B3862" s="40">
        <v>38722</v>
      </c>
      <c r="C3862" s="39">
        <v>5516.53</v>
      </c>
      <c r="D3862" s="219">
        <f t="shared" si="382"/>
        <v>-1.2844030153019012E-3</v>
      </c>
      <c r="F3862" s="40">
        <v>38722</v>
      </c>
      <c r="G3862" s="39">
        <v>5516.53</v>
      </c>
      <c r="H3862" s="39">
        <f t="shared" si="377"/>
        <v>4</v>
      </c>
      <c r="I3862" s="39">
        <f t="shared" si="378"/>
        <v>0</v>
      </c>
      <c r="K3862" s="40"/>
      <c r="Q3862" s="40">
        <v>38722</v>
      </c>
      <c r="R3862" s="39">
        <v>5516.53</v>
      </c>
      <c r="S3862" s="39">
        <f t="shared" si="379"/>
        <v>1</v>
      </c>
      <c r="T3862" s="39">
        <f t="shared" si="380"/>
        <v>0</v>
      </c>
      <c r="U3862" s="39">
        <f t="shared" si="381"/>
        <v>0</v>
      </c>
      <c r="V3862" s="40"/>
    </row>
    <row r="3863" spans="2:22" x14ac:dyDescent="0.35">
      <c r="B3863" s="40">
        <v>38723</v>
      </c>
      <c r="C3863" s="39">
        <v>5536.32</v>
      </c>
      <c r="D3863" s="219">
        <f t="shared" si="382"/>
        <v>3.5809806788215251E-3</v>
      </c>
      <c r="F3863" s="40">
        <v>38723</v>
      </c>
      <c r="G3863" s="39">
        <v>5536.32</v>
      </c>
      <c r="H3863" s="39">
        <f t="shared" si="377"/>
        <v>5</v>
      </c>
      <c r="I3863" s="39">
        <f t="shared" si="378"/>
        <v>5536.32</v>
      </c>
      <c r="K3863" s="40"/>
      <c r="Q3863" s="40">
        <v>38723</v>
      </c>
      <c r="R3863" s="39">
        <v>5536.32</v>
      </c>
      <c r="S3863" s="39">
        <f t="shared" si="379"/>
        <v>1</v>
      </c>
      <c r="T3863" s="39">
        <f t="shared" si="380"/>
        <v>0</v>
      </c>
      <c r="U3863" s="39">
        <f t="shared" si="381"/>
        <v>0</v>
      </c>
      <c r="V3863" s="40"/>
    </row>
    <row r="3864" spans="2:22" x14ac:dyDescent="0.35">
      <c r="B3864" s="40">
        <v>38726</v>
      </c>
      <c r="C3864" s="39">
        <v>5537.11</v>
      </c>
      <c r="D3864" s="219">
        <f t="shared" si="382"/>
        <v>1.4268388409731191E-4</v>
      </c>
      <c r="F3864" s="40">
        <v>38726</v>
      </c>
      <c r="G3864" s="39">
        <v>5537.11</v>
      </c>
      <c r="H3864" s="39">
        <f t="shared" si="377"/>
        <v>1</v>
      </c>
      <c r="I3864" s="39">
        <f t="shared" si="378"/>
        <v>0</v>
      </c>
      <c r="K3864" s="40"/>
      <c r="Q3864" s="40">
        <v>38726</v>
      </c>
      <c r="R3864" s="39">
        <v>5537.11</v>
      </c>
      <c r="S3864" s="39">
        <f t="shared" si="379"/>
        <v>1</v>
      </c>
      <c r="T3864" s="39">
        <f t="shared" si="380"/>
        <v>0</v>
      </c>
      <c r="U3864" s="39">
        <f t="shared" si="381"/>
        <v>0</v>
      </c>
      <c r="V3864" s="40"/>
    </row>
    <row r="3865" spans="2:22" x14ac:dyDescent="0.35">
      <c r="B3865" s="40">
        <v>38727</v>
      </c>
      <c r="C3865" s="39">
        <v>5494.71</v>
      </c>
      <c r="D3865" s="219">
        <f t="shared" si="382"/>
        <v>-7.6868927844230611E-3</v>
      </c>
      <c r="F3865" s="40">
        <v>38727</v>
      </c>
      <c r="G3865" s="39">
        <v>5494.71</v>
      </c>
      <c r="H3865" s="39">
        <f t="shared" si="377"/>
        <v>2</v>
      </c>
      <c r="I3865" s="39">
        <f t="shared" si="378"/>
        <v>0</v>
      </c>
      <c r="K3865" s="40"/>
      <c r="Q3865" s="40">
        <v>38727</v>
      </c>
      <c r="R3865" s="39">
        <v>5494.71</v>
      </c>
      <c r="S3865" s="39">
        <f t="shared" si="379"/>
        <v>1</v>
      </c>
      <c r="T3865" s="39">
        <f t="shared" si="380"/>
        <v>0</v>
      </c>
      <c r="U3865" s="39">
        <f t="shared" si="381"/>
        <v>0</v>
      </c>
      <c r="V3865" s="40"/>
    </row>
    <row r="3866" spans="2:22" x14ac:dyDescent="0.35">
      <c r="B3866" s="40">
        <v>38728</v>
      </c>
      <c r="C3866" s="39">
        <v>5532.89</v>
      </c>
      <c r="D3866" s="219">
        <f t="shared" si="382"/>
        <v>6.9244717899481561E-3</v>
      </c>
      <c r="F3866" s="40">
        <v>38728</v>
      </c>
      <c r="G3866" s="39">
        <v>5532.89</v>
      </c>
      <c r="H3866" s="39">
        <f t="shared" si="377"/>
        <v>3</v>
      </c>
      <c r="I3866" s="39">
        <f t="shared" si="378"/>
        <v>0</v>
      </c>
      <c r="K3866" s="40"/>
      <c r="Q3866" s="40">
        <v>38728</v>
      </c>
      <c r="R3866" s="39">
        <v>5532.89</v>
      </c>
      <c r="S3866" s="39">
        <f t="shared" si="379"/>
        <v>1</v>
      </c>
      <c r="T3866" s="39">
        <f t="shared" si="380"/>
        <v>0</v>
      </c>
      <c r="U3866" s="39">
        <f t="shared" si="381"/>
        <v>0</v>
      </c>
      <c r="V3866" s="40"/>
    </row>
    <row r="3867" spans="2:22" x14ac:dyDescent="0.35">
      <c r="B3867" s="40">
        <v>38729</v>
      </c>
      <c r="C3867" s="39">
        <v>5542.13</v>
      </c>
      <c r="D3867" s="219">
        <f t="shared" si="382"/>
        <v>1.6686203986820154E-3</v>
      </c>
      <c r="F3867" s="40">
        <v>38729</v>
      </c>
      <c r="G3867" s="39">
        <v>5542.13</v>
      </c>
      <c r="H3867" s="39">
        <f t="shared" si="377"/>
        <v>4</v>
      </c>
      <c r="I3867" s="39">
        <f t="shared" si="378"/>
        <v>0</v>
      </c>
      <c r="K3867" s="40"/>
      <c r="Q3867" s="40">
        <v>38729</v>
      </c>
      <c r="R3867" s="39">
        <v>5542.13</v>
      </c>
      <c r="S3867" s="39">
        <f t="shared" si="379"/>
        <v>1</v>
      </c>
      <c r="T3867" s="39">
        <f t="shared" si="380"/>
        <v>0</v>
      </c>
      <c r="U3867" s="39">
        <f t="shared" si="381"/>
        <v>0</v>
      </c>
      <c r="V3867" s="40"/>
    </row>
    <row r="3868" spans="2:22" x14ac:dyDescent="0.35">
      <c r="B3868" s="40">
        <v>38730</v>
      </c>
      <c r="C3868" s="39">
        <v>5483.09</v>
      </c>
      <c r="D3868" s="219">
        <f t="shared" si="382"/>
        <v>-1.071009274243361E-2</v>
      </c>
      <c r="F3868" s="40">
        <v>38730</v>
      </c>
      <c r="G3868" s="39">
        <v>5483.09</v>
      </c>
      <c r="H3868" s="39">
        <f t="shared" si="377"/>
        <v>5</v>
      </c>
      <c r="I3868" s="39">
        <f t="shared" si="378"/>
        <v>5483.09</v>
      </c>
      <c r="K3868" s="40"/>
      <c r="Q3868" s="40">
        <v>38730</v>
      </c>
      <c r="R3868" s="39">
        <v>5483.09</v>
      </c>
      <c r="S3868" s="39">
        <f t="shared" si="379"/>
        <v>1</v>
      </c>
      <c r="T3868" s="39">
        <f t="shared" si="380"/>
        <v>0</v>
      </c>
      <c r="U3868" s="39">
        <f t="shared" si="381"/>
        <v>0</v>
      </c>
      <c r="V3868" s="40"/>
    </row>
    <row r="3869" spans="2:22" x14ac:dyDescent="0.35">
      <c r="B3869" s="40">
        <v>38733</v>
      </c>
      <c r="C3869" s="39">
        <v>5514.64</v>
      </c>
      <c r="D3869" s="219">
        <f t="shared" si="382"/>
        <v>5.7375633973839775E-3</v>
      </c>
      <c r="F3869" s="40">
        <v>38733</v>
      </c>
      <c r="G3869" s="39">
        <v>5514.64</v>
      </c>
      <c r="H3869" s="39">
        <f t="shared" si="377"/>
        <v>1</v>
      </c>
      <c r="I3869" s="39">
        <f t="shared" si="378"/>
        <v>0</v>
      </c>
      <c r="K3869" s="40"/>
      <c r="Q3869" s="40">
        <v>38733</v>
      </c>
      <c r="R3869" s="39">
        <v>5514.64</v>
      </c>
      <c r="S3869" s="39">
        <f t="shared" si="379"/>
        <v>1</v>
      </c>
      <c r="T3869" s="39">
        <f t="shared" si="380"/>
        <v>0</v>
      </c>
      <c r="U3869" s="39">
        <f t="shared" si="381"/>
        <v>0</v>
      </c>
      <c r="V3869" s="40"/>
    </row>
    <row r="3870" spans="2:22" x14ac:dyDescent="0.35">
      <c r="B3870" s="40">
        <v>38734</v>
      </c>
      <c r="C3870" s="39">
        <v>5460.16</v>
      </c>
      <c r="D3870" s="219">
        <f t="shared" si="382"/>
        <v>-9.9282806995125705E-3</v>
      </c>
      <c r="F3870" s="40">
        <v>38734</v>
      </c>
      <c r="G3870" s="39">
        <v>5460.16</v>
      </c>
      <c r="H3870" s="39">
        <f t="shared" si="377"/>
        <v>2</v>
      </c>
      <c r="I3870" s="39">
        <f t="shared" si="378"/>
        <v>0</v>
      </c>
      <c r="K3870" s="40"/>
      <c r="Q3870" s="40">
        <v>38734</v>
      </c>
      <c r="R3870" s="39">
        <v>5460.16</v>
      </c>
      <c r="S3870" s="39">
        <f t="shared" si="379"/>
        <v>1</v>
      </c>
      <c r="T3870" s="39">
        <f t="shared" si="380"/>
        <v>0</v>
      </c>
      <c r="U3870" s="39">
        <f t="shared" si="381"/>
        <v>0</v>
      </c>
      <c r="V3870" s="40"/>
    </row>
    <row r="3871" spans="2:22" x14ac:dyDescent="0.35">
      <c r="B3871" s="40">
        <v>38735</v>
      </c>
      <c r="C3871" s="39">
        <v>5395.61</v>
      </c>
      <c r="D3871" s="219">
        <f t="shared" si="382"/>
        <v>-1.1892433383094337E-2</v>
      </c>
      <c r="F3871" s="40">
        <v>38735</v>
      </c>
      <c r="G3871" s="39">
        <v>5395.61</v>
      </c>
      <c r="H3871" s="39">
        <f t="shared" si="377"/>
        <v>3</v>
      </c>
      <c r="I3871" s="39">
        <f t="shared" si="378"/>
        <v>0</v>
      </c>
      <c r="K3871" s="40"/>
      <c r="Q3871" s="40">
        <v>38735</v>
      </c>
      <c r="R3871" s="39">
        <v>5395.61</v>
      </c>
      <c r="S3871" s="39">
        <f t="shared" si="379"/>
        <v>1</v>
      </c>
      <c r="T3871" s="39">
        <f t="shared" si="380"/>
        <v>0</v>
      </c>
      <c r="U3871" s="39">
        <f t="shared" si="381"/>
        <v>0</v>
      </c>
      <c r="V3871" s="40"/>
    </row>
    <row r="3872" spans="2:22" x14ac:dyDescent="0.35">
      <c r="B3872" s="40">
        <v>38736</v>
      </c>
      <c r="C3872" s="39">
        <v>5430.84</v>
      </c>
      <c r="D3872" s="219">
        <f t="shared" si="382"/>
        <v>6.5081581405592804E-3</v>
      </c>
      <c r="F3872" s="40">
        <v>38736</v>
      </c>
      <c r="G3872" s="39">
        <v>5430.84</v>
      </c>
      <c r="H3872" s="39">
        <f t="shared" si="377"/>
        <v>4</v>
      </c>
      <c r="I3872" s="39">
        <f t="shared" si="378"/>
        <v>0</v>
      </c>
      <c r="K3872" s="40"/>
      <c r="Q3872" s="40">
        <v>38736</v>
      </c>
      <c r="R3872" s="39">
        <v>5430.84</v>
      </c>
      <c r="S3872" s="39">
        <f t="shared" si="379"/>
        <v>1</v>
      </c>
      <c r="T3872" s="39">
        <f t="shared" si="380"/>
        <v>0</v>
      </c>
      <c r="U3872" s="39">
        <f t="shared" si="381"/>
        <v>0</v>
      </c>
      <c r="V3872" s="40"/>
    </row>
    <row r="3873" spans="2:22" x14ac:dyDescent="0.35">
      <c r="B3873" s="40">
        <v>38737</v>
      </c>
      <c r="C3873" s="39">
        <v>5349.02</v>
      </c>
      <c r="D3873" s="219">
        <f t="shared" si="382"/>
        <v>-1.518045155546629E-2</v>
      </c>
      <c r="F3873" s="40">
        <v>38737</v>
      </c>
      <c r="G3873" s="39">
        <v>5349.02</v>
      </c>
      <c r="H3873" s="39">
        <f t="shared" si="377"/>
        <v>5</v>
      </c>
      <c r="I3873" s="39">
        <f t="shared" si="378"/>
        <v>5349.02</v>
      </c>
      <c r="K3873" s="40"/>
      <c r="Q3873" s="40">
        <v>38737</v>
      </c>
      <c r="R3873" s="39">
        <v>5349.02</v>
      </c>
      <c r="S3873" s="39">
        <f t="shared" si="379"/>
        <v>1</v>
      </c>
      <c r="T3873" s="39">
        <f t="shared" si="380"/>
        <v>0</v>
      </c>
      <c r="U3873" s="39">
        <f t="shared" si="381"/>
        <v>0</v>
      </c>
      <c r="V3873" s="40"/>
    </row>
    <row r="3874" spans="2:22" x14ac:dyDescent="0.35">
      <c r="B3874" s="40">
        <v>38740</v>
      </c>
      <c r="C3874" s="39">
        <v>5348.72</v>
      </c>
      <c r="D3874" s="219">
        <f t="shared" si="382"/>
        <v>-5.6086612701187222E-5</v>
      </c>
      <c r="F3874" s="40">
        <v>38740</v>
      </c>
      <c r="G3874" s="39">
        <v>5348.72</v>
      </c>
      <c r="H3874" s="39">
        <f t="shared" si="377"/>
        <v>1</v>
      </c>
      <c r="I3874" s="39">
        <f t="shared" si="378"/>
        <v>0</v>
      </c>
      <c r="K3874" s="40"/>
      <c r="Q3874" s="40">
        <v>38740</v>
      </c>
      <c r="R3874" s="39">
        <v>5348.72</v>
      </c>
      <c r="S3874" s="39">
        <f t="shared" si="379"/>
        <v>1</v>
      </c>
      <c r="T3874" s="39">
        <f t="shared" si="380"/>
        <v>0</v>
      </c>
      <c r="U3874" s="39">
        <f t="shared" si="381"/>
        <v>0</v>
      </c>
      <c r="V3874" s="40"/>
    </row>
    <row r="3875" spans="2:22" x14ac:dyDescent="0.35">
      <c r="B3875" s="40">
        <v>38741</v>
      </c>
      <c r="C3875" s="39">
        <v>5334.3</v>
      </c>
      <c r="D3875" s="219">
        <f t="shared" si="382"/>
        <v>-2.6996127981856848E-3</v>
      </c>
      <c r="F3875" s="40">
        <v>38741</v>
      </c>
      <c r="G3875" s="39">
        <v>5334.3</v>
      </c>
      <c r="H3875" s="39">
        <f t="shared" si="377"/>
        <v>2</v>
      </c>
      <c r="I3875" s="39">
        <f t="shared" si="378"/>
        <v>0</v>
      </c>
      <c r="K3875" s="40"/>
      <c r="Q3875" s="40">
        <v>38741</v>
      </c>
      <c r="R3875" s="39">
        <v>5334.3</v>
      </c>
      <c r="S3875" s="39">
        <f t="shared" si="379"/>
        <v>1</v>
      </c>
      <c r="T3875" s="39">
        <f t="shared" si="380"/>
        <v>0</v>
      </c>
      <c r="U3875" s="39">
        <f t="shared" si="381"/>
        <v>0</v>
      </c>
      <c r="V3875" s="40"/>
    </row>
    <row r="3876" spans="2:22" x14ac:dyDescent="0.35">
      <c r="B3876" s="40">
        <v>38742</v>
      </c>
      <c r="C3876" s="39">
        <v>5427.09</v>
      </c>
      <c r="D3876" s="219">
        <f t="shared" si="382"/>
        <v>1.724541154381122E-2</v>
      </c>
      <c r="F3876" s="40">
        <v>38742</v>
      </c>
      <c r="G3876" s="39">
        <v>5427.09</v>
      </c>
      <c r="H3876" s="39">
        <f t="shared" si="377"/>
        <v>3</v>
      </c>
      <c r="I3876" s="39">
        <f t="shared" si="378"/>
        <v>0</v>
      </c>
      <c r="K3876" s="40"/>
      <c r="Q3876" s="40">
        <v>38742</v>
      </c>
      <c r="R3876" s="39">
        <v>5427.09</v>
      </c>
      <c r="S3876" s="39">
        <f t="shared" si="379"/>
        <v>1</v>
      </c>
      <c r="T3876" s="39">
        <f t="shared" si="380"/>
        <v>0</v>
      </c>
      <c r="U3876" s="39">
        <f t="shared" si="381"/>
        <v>0</v>
      </c>
      <c r="V3876" s="40"/>
    </row>
    <row r="3877" spans="2:22" x14ac:dyDescent="0.35">
      <c r="B3877" s="40">
        <v>38743</v>
      </c>
      <c r="C3877" s="39">
        <v>5548.91</v>
      </c>
      <c r="D3877" s="219">
        <f t="shared" si="382"/>
        <v>2.2198433381963013E-2</v>
      </c>
      <c r="F3877" s="40">
        <v>38743</v>
      </c>
      <c r="G3877" s="39">
        <v>5548.91</v>
      </c>
      <c r="H3877" s="39">
        <f t="shared" si="377"/>
        <v>4</v>
      </c>
      <c r="I3877" s="39">
        <f t="shared" si="378"/>
        <v>0</v>
      </c>
      <c r="K3877" s="40"/>
      <c r="Q3877" s="40">
        <v>38743</v>
      </c>
      <c r="R3877" s="39">
        <v>5548.91</v>
      </c>
      <c r="S3877" s="39">
        <f t="shared" si="379"/>
        <v>1</v>
      </c>
      <c r="T3877" s="39">
        <f t="shared" si="380"/>
        <v>0</v>
      </c>
      <c r="U3877" s="39">
        <f t="shared" si="381"/>
        <v>0</v>
      </c>
      <c r="V3877" s="40"/>
    </row>
    <row r="3878" spans="2:22" x14ac:dyDescent="0.35">
      <c r="B3878" s="40">
        <v>38744</v>
      </c>
      <c r="C3878" s="39">
        <v>5647.42</v>
      </c>
      <c r="D3878" s="219">
        <f t="shared" si="382"/>
        <v>1.7597291626057453E-2</v>
      </c>
      <c r="F3878" s="40">
        <v>38744</v>
      </c>
      <c r="G3878" s="39">
        <v>5647.42</v>
      </c>
      <c r="H3878" s="39">
        <f t="shared" si="377"/>
        <v>5</v>
      </c>
      <c r="I3878" s="39">
        <f t="shared" si="378"/>
        <v>5647.42</v>
      </c>
      <c r="K3878" s="40"/>
      <c r="Q3878" s="40">
        <v>38744</v>
      </c>
      <c r="R3878" s="39">
        <v>5647.42</v>
      </c>
      <c r="S3878" s="39">
        <f t="shared" si="379"/>
        <v>1</v>
      </c>
      <c r="T3878" s="39">
        <f t="shared" si="380"/>
        <v>0</v>
      </c>
      <c r="U3878" s="39">
        <f t="shared" si="381"/>
        <v>0</v>
      </c>
      <c r="V3878" s="40"/>
    </row>
    <row r="3879" spans="2:22" x14ac:dyDescent="0.35">
      <c r="B3879" s="40">
        <v>38747</v>
      </c>
      <c r="C3879" s="39">
        <v>5660.03</v>
      </c>
      <c r="D3879" s="219">
        <f t="shared" si="382"/>
        <v>2.2303888546951704E-3</v>
      </c>
      <c r="F3879" s="40">
        <v>38747</v>
      </c>
      <c r="G3879" s="39">
        <v>5660.03</v>
      </c>
      <c r="H3879" s="39">
        <f t="shared" si="377"/>
        <v>1</v>
      </c>
      <c r="I3879" s="39">
        <f t="shared" si="378"/>
        <v>0</v>
      </c>
      <c r="K3879" s="40"/>
      <c r="Q3879" s="40">
        <v>38747</v>
      </c>
      <c r="R3879" s="39">
        <v>5660.03</v>
      </c>
      <c r="S3879" s="39">
        <f t="shared" si="379"/>
        <v>1</v>
      </c>
      <c r="T3879" s="39">
        <f t="shared" si="380"/>
        <v>0</v>
      </c>
      <c r="U3879" s="39">
        <f t="shared" si="381"/>
        <v>0</v>
      </c>
      <c r="V3879" s="40"/>
    </row>
    <row r="3880" spans="2:22" x14ac:dyDescent="0.35">
      <c r="B3880" s="40">
        <v>38748</v>
      </c>
      <c r="C3880" s="39">
        <v>5674.15</v>
      </c>
      <c r="D3880" s="219">
        <f t="shared" si="382"/>
        <v>2.4915798592770595E-3</v>
      </c>
      <c r="F3880" s="40">
        <v>38748</v>
      </c>
      <c r="G3880" s="39">
        <v>5674.15</v>
      </c>
      <c r="H3880" s="39">
        <f t="shared" si="377"/>
        <v>2</v>
      </c>
      <c r="I3880" s="39">
        <f t="shared" si="378"/>
        <v>0</v>
      </c>
      <c r="K3880" s="40"/>
      <c r="Q3880" s="40">
        <v>38748</v>
      </c>
      <c r="R3880" s="39">
        <v>5674.15</v>
      </c>
      <c r="S3880" s="39">
        <f t="shared" si="379"/>
        <v>1</v>
      </c>
      <c r="T3880" s="39">
        <f t="shared" si="380"/>
        <v>5674.15</v>
      </c>
      <c r="U3880" s="39">
        <f t="shared" si="381"/>
        <v>5674.15</v>
      </c>
      <c r="V3880" s="40"/>
    </row>
    <row r="3881" spans="2:22" x14ac:dyDescent="0.35">
      <c r="B3881" s="40">
        <v>38749</v>
      </c>
      <c r="C3881" s="39">
        <v>5726.53</v>
      </c>
      <c r="D3881" s="219">
        <f t="shared" si="382"/>
        <v>9.1889902302933341E-3</v>
      </c>
      <c r="F3881" s="40">
        <v>38749</v>
      </c>
      <c r="G3881" s="39">
        <v>5726.53</v>
      </c>
      <c r="H3881" s="39">
        <f t="shared" si="377"/>
        <v>3</v>
      </c>
      <c r="I3881" s="39">
        <f t="shared" si="378"/>
        <v>0</v>
      </c>
      <c r="K3881" s="40"/>
      <c r="Q3881" s="40">
        <v>38749</v>
      </c>
      <c r="R3881" s="39">
        <v>5726.53</v>
      </c>
      <c r="S3881" s="39">
        <f t="shared" si="379"/>
        <v>2</v>
      </c>
      <c r="T3881" s="39">
        <f t="shared" si="380"/>
        <v>0</v>
      </c>
      <c r="U3881" s="39">
        <f t="shared" si="381"/>
        <v>0</v>
      </c>
      <c r="V3881" s="40"/>
    </row>
    <row r="3882" spans="2:22" x14ac:dyDescent="0.35">
      <c r="B3882" s="40">
        <v>38750</v>
      </c>
      <c r="C3882" s="39">
        <v>5649.6</v>
      </c>
      <c r="D3882" s="219">
        <f t="shared" si="382"/>
        <v>-1.352501645198694E-2</v>
      </c>
      <c r="F3882" s="40">
        <v>38750</v>
      </c>
      <c r="G3882" s="39">
        <v>5649.6</v>
      </c>
      <c r="H3882" s="39">
        <f t="shared" si="377"/>
        <v>4</v>
      </c>
      <c r="I3882" s="39">
        <f t="shared" si="378"/>
        <v>0</v>
      </c>
      <c r="K3882" s="40"/>
      <c r="Q3882" s="40">
        <v>38750</v>
      </c>
      <c r="R3882" s="39">
        <v>5649.6</v>
      </c>
      <c r="S3882" s="39">
        <f t="shared" si="379"/>
        <v>2</v>
      </c>
      <c r="T3882" s="39">
        <f t="shared" si="380"/>
        <v>0</v>
      </c>
      <c r="U3882" s="39">
        <f t="shared" si="381"/>
        <v>0</v>
      </c>
      <c r="V3882" s="40"/>
    </row>
    <row r="3883" spans="2:22" x14ac:dyDescent="0.35">
      <c r="B3883" s="40">
        <v>38751</v>
      </c>
      <c r="C3883" s="39">
        <v>5657.12</v>
      </c>
      <c r="D3883" s="219">
        <f t="shared" si="382"/>
        <v>1.3301826009336358E-3</v>
      </c>
      <c r="F3883" s="40">
        <v>38751</v>
      </c>
      <c r="G3883" s="39">
        <v>5657.12</v>
      </c>
      <c r="H3883" s="39">
        <f t="shared" si="377"/>
        <v>5</v>
      </c>
      <c r="I3883" s="39">
        <f t="shared" si="378"/>
        <v>5657.12</v>
      </c>
      <c r="K3883" s="40"/>
      <c r="Q3883" s="40">
        <v>38751</v>
      </c>
      <c r="R3883" s="39">
        <v>5657.12</v>
      </c>
      <c r="S3883" s="39">
        <f t="shared" si="379"/>
        <v>2</v>
      </c>
      <c r="T3883" s="39">
        <f t="shared" si="380"/>
        <v>0</v>
      </c>
      <c r="U3883" s="39">
        <f t="shared" si="381"/>
        <v>0</v>
      </c>
      <c r="V3883" s="40"/>
    </row>
    <row r="3884" spans="2:22" x14ac:dyDescent="0.35">
      <c r="B3884" s="40">
        <v>38754</v>
      </c>
      <c r="C3884" s="39">
        <v>5666.78</v>
      </c>
      <c r="D3884" s="219">
        <f t="shared" si="382"/>
        <v>1.7061263951902537E-3</v>
      </c>
      <c r="F3884" s="40">
        <v>38754</v>
      </c>
      <c r="G3884" s="39">
        <v>5666.78</v>
      </c>
      <c r="H3884" s="39">
        <f t="shared" si="377"/>
        <v>1</v>
      </c>
      <c r="I3884" s="39">
        <f t="shared" si="378"/>
        <v>0</v>
      </c>
      <c r="K3884" s="40"/>
      <c r="Q3884" s="40">
        <v>38754</v>
      </c>
      <c r="R3884" s="39">
        <v>5666.78</v>
      </c>
      <c r="S3884" s="39">
        <f t="shared" si="379"/>
        <v>2</v>
      </c>
      <c r="T3884" s="39">
        <f t="shared" si="380"/>
        <v>0</v>
      </c>
      <c r="U3884" s="39">
        <f t="shared" si="381"/>
        <v>0</v>
      </c>
      <c r="V3884" s="40"/>
    </row>
    <row r="3885" spans="2:22" x14ac:dyDescent="0.35">
      <c r="B3885" s="40">
        <v>38755</v>
      </c>
      <c r="C3885" s="39">
        <v>5672.92</v>
      </c>
      <c r="D3885" s="219">
        <f t="shared" si="382"/>
        <v>1.082921170761439E-3</v>
      </c>
      <c r="F3885" s="40">
        <v>38755</v>
      </c>
      <c r="G3885" s="39">
        <v>5672.92</v>
      </c>
      <c r="H3885" s="39">
        <f t="shared" si="377"/>
        <v>2</v>
      </c>
      <c r="I3885" s="39">
        <f t="shared" si="378"/>
        <v>0</v>
      </c>
      <c r="K3885" s="40"/>
      <c r="Q3885" s="40">
        <v>38755</v>
      </c>
      <c r="R3885" s="39">
        <v>5672.92</v>
      </c>
      <c r="S3885" s="39">
        <f t="shared" si="379"/>
        <v>2</v>
      </c>
      <c r="T3885" s="39">
        <f t="shared" si="380"/>
        <v>0</v>
      </c>
      <c r="U3885" s="39">
        <f t="shared" si="381"/>
        <v>0</v>
      </c>
      <c r="V3885" s="40"/>
    </row>
    <row r="3886" spans="2:22" x14ac:dyDescent="0.35">
      <c r="B3886" s="40">
        <v>38756</v>
      </c>
      <c r="C3886" s="39">
        <v>5666.41</v>
      </c>
      <c r="D3886" s="219">
        <f t="shared" si="382"/>
        <v>-1.1482161142205688E-3</v>
      </c>
      <c r="F3886" s="40">
        <v>38756</v>
      </c>
      <c r="G3886" s="39">
        <v>5666.41</v>
      </c>
      <c r="H3886" s="39">
        <f t="shared" si="377"/>
        <v>3</v>
      </c>
      <c r="I3886" s="39">
        <f t="shared" si="378"/>
        <v>0</v>
      </c>
      <c r="K3886" s="40"/>
      <c r="Q3886" s="40">
        <v>38756</v>
      </c>
      <c r="R3886" s="39">
        <v>5666.41</v>
      </c>
      <c r="S3886" s="39">
        <f t="shared" si="379"/>
        <v>2</v>
      </c>
      <c r="T3886" s="39">
        <f t="shared" si="380"/>
        <v>0</v>
      </c>
      <c r="U3886" s="39">
        <f t="shared" si="381"/>
        <v>0</v>
      </c>
      <c r="V3886" s="40"/>
    </row>
    <row r="3887" spans="2:22" x14ac:dyDescent="0.35">
      <c r="B3887" s="40">
        <v>38757</v>
      </c>
      <c r="C3887" s="39">
        <v>5743.68</v>
      </c>
      <c r="D3887" s="219">
        <f t="shared" si="382"/>
        <v>1.3544359642989945E-2</v>
      </c>
      <c r="F3887" s="40">
        <v>38757</v>
      </c>
      <c r="G3887" s="39">
        <v>5743.68</v>
      </c>
      <c r="H3887" s="39">
        <f t="shared" si="377"/>
        <v>4</v>
      </c>
      <c r="I3887" s="39">
        <f t="shared" si="378"/>
        <v>0</v>
      </c>
      <c r="K3887" s="40"/>
      <c r="Q3887" s="40">
        <v>38757</v>
      </c>
      <c r="R3887" s="39">
        <v>5743.68</v>
      </c>
      <c r="S3887" s="39">
        <f t="shared" si="379"/>
        <v>2</v>
      </c>
      <c r="T3887" s="39">
        <f t="shared" si="380"/>
        <v>0</v>
      </c>
      <c r="U3887" s="39">
        <f t="shared" si="381"/>
        <v>0</v>
      </c>
      <c r="V3887" s="40"/>
    </row>
    <row r="3888" spans="2:22" x14ac:dyDescent="0.35">
      <c r="B3888" s="40">
        <v>38758</v>
      </c>
      <c r="C3888" s="39">
        <v>5701.47</v>
      </c>
      <c r="D3888" s="219">
        <f t="shared" si="382"/>
        <v>-7.3760835594242815E-3</v>
      </c>
      <c r="F3888" s="40">
        <v>38758</v>
      </c>
      <c r="G3888" s="39">
        <v>5701.47</v>
      </c>
      <c r="H3888" s="39">
        <f t="shared" si="377"/>
        <v>5</v>
      </c>
      <c r="I3888" s="39">
        <f t="shared" si="378"/>
        <v>5701.47</v>
      </c>
      <c r="K3888" s="40"/>
      <c r="Q3888" s="40">
        <v>38758</v>
      </c>
      <c r="R3888" s="39">
        <v>5701.47</v>
      </c>
      <c r="S3888" s="39">
        <f t="shared" si="379"/>
        <v>2</v>
      </c>
      <c r="T3888" s="39">
        <f t="shared" si="380"/>
        <v>0</v>
      </c>
      <c r="U3888" s="39">
        <f t="shared" si="381"/>
        <v>0</v>
      </c>
      <c r="V3888" s="40"/>
    </row>
    <row r="3889" spans="2:22" x14ac:dyDescent="0.35">
      <c r="B3889" s="40">
        <v>38761</v>
      </c>
      <c r="C3889" s="39">
        <v>5756.33</v>
      </c>
      <c r="D3889" s="219">
        <f t="shared" si="382"/>
        <v>9.5760825337141021E-3</v>
      </c>
      <c r="F3889" s="40">
        <v>38761</v>
      </c>
      <c r="G3889" s="39">
        <v>5756.33</v>
      </c>
      <c r="H3889" s="39">
        <f t="shared" si="377"/>
        <v>1</v>
      </c>
      <c r="I3889" s="39">
        <f t="shared" si="378"/>
        <v>0</v>
      </c>
      <c r="K3889" s="40"/>
      <c r="Q3889" s="40">
        <v>38761</v>
      </c>
      <c r="R3889" s="39">
        <v>5756.33</v>
      </c>
      <c r="S3889" s="39">
        <f t="shared" si="379"/>
        <v>2</v>
      </c>
      <c r="T3889" s="39">
        <f t="shared" si="380"/>
        <v>0</v>
      </c>
      <c r="U3889" s="39">
        <f t="shared" si="381"/>
        <v>0</v>
      </c>
      <c r="V3889" s="40"/>
    </row>
    <row r="3890" spans="2:22" x14ac:dyDescent="0.35">
      <c r="B3890" s="40">
        <v>38762</v>
      </c>
      <c r="C3890" s="39">
        <v>5763.4</v>
      </c>
      <c r="D3890" s="219">
        <f t="shared" si="382"/>
        <v>1.2274594782468041E-3</v>
      </c>
      <c r="F3890" s="40">
        <v>38762</v>
      </c>
      <c r="G3890" s="39">
        <v>5763.4</v>
      </c>
      <c r="H3890" s="39">
        <f t="shared" si="377"/>
        <v>2</v>
      </c>
      <c r="I3890" s="39">
        <f t="shared" si="378"/>
        <v>0</v>
      </c>
      <c r="K3890" s="40"/>
      <c r="Q3890" s="40">
        <v>38762</v>
      </c>
      <c r="R3890" s="39">
        <v>5763.4</v>
      </c>
      <c r="S3890" s="39">
        <f t="shared" si="379"/>
        <v>2</v>
      </c>
      <c r="T3890" s="39">
        <f t="shared" si="380"/>
        <v>0</v>
      </c>
      <c r="U3890" s="39">
        <f t="shared" si="381"/>
        <v>0</v>
      </c>
      <c r="V3890" s="40"/>
    </row>
    <row r="3891" spans="2:22" x14ac:dyDescent="0.35">
      <c r="B3891" s="40">
        <v>38763</v>
      </c>
      <c r="C3891" s="39">
        <v>5764.37</v>
      </c>
      <c r="D3891" s="219">
        <f t="shared" si="382"/>
        <v>1.6828927056822618E-4</v>
      </c>
      <c r="F3891" s="40">
        <v>38763</v>
      </c>
      <c r="G3891" s="39">
        <v>5764.37</v>
      </c>
      <c r="H3891" s="39">
        <f t="shared" si="377"/>
        <v>3</v>
      </c>
      <c r="I3891" s="39">
        <f t="shared" si="378"/>
        <v>0</v>
      </c>
      <c r="K3891" s="40"/>
      <c r="Q3891" s="40">
        <v>38763</v>
      </c>
      <c r="R3891" s="39">
        <v>5764.37</v>
      </c>
      <c r="S3891" s="39">
        <f t="shared" si="379"/>
        <v>2</v>
      </c>
      <c r="T3891" s="39">
        <f t="shared" si="380"/>
        <v>0</v>
      </c>
      <c r="U3891" s="39">
        <f t="shared" si="381"/>
        <v>0</v>
      </c>
      <c r="V3891" s="40"/>
    </row>
    <row r="3892" spans="2:22" x14ac:dyDescent="0.35">
      <c r="B3892" s="40">
        <v>38764</v>
      </c>
      <c r="C3892" s="39">
        <v>5789.25</v>
      </c>
      <c r="D3892" s="219">
        <f t="shared" si="382"/>
        <v>4.3068819051913076E-3</v>
      </c>
      <c r="F3892" s="40">
        <v>38764</v>
      </c>
      <c r="G3892" s="39">
        <v>5789.25</v>
      </c>
      <c r="H3892" s="39">
        <f t="shared" si="377"/>
        <v>4</v>
      </c>
      <c r="I3892" s="39">
        <f t="shared" si="378"/>
        <v>0</v>
      </c>
      <c r="K3892" s="40"/>
      <c r="Q3892" s="40">
        <v>38764</v>
      </c>
      <c r="R3892" s="39">
        <v>5789.25</v>
      </c>
      <c r="S3892" s="39">
        <f t="shared" si="379"/>
        <v>2</v>
      </c>
      <c r="T3892" s="39">
        <f t="shared" si="380"/>
        <v>0</v>
      </c>
      <c r="U3892" s="39">
        <f t="shared" si="381"/>
        <v>0</v>
      </c>
      <c r="V3892" s="40"/>
    </row>
    <row r="3893" spans="2:22" x14ac:dyDescent="0.35">
      <c r="B3893" s="40">
        <v>38765</v>
      </c>
      <c r="C3893" s="39">
        <v>5795.48</v>
      </c>
      <c r="D3893" s="219">
        <f t="shared" si="382"/>
        <v>1.075553871446191E-3</v>
      </c>
      <c r="F3893" s="40">
        <v>38765</v>
      </c>
      <c r="G3893" s="39">
        <v>5795.48</v>
      </c>
      <c r="H3893" s="39">
        <f t="shared" si="377"/>
        <v>5</v>
      </c>
      <c r="I3893" s="39">
        <f t="shared" si="378"/>
        <v>5795.48</v>
      </c>
      <c r="K3893" s="40"/>
      <c r="Q3893" s="40">
        <v>38765</v>
      </c>
      <c r="R3893" s="39">
        <v>5795.48</v>
      </c>
      <c r="S3893" s="39">
        <f t="shared" si="379"/>
        <v>2</v>
      </c>
      <c r="T3893" s="39">
        <f t="shared" si="380"/>
        <v>0</v>
      </c>
      <c r="U3893" s="39">
        <f t="shared" si="381"/>
        <v>0</v>
      </c>
      <c r="V3893" s="40"/>
    </row>
    <row r="3894" spans="2:22" x14ac:dyDescent="0.35">
      <c r="B3894" s="40">
        <v>38768</v>
      </c>
      <c r="C3894" s="39">
        <v>5793.95</v>
      </c>
      <c r="D3894" s="219">
        <f t="shared" si="382"/>
        <v>-2.6403369430394463E-4</v>
      </c>
      <c r="F3894" s="40">
        <v>38768</v>
      </c>
      <c r="G3894" s="39">
        <v>5793.95</v>
      </c>
      <c r="H3894" s="39">
        <f t="shared" si="377"/>
        <v>1</v>
      </c>
      <c r="I3894" s="39">
        <f t="shared" si="378"/>
        <v>0</v>
      </c>
      <c r="K3894" s="40"/>
      <c r="Q3894" s="40">
        <v>38768</v>
      </c>
      <c r="R3894" s="39">
        <v>5793.95</v>
      </c>
      <c r="S3894" s="39">
        <f t="shared" si="379"/>
        <v>2</v>
      </c>
      <c r="T3894" s="39">
        <f t="shared" si="380"/>
        <v>0</v>
      </c>
      <c r="U3894" s="39">
        <f t="shared" si="381"/>
        <v>0</v>
      </c>
      <c r="V3894" s="40"/>
    </row>
    <row r="3895" spans="2:22" x14ac:dyDescent="0.35">
      <c r="B3895" s="40">
        <v>38769</v>
      </c>
      <c r="C3895" s="39">
        <v>5801.04</v>
      </c>
      <c r="D3895" s="219">
        <f t="shared" si="382"/>
        <v>1.2229421299445019E-3</v>
      </c>
      <c r="F3895" s="40">
        <v>38769</v>
      </c>
      <c r="G3895" s="39">
        <v>5801.04</v>
      </c>
      <c r="H3895" s="39">
        <f t="shared" ref="H3895:H3958" si="383">WEEKDAY(F3895,2)</f>
        <v>2</v>
      </c>
      <c r="I3895" s="39">
        <f t="shared" ref="I3895:I3958" si="384">IF(H3895&gt;H3896,G3895,0)</f>
        <v>0</v>
      </c>
      <c r="K3895" s="40"/>
      <c r="Q3895" s="40">
        <v>38769</v>
      </c>
      <c r="R3895" s="39">
        <v>5801.04</v>
      </c>
      <c r="S3895" s="39">
        <f t="shared" ref="S3895:S3958" si="385">MONTH(Q3895)</f>
        <v>2</v>
      </c>
      <c r="T3895" s="39">
        <f t="shared" ref="T3895:T3958" si="386">IF(S3896&lt;&gt;S3895,R3895,0)</f>
        <v>0</v>
      </c>
      <c r="U3895" s="39">
        <f t="shared" ref="U3895:U3958" si="387">IF(S3896=S3895,0,R3895)</f>
        <v>0</v>
      </c>
      <c r="V3895" s="40"/>
    </row>
    <row r="3896" spans="2:22" x14ac:dyDescent="0.35">
      <c r="B3896" s="40">
        <v>38770</v>
      </c>
      <c r="C3896" s="39">
        <v>5862.06</v>
      </c>
      <c r="D3896" s="219">
        <f t="shared" ref="D3896:D3959" si="388">LN(C3896/C3895)</f>
        <v>1.0463865827830768E-2</v>
      </c>
      <c r="F3896" s="40">
        <v>38770</v>
      </c>
      <c r="G3896" s="39">
        <v>5862.06</v>
      </c>
      <c r="H3896" s="39">
        <f t="shared" si="383"/>
        <v>3</v>
      </c>
      <c r="I3896" s="39">
        <f t="shared" si="384"/>
        <v>0</v>
      </c>
      <c r="K3896" s="40"/>
      <c r="Q3896" s="40">
        <v>38770</v>
      </c>
      <c r="R3896" s="39">
        <v>5862.06</v>
      </c>
      <c r="S3896" s="39">
        <f t="shared" si="385"/>
        <v>2</v>
      </c>
      <c r="T3896" s="39">
        <f t="shared" si="386"/>
        <v>0</v>
      </c>
      <c r="U3896" s="39">
        <f t="shared" si="387"/>
        <v>0</v>
      </c>
      <c r="V3896" s="40"/>
    </row>
    <row r="3897" spans="2:22" x14ac:dyDescent="0.35">
      <c r="B3897" s="40">
        <v>38771</v>
      </c>
      <c r="C3897" s="39">
        <v>5857.88</v>
      </c>
      <c r="D3897" s="219">
        <f t="shared" si="388"/>
        <v>-7.1331426222968886E-4</v>
      </c>
      <c r="F3897" s="40">
        <v>38771</v>
      </c>
      <c r="G3897" s="39">
        <v>5857.88</v>
      </c>
      <c r="H3897" s="39">
        <f t="shared" si="383"/>
        <v>4</v>
      </c>
      <c r="I3897" s="39">
        <f t="shared" si="384"/>
        <v>0</v>
      </c>
      <c r="K3897" s="40"/>
      <c r="Q3897" s="40">
        <v>38771</v>
      </c>
      <c r="R3897" s="39">
        <v>5857.88</v>
      </c>
      <c r="S3897" s="39">
        <f t="shared" si="385"/>
        <v>2</v>
      </c>
      <c r="T3897" s="39">
        <f t="shared" si="386"/>
        <v>0</v>
      </c>
      <c r="U3897" s="39">
        <f t="shared" si="387"/>
        <v>0</v>
      </c>
      <c r="V3897" s="40"/>
    </row>
    <row r="3898" spans="2:22" x14ac:dyDescent="0.35">
      <c r="B3898" s="40">
        <v>38772</v>
      </c>
      <c r="C3898" s="39">
        <v>5870.79</v>
      </c>
      <c r="D3898" s="219">
        <f t="shared" si="388"/>
        <v>2.2014440194618682E-3</v>
      </c>
      <c r="F3898" s="40">
        <v>38772</v>
      </c>
      <c r="G3898" s="39">
        <v>5870.79</v>
      </c>
      <c r="H3898" s="39">
        <f t="shared" si="383"/>
        <v>5</v>
      </c>
      <c r="I3898" s="39">
        <f t="shared" si="384"/>
        <v>5870.79</v>
      </c>
      <c r="K3898" s="40"/>
      <c r="Q3898" s="40">
        <v>38772</v>
      </c>
      <c r="R3898" s="39">
        <v>5870.79</v>
      </c>
      <c r="S3898" s="39">
        <f t="shared" si="385"/>
        <v>2</v>
      </c>
      <c r="T3898" s="39">
        <f t="shared" si="386"/>
        <v>0</v>
      </c>
      <c r="U3898" s="39">
        <f t="shared" si="387"/>
        <v>0</v>
      </c>
      <c r="V3898" s="40"/>
    </row>
    <row r="3899" spans="2:22" x14ac:dyDescent="0.35">
      <c r="B3899" s="40">
        <v>38775</v>
      </c>
      <c r="C3899" s="39">
        <v>5915.15</v>
      </c>
      <c r="D3899" s="219">
        <f t="shared" si="388"/>
        <v>7.5276489568523522E-3</v>
      </c>
      <c r="F3899" s="40">
        <v>38775</v>
      </c>
      <c r="G3899" s="39">
        <v>5915.15</v>
      </c>
      <c r="H3899" s="39">
        <f t="shared" si="383"/>
        <v>1</v>
      </c>
      <c r="I3899" s="39">
        <f t="shared" si="384"/>
        <v>0</v>
      </c>
      <c r="K3899" s="40"/>
      <c r="Q3899" s="40">
        <v>38775</v>
      </c>
      <c r="R3899" s="39">
        <v>5915.15</v>
      </c>
      <c r="S3899" s="39">
        <f t="shared" si="385"/>
        <v>2</v>
      </c>
      <c r="T3899" s="39">
        <f t="shared" si="386"/>
        <v>0</v>
      </c>
      <c r="U3899" s="39">
        <f t="shared" si="387"/>
        <v>0</v>
      </c>
      <c r="V3899" s="40"/>
    </row>
    <row r="3900" spans="2:22" x14ac:dyDescent="0.35">
      <c r="B3900" s="40">
        <v>38776</v>
      </c>
      <c r="C3900" s="39">
        <v>5796.04</v>
      </c>
      <c r="D3900" s="219">
        <f t="shared" si="388"/>
        <v>-2.0341930619066896E-2</v>
      </c>
      <c r="F3900" s="40">
        <v>38776</v>
      </c>
      <c r="G3900" s="39">
        <v>5796.04</v>
      </c>
      <c r="H3900" s="39">
        <f t="shared" si="383"/>
        <v>2</v>
      </c>
      <c r="I3900" s="39">
        <f t="shared" si="384"/>
        <v>0</v>
      </c>
      <c r="K3900" s="40"/>
      <c r="Q3900" s="40">
        <v>38776</v>
      </c>
      <c r="R3900" s="39">
        <v>5796.04</v>
      </c>
      <c r="S3900" s="39">
        <f t="shared" si="385"/>
        <v>2</v>
      </c>
      <c r="T3900" s="39">
        <f t="shared" si="386"/>
        <v>5796.04</v>
      </c>
      <c r="U3900" s="39">
        <f t="shared" si="387"/>
        <v>5796.04</v>
      </c>
      <c r="V3900" s="40"/>
    </row>
    <row r="3901" spans="2:22" x14ac:dyDescent="0.35">
      <c r="B3901" s="40">
        <v>38777</v>
      </c>
      <c r="C3901" s="39">
        <v>5866.61</v>
      </c>
      <c r="D3901" s="219">
        <f t="shared" si="388"/>
        <v>1.2102028492566773E-2</v>
      </c>
      <c r="F3901" s="40">
        <v>38777</v>
      </c>
      <c r="G3901" s="39">
        <v>5866.61</v>
      </c>
      <c r="H3901" s="39">
        <f t="shared" si="383"/>
        <v>3</v>
      </c>
      <c r="I3901" s="39">
        <f t="shared" si="384"/>
        <v>0</v>
      </c>
      <c r="K3901" s="40"/>
      <c r="Q3901" s="40">
        <v>38777</v>
      </c>
      <c r="R3901" s="39">
        <v>5866.61</v>
      </c>
      <c r="S3901" s="39">
        <f t="shared" si="385"/>
        <v>3</v>
      </c>
      <c r="T3901" s="39">
        <f t="shared" si="386"/>
        <v>0</v>
      </c>
      <c r="U3901" s="39">
        <f t="shared" si="387"/>
        <v>0</v>
      </c>
      <c r="V3901" s="40"/>
    </row>
    <row r="3902" spans="2:22" x14ac:dyDescent="0.35">
      <c r="B3902" s="40">
        <v>38778</v>
      </c>
      <c r="C3902" s="39">
        <v>5783.49</v>
      </c>
      <c r="D3902" s="219">
        <f t="shared" si="388"/>
        <v>-1.4269647543413165E-2</v>
      </c>
      <c r="F3902" s="40">
        <v>38778</v>
      </c>
      <c r="G3902" s="39">
        <v>5783.49</v>
      </c>
      <c r="H3902" s="39">
        <f t="shared" si="383"/>
        <v>4</v>
      </c>
      <c r="I3902" s="39">
        <f t="shared" si="384"/>
        <v>0</v>
      </c>
      <c r="K3902" s="40"/>
      <c r="Q3902" s="40">
        <v>38778</v>
      </c>
      <c r="R3902" s="39">
        <v>5783.49</v>
      </c>
      <c r="S3902" s="39">
        <f t="shared" si="385"/>
        <v>3</v>
      </c>
      <c r="T3902" s="39">
        <f t="shared" si="386"/>
        <v>0</v>
      </c>
      <c r="U3902" s="39">
        <f t="shared" si="387"/>
        <v>0</v>
      </c>
      <c r="V3902" s="40"/>
    </row>
    <row r="3903" spans="2:22" x14ac:dyDescent="0.35">
      <c r="B3903" s="40">
        <v>38779</v>
      </c>
      <c r="C3903" s="39">
        <v>5721.46</v>
      </c>
      <c r="D3903" s="219">
        <f t="shared" si="388"/>
        <v>-1.0783289117474016E-2</v>
      </c>
      <c r="F3903" s="40">
        <v>38779</v>
      </c>
      <c r="G3903" s="39">
        <v>5721.46</v>
      </c>
      <c r="H3903" s="39">
        <f t="shared" si="383"/>
        <v>5</v>
      </c>
      <c r="I3903" s="39">
        <f t="shared" si="384"/>
        <v>5721.46</v>
      </c>
      <c r="K3903" s="40"/>
      <c r="Q3903" s="40">
        <v>38779</v>
      </c>
      <c r="R3903" s="39">
        <v>5721.46</v>
      </c>
      <c r="S3903" s="39">
        <f t="shared" si="385"/>
        <v>3</v>
      </c>
      <c r="T3903" s="39">
        <f t="shared" si="386"/>
        <v>0</v>
      </c>
      <c r="U3903" s="39">
        <f t="shared" si="387"/>
        <v>0</v>
      </c>
      <c r="V3903" s="40"/>
    </row>
    <row r="3904" spans="2:22" x14ac:dyDescent="0.35">
      <c r="B3904" s="40">
        <v>38782</v>
      </c>
      <c r="C3904" s="39">
        <v>5754.06</v>
      </c>
      <c r="D3904" s="219">
        <f t="shared" si="388"/>
        <v>5.6816750261149598E-3</v>
      </c>
      <c r="F3904" s="40">
        <v>38782</v>
      </c>
      <c r="G3904" s="39">
        <v>5754.06</v>
      </c>
      <c r="H3904" s="39">
        <f t="shared" si="383"/>
        <v>1</v>
      </c>
      <c r="I3904" s="39">
        <f t="shared" si="384"/>
        <v>0</v>
      </c>
      <c r="K3904" s="40"/>
      <c r="Q3904" s="40">
        <v>38782</v>
      </c>
      <c r="R3904" s="39">
        <v>5754.06</v>
      </c>
      <c r="S3904" s="39">
        <f t="shared" si="385"/>
        <v>3</v>
      </c>
      <c r="T3904" s="39">
        <f t="shared" si="386"/>
        <v>0</v>
      </c>
      <c r="U3904" s="39">
        <f t="shared" si="387"/>
        <v>0</v>
      </c>
      <c r="V3904" s="40"/>
    </row>
    <row r="3905" spans="2:22" x14ac:dyDescent="0.35">
      <c r="B3905" s="40">
        <v>38783</v>
      </c>
      <c r="C3905" s="39">
        <v>5739.28</v>
      </c>
      <c r="D3905" s="219">
        <f t="shared" si="388"/>
        <v>-2.5719256799555655E-3</v>
      </c>
      <c r="F3905" s="40">
        <v>38783</v>
      </c>
      <c r="G3905" s="39">
        <v>5739.28</v>
      </c>
      <c r="H3905" s="39">
        <f t="shared" si="383"/>
        <v>2</v>
      </c>
      <c r="I3905" s="39">
        <f t="shared" si="384"/>
        <v>0</v>
      </c>
      <c r="K3905" s="40"/>
      <c r="Q3905" s="40">
        <v>38783</v>
      </c>
      <c r="R3905" s="39">
        <v>5739.28</v>
      </c>
      <c r="S3905" s="39">
        <f t="shared" si="385"/>
        <v>3</v>
      </c>
      <c r="T3905" s="39">
        <f t="shared" si="386"/>
        <v>0</v>
      </c>
      <c r="U3905" s="39">
        <f t="shared" si="387"/>
        <v>0</v>
      </c>
      <c r="V3905" s="40"/>
    </row>
    <row r="3906" spans="2:22" x14ac:dyDescent="0.35">
      <c r="B3906" s="40">
        <v>38784</v>
      </c>
      <c r="C3906" s="39">
        <v>5673.36</v>
      </c>
      <c r="D3906" s="219">
        <f t="shared" si="388"/>
        <v>-1.155223210511184E-2</v>
      </c>
      <c r="F3906" s="40">
        <v>38784</v>
      </c>
      <c r="G3906" s="39">
        <v>5673.36</v>
      </c>
      <c r="H3906" s="39">
        <f t="shared" si="383"/>
        <v>3</v>
      </c>
      <c r="I3906" s="39">
        <f t="shared" si="384"/>
        <v>0</v>
      </c>
      <c r="K3906" s="40"/>
      <c r="Q3906" s="40">
        <v>38784</v>
      </c>
      <c r="R3906" s="39">
        <v>5673.36</v>
      </c>
      <c r="S3906" s="39">
        <f t="shared" si="385"/>
        <v>3</v>
      </c>
      <c r="T3906" s="39">
        <f t="shared" si="386"/>
        <v>0</v>
      </c>
      <c r="U3906" s="39">
        <f t="shared" si="387"/>
        <v>0</v>
      </c>
      <c r="V3906" s="40"/>
    </row>
    <row r="3907" spans="2:22" x14ac:dyDescent="0.35">
      <c r="B3907" s="40">
        <v>38785</v>
      </c>
      <c r="C3907" s="39">
        <v>5732.22</v>
      </c>
      <c r="D3907" s="219">
        <f t="shared" si="388"/>
        <v>1.0321355429636345E-2</v>
      </c>
      <c r="F3907" s="40">
        <v>38785</v>
      </c>
      <c r="G3907" s="39">
        <v>5732.22</v>
      </c>
      <c r="H3907" s="39">
        <f t="shared" si="383"/>
        <v>4</v>
      </c>
      <c r="I3907" s="39">
        <f t="shared" si="384"/>
        <v>0</v>
      </c>
      <c r="K3907" s="40"/>
      <c r="Q3907" s="40">
        <v>38785</v>
      </c>
      <c r="R3907" s="39">
        <v>5732.22</v>
      </c>
      <c r="S3907" s="39">
        <f t="shared" si="385"/>
        <v>3</v>
      </c>
      <c r="T3907" s="39">
        <f t="shared" si="386"/>
        <v>0</v>
      </c>
      <c r="U3907" s="39">
        <f t="shared" si="387"/>
        <v>0</v>
      </c>
      <c r="V3907" s="40"/>
    </row>
    <row r="3908" spans="2:22" x14ac:dyDescent="0.35">
      <c r="B3908" s="40">
        <v>38786</v>
      </c>
      <c r="C3908" s="39">
        <v>5804.92</v>
      </c>
      <c r="D3908" s="219">
        <f t="shared" si="388"/>
        <v>1.26029435835748E-2</v>
      </c>
      <c r="F3908" s="40">
        <v>38786</v>
      </c>
      <c r="G3908" s="39">
        <v>5804.92</v>
      </c>
      <c r="H3908" s="39">
        <f t="shared" si="383"/>
        <v>5</v>
      </c>
      <c r="I3908" s="39">
        <f t="shared" si="384"/>
        <v>5804.92</v>
      </c>
      <c r="K3908" s="40"/>
      <c r="Q3908" s="40">
        <v>38786</v>
      </c>
      <c r="R3908" s="39">
        <v>5804.92</v>
      </c>
      <c r="S3908" s="39">
        <f t="shared" si="385"/>
        <v>3</v>
      </c>
      <c r="T3908" s="39">
        <f t="shared" si="386"/>
        <v>0</v>
      </c>
      <c r="U3908" s="39">
        <f t="shared" si="387"/>
        <v>0</v>
      </c>
      <c r="V3908" s="40"/>
    </row>
    <row r="3909" spans="2:22" x14ac:dyDescent="0.35">
      <c r="B3909" s="40">
        <v>38789</v>
      </c>
      <c r="C3909" s="39">
        <v>5855.16</v>
      </c>
      <c r="D3909" s="219">
        <f t="shared" si="388"/>
        <v>8.6174899153731825E-3</v>
      </c>
      <c r="F3909" s="40">
        <v>38789</v>
      </c>
      <c r="G3909" s="39">
        <v>5855.16</v>
      </c>
      <c r="H3909" s="39">
        <f t="shared" si="383"/>
        <v>1</v>
      </c>
      <c r="I3909" s="39">
        <f t="shared" si="384"/>
        <v>0</v>
      </c>
      <c r="K3909" s="40"/>
      <c r="Q3909" s="40">
        <v>38789</v>
      </c>
      <c r="R3909" s="39">
        <v>5855.16</v>
      </c>
      <c r="S3909" s="39">
        <f t="shared" si="385"/>
        <v>3</v>
      </c>
      <c r="T3909" s="39">
        <f t="shared" si="386"/>
        <v>0</v>
      </c>
      <c r="U3909" s="39">
        <f t="shared" si="387"/>
        <v>0</v>
      </c>
      <c r="V3909" s="40"/>
    </row>
    <row r="3910" spans="2:22" x14ac:dyDescent="0.35">
      <c r="B3910" s="40">
        <v>38790</v>
      </c>
      <c r="C3910" s="39">
        <v>5870.88</v>
      </c>
      <c r="D3910" s="219">
        <f t="shared" si="388"/>
        <v>2.6812136778428838E-3</v>
      </c>
      <c r="F3910" s="40">
        <v>38790</v>
      </c>
      <c r="G3910" s="39">
        <v>5870.88</v>
      </c>
      <c r="H3910" s="39">
        <f t="shared" si="383"/>
        <v>2</v>
      </c>
      <c r="I3910" s="39">
        <f t="shared" si="384"/>
        <v>0</v>
      </c>
      <c r="K3910" s="40"/>
      <c r="Q3910" s="40">
        <v>38790</v>
      </c>
      <c r="R3910" s="39">
        <v>5870.88</v>
      </c>
      <c r="S3910" s="39">
        <f t="shared" si="385"/>
        <v>3</v>
      </c>
      <c r="T3910" s="39">
        <f t="shared" si="386"/>
        <v>0</v>
      </c>
      <c r="U3910" s="39">
        <f t="shared" si="387"/>
        <v>0</v>
      </c>
      <c r="V3910" s="40"/>
    </row>
    <row r="3911" spans="2:22" x14ac:dyDescent="0.35">
      <c r="B3911" s="40">
        <v>38791</v>
      </c>
      <c r="C3911" s="39">
        <v>5898.48</v>
      </c>
      <c r="D3911" s="219">
        <f t="shared" si="388"/>
        <v>4.6901531764370905E-3</v>
      </c>
      <c r="F3911" s="40">
        <v>38791</v>
      </c>
      <c r="G3911" s="39">
        <v>5898.48</v>
      </c>
      <c r="H3911" s="39">
        <f t="shared" si="383"/>
        <v>3</v>
      </c>
      <c r="I3911" s="39">
        <f t="shared" si="384"/>
        <v>0</v>
      </c>
      <c r="K3911" s="40"/>
      <c r="Q3911" s="40">
        <v>38791</v>
      </c>
      <c r="R3911" s="39">
        <v>5898.48</v>
      </c>
      <c r="S3911" s="39">
        <f t="shared" si="385"/>
        <v>3</v>
      </c>
      <c r="T3911" s="39">
        <f t="shared" si="386"/>
        <v>0</v>
      </c>
      <c r="U3911" s="39">
        <f t="shared" si="387"/>
        <v>0</v>
      </c>
      <c r="V3911" s="40"/>
    </row>
    <row r="3912" spans="2:22" x14ac:dyDescent="0.35">
      <c r="B3912" s="40">
        <v>38792</v>
      </c>
      <c r="C3912" s="39">
        <v>5897.79</v>
      </c>
      <c r="D3912" s="219">
        <f t="shared" si="388"/>
        <v>-1.1698613219038473E-4</v>
      </c>
      <c r="F3912" s="40">
        <v>38792</v>
      </c>
      <c r="G3912" s="39">
        <v>5897.79</v>
      </c>
      <c r="H3912" s="39">
        <f t="shared" si="383"/>
        <v>4</v>
      </c>
      <c r="I3912" s="39">
        <f t="shared" si="384"/>
        <v>0</v>
      </c>
      <c r="K3912" s="40"/>
      <c r="Q3912" s="40">
        <v>38792</v>
      </c>
      <c r="R3912" s="39">
        <v>5897.79</v>
      </c>
      <c r="S3912" s="39">
        <f t="shared" si="385"/>
        <v>3</v>
      </c>
      <c r="T3912" s="39">
        <f t="shared" si="386"/>
        <v>0</v>
      </c>
      <c r="U3912" s="39">
        <f t="shared" si="387"/>
        <v>0</v>
      </c>
      <c r="V3912" s="40"/>
    </row>
    <row r="3913" spans="2:22" x14ac:dyDescent="0.35">
      <c r="B3913" s="40">
        <v>38793</v>
      </c>
      <c r="C3913" s="39">
        <v>5882.38</v>
      </c>
      <c r="D3913" s="219">
        <f t="shared" si="388"/>
        <v>-2.6162625479769466E-3</v>
      </c>
      <c r="F3913" s="40">
        <v>38793</v>
      </c>
      <c r="G3913" s="39">
        <v>5882.38</v>
      </c>
      <c r="H3913" s="39">
        <f t="shared" si="383"/>
        <v>5</v>
      </c>
      <c r="I3913" s="39">
        <f t="shared" si="384"/>
        <v>5882.38</v>
      </c>
      <c r="K3913" s="40"/>
      <c r="Q3913" s="40">
        <v>38793</v>
      </c>
      <c r="R3913" s="39">
        <v>5882.38</v>
      </c>
      <c r="S3913" s="39">
        <f t="shared" si="385"/>
        <v>3</v>
      </c>
      <c r="T3913" s="39">
        <f t="shared" si="386"/>
        <v>0</v>
      </c>
      <c r="U3913" s="39">
        <f t="shared" si="387"/>
        <v>0</v>
      </c>
      <c r="V3913" s="40"/>
    </row>
    <row r="3914" spans="2:22" x14ac:dyDescent="0.35">
      <c r="B3914" s="40">
        <v>38796</v>
      </c>
      <c r="C3914" s="39">
        <v>5902.79</v>
      </c>
      <c r="D3914" s="219">
        <f t="shared" si="388"/>
        <v>3.4636785731578775E-3</v>
      </c>
      <c r="F3914" s="40">
        <v>38796</v>
      </c>
      <c r="G3914" s="39">
        <v>5902.79</v>
      </c>
      <c r="H3914" s="39">
        <f t="shared" si="383"/>
        <v>1</v>
      </c>
      <c r="I3914" s="39">
        <f t="shared" si="384"/>
        <v>0</v>
      </c>
      <c r="K3914" s="40"/>
      <c r="Q3914" s="40">
        <v>38796</v>
      </c>
      <c r="R3914" s="39">
        <v>5902.79</v>
      </c>
      <c r="S3914" s="39">
        <f t="shared" si="385"/>
        <v>3</v>
      </c>
      <c r="T3914" s="39">
        <f t="shared" si="386"/>
        <v>0</v>
      </c>
      <c r="U3914" s="39">
        <f t="shared" si="387"/>
        <v>0</v>
      </c>
      <c r="V3914" s="40"/>
    </row>
    <row r="3915" spans="2:22" x14ac:dyDescent="0.35">
      <c r="B3915" s="40">
        <v>38797</v>
      </c>
      <c r="C3915" s="39">
        <v>5911.86</v>
      </c>
      <c r="D3915" s="219">
        <f t="shared" si="388"/>
        <v>1.5353822215301242E-3</v>
      </c>
      <c r="F3915" s="40">
        <v>38797</v>
      </c>
      <c r="G3915" s="39">
        <v>5911.86</v>
      </c>
      <c r="H3915" s="39">
        <f t="shared" si="383"/>
        <v>2</v>
      </c>
      <c r="I3915" s="39">
        <f t="shared" si="384"/>
        <v>0</v>
      </c>
      <c r="K3915" s="40"/>
      <c r="Q3915" s="40">
        <v>38797</v>
      </c>
      <c r="R3915" s="39">
        <v>5911.86</v>
      </c>
      <c r="S3915" s="39">
        <f t="shared" si="385"/>
        <v>3</v>
      </c>
      <c r="T3915" s="39">
        <f t="shared" si="386"/>
        <v>0</v>
      </c>
      <c r="U3915" s="39">
        <f t="shared" si="387"/>
        <v>0</v>
      </c>
      <c r="V3915" s="40"/>
    </row>
    <row r="3916" spans="2:22" x14ac:dyDescent="0.35">
      <c r="B3916" s="40">
        <v>38798</v>
      </c>
      <c r="C3916" s="39">
        <v>5932.31</v>
      </c>
      <c r="D3916" s="219">
        <f t="shared" si="388"/>
        <v>3.453179128843924E-3</v>
      </c>
      <c r="F3916" s="40">
        <v>38798</v>
      </c>
      <c r="G3916" s="39">
        <v>5932.31</v>
      </c>
      <c r="H3916" s="39">
        <f t="shared" si="383"/>
        <v>3</v>
      </c>
      <c r="I3916" s="39">
        <f t="shared" si="384"/>
        <v>0</v>
      </c>
      <c r="K3916" s="40"/>
      <c r="Q3916" s="40">
        <v>38798</v>
      </c>
      <c r="R3916" s="39">
        <v>5932.31</v>
      </c>
      <c r="S3916" s="39">
        <f t="shared" si="385"/>
        <v>3</v>
      </c>
      <c r="T3916" s="39">
        <f t="shared" si="386"/>
        <v>0</v>
      </c>
      <c r="U3916" s="39">
        <f t="shared" si="387"/>
        <v>0</v>
      </c>
      <c r="V3916" s="40"/>
    </row>
    <row r="3917" spans="2:22" x14ac:dyDescent="0.35">
      <c r="B3917" s="40">
        <v>38799</v>
      </c>
      <c r="C3917" s="39">
        <v>5947.11</v>
      </c>
      <c r="D3917" s="219">
        <f t="shared" si="388"/>
        <v>2.4917054296030076E-3</v>
      </c>
      <c r="F3917" s="40">
        <v>38799</v>
      </c>
      <c r="G3917" s="39">
        <v>5947.11</v>
      </c>
      <c r="H3917" s="39">
        <f t="shared" si="383"/>
        <v>4</v>
      </c>
      <c r="I3917" s="39">
        <f t="shared" si="384"/>
        <v>0</v>
      </c>
      <c r="K3917" s="40"/>
      <c r="Q3917" s="40">
        <v>38799</v>
      </c>
      <c r="R3917" s="39">
        <v>5947.11</v>
      </c>
      <c r="S3917" s="39">
        <f t="shared" si="385"/>
        <v>3</v>
      </c>
      <c r="T3917" s="39">
        <f t="shared" si="386"/>
        <v>0</v>
      </c>
      <c r="U3917" s="39">
        <f t="shared" si="387"/>
        <v>0</v>
      </c>
      <c r="V3917" s="40"/>
    </row>
    <row r="3918" spans="2:22" x14ac:dyDescent="0.35">
      <c r="B3918" s="40">
        <v>38800</v>
      </c>
      <c r="C3918" s="39">
        <v>5973.14</v>
      </c>
      <c r="D3918" s="219">
        <f t="shared" si="388"/>
        <v>4.3673650090234979E-3</v>
      </c>
      <c r="F3918" s="40">
        <v>38800</v>
      </c>
      <c r="G3918" s="39">
        <v>5973.14</v>
      </c>
      <c r="H3918" s="39">
        <f t="shared" si="383"/>
        <v>5</v>
      </c>
      <c r="I3918" s="39">
        <f t="shared" si="384"/>
        <v>5973.14</v>
      </c>
      <c r="K3918" s="40"/>
      <c r="Q3918" s="40">
        <v>38800</v>
      </c>
      <c r="R3918" s="39">
        <v>5973.14</v>
      </c>
      <c r="S3918" s="39">
        <f t="shared" si="385"/>
        <v>3</v>
      </c>
      <c r="T3918" s="39">
        <f t="shared" si="386"/>
        <v>0</v>
      </c>
      <c r="U3918" s="39">
        <f t="shared" si="387"/>
        <v>0</v>
      </c>
      <c r="V3918" s="40"/>
    </row>
    <row r="3919" spans="2:22" x14ac:dyDescent="0.35">
      <c r="B3919" s="40">
        <v>38803</v>
      </c>
      <c r="C3919" s="39">
        <v>5912.26</v>
      </c>
      <c r="D3919" s="219">
        <f t="shared" si="388"/>
        <v>-1.024459125545178E-2</v>
      </c>
      <c r="F3919" s="40">
        <v>38803</v>
      </c>
      <c r="G3919" s="39">
        <v>5912.26</v>
      </c>
      <c r="H3919" s="39">
        <f t="shared" si="383"/>
        <v>1</v>
      </c>
      <c r="I3919" s="39">
        <f t="shared" si="384"/>
        <v>0</v>
      </c>
      <c r="K3919" s="40"/>
      <c r="Q3919" s="40">
        <v>38803</v>
      </c>
      <c r="R3919" s="39">
        <v>5912.26</v>
      </c>
      <c r="S3919" s="39">
        <f t="shared" si="385"/>
        <v>3</v>
      </c>
      <c r="T3919" s="39">
        <f t="shared" si="386"/>
        <v>0</v>
      </c>
      <c r="U3919" s="39">
        <f t="shared" si="387"/>
        <v>0</v>
      </c>
      <c r="V3919" s="40"/>
    </row>
    <row r="3920" spans="2:22" x14ac:dyDescent="0.35">
      <c r="B3920" s="40">
        <v>38804</v>
      </c>
      <c r="C3920" s="39">
        <v>5890.63</v>
      </c>
      <c r="D3920" s="219">
        <f t="shared" si="388"/>
        <v>-3.6652081336571345E-3</v>
      </c>
      <c r="F3920" s="40">
        <v>38804</v>
      </c>
      <c r="G3920" s="39">
        <v>5890.63</v>
      </c>
      <c r="H3920" s="39">
        <f t="shared" si="383"/>
        <v>2</v>
      </c>
      <c r="I3920" s="39">
        <f t="shared" si="384"/>
        <v>0</v>
      </c>
      <c r="K3920" s="40"/>
      <c r="Q3920" s="40">
        <v>38804</v>
      </c>
      <c r="R3920" s="39">
        <v>5890.63</v>
      </c>
      <c r="S3920" s="39">
        <f t="shared" si="385"/>
        <v>3</v>
      </c>
      <c r="T3920" s="39">
        <f t="shared" si="386"/>
        <v>0</v>
      </c>
      <c r="U3920" s="39">
        <f t="shared" si="387"/>
        <v>0</v>
      </c>
      <c r="V3920" s="40"/>
    </row>
    <row r="3921" spans="2:22" x14ac:dyDescent="0.35">
      <c r="B3921" s="40">
        <v>38805</v>
      </c>
      <c r="C3921" s="39">
        <v>5914.78</v>
      </c>
      <c r="D3921" s="219">
        <f t="shared" si="388"/>
        <v>4.0913502686520378E-3</v>
      </c>
      <c r="F3921" s="40">
        <v>38805</v>
      </c>
      <c r="G3921" s="39">
        <v>5914.78</v>
      </c>
      <c r="H3921" s="39">
        <f t="shared" si="383"/>
        <v>3</v>
      </c>
      <c r="I3921" s="39">
        <f t="shared" si="384"/>
        <v>0</v>
      </c>
      <c r="K3921" s="40"/>
      <c r="Q3921" s="40">
        <v>38805</v>
      </c>
      <c r="R3921" s="39">
        <v>5914.78</v>
      </c>
      <c r="S3921" s="39">
        <f t="shared" si="385"/>
        <v>3</v>
      </c>
      <c r="T3921" s="39">
        <f t="shared" si="386"/>
        <v>0</v>
      </c>
      <c r="U3921" s="39">
        <f t="shared" si="387"/>
        <v>0</v>
      </c>
      <c r="V3921" s="40"/>
    </row>
    <row r="3922" spans="2:22" x14ac:dyDescent="0.35">
      <c r="B3922" s="40">
        <v>38806</v>
      </c>
      <c r="C3922" s="39">
        <v>5984.19</v>
      </c>
      <c r="D3922" s="219">
        <f t="shared" si="388"/>
        <v>1.1666688342014583E-2</v>
      </c>
      <c r="F3922" s="40">
        <v>38806</v>
      </c>
      <c r="G3922" s="39">
        <v>5984.19</v>
      </c>
      <c r="H3922" s="39">
        <f t="shared" si="383"/>
        <v>4</v>
      </c>
      <c r="I3922" s="39">
        <f t="shared" si="384"/>
        <v>0</v>
      </c>
      <c r="K3922" s="40"/>
      <c r="Q3922" s="40">
        <v>38806</v>
      </c>
      <c r="R3922" s="39">
        <v>5984.19</v>
      </c>
      <c r="S3922" s="39">
        <f t="shared" si="385"/>
        <v>3</v>
      </c>
      <c r="T3922" s="39">
        <f t="shared" si="386"/>
        <v>0</v>
      </c>
      <c r="U3922" s="39">
        <f t="shared" si="387"/>
        <v>0</v>
      </c>
      <c r="V3922" s="40"/>
    </row>
    <row r="3923" spans="2:22" x14ac:dyDescent="0.35">
      <c r="B3923" s="40">
        <v>38807</v>
      </c>
      <c r="C3923" s="39">
        <v>5970.08</v>
      </c>
      <c r="D3923" s="219">
        <f t="shared" si="388"/>
        <v>-2.3606638552760295E-3</v>
      </c>
      <c r="F3923" s="40">
        <v>38807</v>
      </c>
      <c r="G3923" s="39">
        <v>5970.08</v>
      </c>
      <c r="H3923" s="39">
        <f t="shared" si="383"/>
        <v>5</v>
      </c>
      <c r="I3923" s="39">
        <f t="shared" si="384"/>
        <v>5970.08</v>
      </c>
      <c r="K3923" s="40"/>
      <c r="Q3923" s="40">
        <v>38807</v>
      </c>
      <c r="R3923" s="39">
        <v>5970.08</v>
      </c>
      <c r="S3923" s="39">
        <f t="shared" si="385"/>
        <v>3</v>
      </c>
      <c r="T3923" s="39">
        <f t="shared" si="386"/>
        <v>5970.08</v>
      </c>
      <c r="U3923" s="39">
        <f t="shared" si="387"/>
        <v>5970.08</v>
      </c>
      <c r="V3923" s="40"/>
    </row>
    <row r="3924" spans="2:22" x14ac:dyDescent="0.35">
      <c r="B3924" s="40">
        <v>38810</v>
      </c>
      <c r="C3924" s="39">
        <v>6024.05</v>
      </c>
      <c r="D3924" s="219">
        <f t="shared" si="388"/>
        <v>8.9994629462132134E-3</v>
      </c>
      <c r="F3924" s="40">
        <v>38810</v>
      </c>
      <c r="G3924" s="39">
        <v>6024.05</v>
      </c>
      <c r="H3924" s="39">
        <f t="shared" si="383"/>
        <v>1</v>
      </c>
      <c r="I3924" s="39">
        <f t="shared" si="384"/>
        <v>0</v>
      </c>
      <c r="K3924" s="40"/>
      <c r="Q3924" s="40">
        <v>38810</v>
      </c>
      <c r="R3924" s="39">
        <v>6024.05</v>
      </c>
      <c r="S3924" s="39">
        <f t="shared" si="385"/>
        <v>4</v>
      </c>
      <c r="T3924" s="39">
        <f t="shared" si="386"/>
        <v>0</v>
      </c>
      <c r="U3924" s="39">
        <f t="shared" si="387"/>
        <v>0</v>
      </c>
      <c r="V3924" s="40"/>
    </row>
    <row r="3925" spans="2:22" x14ac:dyDescent="0.35">
      <c r="B3925" s="40">
        <v>38811</v>
      </c>
      <c r="C3925" s="39">
        <v>6013.85</v>
      </c>
      <c r="D3925" s="219">
        <f t="shared" si="388"/>
        <v>-1.6946481431241956E-3</v>
      </c>
      <c r="F3925" s="40">
        <v>38811</v>
      </c>
      <c r="G3925" s="39">
        <v>6013.85</v>
      </c>
      <c r="H3925" s="39">
        <f t="shared" si="383"/>
        <v>2</v>
      </c>
      <c r="I3925" s="39">
        <f t="shared" si="384"/>
        <v>0</v>
      </c>
      <c r="K3925" s="40"/>
      <c r="Q3925" s="40">
        <v>38811</v>
      </c>
      <c r="R3925" s="39">
        <v>6013.85</v>
      </c>
      <c r="S3925" s="39">
        <f t="shared" si="385"/>
        <v>4</v>
      </c>
      <c r="T3925" s="39">
        <f t="shared" si="386"/>
        <v>0</v>
      </c>
      <c r="U3925" s="39">
        <f t="shared" si="387"/>
        <v>0</v>
      </c>
      <c r="V3925" s="40"/>
    </row>
    <row r="3926" spans="2:22" x14ac:dyDescent="0.35">
      <c r="B3926" s="40">
        <v>38812</v>
      </c>
      <c r="C3926" s="39">
        <v>6029.2</v>
      </c>
      <c r="D3926" s="219">
        <f t="shared" si="388"/>
        <v>2.5491895014126257E-3</v>
      </c>
      <c r="F3926" s="40">
        <v>38812</v>
      </c>
      <c r="G3926" s="39">
        <v>6029.2</v>
      </c>
      <c r="H3926" s="39">
        <f t="shared" si="383"/>
        <v>3</v>
      </c>
      <c r="I3926" s="39">
        <f t="shared" si="384"/>
        <v>0</v>
      </c>
      <c r="K3926" s="40"/>
      <c r="Q3926" s="40">
        <v>38812</v>
      </c>
      <c r="R3926" s="39">
        <v>6029.2</v>
      </c>
      <c r="S3926" s="39">
        <f t="shared" si="385"/>
        <v>4</v>
      </c>
      <c r="T3926" s="39">
        <f t="shared" si="386"/>
        <v>0</v>
      </c>
      <c r="U3926" s="39">
        <f t="shared" si="387"/>
        <v>0</v>
      </c>
      <c r="V3926" s="40"/>
    </row>
    <row r="3927" spans="2:22" x14ac:dyDescent="0.35">
      <c r="B3927" s="40">
        <v>38813</v>
      </c>
      <c r="C3927" s="39">
        <v>6031.39</v>
      </c>
      <c r="D3927" s="219">
        <f t="shared" si="388"/>
        <v>3.6316631675068216E-4</v>
      </c>
      <c r="F3927" s="40">
        <v>38813</v>
      </c>
      <c r="G3927" s="39">
        <v>6031.39</v>
      </c>
      <c r="H3927" s="39">
        <f t="shared" si="383"/>
        <v>4</v>
      </c>
      <c r="I3927" s="39">
        <f t="shared" si="384"/>
        <v>0</v>
      </c>
      <c r="K3927" s="40"/>
      <c r="Q3927" s="40">
        <v>38813</v>
      </c>
      <c r="R3927" s="39">
        <v>6031.39</v>
      </c>
      <c r="S3927" s="39">
        <f t="shared" si="385"/>
        <v>4</v>
      </c>
      <c r="T3927" s="39">
        <f t="shared" si="386"/>
        <v>0</v>
      </c>
      <c r="U3927" s="39">
        <f t="shared" si="387"/>
        <v>0</v>
      </c>
      <c r="V3927" s="40"/>
    </row>
    <row r="3928" spans="2:22" x14ac:dyDescent="0.35">
      <c r="B3928" s="40">
        <v>38814</v>
      </c>
      <c r="C3928" s="39">
        <v>5952.92</v>
      </c>
      <c r="D3928" s="219">
        <f t="shared" si="388"/>
        <v>-1.3095642792418967E-2</v>
      </c>
      <c r="F3928" s="40">
        <v>38814</v>
      </c>
      <c r="G3928" s="39">
        <v>5952.92</v>
      </c>
      <c r="H3928" s="39">
        <f t="shared" si="383"/>
        <v>5</v>
      </c>
      <c r="I3928" s="39">
        <f t="shared" si="384"/>
        <v>5952.92</v>
      </c>
      <c r="K3928" s="40"/>
      <c r="Q3928" s="40">
        <v>38814</v>
      </c>
      <c r="R3928" s="39">
        <v>5952.92</v>
      </c>
      <c r="S3928" s="39">
        <f t="shared" si="385"/>
        <v>4</v>
      </c>
      <c r="T3928" s="39">
        <f t="shared" si="386"/>
        <v>0</v>
      </c>
      <c r="U3928" s="39">
        <f t="shared" si="387"/>
        <v>0</v>
      </c>
      <c r="V3928" s="40"/>
    </row>
    <row r="3929" spans="2:22" x14ac:dyDescent="0.35">
      <c r="B3929" s="40">
        <v>38817</v>
      </c>
      <c r="C3929" s="39">
        <v>6003.4</v>
      </c>
      <c r="D3929" s="219">
        <f t="shared" si="388"/>
        <v>8.4441199212256859E-3</v>
      </c>
      <c r="F3929" s="40">
        <v>38817</v>
      </c>
      <c r="G3929" s="39">
        <v>6003.4</v>
      </c>
      <c r="H3929" s="39">
        <f t="shared" si="383"/>
        <v>1</v>
      </c>
      <c r="I3929" s="39">
        <f t="shared" si="384"/>
        <v>0</v>
      </c>
      <c r="K3929" s="40"/>
      <c r="Q3929" s="40">
        <v>38817</v>
      </c>
      <c r="R3929" s="39">
        <v>6003.4</v>
      </c>
      <c r="S3929" s="39">
        <f t="shared" si="385"/>
        <v>4</v>
      </c>
      <c r="T3929" s="39">
        <f t="shared" si="386"/>
        <v>0</v>
      </c>
      <c r="U3929" s="39">
        <f t="shared" si="387"/>
        <v>0</v>
      </c>
      <c r="V3929" s="40"/>
    </row>
    <row r="3930" spans="2:22" x14ac:dyDescent="0.35">
      <c r="B3930" s="40">
        <v>38818</v>
      </c>
      <c r="C3930" s="39">
        <v>5908.47</v>
      </c>
      <c r="D3930" s="219">
        <f t="shared" si="388"/>
        <v>-1.5939060746571546E-2</v>
      </c>
      <c r="F3930" s="40">
        <v>38818</v>
      </c>
      <c r="G3930" s="39">
        <v>5908.47</v>
      </c>
      <c r="H3930" s="39">
        <f t="shared" si="383"/>
        <v>2</v>
      </c>
      <c r="I3930" s="39">
        <f t="shared" si="384"/>
        <v>0</v>
      </c>
      <c r="K3930" s="40"/>
      <c r="Q3930" s="40">
        <v>38818</v>
      </c>
      <c r="R3930" s="39">
        <v>5908.47</v>
      </c>
      <c r="S3930" s="39">
        <f t="shared" si="385"/>
        <v>4</v>
      </c>
      <c r="T3930" s="39">
        <f t="shared" si="386"/>
        <v>0</v>
      </c>
      <c r="U3930" s="39">
        <f t="shared" si="387"/>
        <v>0</v>
      </c>
      <c r="V3930" s="40"/>
    </row>
    <row r="3931" spans="2:22" x14ac:dyDescent="0.35">
      <c r="B3931" s="40">
        <v>38819</v>
      </c>
      <c r="C3931" s="39">
        <v>5901.25</v>
      </c>
      <c r="D3931" s="219">
        <f t="shared" si="388"/>
        <v>-1.2227217748635496E-3</v>
      </c>
      <c r="F3931" s="40">
        <v>38819</v>
      </c>
      <c r="G3931" s="39">
        <v>5901.25</v>
      </c>
      <c r="H3931" s="39">
        <f t="shared" si="383"/>
        <v>3</v>
      </c>
      <c r="I3931" s="39">
        <f t="shared" si="384"/>
        <v>0</v>
      </c>
      <c r="K3931" s="40"/>
      <c r="Q3931" s="40">
        <v>38819</v>
      </c>
      <c r="R3931" s="39">
        <v>5901.25</v>
      </c>
      <c r="S3931" s="39">
        <f t="shared" si="385"/>
        <v>4</v>
      </c>
      <c r="T3931" s="39">
        <f t="shared" si="386"/>
        <v>0</v>
      </c>
      <c r="U3931" s="39">
        <f t="shared" si="387"/>
        <v>0</v>
      </c>
      <c r="V3931" s="40"/>
    </row>
    <row r="3932" spans="2:22" x14ac:dyDescent="0.35">
      <c r="B3932" s="40">
        <v>38820</v>
      </c>
      <c r="C3932" s="39">
        <v>5918.57</v>
      </c>
      <c r="D3932" s="219">
        <f t="shared" si="388"/>
        <v>2.9306727846212556E-3</v>
      </c>
      <c r="F3932" s="40">
        <v>38820</v>
      </c>
      <c r="G3932" s="39">
        <v>5918.57</v>
      </c>
      <c r="H3932" s="39">
        <f t="shared" si="383"/>
        <v>4</v>
      </c>
      <c r="I3932" s="39">
        <f t="shared" si="384"/>
        <v>5918.57</v>
      </c>
      <c r="K3932" s="40"/>
      <c r="Q3932" s="40">
        <v>38820</v>
      </c>
      <c r="R3932" s="39">
        <v>5918.57</v>
      </c>
      <c r="S3932" s="39">
        <f t="shared" si="385"/>
        <v>4</v>
      </c>
      <c r="T3932" s="39">
        <f t="shared" si="386"/>
        <v>0</v>
      </c>
      <c r="U3932" s="39">
        <f t="shared" si="387"/>
        <v>0</v>
      </c>
      <c r="V3932" s="40"/>
    </row>
    <row r="3933" spans="2:22" x14ac:dyDescent="0.35">
      <c r="B3933" s="40">
        <v>38825</v>
      </c>
      <c r="C3933" s="39">
        <v>5902.58</v>
      </c>
      <c r="D3933" s="219">
        <f t="shared" si="388"/>
        <v>-2.7053221983067578E-3</v>
      </c>
      <c r="F3933" s="40">
        <v>38825</v>
      </c>
      <c r="G3933" s="39">
        <v>5902.58</v>
      </c>
      <c r="H3933" s="39">
        <f t="shared" si="383"/>
        <v>2</v>
      </c>
      <c r="I3933" s="39">
        <f t="shared" si="384"/>
        <v>0</v>
      </c>
      <c r="K3933" s="40"/>
      <c r="Q3933" s="40">
        <v>38825</v>
      </c>
      <c r="R3933" s="39">
        <v>5902.58</v>
      </c>
      <c r="S3933" s="39">
        <f t="shared" si="385"/>
        <v>4</v>
      </c>
      <c r="T3933" s="39">
        <f t="shared" si="386"/>
        <v>0</v>
      </c>
      <c r="U3933" s="39">
        <f t="shared" si="387"/>
        <v>0</v>
      </c>
      <c r="V3933" s="40"/>
    </row>
    <row r="3934" spans="2:22" x14ac:dyDescent="0.35">
      <c r="B3934" s="40">
        <v>38826</v>
      </c>
      <c r="C3934" s="39">
        <v>5993.76</v>
      </c>
      <c r="D3934" s="219">
        <f t="shared" si="388"/>
        <v>1.5329384588133804E-2</v>
      </c>
      <c r="F3934" s="40">
        <v>38826</v>
      </c>
      <c r="G3934" s="39">
        <v>5993.76</v>
      </c>
      <c r="H3934" s="39">
        <f t="shared" si="383"/>
        <v>3</v>
      </c>
      <c r="I3934" s="39">
        <f t="shared" si="384"/>
        <v>0</v>
      </c>
      <c r="K3934" s="40"/>
      <c r="Q3934" s="40">
        <v>38826</v>
      </c>
      <c r="R3934" s="39">
        <v>5993.76</v>
      </c>
      <c r="S3934" s="39">
        <f t="shared" si="385"/>
        <v>4</v>
      </c>
      <c r="T3934" s="39">
        <f t="shared" si="386"/>
        <v>0</v>
      </c>
      <c r="U3934" s="39">
        <f t="shared" si="387"/>
        <v>0</v>
      </c>
      <c r="V3934" s="40"/>
    </row>
    <row r="3935" spans="2:22" x14ac:dyDescent="0.35">
      <c r="B3935" s="40">
        <v>38827</v>
      </c>
      <c r="C3935" s="39">
        <v>6063.28</v>
      </c>
      <c r="D3935" s="219">
        <f t="shared" si="388"/>
        <v>1.1531979728646885E-2</v>
      </c>
      <c r="F3935" s="40">
        <v>38827</v>
      </c>
      <c r="G3935" s="39">
        <v>6063.28</v>
      </c>
      <c r="H3935" s="39">
        <f t="shared" si="383"/>
        <v>4</v>
      </c>
      <c r="I3935" s="39">
        <f t="shared" si="384"/>
        <v>0</v>
      </c>
      <c r="K3935" s="40"/>
      <c r="Q3935" s="40">
        <v>38827</v>
      </c>
      <c r="R3935" s="39">
        <v>6063.28</v>
      </c>
      <c r="S3935" s="39">
        <f t="shared" si="385"/>
        <v>4</v>
      </c>
      <c r="T3935" s="39">
        <f t="shared" si="386"/>
        <v>0</v>
      </c>
      <c r="U3935" s="39">
        <f t="shared" si="387"/>
        <v>0</v>
      </c>
      <c r="V3935" s="40"/>
    </row>
    <row r="3936" spans="2:22" x14ac:dyDescent="0.35">
      <c r="B3936" s="40">
        <v>38828</v>
      </c>
      <c r="C3936" s="39">
        <v>6094.75</v>
      </c>
      <c r="D3936" s="219">
        <f t="shared" si="388"/>
        <v>5.1768370833154735E-3</v>
      </c>
      <c r="F3936" s="40">
        <v>38828</v>
      </c>
      <c r="G3936" s="39">
        <v>6094.75</v>
      </c>
      <c r="H3936" s="39">
        <f t="shared" si="383"/>
        <v>5</v>
      </c>
      <c r="I3936" s="39">
        <f t="shared" si="384"/>
        <v>6094.75</v>
      </c>
      <c r="K3936" s="40"/>
      <c r="Q3936" s="40">
        <v>38828</v>
      </c>
      <c r="R3936" s="39">
        <v>6094.75</v>
      </c>
      <c r="S3936" s="39">
        <f t="shared" si="385"/>
        <v>4</v>
      </c>
      <c r="T3936" s="39">
        <f t="shared" si="386"/>
        <v>0</v>
      </c>
      <c r="U3936" s="39">
        <f t="shared" si="387"/>
        <v>0</v>
      </c>
      <c r="V3936" s="40"/>
    </row>
    <row r="3937" spans="2:22" x14ac:dyDescent="0.35">
      <c r="B3937" s="40">
        <v>38831</v>
      </c>
      <c r="C3937" s="39">
        <v>6079.09</v>
      </c>
      <c r="D3937" s="219">
        <f t="shared" si="388"/>
        <v>-2.5727311411556132E-3</v>
      </c>
      <c r="F3937" s="40">
        <v>38831</v>
      </c>
      <c r="G3937" s="39">
        <v>6079.09</v>
      </c>
      <c r="H3937" s="39">
        <f t="shared" si="383"/>
        <v>1</v>
      </c>
      <c r="I3937" s="39">
        <f t="shared" si="384"/>
        <v>0</v>
      </c>
      <c r="K3937" s="40"/>
      <c r="Q3937" s="40">
        <v>38831</v>
      </c>
      <c r="R3937" s="39">
        <v>6079.09</v>
      </c>
      <c r="S3937" s="39">
        <f t="shared" si="385"/>
        <v>4</v>
      </c>
      <c r="T3937" s="39">
        <f t="shared" si="386"/>
        <v>0</v>
      </c>
      <c r="U3937" s="39">
        <f t="shared" si="387"/>
        <v>0</v>
      </c>
      <c r="V3937" s="40"/>
    </row>
    <row r="3938" spans="2:22" x14ac:dyDescent="0.35">
      <c r="B3938" s="40">
        <v>38832</v>
      </c>
      <c r="C3938" s="39">
        <v>6078.8</v>
      </c>
      <c r="D3938" s="219">
        <f t="shared" si="388"/>
        <v>-4.7705646301327314E-5</v>
      </c>
      <c r="F3938" s="40">
        <v>38832</v>
      </c>
      <c r="G3938" s="39">
        <v>6078.8</v>
      </c>
      <c r="H3938" s="39">
        <f t="shared" si="383"/>
        <v>2</v>
      </c>
      <c r="I3938" s="39">
        <f t="shared" si="384"/>
        <v>0</v>
      </c>
      <c r="K3938" s="40"/>
      <c r="Q3938" s="40">
        <v>38832</v>
      </c>
      <c r="R3938" s="39">
        <v>6078.8</v>
      </c>
      <c r="S3938" s="39">
        <f t="shared" si="385"/>
        <v>4</v>
      </c>
      <c r="T3938" s="39">
        <f t="shared" si="386"/>
        <v>0</v>
      </c>
      <c r="U3938" s="39">
        <f t="shared" si="387"/>
        <v>0</v>
      </c>
      <c r="V3938" s="40"/>
    </row>
    <row r="3939" spans="2:22" x14ac:dyDescent="0.35">
      <c r="B3939" s="40">
        <v>38833</v>
      </c>
      <c r="C3939" s="39">
        <v>6107.12</v>
      </c>
      <c r="D3939" s="219">
        <f t="shared" si="388"/>
        <v>4.6479955530803838E-3</v>
      </c>
      <c r="F3939" s="40">
        <v>38833</v>
      </c>
      <c r="G3939" s="39">
        <v>6107.12</v>
      </c>
      <c r="H3939" s="39">
        <f t="shared" si="383"/>
        <v>3</v>
      </c>
      <c r="I3939" s="39">
        <f t="shared" si="384"/>
        <v>0</v>
      </c>
      <c r="K3939" s="40"/>
      <c r="Q3939" s="40">
        <v>38833</v>
      </c>
      <c r="R3939" s="39">
        <v>6107.12</v>
      </c>
      <c r="S3939" s="39">
        <f t="shared" si="385"/>
        <v>4</v>
      </c>
      <c r="T3939" s="39">
        <f t="shared" si="386"/>
        <v>0</v>
      </c>
      <c r="U3939" s="39">
        <f t="shared" si="387"/>
        <v>0</v>
      </c>
      <c r="V3939" s="40"/>
    </row>
    <row r="3940" spans="2:22" x14ac:dyDescent="0.35">
      <c r="B3940" s="40">
        <v>38834</v>
      </c>
      <c r="C3940" s="39">
        <v>6067.74</v>
      </c>
      <c r="D3940" s="219">
        <f t="shared" si="388"/>
        <v>-6.4690907878723891E-3</v>
      </c>
      <c r="F3940" s="40">
        <v>38834</v>
      </c>
      <c r="G3940" s="39">
        <v>6067.74</v>
      </c>
      <c r="H3940" s="39">
        <f t="shared" si="383"/>
        <v>4</v>
      </c>
      <c r="I3940" s="39">
        <f t="shared" si="384"/>
        <v>0</v>
      </c>
      <c r="K3940" s="40"/>
      <c r="Q3940" s="40">
        <v>38834</v>
      </c>
      <c r="R3940" s="39">
        <v>6067.74</v>
      </c>
      <c r="S3940" s="39">
        <f t="shared" si="385"/>
        <v>4</v>
      </c>
      <c r="T3940" s="39">
        <f t="shared" si="386"/>
        <v>0</v>
      </c>
      <c r="U3940" s="39">
        <f t="shared" si="387"/>
        <v>0</v>
      </c>
      <c r="V3940" s="40"/>
    </row>
    <row r="3941" spans="2:22" x14ac:dyDescent="0.35">
      <c r="B3941" s="40">
        <v>38835</v>
      </c>
      <c r="C3941" s="39">
        <v>6009.89</v>
      </c>
      <c r="D3941" s="219">
        <f t="shared" si="388"/>
        <v>-9.5797672915227308E-3</v>
      </c>
      <c r="F3941" s="40">
        <v>38835</v>
      </c>
      <c r="G3941" s="39">
        <v>6009.89</v>
      </c>
      <c r="H3941" s="39">
        <f t="shared" si="383"/>
        <v>5</v>
      </c>
      <c r="I3941" s="39">
        <f t="shared" si="384"/>
        <v>6009.89</v>
      </c>
      <c r="K3941" s="40"/>
      <c r="Q3941" s="40">
        <v>38835</v>
      </c>
      <c r="R3941" s="39">
        <v>6009.89</v>
      </c>
      <c r="S3941" s="39">
        <f t="shared" si="385"/>
        <v>4</v>
      </c>
      <c r="T3941" s="39">
        <f t="shared" si="386"/>
        <v>6009.89</v>
      </c>
      <c r="U3941" s="39">
        <f t="shared" si="387"/>
        <v>6009.89</v>
      </c>
      <c r="V3941" s="40"/>
    </row>
    <row r="3942" spans="2:22" x14ac:dyDescent="0.35">
      <c r="B3942" s="40">
        <v>38839</v>
      </c>
      <c r="C3942" s="39">
        <v>6051.29</v>
      </c>
      <c r="D3942" s="219">
        <f t="shared" si="388"/>
        <v>6.8650269034243759E-3</v>
      </c>
      <c r="F3942" s="40">
        <v>38839</v>
      </c>
      <c r="G3942" s="39">
        <v>6051.29</v>
      </c>
      <c r="H3942" s="39">
        <f t="shared" si="383"/>
        <v>2</v>
      </c>
      <c r="I3942" s="39">
        <f t="shared" si="384"/>
        <v>0</v>
      </c>
      <c r="K3942" s="40"/>
      <c r="Q3942" s="40">
        <v>38839</v>
      </c>
      <c r="R3942" s="39">
        <v>6051.29</v>
      </c>
      <c r="S3942" s="39">
        <f t="shared" si="385"/>
        <v>5</v>
      </c>
      <c r="T3942" s="39">
        <f t="shared" si="386"/>
        <v>0</v>
      </c>
      <c r="U3942" s="39">
        <f t="shared" si="387"/>
        <v>0</v>
      </c>
      <c r="V3942" s="40"/>
    </row>
    <row r="3943" spans="2:22" x14ac:dyDescent="0.35">
      <c r="B3943" s="40">
        <v>38840</v>
      </c>
      <c r="C3943" s="39">
        <v>5968.96</v>
      </c>
      <c r="D3943" s="219">
        <f t="shared" si="388"/>
        <v>-1.369876458036221E-2</v>
      </c>
      <c r="F3943" s="40">
        <v>38840</v>
      </c>
      <c r="G3943" s="39">
        <v>5968.96</v>
      </c>
      <c r="H3943" s="39">
        <f t="shared" si="383"/>
        <v>3</v>
      </c>
      <c r="I3943" s="39">
        <f t="shared" si="384"/>
        <v>0</v>
      </c>
      <c r="K3943" s="40"/>
      <c r="Q3943" s="40">
        <v>38840</v>
      </c>
      <c r="R3943" s="39">
        <v>5968.96</v>
      </c>
      <c r="S3943" s="39">
        <f t="shared" si="385"/>
        <v>5</v>
      </c>
      <c r="T3943" s="39">
        <f t="shared" si="386"/>
        <v>0</v>
      </c>
      <c r="U3943" s="39">
        <f t="shared" si="387"/>
        <v>0</v>
      </c>
      <c r="V3943" s="40"/>
    </row>
    <row r="3944" spans="2:22" x14ac:dyDescent="0.35">
      <c r="B3944" s="40">
        <v>38841</v>
      </c>
      <c r="C3944" s="39">
        <v>6039.32</v>
      </c>
      <c r="D3944" s="219">
        <f t="shared" si="388"/>
        <v>1.1718714953288819E-2</v>
      </c>
      <c r="F3944" s="40">
        <v>38841</v>
      </c>
      <c r="G3944" s="39">
        <v>6039.32</v>
      </c>
      <c r="H3944" s="39">
        <f t="shared" si="383"/>
        <v>4</v>
      </c>
      <c r="I3944" s="39">
        <f t="shared" si="384"/>
        <v>0</v>
      </c>
      <c r="K3944" s="40"/>
      <c r="Q3944" s="40">
        <v>38841</v>
      </c>
      <c r="R3944" s="39">
        <v>6039.32</v>
      </c>
      <c r="S3944" s="39">
        <f t="shared" si="385"/>
        <v>5</v>
      </c>
      <c r="T3944" s="39">
        <f t="shared" si="386"/>
        <v>0</v>
      </c>
      <c r="U3944" s="39">
        <f t="shared" si="387"/>
        <v>0</v>
      </c>
      <c r="V3944" s="40"/>
    </row>
    <row r="3945" spans="2:22" x14ac:dyDescent="0.35">
      <c r="B3945" s="40">
        <v>38842</v>
      </c>
      <c r="C3945" s="39">
        <v>6113.29</v>
      </c>
      <c r="D3945" s="219">
        <f t="shared" si="388"/>
        <v>1.2173666976221324E-2</v>
      </c>
      <c r="F3945" s="40">
        <v>38842</v>
      </c>
      <c r="G3945" s="39">
        <v>6113.29</v>
      </c>
      <c r="H3945" s="39">
        <f t="shared" si="383"/>
        <v>5</v>
      </c>
      <c r="I3945" s="39">
        <f t="shared" si="384"/>
        <v>6113.29</v>
      </c>
      <c r="K3945" s="40"/>
      <c r="Q3945" s="40">
        <v>38842</v>
      </c>
      <c r="R3945" s="39">
        <v>6113.29</v>
      </c>
      <c r="S3945" s="39">
        <f t="shared" si="385"/>
        <v>5</v>
      </c>
      <c r="T3945" s="39">
        <f t="shared" si="386"/>
        <v>0</v>
      </c>
      <c r="U3945" s="39">
        <f t="shared" si="387"/>
        <v>0</v>
      </c>
      <c r="V3945" s="40"/>
    </row>
    <row r="3946" spans="2:22" x14ac:dyDescent="0.35">
      <c r="B3946" s="40">
        <v>38845</v>
      </c>
      <c r="C3946" s="39">
        <v>6127.98</v>
      </c>
      <c r="D3946" s="219">
        <f t="shared" si="388"/>
        <v>2.4000789218214481E-3</v>
      </c>
      <c r="F3946" s="40">
        <v>38845</v>
      </c>
      <c r="G3946" s="39">
        <v>6127.98</v>
      </c>
      <c r="H3946" s="39">
        <f t="shared" si="383"/>
        <v>1</v>
      </c>
      <c r="I3946" s="39">
        <f t="shared" si="384"/>
        <v>0</v>
      </c>
      <c r="K3946" s="40"/>
      <c r="Q3946" s="40">
        <v>38845</v>
      </c>
      <c r="R3946" s="39">
        <v>6127.98</v>
      </c>
      <c r="S3946" s="39">
        <f t="shared" si="385"/>
        <v>5</v>
      </c>
      <c r="T3946" s="39">
        <f t="shared" si="386"/>
        <v>0</v>
      </c>
      <c r="U3946" s="39">
        <f t="shared" si="387"/>
        <v>0</v>
      </c>
      <c r="V3946" s="40"/>
    </row>
    <row r="3947" spans="2:22" x14ac:dyDescent="0.35">
      <c r="B3947" s="40">
        <v>38846</v>
      </c>
      <c r="C3947" s="39">
        <v>6140.72</v>
      </c>
      <c r="D3947" s="219">
        <f t="shared" si="388"/>
        <v>2.0768304024398614E-3</v>
      </c>
      <c r="F3947" s="40">
        <v>38846</v>
      </c>
      <c r="G3947" s="39">
        <v>6140.72</v>
      </c>
      <c r="H3947" s="39">
        <f t="shared" si="383"/>
        <v>2</v>
      </c>
      <c r="I3947" s="39">
        <f t="shared" si="384"/>
        <v>0</v>
      </c>
      <c r="K3947" s="40"/>
      <c r="Q3947" s="40">
        <v>38846</v>
      </c>
      <c r="R3947" s="39">
        <v>6140.72</v>
      </c>
      <c r="S3947" s="39">
        <f t="shared" si="385"/>
        <v>5</v>
      </c>
      <c r="T3947" s="39">
        <f t="shared" si="386"/>
        <v>0</v>
      </c>
      <c r="U3947" s="39">
        <f t="shared" si="387"/>
        <v>0</v>
      </c>
      <c r="V3947" s="40"/>
    </row>
    <row r="3948" spans="2:22" x14ac:dyDescent="0.35">
      <c r="B3948" s="40">
        <v>38847</v>
      </c>
      <c r="C3948" s="39">
        <v>6118.38</v>
      </c>
      <c r="D3948" s="219">
        <f t="shared" si="388"/>
        <v>-3.6446435267364062E-3</v>
      </c>
      <c r="F3948" s="40">
        <v>38847</v>
      </c>
      <c r="G3948" s="39">
        <v>6118.38</v>
      </c>
      <c r="H3948" s="39">
        <f t="shared" si="383"/>
        <v>3</v>
      </c>
      <c r="I3948" s="39">
        <f t="shared" si="384"/>
        <v>0</v>
      </c>
      <c r="K3948" s="40"/>
      <c r="Q3948" s="40">
        <v>38847</v>
      </c>
      <c r="R3948" s="39">
        <v>6118.38</v>
      </c>
      <c r="S3948" s="39">
        <f t="shared" si="385"/>
        <v>5</v>
      </c>
      <c r="T3948" s="39">
        <f t="shared" si="386"/>
        <v>0</v>
      </c>
      <c r="U3948" s="39">
        <f t="shared" si="387"/>
        <v>0</v>
      </c>
      <c r="V3948" s="40"/>
    </row>
    <row r="3949" spans="2:22" x14ac:dyDescent="0.35">
      <c r="B3949" s="40">
        <v>38848</v>
      </c>
      <c r="C3949" s="39">
        <v>6054.72</v>
      </c>
      <c r="D3949" s="219">
        <f t="shared" si="388"/>
        <v>-1.0459222439836846E-2</v>
      </c>
      <c r="F3949" s="40">
        <v>38848</v>
      </c>
      <c r="G3949" s="39">
        <v>6054.72</v>
      </c>
      <c r="H3949" s="39">
        <f t="shared" si="383"/>
        <v>4</v>
      </c>
      <c r="I3949" s="39">
        <f t="shared" si="384"/>
        <v>0</v>
      </c>
      <c r="K3949" s="40"/>
      <c r="Q3949" s="40">
        <v>38848</v>
      </c>
      <c r="R3949" s="39">
        <v>6054.72</v>
      </c>
      <c r="S3949" s="39">
        <f t="shared" si="385"/>
        <v>5</v>
      </c>
      <c r="T3949" s="39">
        <f t="shared" si="386"/>
        <v>0</v>
      </c>
      <c r="U3949" s="39">
        <f t="shared" si="387"/>
        <v>0</v>
      </c>
      <c r="V3949" s="40"/>
    </row>
    <row r="3950" spans="2:22" x14ac:dyDescent="0.35">
      <c r="B3950" s="40">
        <v>38849</v>
      </c>
      <c r="C3950" s="39">
        <v>5916.28</v>
      </c>
      <c r="D3950" s="219">
        <f t="shared" si="388"/>
        <v>-2.3130260156162426E-2</v>
      </c>
      <c r="F3950" s="40">
        <v>38849</v>
      </c>
      <c r="G3950" s="39">
        <v>5916.28</v>
      </c>
      <c r="H3950" s="39">
        <f t="shared" si="383"/>
        <v>5</v>
      </c>
      <c r="I3950" s="39">
        <f t="shared" si="384"/>
        <v>5916.28</v>
      </c>
      <c r="K3950" s="40"/>
      <c r="Q3950" s="40">
        <v>38849</v>
      </c>
      <c r="R3950" s="39">
        <v>5916.28</v>
      </c>
      <c r="S3950" s="39">
        <f t="shared" si="385"/>
        <v>5</v>
      </c>
      <c r="T3950" s="39">
        <f t="shared" si="386"/>
        <v>0</v>
      </c>
      <c r="U3950" s="39">
        <f t="shared" si="387"/>
        <v>0</v>
      </c>
      <c r="V3950" s="40"/>
    </row>
    <row r="3951" spans="2:22" x14ac:dyDescent="0.35">
      <c r="B3951" s="40">
        <v>38852</v>
      </c>
      <c r="C3951" s="39">
        <v>5857.03</v>
      </c>
      <c r="D3951" s="219">
        <f t="shared" si="388"/>
        <v>-1.0065223834421089E-2</v>
      </c>
      <c r="F3951" s="40">
        <v>38852</v>
      </c>
      <c r="G3951" s="39">
        <v>5857.03</v>
      </c>
      <c r="H3951" s="39">
        <f t="shared" si="383"/>
        <v>1</v>
      </c>
      <c r="I3951" s="39">
        <f t="shared" si="384"/>
        <v>0</v>
      </c>
      <c r="K3951" s="40"/>
      <c r="Q3951" s="40">
        <v>38852</v>
      </c>
      <c r="R3951" s="39">
        <v>5857.03</v>
      </c>
      <c r="S3951" s="39">
        <f t="shared" si="385"/>
        <v>5</v>
      </c>
      <c r="T3951" s="39">
        <f t="shared" si="386"/>
        <v>0</v>
      </c>
      <c r="U3951" s="39">
        <f t="shared" si="387"/>
        <v>0</v>
      </c>
      <c r="V3951" s="40"/>
    </row>
    <row r="3952" spans="2:22" x14ac:dyDescent="0.35">
      <c r="B3952" s="40">
        <v>38853</v>
      </c>
      <c r="C3952" s="39">
        <v>5851.92</v>
      </c>
      <c r="D3952" s="219">
        <f t="shared" si="388"/>
        <v>-8.7283664622666397E-4</v>
      </c>
      <c r="F3952" s="40">
        <v>38853</v>
      </c>
      <c r="G3952" s="39">
        <v>5851.92</v>
      </c>
      <c r="H3952" s="39">
        <f t="shared" si="383"/>
        <v>2</v>
      </c>
      <c r="I3952" s="39">
        <f t="shared" si="384"/>
        <v>0</v>
      </c>
      <c r="K3952" s="40"/>
      <c r="Q3952" s="40">
        <v>38853</v>
      </c>
      <c r="R3952" s="39">
        <v>5851.92</v>
      </c>
      <c r="S3952" s="39">
        <f t="shared" si="385"/>
        <v>5</v>
      </c>
      <c r="T3952" s="39">
        <f t="shared" si="386"/>
        <v>0</v>
      </c>
      <c r="U3952" s="39">
        <f t="shared" si="387"/>
        <v>0</v>
      </c>
      <c r="V3952" s="40"/>
    </row>
    <row r="3953" spans="2:22" x14ac:dyDescent="0.35">
      <c r="B3953" s="40">
        <v>38854</v>
      </c>
      <c r="C3953" s="39">
        <v>5652.72</v>
      </c>
      <c r="D3953" s="219">
        <f t="shared" si="388"/>
        <v>-3.4632967280366425E-2</v>
      </c>
      <c r="F3953" s="40">
        <v>38854</v>
      </c>
      <c r="G3953" s="39">
        <v>5652.72</v>
      </c>
      <c r="H3953" s="39">
        <f t="shared" si="383"/>
        <v>3</v>
      </c>
      <c r="I3953" s="39">
        <f t="shared" si="384"/>
        <v>0</v>
      </c>
      <c r="K3953" s="40"/>
      <c r="Q3953" s="40">
        <v>38854</v>
      </c>
      <c r="R3953" s="39">
        <v>5652.72</v>
      </c>
      <c r="S3953" s="39">
        <f t="shared" si="385"/>
        <v>5</v>
      </c>
      <c r="T3953" s="39">
        <f t="shared" si="386"/>
        <v>0</v>
      </c>
      <c r="U3953" s="39">
        <f t="shared" si="387"/>
        <v>0</v>
      </c>
      <c r="V3953" s="40"/>
    </row>
    <row r="3954" spans="2:22" x14ac:dyDescent="0.35">
      <c r="B3954" s="40">
        <v>38855</v>
      </c>
      <c r="C3954" s="39">
        <v>5666.07</v>
      </c>
      <c r="D3954" s="219">
        <f t="shared" si="388"/>
        <v>2.3589104825620408E-3</v>
      </c>
      <c r="F3954" s="40">
        <v>38855</v>
      </c>
      <c r="G3954" s="39">
        <v>5666.07</v>
      </c>
      <c r="H3954" s="39">
        <f t="shared" si="383"/>
        <v>4</v>
      </c>
      <c r="I3954" s="39">
        <f t="shared" si="384"/>
        <v>0</v>
      </c>
      <c r="K3954" s="40"/>
      <c r="Q3954" s="40">
        <v>38855</v>
      </c>
      <c r="R3954" s="39">
        <v>5666.07</v>
      </c>
      <c r="S3954" s="39">
        <f t="shared" si="385"/>
        <v>5</v>
      </c>
      <c r="T3954" s="39">
        <f t="shared" si="386"/>
        <v>0</v>
      </c>
      <c r="U3954" s="39">
        <f t="shared" si="387"/>
        <v>0</v>
      </c>
      <c r="V3954" s="40"/>
    </row>
    <row r="3955" spans="2:22" x14ac:dyDescent="0.35">
      <c r="B3955" s="40">
        <v>38856</v>
      </c>
      <c r="C3955" s="39">
        <v>5672.28</v>
      </c>
      <c r="D3955" s="219">
        <f t="shared" si="388"/>
        <v>1.0953975879993455E-3</v>
      </c>
      <c r="F3955" s="40">
        <v>38856</v>
      </c>
      <c r="G3955" s="39">
        <v>5672.28</v>
      </c>
      <c r="H3955" s="39">
        <f t="shared" si="383"/>
        <v>5</v>
      </c>
      <c r="I3955" s="39">
        <f t="shared" si="384"/>
        <v>5672.28</v>
      </c>
      <c r="K3955" s="40"/>
      <c r="Q3955" s="40">
        <v>38856</v>
      </c>
      <c r="R3955" s="39">
        <v>5672.28</v>
      </c>
      <c r="S3955" s="39">
        <f t="shared" si="385"/>
        <v>5</v>
      </c>
      <c r="T3955" s="39">
        <f t="shared" si="386"/>
        <v>0</v>
      </c>
      <c r="U3955" s="39">
        <f t="shared" si="387"/>
        <v>0</v>
      </c>
      <c r="V3955" s="40"/>
    </row>
    <row r="3956" spans="2:22" x14ac:dyDescent="0.35">
      <c r="B3956" s="40">
        <v>38859</v>
      </c>
      <c r="C3956" s="39">
        <v>5546.24</v>
      </c>
      <c r="D3956" s="219">
        <f t="shared" si="388"/>
        <v>-2.2470932625345715E-2</v>
      </c>
      <c r="F3956" s="40">
        <v>38859</v>
      </c>
      <c r="G3956" s="39">
        <v>5546.24</v>
      </c>
      <c r="H3956" s="39">
        <f t="shared" si="383"/>
        <v>1</v>
      </c>
      <c r="I3956" s="39">
        <f t="shared" si="384"/>
        <v>0</v>
      </c>
      <c r="K3956" s="40"/>
      <c r="Q3956" s="40">
        <v>38859</v>
      </c>
      <c r="R3956" s="39">
        <v>5546.24</v>
      </c>
      <c r="S3956" s="39">
        <f t="shared" si="385"/>
        <v>5</v>
      </c>
      <c r="T3956" s="39">
        <f t="shared" si="386"/>
        <v>0</v>
      </c>
      <c r="U3956" s="39">
        <f t="shared" si="387"/>
        <v>0</v>
      </c>
      <c r="V3956" s="40"/>
    </row>
    <row r="3957" spans="2:22" x14ac:dyDescent="0.35">
      <c r="B3957" s="40">
        <v>38860</v>
      </c>
      <c r="C3957" s="39">
        <v>5678.49</v>
      </c>
      <c r="D3957" s="219">
        <f t="shared" si="388"/>
        <v>2.3565131630274589E-2</v>
      </c>
      <c r="F3957" s="40">
        <v>38860</v>
      </c>
      <c r="G3957" s="39">
        <v>5678.49</v>
      </c>
      <c r="H3957" s="39">
        <f t="shared" si="383"/>
        <v>2</v>
      </c>
      <c r="I3957" s="39">
        <f t="shared" si="384"/>
        <v>0</v>
      </c>
      <c r="K3957" s="40"/>
      <c r="Q3957" s="40">
        <v>38860</v>
      </c>
      <c r="R3957" s="39">
        <v>5678.49</v>
      </c>
      <c r="S3957" s="39">
        <f t="shared" si="385"/>
        <v>5</v>
      </c>
      <c r="T3957" s="39">
        <f t="shared" si="386"/>
        <v>0</v>
      </c>
      <c r="U3957" s="39">
        <f t="shared" si="387"/>
        <v>0</v>
      </c>
      <c r="V3957" s="40"/>
    </row>
    <row r="3958" spans="2:22" x14ac:dyDescent="0.35">
      <c r="B3958" s="40">
        <v>38861</v>
      </c>
      <c r="C3958" s="39">
        <v>5587.23</v>
      </c>
      <c r="D3958" s="219">
        <f t="shared" si="388"/>
        <v>-1.6201715695089186E-2</v>
      </c>
      <c r="F3958" s="40">
        <v>38861</v>
      </c>
      <c r="G3958" s="39">
        <v>5587.23</v>
      </c>
      <c r="H3958" s="39">
        <f t="shared" si="383"/>
        <v>3</v>
      </c>
      <c r="I3958" s="39">
        <f t="shared" si="384"/>
        <v>0</v>
      </c>
      <c r="K3958" s="40"/>
      <c r="Q3958" s="40">
        <v>38861</v>
      </c>
      <c r="R3958" s="39">
        <v>5587.23</v>
      </c>
      <c r="S3958" s="39">
        <f t="shared" si="385"/>
        <v>5</v>
      </c>
      <c r="T3958" s="39">
        <f t="shared" si="386"/>
        <v>0</v>
      </c>
      <c r="U3958" s="39">
        <f t="shared" si="387"/>
        <v>0</v>
      </c>
      <c r="V3958" s="40"/>
    </row>
    <row r="3959" spans="2:22" x14ac:dyDescent="0.35">
      <c r="B3959" s="40">
        <v>38862</v>
      </c>
      <c r="C3959" s="39">
        <v>5706.06</v>
      </c>
      <c r="D3959" s="219">
        <f t="shared" si="388"/>
        <v>2.1045131358648304E-2</v>
      </c>
      <c r="F3959" s="40">
        <v>38862</v>
      </c>
      <c r="G3959" s="39">
        <v>5706.06</v>
      </c>
      <c r="H3959" s="39">
        <f t="shared" ref="H3959:H4022" si="389">WEEKDAY(F3959,2)</f>
        <v>4</v>
      </c>
      <c r="I3959" s="39">
        <f t="shared" ref="I3959:I4022" si="390">IF(H3959&gt;H3960,G3959,0)</f>
        <v>0</v>
      </c>
      <c r="K3959" s="40"/>
      <c r="Q3959" s="40">
        <v>38862</v>
      </c>
      <c r="R3959" s="39">
        <v>5706.06</v>
      </c>
      <c r="S3959" s="39">
        <f t="shared" ref="S3959:S4022" si="391">MONTH(Q3959)</f>
        <v>5</v>
      </c>
      <c r="T3959" s="39">
        <f t="shared" ref="T3959:T4022" si="392">IF(S3960&lt;&gt;S3959,R3959,0)</f>
        <v>0</v>
      </c>
      <c r="U3959" s="39">
        <f t="shared" ref="U3959:U4022" si="393">IF(S3960=S3959,0,R3959)</f>
        <v>0</v>
      </c>
      <c r="V3959" s="40"/>
    </row>
    <row r="3960" spans="2:22" x14ac:dyDescent="0.35">
      <c r="B3960" s="40">
        <v>38863</v>
      </c>
      <c r="C3960" s="39">
        <v>5788.36</v>
      </c>
      <c r="D3960" s="219">
        <f t="shared" ref="D3960:D4023" si="394">LN(C3960/C3959)</f>
        <v>1.4320236502222966E-2</v>
      </c>
      <c r="F3960" s="40">
        <v>38863</v>
      </c>
      <c r="G3960" s="39">
        <v>5788.36</v>
      </c>
      <c r="H3960" s="39">
        <f t="shared" si="389"/>
        <v>5</v>
      </c>
      <c r="I3960" s="39">
        <f t="shared" si="390"/>
        <v>5788.36</v>
      </c>
      <c r="K3960" s="40"/>
      <c r="Q3960" s="40">
        <v>38863</v>
      </c>
      <c r="R3960" s="39">
        <v>5788.36</v>
      </c>
      <c r="S3960" s="39">
        <f t="shared" si="391"/>
        <v>5</v>
      </c>
      <c r="T3960" s="39">
        <f t="shared" si="392"/>
        <v>0</v>
      </c>
      <c r="U3960" s="39">
        <f t="shared" si="393"/>
        <v>0</v>
      </c>
      <c r="V3960" s="40"/>
    </row>
    <row r="3961" spans="2:22" x14ac:dyDescent="0.35">
      <c r="B3961" s="40">
        <v>38866</v>
      </c>
      <c r="C3961" s="39">
        <v>5755.02</v>
      </c>
      <c r="D3961" s="219">
        <f t="shared" si="394"/>
        <v>-5.7764870786246279E-3</v>
      </c>
      <c r="F3961" s="40">
        <v>38866</v>
      </c>
      <c r="G3961" s="39">
        <v>5755.02</v>
      </c>
      <c r="H3961" s="39">
        <f t="shared" si="389"/>
        <v>1</v>
      </c>
      <c r="I3961" s="39">
        <f t="shared" si="390"/>
        <v>0</v>
      </c>
      <c r="K3961" s="40"/>
      <c r="Q3961" s="40">
        <v>38866</v>
      </c>
      <c r="R3961" s="39">
        <v>5755.02</v>
      </c>
      <c r="S3961" s="39">
        <f t="shared" si="391"/>
        <v>5</v>
      </c>
      <c r="T3961" s="39">
        <f t="shared" si="392"/>
        <v>0</v>
      </c>
      <c r="U3961" s="39">
        <f t="shared" si="393"/>
        <v>0</v>
      </c>
      <c r="V3961" s="40"/>
    </row>
    <row r="3962" spans="2:22" x14ac:dyDescent="0.35">
      <c r="B3962" s="40">
        <v>38867</v>
      </c>
      <c r="C3962" s="39">
        <v>5622.43</v>
      </c>
      <c r="D3962" s="219">
        <f t="shared" si="394"/>
        <v>-2.3308562610665894E-2</v>
      </c>
      <c r="F3962" s="40">
        <v>38867</v>
      </c>
      <c r="G3962" s="39">
        <v>5622.43</v>
      </c>
      <c r="H3962" s="39">
        <f t="shared" si="389"/>
        <v>2</v>
      </c>
      <c r="I3962" s="39">
        <f t="shared" si="390"/>
        <v>0</v>
      </c>
      <c r="K3962" s="40"/>
      <c r="Q3962" s="40">
        <v>38867</v>
      </c>
      <c r="R3962" s="39">
        <v>5622.43</v>
      </c>
      <c r="S3962" s="39">
        <f t="shared" si="391"/>
        <v>5</v>
      </c>
      <c r="T3962" s="39">
        <f t="shared" si="392"/>
        <v>0</v>
      </c>
      <c r="U3962" s="39">
        <f t="shared" si="393"/>
        <v>0</v>
      </c>
      <c r="V3962" s="40"/>
    </row>
    <row r="3963" spans="2:22" x14ac:dyDescent="0.35">
      <c r="B3963" s="40">
        <v>38868</v>
      </c>
      <c r="C3963" s="39">
        <v>5692.86</v>
      </c>
      <c r="D3963" s="219">
        <f t="shared" si="394"/>
        <v>1.2448803266778136E-2</v>
      </c>
      <c r="F3963" s="40">
        <v>38868</v>
      </c>
      <c r="G3963" s="39">
        <v>5692.86</v>
      </c>
      <c r="H3963" s="39">
        <f t="shared" si="389"/>
        <v>3</v>
      </c>
      <c r="I3963" s="39">
        <f t="shared" si="390"/>
        <v>0</v>
      </c>
      <c r="K3963" s="40"/>
      <c r="Q3963" s="40">
        <v>38868</v>
      </c>
      <c r="R3963" s="39">
        <v>5692.86</v>
      </c>
      <c r="S3963" s="39">
        <f t="shared" si="391"/>
        <v>5</v>
      </c>
      <c r="T3963" s="39">
        <f t="shared" si="392"/>
        <v>5692.86</v>
      </c>
      <c r="U3963" s="39">
        <f t="shared" si="393"/>
        <v>5692.86</v>
      </c>
      <c r="V3963" s="40"/>
    </row>
    <row r="3964" spans="2:22" x14ac:dyDescent="0.35">
      <c r="B3964" s="40">
        <v>38869</v>
      </c>
      <c r="C3964" s="39">
        <v>5707.59</v>
      </c>
      <c r="D3964" s="219">
        <f t="shared" si="394"/>
        <v>2.5841099600073668E-3</v>
      </c>
      <c r="F3964" s="40">
        <v>38869</v>
      </c>
      <c r="G3964" s="39">
        <v>5707.59</v>
      </c>
      <c r="H3964" s="39">
        <f t="shared" si="389"/>
        <v>4</v>
      </c>
      <c r="I3964" s="39">
        <f t="shared" si="390"/>
        <v>0</v>
      </c>
      <c r="K3964" s="40"/>
      <c r="Q3964" s="40">
        <v>38869</v>
      </c>
      <c r="R3964" s="39">
        <v>5707.59</v>
      </c>
      <c r="S3964" s="39">
        <f t="shared" si="391"/>
        <v>6</v>
      </c>
      <c r="T3964" s="39">
        <f t="shared" si="392"/>
        <v>0</v>
      </c>
      <c r="U3964" s="39">
        <f t="shared" si="393"/>
        <v>0</v>
      </c>
      <c r="V3964" s="40"/>
    </row>
    <row r="3965" spans="2:22" x14ac:dyDescent="0.35">
      <c r="B3965" s="40">
        <v>38870</v>
      </c>
      <c r="C3965" s="39">
        <v>5687.04</v>
      </c>
      <c r="D3965" s="219">
        <f t="shared" si="394"/>
        <v>-3.6069661375526516E-3</v>
      </c>
      <c r="F3965" s="40">
        <v>38870</v>
      </c>
      <c r="G3965" s="39">
        <v>5687.04</v>
      </c>
      <c r="H3965" s="39">
        <f t="shared" si="389"/>
        <v>5</v>
      </c>
      <c r="I3965" s="39">
        <f t="shared" si="390"/>
        <v>5687.04</v>
      </c>
      <c r="K3965" s="40"/>
      <c r="Q3965" s="40">
        <v>38870</v>
      </c>
      <c r="R3965" s="39">
        <v>5687.04</v>
      </c>
      <c r="S3965" s="39">
        <f t="shared" si="391"/>
        <v>6</v>
      </c>
      <c r="T3965" s="39">
        <f t="shared" si="392"/>
        <v>0</v>
      </c>
      <c r="U3965" s="39">
        <f t="shared" si="393"/>
        <v>0</v>
      </c>
      <c r="V3965" s="40"/>
    </row>
    <row r="3966" spans="2:22" x14ac:dyDescent="0.35">
      <c r="B3966" s="40">
        <v>38873</v>
      </c>
      <c r="C3966" s="39">
        <v>5621.19</v>
      </c>
      <c r="D3966" s="219">
        <f t="shared" si="394"/>
        <v>-1.1646516622004116E-2</v>
      </c>
      <c r="F3966" s="40">
        <v>38873</v>
      </c>
      <c r="G3966" s="39">
        <v>5621.19</v>
      </c>
      <c r="H3966" s="39">
        <f t="shared" si="389"/>
        <v>1</v>
      </c>
      <c r="I3966" s="39">
        <f t="shared" si="390"/>
        <v>0</v>
      </c>
      <c r="K3966" s="40"/>
      <c r="Q3966" s="40">
        <v>38873</v>
      </c>
      <c r="R3966" s="39">
        <v>5621.19</v>
      </c>
      <c r="S3966" s="39">
        <f t="shared" si="391"/>
        <v>6</v>
      </c>
      <c r="T3966" s="39">
        <f t="shared" si="392"/>
        <v>0</v>
      </c>
      <c r="U3966" s="39">
        <f t="shared" si="393"/>
        <v>0</v>
      </c>
      <c r="V3966" s="40"/>
    </row>
    <row r="3967" spans="2:22" x14ac:dyDescent="0.35">
      <c r="B3967" s="40">
        <v>38874</v>
      </c>
      <c r="C3967" s="39">
        <v>5502.81</v>
      </c>
      <c r="D3967" s="219">
        <f t="shared" si="394"/>
        <v>-2.1284514403571438E-2</v>
      </c>
      <c r="F3967" s="40">
        <v>38874</v>
      </c>
      <c r="G3967" s="39">
        <v>5502.81</v>
      </c>
      <c r="H3967" s="39">
        <f t="shared" si="389"/>
        <v>2</v>
      </c>
      <c r="I3967" s="39">
        <f t="shared" si="390"/>
        <v>0</v>
      </c>
      <c r="K3967" s="40"/>
      <c r="Q3967" s="40">
        <v>38874</v>
      </c>
      <c r="R3967" s="39">
        <v>5502.81</v>
      </c>
      <c r="S3967" s="39">
        <f t="shared" si="391"/>
        <v>6</v>
      </c>
      <c r="T3967" s="39">
        <f t="shared" si="392"/>
        <v>0</v>
      </c>
      <c r="U3967" s="39">
        <f t="shared" si="393"/>
        <v>0</v>
      </c>
      <c r="V3967" s="40"/>
    </row>
    <row r="3968" spans="2:22" x14ac:dyDescent="0.35">
      <c r="B3968" s="40">
        <v>38875</v>
      </c>
      <c r="C3968" s="39">
        <v>5543.93</v>
      </c>
      <c r="D3968" s="219">
        <f t="shared" si="394"/>
        <v>7.4447646855423334E-3</v>
      </c>
      <c r="F3968" s="40">
        <v>38875</v>
      </c>
      <c r="G3968" s="39">
        <v>5543.93</v>
      </c>
      <c r="H3968" s="39">
        <f t="shared" si="389"/>
        <v>3</v>
      </c>
      <c r="I3968" s="39">
        <f t="shared" si="390"/>
        <v>0</v>
      </c>
      <c r="K3968" s="40"/>
      <c r="Q3968" s="40">
        <v>38875</v>
      </c>
      <c r="R3968" s="39">
        <v>5543.93</v>
      </c>
      <c r="S3968" s="39">
        <f t="shared" si="391"/>
        <v>6</v>
      </c>
      <c r="T3968" s="39">
        <f t="shared" si="392"/>
        <v>0</v>
      </c>
      <c r="U3968" s="39">
        <f t="shared" si="393"/>
        <v>0</v>
      </c>
      <c r="V3968" s="40"/>
    </row>
    <row r="3969" spans="2:22" x14ac:dyDescent="0.35">
      <c r="B3969" s="40">
        <v>38876</v>
      </c>
      <c r="C3969" s="39">
        <v>5383.28</v>
      </c>
      <c r="D3969" s="219">
        <f t="shared" si="394"/>
        <v>-2.9405781714526999E-2</v>
      </c>
      <c r="F3969" s="40">
        <v>38876</v>
      </c>
      <c r="G3969" s="39">
        <v>5383.28</v>
      </c>
      <c r="H3969" s="39">
        <f t="shared" si="389"/>
        <v>4</v>
      </c>
      <c r="I3969" s="39">
        <f t="shared" si="390"/>
        <v>0</v>
      </c>
      <c r="K3969" s="40"/>
      <c r="Q3969" s="40">
        <v>38876</v>
      </c>
      <c r="R3969" s="39">
        <v>5383.28</v>
      </c>
      <c r="S3969" s="39">
        <f t="shared" si="391"/>
        <v>6</v>
      </c>
      <c r="T3969" s="39">
        <f t="shared" si="392"/>
        <v>0</v>
      </c>
      <c r="U3969" s="39">
        <f t="shared" si="393"/>
        <v>0</v>
      </c>
      <c r="V3969" s="40"/>
    </row>
    <row r="3970" spans="2:22" x14ac:dyDescent="0.35">
      <c r="B3970" s="40">
        <v>38877</v>
      </c>
      <c r="C3970" s="39">
        <v>5464.08</v>
      </c>
      <c r="D3970" s="219">
        <f t="shared" si="394"/>
        <v>1.4897909619002824E-2</v>
      </c>
      <c r="F3970" s="40">
        <v>38877</v>
      </c>
      <c r="G3970" s="39">
        <v>5464.08</v>
      </c>
      <c r="H3970" s="39">
        <f t="shared" si="389"/>
        <v>5</v>
      </c>
      <c r="I3970" s="39">
        <f t="shared" si="390"/>
        <v>5464.08</v>
      </c>
      <c r="K3970" s="40"/>
      <c r="Q3970" s="40">
        <v>38877</v>
      </c>
      <c r="R3970" s="39">
        <v>5464.08</v>
      </c>
      <c r="S3970" s="39">
        <f t="shared" si="391"/>
        <v>6</v>
      </c>
      <c r="T3970" s="39">
        <f t="shared" si="392"/>
        <v>0</v>
      </c>
      <c r="U3970" s="39">
        <f t="shared" si="393"/>
        <v>0</v>
      </c>
      <c r="V3970" s="40"/>
    </row>
    <row r="3971" spans="2:22" x14ac:dyDescent="0.35">
      <c r="B3971" s="40">
        <v>38880</v>
      </c>
      <c r="C3971" s="39">
        <v>5395.55</v>
      </c>
      <c r="D3971" s="219">
        <f t="shared" si="394"/>
        <v>-1.2621223689282523E-2</v>
      </c>
      <c r="F3971" s="40">
        <v>38880</v>
      </c>
      <c r="G3971" s="39">
        <v>5395.55</v>
      </c>
      <c r="H3971" s="39">
        <f t="shared" si="389"/>
        <v>1</v>
      </c>
      <c r="I3971" s="39">
        <f t="shared" si="390"/>
        <v>0</v>
      </c>
      <c r="K3971" s="40"/>
      <c r="Q3971" s="40">
        <v>38880</v>
      </c>
      <c r="R3971" s="39">
        <v>5395.55</v>
      </c>
      <c r="S3971" s="39">
        <f t="shared" si="391"/>
        <v>6</v>
      </c>
      <c r="T3971" s="39">
        <f t="shared" si="392"/>
        <v>0</v>
      </c>
      <c r="U3971" s="39">
        <f t="shared" si="393"/>
        <v>0</v>
      </c>
      <c r="V3971" s="40"/>
    </row>
    <row r="3972" spans="2:22" x14ac:dyDescent="0.35">
      <c r="B3972" s="40">
        <v>38881</v>
      </c>
      <c r="C3972" s="39">
        <v>5292.14</v>
      </c>
      <c r="D3972" s="219">
        <f t="shared" si="394"/>
        <v>-1.9351838831220873E-2</v>
      </c>
      <c r="F3972" s="40">
        <v>38881</v>
      </c>
      <c r="G3972" s="39">
        <v>5292.14</v>
      </c>
      <c r="H3972" s="39">
        <f t="shared" si="389"/>
        <v>2</v>
      </c>
      <c r="I3972" s="39">
        <f t="shared" si="390"/>
        <v>0</v>
      </c>
      <c r="K3972" s="40"/>
      <c r="Q3972" s="40">
        <v>38881</v>
      </c>
      <c r="R3972" s="39">
        <v>5292.14</v>
      </c>
      <c r="S3972" s="39">
        <f t="shared" si="391"/>
        <v>6</v>
      </c>
      <c r="T3972" s="39">
        <f t="shared" si="392"/>
        <v>0</v>
      </c>
      <c r="U3972" s="39">
        <f t="shared" si="393"/>
        <v>0</v>
      </c>
      <c r="V3972" s="40"/>
    </row>
    <row r="3973" spans="2:22" x14ac:dyDescent="0.35">
      <c r="B3973" s="40">
        <v>38882</v>
      </c>
      <c r="C3973" s="39">
        <v>5305.99</v>
      </c>
      <c r="D3973" s="219">
        <f t="shared" si="394"/>
        <v>2.6136701256589657E-3</v>
      </c>
      <c r="F3973" s="40">
        <v>38882</v>
      </c>
      <c r="G3973" s="39">
        <v>5305.99</v>
      </c>
      <c r="H3973" s="39">
        <f t="shared" si="389"/>
        <v>3</v>
      </c>
      <c r="I3973" s="39">
        <f t="shared" si="390"/>
        <v>0</v>
      </c>
      <c r="K3973" s="40"/>
      <c r="Q3973" s="40">
        <v>38882</v>
      </c>
      <c r="R3973" s="39">
        <v>5305.99</v>
      </c>
      <c r="S3973" s="39">
        <f t="shared" si="391"/>
        <v>6</v>
      </c>
      <c r="T3973" s="39">
        <f t="shared" si="392"/>
        <v>0</v>
      </c>
      <c r="U3973" s="39">
        <f t="shared" si="393"/>
        <v>0</v>
      </c>
      <c r="V3973" s="40"/>
    </row>
    <row r="3974" spans="2:22" x14ac:dyDescent="0.35">
      <c r="B3974" s="40">
        <v>38883</v>
      </c>
      <c r="C3974" s="39">
        <v>5422.22</v>
      </c>
      <c r="D3974" s="219">
        <f t="shared" si="394"/>
        <v>2.1668954631837427E-2</v>
      </c>
      <c r="F3974" s="40">
        <v>38883</v>
      </c>
      <c r="G3974" s="39">
        <v>5422.22</v>
      </c>
      <c r="H3974" s="39">
        <f t="shared" si="389"/>
        <v>4</v>
      </c>
      <c r="I3974" s="39">
        <f t="shared" si="390"/>
        <v>0</v>
      </c>
      <c r="K3974" s="40"/>
      <c r="Q3974" s="40">
        <v>38883</v>
      </c>
      <c r="R3974" s="39">
        <v>5422.22</v>
      </c>
      <c r="S3974" s="39">
        <f t="shared" si="391"/>
        <v>6</v>
      </c>
      <c r="T3974" s="39">
        <f t="shared" si="392"/>
        <v>0</v>
      </c>
      <c r="U3974" s="39">
        <f t="shared" si="393"/>
        <v>0</v>
      </c>
      <c r="V3974" s="40"/>
    </row>
    <row r="3975" spans="2:22" x14ac:dyDescent="0.35">
      <c r="B3975" s="40">
        <v>38884</v>
      </c>
      <c r="C3975" s="39">
        <v>5376.01</v>
      </c>
      <c r="D3975" s="219">
        <f t="shared" si="394"/>
        <v>-8.5588623485665736E-3</v>
      </c>
      <c r="F3975" s="40">
        <v>38884</v>
      </c>
      <c r="G3975" s="39">
        <v>5376.01</v>
      </c>
      <c r="H3975" s="39">
        <f t="shared" si="389"/>
        <v>5</v>
      </c>
      <c r="I3975" s="39">
        <f t="shared" si="390"/>
        <v>5376.01</v>
      </c>
      <c r="K3975" s="40"/>
      <c r="Q3975" s="40">
        <v>38884</v>
      </c>
      <c r="R3975" s="39">
        <v>5376.01</v>
      </c>
      <c r="S3975" s="39">
        <f t="shared" si="391"/>
        <v>6</v>
      </c>
      <c r="T3975" s="39">
        <f t="shared" si="392"/>
        <v>0</v>
      </c>
      <c r="U3975" s="39">
        <f t="shared" si="393"/>
        <v>0</v>
      </c>
      <c r="V3975" s="40"/>
    </row>
    <row r="3976" spans="2:22" x14ac:dyDescent="0.35">
      <c r="B3976" s="40">
        <v>38887</v>
      </c>
      <c r="C3976" s="39">
        <v>5439.23</v>
      </c>
      <c r="D3976" s="219">
        <f t="shared" si="394"/>
        <v>1.1691043393724013E-2</v>
      </c>
      <c r="F3976" s="40">
        <v>38887</v>
      </c>
      <c r="G3976" s="39">
        <v>5439.23</v>
      </c>
      <c r="H3976" s="39">
        <f t="shared" si="389"/>
        <v>1</v>
      </c>
      <c r="I3976" s="39">
        <f t="shared" si="390"/>
        <v>0</v>
      </c>
      <c r="K3976" s="40"/>
      <c r="Q3976" s="40">
        <v>38887</v>
      </c>
      <c r="R3976" s="39">
        <v>5439.23</v>
      </c>
      <c r="S3976" s="39">
        <f t="shared" si="391"/>
        <v>6</v>
      </c>
      <c r="T3976" s="39">
        <f t="shared" si="392"/>
        <v>0</v>
      </c>
      <c r="U3976" s="39">
        <f t="shared" si="393"/>
        <v>0</v>
      </c>
      <c r="V3976" s="40"/>
    </row>
    <row r="3977" spans="2:22" x14ac:dyDescent="0.35">
      <c r="B3977" s="40">
        <v>38888</v>
      </c>
      <c r="C3977" s="39">
        <v>5493.61</v>
      </c>
      <c r="D3977" s="219">
        <f t="shared" si="394"/>
        <v>9.9480918907680037E-3</v>
      </c>
      <c r="F3977" s="40">
        <v>38888</v>
      </c>
      <c r="G3977" s="39">
        <v>5493.61</v>
      </c>
      <c r="H3977" s="39">
        <f t="shared" si="389"/>
        <v>2</v>
      </c>
      <c r="I3977" s="39">
        <f t="shared" si="390"/>
        <v>0</v>
      </c>
      <c r="K3977" s="40"/>
      <c r="Q3977" s="40">
        <v>38888</v>
      </c>
      <c r="R3977" s="39">
        <v>5493.61</v>
      </c>
      <c r="S3977" s="39">
        <f t="shared" si="391"/>
        <v>6</v>
      </c>
      <c r="T3977" s="39">
        <f t="shared" si="392"/>
        <v>0</v>
      </c>
      <c r="U3977" s="39">
        <f t="shared" si="393"/>
        <v>0</v>
      </c>
      <c r="V3977" s="40"/>
    </row>
    <row r="3978" spans="2:22" x14ac:dyDescent="0.35">
      <c r="B3978" s="40">
        <v>38889</v>
      </c>
      <c r="C3978" s="39">
        <v>5503.41</v>
      </c>
      <c r="D3978" s="219">
        <f t="shared" si="394"/>
        <v>1.7823014951727366E-3</v>
      </c>
      <c r="F3978" s="40">
        <v>38889</v>
      </c>
      <c r="G3978" s="39">
        <v>5503.41</v>
      </c>
      <c r="H3978" s="39">
        <f t="shared" si="389"/>
        <v>3</v>
      </c>
      <c r="I3978" s="39">
        <f t="shared" si="390"/>
        <v>0</v>
      </c>
      <c r="K3978" s="40"/>
      <c r="Q3978" s="40">
        <v>38889</v>
      </c>
      <c r="R3978" s="39">
        <v>5503.41</v>
      </c>
      <c r="S3978" s="39">
        <f t="shared" si="391"/>
        <v>6</v>
      </c>
      <c r="T3978" s="39">
        <f t="shared" si="392"/>
        <v>0</v>
      </c>
      <c r="U3978" s="39">
        <f t="shared" si="393"/>
        <v>0</v>
      </c>
      <c r="V3978" s="40"/>
    </row>
    <row r="3979" spans="2:22" x14ac:dyDescent="0.35">
      <c r="B3979" s="40">
        <v>38890</v>
      </c>
      <c r="C3979" s="39">
        <v>5533.42</v>
      </c>
      <c r="D3979" s="219">
        <f t="shared" si="394"/>
        <v>5.4381691045013473E-3</v>
      </c>
      <c r="F3979" s="40">
        <v>38890</v>
      </c>
      <c r="G3979" s="39">
        <v>5533.42</v>
      </c>
      <c r="H3979" s="39">
        <f t="shared" si="389"/>
        <v>4</v>
      </c>
      <c r="I3979" s="39">
        <f t="shared" si="390"/>
        <v>0</v>
      </c>
      <c r="K3979" s="40"/>
      <c r="Q3979" s="40">
        <v>38890</v>
      </c>
      <c r="R3979" s="39">
        <v>5533.42</v>
      </c>
      <c r="S3979" s="39">
        <f t="shared" si="391"/>
        <v>6</v>
      </c>
      <c r="T3979" s="39">
        <f t="shared" si="392"/>
        <v>0</v>
      </c>
      <c r="U3979" s="39">
        <f t="shared" si="393"/>
        <v>0</v>
      </c>
      <c r="V3979" s="40"/>
    </row>
    <row r="3980" spans="2:22" x14ac:dyDescent="0.35">
      <c r="B3980" s="40">
        <v>38891</v>
      </c>
      <c r="C3980" s="39">
        <v>5529.74</v>
      </c>
      <c r="D3980" s="219">
        <f t="shared" si="394"/>
        <v>-6.6527106825292517E-4</v>
      </c>
      <c r="F3980" s="40">
        <v>38891</v>
      </c>
      <c r="G3980" s="39">
        <v>5529.74</v>
      </c>
      <c r="H3980" s="39">
        <f t="shared" si="389"/>
        <v>5</v>
      </c>
      <c r="I3980" s="39">
        <f t="shared" si="390"/>
        <v>5529.74</v>
      </c>
      <c r="K3980" s="40"/>
      <c r="Q3980" s="40">
        <v>38891</v>
      </c>
      <c r="R3980" s="39">
        <v>5529.74</v>
      </c>
      <c r="S3980" s="39">
        <f t="shared" si="391"/>
        <v>6</v>
      </c>
      <c r="T3980" s="39">
        <f t="shared" si="392"/>
        <v>0</v>
      </c>
      <c r="U3980" s="39">
        <f t="shared" si="393"/>
        <v>0</v>
      </c>
      <c r="V3980" s="40"/>
    </row>
    <row r="3981" spans="2:22" x14ac:dyDescent="0.35">
      <c r="B3981" s="40">
        <v>38894</v>
      </c>
      <c r="C3981" s="39">
        <v>5514.63</v>
      </c>
      <c r="D3981" s="219">
        <f t="shared" si="394"/>
        <v>-2.7362374544448193E-3</v>
      </c>
      <c r="F3981" s="40">
        <v>38894</v>
      </c>
      <c r="G3981" s="39">
        <v>5514.63</v>
      </c>
      <c r="H3981" s="39">
        <f t="shared" si="389"/>
        <v>1</v>
      </c>
      <c r="I3981" s="39">
        <f t="shared" si="390"/>
        <v>0</v>
      </c>
      <c r="K3981" s="40"/>
      <c r="Q3981" s="40">
        <v>38894</v>
      </c>
      <c r="R3981" s="39">
        <v>5514.63</v>
      </c>
      <c r="S3981" s="39">
        <f t="shared" si="391"/>
        <v>6</v>
      </c>
      <c r="T3981" s="39">
        <f t="shared" si="392"/>
        <v>0</v>
      </c>
      <c r="U3981" s="39">
        <f t="shared" si="393"/>
        <v>0</v>
      </c>
      <c r="V3981" s="40"/>
    </row>
    <row r="3982" spans="2:22" x14ac:dyDescent="0.35">
      <c r="B3982" s="40">
        <v>38895</v>
      </c>
      <c r="C3982" s="39">
        <v>5459.15</v>
      </c>
      <c r="D3982" s="219">
        <f t="shared" si="394"/>
        <v>-1.011146071752256E-2</v>
      </c>
      <c r="F3982" s="40">
        <v>38895</v>
      </c>
      <c r="G3982" s="39">
        <v>5459.15</v>
      </c>
      <c r="H3982" s="39">
        <f t="shared" si="389"/>
        <v>2</v>
      </c>
      <c r="I3982" s="39">
        <f t="shared" si="390"/>
        <v>0</v>
      </c>
      <c r="K3982" s="40"/>
      <c r="Q3982" s="40">
        <v>38895</v>
      </c>
      <c r="R3982" s="39">
        <v>5459.15</v>
      </c>
      <c r="S3982" s="39">
        <f t="shared" si="391"/>
        <v>6</v>
      </c>
      <c r="T3982" s="39">
        <f t="shared" si="392"/>
        <v>0</v>
      </c>
      <c r="U3982" s="39">
        <f t="shared" si="393"/>
        <v>0</v>
      </c>
      <c r="V3982" s="40"/>
    </row>
    <row r="3983" spans="2:22" x14ac:dyDescent="0.35">
      <c r="B3983" s="40">
        <v>38896</v>
      </c>
      <c r="C3983" s="39">
        <v>5456.87</v>
      </c>
      <c r="D3983" s="219">
        <f t="shared" si="394"/>
        <v>-4.1773467493738718E-4</v>
      </c>
      <c r="F3983" s="40">
        <v>38896</v>
      </c>
      <c r="G3983" s="39">
        <v>5456.87</v>
      </c>
      <c r="H3983" s="39">
        <f t="shared" si="389"/>
        <v>3</v>
      </c>
      <c r="I3983" s="39">
        <f t="shared" si="390"/>
        <v>0</v>
      </c>
      <c r="K3983" s="40"/>
      <c r="Q3983" s="40">
        <v>38896</v>
      </c>
      <c r="R3983" s="39">
        <v>5456.87</v>
      </c>
      <c r="S3983" s="39">
        <f t="shared" si="391"/>
        <v>6</v>
      </c>
      <c r="T3983" s="39">
        <f t="shared" si="392"/>
        <v>0</v>
      </c>
      <c r="U3983" s="39">
        <f t="shared" si="393"/>
        <v>0</v>
      </c>
      <c r="V3983" s="40"/>
    </row>
    <row r="3984" spans="2:22" x14ac:dyDescent="0.35">
      <c r="B3984" s="40">
        <v>38897</v>
      </c>
      <c r="C3984" s="39">
        <v>5581.67</v>
      </c>
      <c r="D3984" s="219">
        <f t="shared" si="394"/>
        <v>2.2612649463897499E-2</v>
      </c>
      <c r="F3984" s="40">
        <v>38897</v>
      </c>
      <c r="G3984" s="39">
        <v>5581.67</v>
      </c>
      <c r="H3984" s="39">
        <f t="shared" si="389"/>
        <v>4</v>
      </c>
      <c r="I3984" s="39">
        <f t="shared" si="390"/>
        <v>0</v>
      </c>
      <c r="K3984" s="40"/>
      <c r="Q3984" s="40">
        <v>38897</v>
      </c>
      <c r="R3984" s="39">
        <v>5581.67</v>
      </c>
      <c r="S3984" s="39">
        <f t="shared" si="391"/>
        <v>6</v>
      </c>
      <c r="T3984" s="39">
        <f t="shared" si="392"/>
        <v>0</v>
      </c>
      <c r="U3984" s="39">
        <f t="shared" si="393"/>
        <v>0</v>
      </c>
      <c r="V3984" s="40"/>
    </row>
    <row r="3985" spans="2:22" x14ac:dyDescent="0.35">
      <c r="B3985" s="40">
        <v>38898</v>
      </c>
      <c r="C3985" s="39">
        <v>5683.31</v>
      </c>
      <c r="D3985" s="219">
        <f t="shared" si="394"/>
        <v>1.8045794710068938E-2</v>
      </c>
      <c r="F3985" s="40">
        <v>38898</v>
      </c>
      <c r="G3985" s="39">
        <v>5683.31</v>
      </c>
      <c r="H3985" s="39">
        <f t="shared" si="389"/>
        <v>5</v>
      </c>
      <c r="I3985" s="39">
        <f t="shared" si="390"/>
        <v>5683.31</v>
      </c>
      <c r="K3985" s="40"/>
      <c r="Q3985" s="40">
        <v>38898</v>
      </c>
      <c r="R3985" s="39">
        <v>5683.31</v>
      </c>
      <c r="S3985" s="39">
        <f t="shared" si="391"/>
        <v>6</v>
      </c>
      <c r="T3985" s="39">
        <f t="shared" si="392"/>
        <v>5683.31</v>
      </c>
      <c r="U3985" s="39">
        <f t="shared" si="393"/>
        <v>5683.31</v>
      </c>
      <c r="V3985" s="40"/>
    </row>
    <row r="3986" spans="2:22" x14ac:dyDescent="0.35">
      <c r="B3986" s="40">
        <v>38901</v>
      </c>
      <c r="C3986" s="39">
        <v>5712.69</v>
      </c>
      <c r="D3986" s="219">
        <f t="shared" si="394"/>
        <v>5.1562065799406163E-3</v>
      </c>
      <c r="F3986" s="40">
        <v>38901</v>
      </c>
      <c r="G3986" s="39">
        <v>5712.69</v>
      </c>
      <c r="H3986" s="39">
        <f t="shared" si="389"/>
        <v>1</v>
      </c>
      <c r="I3986" s="39">
        <f t="shared" si="390"/>
        <v>0</v>
      </c>
      <c r="K3986" s="40"/>
      <c r="Q3986" s="40">
        <v>38901</v>
      </c>
      <c r="R3986" s="39">
        <v>5712.69</v>
      </c>
      <c r="S3986" s="39">
        <f t="shared" si="391"/>
        <v>7</v>
      </c>
      <c r="T3986" s="39">
        <f t="shared" si="392"/>
        <v>0</v>
      </c>
      <c r="U3986" s="39">
        <f t="shared" si="393"/>
        <v>0</v>
      </c>
      <c r="V3986" s="40"/>
    </row>
    <row r="3987" spans="2:22" x14ac:dyDescent="0.35">
      <c r="B3987" s="40">
        <v>38902</v>
      </c>
      <c r="C3987" s="39">
        <v>5729.01</v>
      </c>
      <c r="D3987" s="219">
        <f t="shared" si="394"/>
        <v>2.8527248691596614E-3</v>
      </c>
      <c r="F3987" s="40">
        <v>38902</v>
      </c>
      <c r="G3987" s="39">
        <v>5729.01</v>
      </c>
      <c r="H3987" s="39">
        <f t="shared" si="389"/>
        <v>2</v>
      </c>
      <c r="I3987" s="39">
        <f t="shared" si="390"/>
        <v>0</v>
      </c>
      <c r="K3987" s="40"/>
      <c r="Q3987" s="40">
        <v>38902</v>
      </c>
      <c r="R3987" s="39">
        <v>5729.01</v>
      </c>
      <c r="S3987" s="39">
        <f t="shared" si="391"/>
        <v>7</v>
      </c>
      <c r="T3987" s="39">
        <f t="shared" si="392"/>
        <v>0</v>
      </c>
      <c r="U3987" s="39">
        <f t="shared" si="393"/>
        <v>0</v>
      </c>
      <c r="V3987" s="40"/>
    </row>
    <row r="3988" spans="2:22" x14ac:dyDescent="0.35">
      <c r="B3988" s="40">
        <v>38903</v>
      </c>
      <c r="C3988" s="39">
        <v>5625.63</v>
      </c>
      <c r="D3988" s="219">
        <f t="shared" si="394"/>
        <v>-1.8209799111289109E-2</v>
      </c>
      <c r="F3988" s="40">
        <v>38903</v>
      </c>
      <c r="G3988" s="39">
        <v>5625.63</v>
      </c>
      <c r="H3988" s="39">
        <f t="shared" si="389"/>
        <v>3</v>
      </c>
      <c r="I3988" s="39">
        <f t="shared" si="390"/>
        <v>0</v>
      </c>
      <c r="K3988" s="40"/>
      <c r="Q3988" s="40">
        <v>38903</v>
      </c>
      <c r="R3988" s="39">
        <v>5625.63</v>
      </c>
      <c r="S3988" s="39">
        <f t="shared" si="391"/>
        <v>7</v>
      </c>
      <c r="T3988" s="39">
        <f t="shared" si="392"/>
        <v>0</v>
      </c>
      <c r="U3988" s="39">
        <f t="shared" si="393"/>
        <v>0</v>
      </c>
      <c r="V3988" s="40"/>
    </row>
    <row r="3989" spans="2:22" x14ac:dyDescent="0.35">
      <c r="B3989" s="40">
        <v>38904</v>
      </c>
      <c r="C3989" s="39">
        <v>5695.47</v>
      </c>
      <c r="D3989" s="219">
        <f t="shared" si="394"/>
        <v>1.2338180208702962E-2</v>
      </c>
      <c r="F3989" s="40">
        <v>38904</v>
      </c>
      <c r="G3989" s="39">
        <v>5695.47</v>
      </c>
      <c r="H3989" s="39">
        <f t="shared" si="389"/>
        <v>4</v>
      </c>
      <c r="I3989" s="39">
        <f t="shared" si="390"/>
        <v>0</v>
      </c>
      <c r="K3989" s="40"/>
      <c r="Q3989" s="40">
        <v>38904</v>
      </c>
      <c r="R3989" s="39">
        <v>5695.47</v>
      </c>
      <c r="S3989" s="39">
        <f t="shared" si="391"/>
        <v>7</v>
      </c>
      <c r="T3989" s="39">
        <f t="shared" si="392"/>
        <v>0</v>
      </c>
      <c r="U3989" s="39">
        <f t="shared" si="393"/>
        <v>0</v>
      </c>
      <c r="V3989" s="40"/>
    </row>
    <row r="3990" spans="2:22" x14ac:dyDescent="0.35">
      <c r="B3990" s="40">
        <v>38905</v>
      </c>
      <c r="C3990" s="39">
        <v>5681.85</v>
      </c>
      <c r="D3990" s="219">
        <f t="shared" si="394"/>
        <v>-2.3942380993496127E-3</v>
      </c>
      <c r="F3990" s="40">
        <v>38905</v>
      </c>
      <c r="G3990" s="39">
        <v>5681.85</v>
      </c>
      <c r="H3990" s="39">
        <f t="shared" si="389"/>
        <v>5</v>
      </c>
      <c r="I3990" s="39">
        <f t="shared" si="390"/>
        <v>5681.85</v>
      </c>
      <c r="K3990" s="40"/>
      <c r="Q3990" s="40">
        <v>38905</v>
      </c>
      <c r="R3990" s="39">
        <v>5681.85</v>
      </c>
      <c r="S3990" s="39">
        <f t="shared" si="391"/>
        <v>7</v>
      </c>
      <c r="T3990" s="39">
        <f t="shared" si="392"/>
        <v>0</v>
      </c>
      <c r="U3990" s="39">
        <f t="shared" si="393"/>
        <v>0</v>
      </c>
      <c r="V3990" s="40"/>
    </row>
    <row r="3991" spans="2:22" x14ac:dyDescent="0.35">
      <c r="B3991" s="40">
        <v>38908</v>
      </c>
      <c r="C3991" s="39">
        <v>5706.32</v>
      </c>
      <c r="D3991" s="219">
        <f t="shared" si="394"/>
        <v>4.2974486084153968E-3</v>
      </c>
      <c r="F3991" s="40">
        <v>38908</v>
      </c>
      <c r="G3991" s="39">
        <v>5706.32</v>
      </c>
      <c r="H3991" s="39">
        <f t="shared" si="389"/>
        <v>1</v>
      </c>
      <c r="I3991" s="39">
        <f t="shared" si="390"/>
        <v>0</v>
      </c>
      <c r="K3991" s="40"/>
      <c r="Q3991" s="40">
        <v>38908</v>
      </c>
      <c r="R3991" s="39">
        <v>5706.32</v>
      </c>
      <c r="S3991" s="39">
        <f t="shared" si="391"/>
        <v>7</v>
      </c>
      <c r="T3991" s="39">
        <f t="shared" si="392"/>
        <v>0</v>
      </c>
      <c r="U3991" s="39">
        <f t="shared" si="393"/>
        <v>0</v>
      </c>
      <c r="V3991" s="40"/>
    </row>
    <row r="3992" spans="2:22" x14ac:dyDescent="0.35">
      <c r="B3992" s="40">
        <v>38909</v>
      </c>
      <c r="C3992" s="39">
        <v>5616.04</v>
      </c>
      <c r="D3992" s="219">
        <f t="shared" si="394"/>
        <v>-1.5947543331453255E-2</v>
      </c>
      <c r="F3992" s="40">
        <v>38909</v>
      </c>
      <c r="G3992" s="39">
        <v>5616.04</v>
      </c>
      <c r="H3992" s="39">
        <f t="shared" si="389"/>
        <v>2</v>
      </c>
      <c r="I3992" s="39">
        <f t="shared" si="390"/>
        <v>0</v>
      </c>
      <c r="K3992" s="40"/>
      <c r="Q3992" s="40">
        <v>38909</v>
      </c>
      <c r="R3992" s="39">
        <v>5616.04</v>
      </c>
      <c r="S3992" s="39">
        <f t="shared" si="391"/>
        <v>7</v>
      </c>
      <c r="T3992" s="39">
        <f t="shared" si="392"/>
        <v>0</v>
      </c>
      <c r="U3992" s="39">
        <f t="shared" si="393"/>
        <v>0</v>
      </c>
      <c r="V3992" s="40"/>
    </row>
    <row r="3993" spans="2:22" x14ac:dyDescent="0.35">
      <c r="B3993" s="40">
        <v>38910</v>
      </c>
      <c r="C3993" s="39">
        <v>5637.82</v>
      </c>
      <c r="D3993" s="219">
        <f t="shared" si="394"/>
        <v>3.8706767620310025E-3</v>
      </c>
      <c r="F3993" s="40">
        <v>38910</v>
      </c>
      <c r="G3993" s="39">
        <v>5637.82</v>
      </c>
      <c r="H3993" s="39">
        <f t="shared" si="389"/>
        <v>3</v>
      </c>
      <c r="I3993" s="39">
        <f t="shared" si="390"/>
        <v>0</v>
      </c>
      <c r="K3993" s="40"/>
      <c r="Q3993" s="40">
        <v>38910</v>
      </c>
      <c r="R3993" s="39">
        <v>5637.82</v>
      </c>
      <c r="S3993" s="39">
        <f t="shared" si="391"/>
        <v>7</v>
      </c>
      <c r="T3993" s="39">
        <f t="shared" si="392"/>
        <v>0</v>
      </c>
      <c r="U3993" s="39">
        <f t="shared" si="393"/>
        <v>0</v>
      </c>
      <c r="V3993" s="40"/>
    </row>
    <row r="3994" spans="2:22" x14ac:dyDescent="0.35">
      <c r="B3994" s="40">
        <v>38911</v>
      </c>
      <c r="C3994" s="39">
        <v>5527.29</v>
      </c>
      <c r="D3994" s="219">
        <f t="shared" si="394"/>
        <v>-1.979982479843051E-2</v>
      </c>
      <c r="F3994" s="40">
        <v>38911</v>
      </c>
      <c r="G3994" s="39">
        <v>5527.29</v>
      </c>
      <c r="H3994" s="39">
        <f t="shared" si="389"/>
        <v>4</v>
      </c>
      <c r="I3994" s="39">
        <f t="shared" si="390"/>
        <v>0</v>
      </c>
      <c r="K3994" s="40"/>
      <c r="Q3994" s="40">
        <v>38911</v>
      </c>
      <c r="R3994" s="39">
        <v>5527.29</v>
      </c>
      <c r="S3994" s="39">
        <f t="shared" si="391"/>
        <v>7</v>
      </c>
      <c r="T3994" s="39">
        <f t="shared" si="392"/>
        <v>0</v>
      </c>
      <c r="U3994" s="39">
        <f t="shared" si="393"/>
        <v>0</v>
      </c>
      <c r="V3994" s="40"/>
    </row>
    <row r="3995" spans="2:22" x14ac:dyDescent="0.35">
      <c r="B3995" s="40">
        <v>38912</v>
      </c>
      <c r="C3995" s="39">
        <v>5422.22</v>
      </c>
      <c r="D3995" s="219">
        <f t="shared" si="394"/>
        <v>-1.9192315482135357E-2</v>
      </c>
      <c r="F3995" s="40">
        <v>38912</v>
      </c>
      <c r="G3995" s="39">
        <v>5422.22</v>
      </c>
      <c r="H3995" s="39">
        <f t="shared" si="389"/>
        <v>5</v>
      </c>
      <c r="I3995" s="39">
        <f t="shared" si="390"/>
        <v>5422.22</v>
      </c>
      <c r="K3995" s="40"/>
      <c r="Q3995" s="40">
        <v>38912</v>
      </c>
      <c r="R3995" s="39">
        <v>5422.22</v>
      </c>
      <c r="S3995" s="39">
        <f t="shared" si="391"/>
        <v>7</v>
      </c>
      <c r="T3995" s="39">
        <f t="shared" si="392"/>
        <v>0</v>
      </c>
      <c r="U3995" s="39">
        <f t="shared" si="393"/>
        <v>0</v>
      </c>
      <c r="V3995" s="40"/>
    </row>
    <row r="3996" spans="2:22" x14ac:dyDescent="0.35">
      <c r="B3996" s="40">
        <v>38915</v>
      </c>
      <c r="C3996" s="39">
        <v>5416.96</v>
      </c>
      <c r="D3996" s="219">
        <f t="shared" si="394"/>
        <v>-9.7055319920854883E-4</v>
      </c>
      <c r="F3996" s="40">
        <v>38915</v>
      </c>
      <c r="G3996" s="39">
        <v>5416.96</v>
      </c>
      <c r="H3996" s="39">
        <f t="shared" si="389"/>
        <v>1</v>
      </c>
      <c r="I3996" s="39">
        <f t="shared" si="390"/>
        <v>0</v>
      </c>
      <c r="K3996" s="40"/>
      <c r="Q3996" s="40">
        <v>38915</v>
      </c>
      <c r="R3996" s="39">
        <v>5416.96</v>
      </c>
      <c r="S3996" s="39">
        <f t="shared" si="391"/>
        <v>7</v>
      </c>
      <c r="T3996" s="39">
        <f t="shared" si="392"/>
        <v>0</v>
      </c>
      <c r="U3996" s="39">
        <f t="shared" si="393"/>
        <v>0</v>
      </c>
      <c r="V3996" s="40"/>
    </row>
    <row r="3997" spans="2:22" x14ac:dyDescent="0.35">
      <c r="B3997" s="40">
        <v>38916</v>
      </c>
      <c r="C3997" s="39">
        <v>5396.85</v>
      </c>
      <c r="D3997" s="219">
        <f t="shared" si="394"/>
        <v>-3.7193224557115741E-3</v>
      </c>
      <c r="F3997" s="40">
        <v>38916</v>
      </c>
      <c r="G3997" s="39">
        <v>5396.85</v>
      </c>
      <c r="H3997" s="39">
        <f t="shared" si="389"/>
        <v>2</v>
      </c>
      <c r="I3997" s="39">
        <f t="shared" si="390"/>
        <v>0</v>
      </c>
      <c r="K3997" s="40"/>
      <c r="Q3997" s="40">
        <v>38916</v>
      </c>
      <c r="R3997" s="39">
        <v>5396.85</v>
      </c>
      <c r="S3997" s="39">
        <f t="shared" si="391"/>
        <v>7</v>
      </c>
      <c r="T3997" s="39">
        <f t="shared" si="392"/>
        <v>0</v>
      </c>
      <c r="U3997" s="39">
        <f t="shared" si="393"/>
        <v>0</v>
      </c>
      <c r="V3997" s="40"/>
    </row>
    <row r="3998" spans="2:22" x14ac:dyDescent="0.35">
      <c r="B3998" s="40">
        <v>38917</v>
      </c>
      <c r="C3998" s="39">
        <v>5539.29</v>
      </c>
      <c r="D3998" s="219">
        <f t="shared" si="394"/>
        <v>2.6050883669568071E-2</v>
      </c>
      <c r="F3998" s="40">
        <v>38917</v>
      </c>
      <c r="G3998" s="39">
        <v>5539.29</v>
      </c>
      <c r="H3998" s="39">
        <f t="shared" si="389"/>
        <v>3</v>
      </c>
      <c r="I3998" s="39">
        <f t="shared" si="390"/>
        <v>0</v>
      </c>
      <c r="K3998" s="40"/>
      <c r="Q3998" s="40">
        <v>38917</v>
      </c>
      <c r="R3998" s="39">
        <v>5539.29</v>
      </c>
      <c r="S3998" s="39">
        <f t="shared" si="391"/>
        <v>7</v>
      </c>
      <c r="T3998" s="39">
        <f t="shared" si="392"/>
        <v>0</v>
      </c>
      <c r="U3998" s="39">
        <f t="shared" si="393"/>
        <v>0</v>
      </c>
      <c r="V3998" s="40"/>
    </row>
    <row r="3999" spans="2:22" x14ac:dyDescent="0.35">
      <c r="B3999" s="40">
        <v>38918</v>
      </c>
      <c r="C3999" s="39">
        <v>5545.82</v>
      </c>
      <c r="D3999" s="219">
        <f t="shared" si="394"/>
        <v>1.1781571414866416E-3</v>
      </c>
      <c r="F3999" s="40">
        <v>38918</v>
      </c>
      <c r="G3999" s="39">
        <v>5545.82</v>
      </c>
      <c r="H3999" s="39">
        <f t="shared" si="389"/>
        <v>4</v>
      </c>
      <c r="I3999" s="39">
        <f t="shared" si="390"/>
        <v>0</v>
      </c>
      <c r="K3999" s="40"/>
      <c r="Q3999" s="40">
        <v>38918</v>
      </c>
      <c r="R3999" s="39">
        <v>5545.82</v>
      </c>
      <c r="S3999" s="39">
        <f t="shared" si="391"/>
        <v>7</v>
      </c>
      <c r="T3999" s="39">
        <f t="shared" si="392"/>
        <v>0</v>
      </c>
      <c r="U3999" s="39">
        <f t="shared" si="393"/>
        <v>0</v>
      </c>
      <c r="V3999" s="40"/>
    </row>
    <row r="4000" spans="2:22" x14ac:dyDescent="0.35">
      <c r="B4000" s="40">
        <v>38919</v>
      </c>
      <c r="C4000" s="39">
        <v>5451.01</v>
      </c>
      <c r="D4000" s="219">
        <f t="shared" si="394"/>
        <v>-1.7243578236631016E-2</v>
      </c>
      <c r="F4000" s="40">
        <v>38919</v>
      </c>
      <c r="G4000" s="39">
        <v>5451.01</v>
      </c>
      <c r="H4000" s="39">
        <f t="shared" si="389"/>
        <v>5</v>
      </c>
      <c r="I4000" s="39">
        <f t="shared" si="390"/>
        <v>5451.01</v>
      </c>
      <c r="K4000" s="40"/>
      <c r="Q4000" s="40">
        <v>38919</v>
      </c>
      <c r="R4000" s="39">
        <v>5451.01</v>
      </c>
      <c r="S4000" s="39">
        <f t="shared" si="391"/>
        <v>7</v>
      </c>
      <c r="T4000" s="39">
        <f t="shared" si="392"/>
        <v>0</v>
      </c>
      <c r="U4000" s="39">
        <f t="shared" si="393"/>
        <v>0</v>
      </c>
      <c r="V4000" s="40"/>
    </row>
    <row r="4001" spans="2:22" x14ac:dyDescent="0.35">
      <c r="B4001" s="40">
        <v>38922</v>
      </c>
      <c r="C4001" s="39">
        <v>5578.05</v>
      </c>
      <c r="D4001" s="219">
        <f t="shared" si="394"/>
        <v>2.3038340345189905E-2</v>
      </c>
      <c r="F4001" s="40">
        <v>38922</v>
      </c>
      <c r="G4001" s="39">
        <v>5578.05</v>
      </c>
      <c r="H4001" s="39">
        <f t="shared" si="389"/>
        <v>1</v>
      </c>
      <c r="I4001" s="39">
        <f t="shared" si="390"/>
        <v>0</v>
      </c>
      <c r="K4001" s="40"/>
      <c r="Q4001" s="40">
        <v>38922</v>
      </c>
      <c r="R4001" s="39">
        <v>5578.05</v>
      </c>
      <c r="S4001" s="39">
        <f t="shared" si="391"/>
        <v>7</v>
      </c>
      <c r="T4001" s="39">
        <f t="shared" si="392"/>
        <v>0</v>
      </c>
      <c r="U4001" s="39">
        <f t="shared" si="393"/>
        <v>0</v>
      </c>
      <c r="V4001" s="40"/>
    </row>
    <row r="4002" spans="2:22" x14ac:dyDescent="0.35">
      <c r="B4002" s="40">
        <v>38923</v>
      </c>
      <c r="C4002" s="39">
        <v>5565.76</v>
      </c>
      <c r="D4002" s="219">
        <f t="shared" si="394"/>
        <v>-2.205709713774599E-3</v>
      </c>
      <c r="F4002" s="40">
        <v>38923</v>
      </c>
      <c r="G4002" s="39">
        <v>5565.76</v>
      </c>
      <c r="H4002" s="39">
        <f t="shared" si="389"/>
        <v>2</v>
      </c>
      <c r="I4002" s="39">
        <f t="shared" si="390"/>
        <v>0</v>
      </c>
      <c r="K4002" s="40"/>
      <c r="Q4002" s="40">
        <v>38923</v>
      </c>
      <c r="R4002" s="39">
        <v>5565.76</v>
      </c>
      <c r="S4002" s="39">
        <f t="shared" si="391"/>
        <v>7</v>
      </c>
      <c r="T4002" s="39">
        <f t="shared" si="392"/>
        <v>0</v>
      </c>
      <c r="U4002" s="39">
        <f t="shared" si="393"/>
        <v>0</v>
      </c>
      <c r="V4002" s="40"/>
    </row>
    <row r="4003" spans="2:22" x14ac:dyDescent="0.35">
      <c r="B4003" s="40">
        <v>38924</v>
      </c>
      <c r="C4003" s="39">
        <v>5583.1</v>
      </c>
      <c r="D4003" s="219">
        <f t="shared" si="394"/>
        <v>3.1106344472683119E-3</v>
      </c>
      <c r="F4003" s="40">
        <v>38924</v>
      </c>
      <c r="G4003" s="39">
        <v>5583.1</v>
      </c>
      <c r="H4003" s="39">
        <f t="shared" si="389"/>
        <v>3</v>
      </c>
      <c r="I4003" s="39">
        <f t="shared" si="390"/>
        <v>0</v>
      </c>
      <c r="K4003" s="40"/>
      <c r="Q4003" s="40">
        <v>38924</v>
      </c>
      <c r="R4003" s="39">
        <v>5583.1</v>
      </c>
      <c r="S4003" s="39">
        <f t="shared" si="391"/>
        <v>7</v>
      </c>
      <c r="T4003" s="39">
        <f t="shared" si="392"/>
        <v>0</v>
      </c>
      <c r="U4003" s="39">
        <f t="shared" si="393"/>
        <v>0</v>
      </c>
      <c r="V4003" s="40"/>
    </row>
    <row r="4004" spans="2:22" x14ac:dyDescent="0.35">
      <c r="B4004" s="40">
        <v>38925</v>
      </c>
      <c r="C4004" s="39">
        <v>5659.07</v>
      </c>
      <c r="D4004" s="219">
        <f t="shared" si="394"/>
        <v>1.3515390075584586E-2</v>
      </c>
      <c r="F4004" s="40">
        <v>38925</v>
      </c>
      <c r="G4004" s="39">
        <v>5659.07</v>
      </c>
      <c r="H4004" s="39">
        <f t="shared" si="389"/>
        <v>4</v>
      </c>
      <c r="I4004" s="39">
        <f t="shared" si="390"/>
        <v>0</v>
      </c>
      <c r="K4004" s="40"/>
      <c r="Q4004" s="40">
        <v>38925</v>
      </c>
      <c r="R4004" s="39">
        <v>5659.07</v>
      </c>
      <c r="S4004" s="39">
        <f t="shared" si="391"/>
        <v>7</v>
      </c>
      <c r="T4004" s="39">
        <f t="shared" si="392"/>
        <v>0</v>
      </c>
      <c r="U4004" s="39">
        <f t="shared" si="393"/>
        <v>0</v>
      </c>
      <c r="V4004" s="40"/>
    </row>
    <row r="4005" spans="2:22" x14ac:dyDescent="0.35">
      <c r="B4005" s="40">
        <v>38926</v>
      </c>
      <c r="C4005" s="39">
        <v>5705.42</v>
      </c>
      <c r="D4005" s="219">
        <f t="shared" si="394"/>
        <v>8.1570324756445427E-3</v>
      </c>
      <c r="F4005" s="40">
        <v>38926</v>
      </c>
      <c r="G4005" s="39">
        <v>5705.42</v>
      </c>
      <c r="H4005" s="39">
        <f t="shared" si="389"/>
        <v>5</v>
      </c>
      <c r="I4005" s="39">
        <f t="shared" si="390"/>
        <v>5705.42</v>
      </c>
      <c r="K4005" s="40"/>
      <c r="Q4005" s="40">
        <v>38926</v>
      </c>
      <c r="R4005" s="39">
        <v>5705.42</v>
      </c>
      <c r="S4005" s="39">
        <f t="shared" si="391"/>
        <v>7</v>
      </c>
      <c r="T4005" s="39">
        <f t="shared" si="392"/>
        <v>0</v>
      </c>
      <c r="U4005" s="39">
        <f t="shared" si="393"/>
        <v>0</v>
      </c>
      <c r="V4005" s="40"/>
    </row>
    <row r="4006" spans="2:22" x14ac:dyDescent="0.35">
      <c r="B4006" s="40">
        <v>38929</v>
      </c>
      <c r="C4006" s="39">
        <v>5681.97</v>
      </c>
      <c r="D4006" s="219">
        <f t="shared" si="394"/>
        <v>-4.118596649136246E-3</v>
      </c>
      <c r="F4006" s="40">
        <v>38929</v>
      </c>
      <c r="G4006" s="39">
        <v>5681.97</v>
      </c>
      <c r="H4006" s="39">
        <f t="shared" si="389"/>
        <v>1</v>
      </c>
      <c r="I4006" s="39">
        <f t="shared" si="390"/>
        <v>0</v>
      </c>
      <c r="K4006" s="40"/>
      <c r="Q4006" s="40">
        <v>38929</v>
      </c>
      <c r="R4006" s="39">
        <v>5681.97</v>
      </c>
      <c r="S4006" s="39">
        <f t="shared" si="391"/>
        <v>7</v>
      </c>
      <c r="T4006" s="39">
        <f t="shared" si="392"/>
        <v>5681.97</v>
      </c>
      <c r="U4006" s="39">
        <f t="shared" si="393"/>
        <v>5681.97</v>
      </c>
      <c r="V4006" s="40"/>
    </row>
    <row r="4007" spans="2:22" x14ac:dyDescent="0.35">
      <c r="B4007" s="40">
        <v>38930</v>
      </c>
      <c r="C4007" s="39">
        <v>5596.74</v>
      </c>
      <c r="D4007" s="219">
        <f t="shared" si="394"/>
        <v>-1.511371821399448E-2</v>
      </c>
      <c r="F4007" s="40">
        <v>38930</v>
      </c>
      <c r="G4007" s="39">
        <v>5596.74</v>
      </c>
      <c r="H4007" s="39">
        <f t="shared" si="389"/>
        <v>2</v>
      </c>
      <c r="I4007" s="39">
        <f t="shared" si="390"/>
        <v>0</v>
      </c>
      <c r="K4007" s="40"/>
      <c r="Q4007" s="40">
        <v>38930</v>
      </c>
      <c r="R4007" s="39">
        <v>5596.74</v>
      </c>
      <c r="S4007" s="39">
        <f t="shared" si="391"/>
        <v>8</v>
      </c>
      <c r="T4007" s="39">
        <f t="shared" si="392"/>
        <v>0</v>
      </c>
      <c r="U4007" s="39">
        <f t="shared" si="393"/>
        <v>0</v>
      </c>
      <c r="V4007" s="40"/>
    </row>
    <row r="4008" spans="2:22" x14ac:dyDescent="0.35">
      <c r="B4008" s="40">
        <v>38931</v>
      </c>
      <c r="C4008" s="39">
        <v>5680.82</v>
      </c>
      <c r="D4008" s="219">
        <f t="shared" si="394"/>
        <v>1.4911303137428483E-2</v>
      </c>
      <c r="F4008" s="40">
        <v>38931</v>
      </c>
      <c r="G4008" s="39">
        <v>5680.82</v>
      </c>
      <c r="H4008" s="39">
        <f t="shared" si="389"/>
        <v>3</v>
      </c>
      <c r="I4008" s="39">
        <f t="shared" si="390"/>
        <v>0</v>
      </c>
      <c r="K4008" s="40"/>
      <c r="Q4008" s="40">
        <v>38931</v>
      </c>
      <c r="R4008" s="39">
        <v>5680.82</v>
      </c>
      <c r="S4008" s="39">
        <f t="shared" si="391"/>
        <v>8</v>
      </c>
      <c r="T4008" s="39">
        <f t="shared" si="392"/>
        <v>0</v>
      </c>
      <c r="U4008" s="39">
        <f t="shared" si="393"/>
        <v>0</v>
      </c>
      <c r="V4008" s="40"/>
    </row>
    <row r="4009" spans="2:22" x14ac:dyDescent="0.35">
      <c r="B4009" s="40">
        <v>38932</v>
      </c>
      <c r="C4009" s="39">
        <v>5640.03</v>
      </c>
      <c r="D4009" s="219">
        <f t="shared" si="394"/>
        <v>-7.2062038656894234E-3</v>
      </c>
      <c r="F4009" s="40">
        <v>38932</v>
      </c>
      <c r="G4009" s="39">
        <v>5640.03</v>
      </c>
      <c r="H4009" s="39">
        <f t="shared" si="389"/>
        <v>4</v>
      </c>
      <c r="I4009" s="39">
        <f t="shared" si="390"/>
        <v>0</v>
      </c>
      <c r="K4009" s="40"/>
      <c r="Q4009" s="40">
        <v>38932</v>
      </c>
      <c r="R4009" s="39">
        <v>5640.03</v>
      </c>
      <c r="S4009" s="39">
        <f t="shared" si="391"/>
        <v>8</v>
      </c>
      <c r="T4009" s="39">
        <f t="shared" si="392"/>
        <v>0</v>
      </c>
      <c r="U4009" s="39">
        <f t="shared" si="393"/>
        <v>0</v>
      </c>
      <c r="V4009" s="40"/>
    </row>
    <row r="4010" spans="2:22" x14ac:dyDescent="0.35">
      <c r="B4010" s="40">
        <v>38933</v>
      </c>
      <c r="C4010" s="39">
        <v>5723.03</v>
      </c>
      <c r="D4010" s="219">
        <f t="shared" si="394"/>
        <v>1.4609000774409893E-2</v>
      </c>
      <c r="F4010" s="40">
        <v>38933</v>
      </c>
      <c r="G4010" s="39">
        <v>5723.03</v>
      </c>
      <c r="H4010" s="39">
        <f t="shared" si="389"/>
        <v>5</v>
      </c>
      <c r="I4010" s="39">
        <f t="shared" si="390"/>
        <v>5723.03</v>
      </c>
      <c r="K4010" s="40"/>
      <c r="Q4010" s="40">
        <v>38933</v>
      </c>
      <c r="R4010" s="39">
        <v>5723.03</v>
      </c>
      <c r="S4010" s="39">
        <f t="shared" si="391"/>
        <v>8</v>
      </c>
      <c r="T4010" s="39">
        <f t="shared" si="392"/>
        <v>0</v>
      </c>
      <c r="U4010" s="39">
        <f t="shared" si="393"/>
        <v>0</v>
      </c>
      <c r="V4010" s="40"/>
    </row>
    <row r="4011" spans="2:22" x14ac:dyDescent="0.35">
      <c r="B4011" s="40">
        <v>38936</v>
      </c>
      <c r="C4011" s="39">
        <v>5626.67</v>
      </c>
      <c r="D4011" s="219">
        <f t="shared" si="394"/>
        <v>-1.6980592502579394E-2</v>
      </c>
      <c r="F4011" s="40">
        <v>38936</v>
      </c>
      <c r="G4011" s="39">
        <v>5626.67</v>
      </c>
      <c r="H4011" s="39">
        <f t="shared" si="389"/>
        <v>1</v>
      </c>
      <c r="I4011" s="39">
        <f t="shared" si="390"/>
        <v>0</v>
      </c>
      <c r="K4011" s="40"/>
      <c r="Q4011" s="40">
        <v>38936</v>
      </c>
      <c r="R4011" s="39">
        <v>5626.67</v>
      </c>
      <c r="S4011" s="39">
        <f t="shared" si="391"/>
        <v>8</v>
      </c>
      <c r="T4011" s="39">
        <f t="shared" si="392"/>
        <v>0</v>
      </c>
      <c r="U4011" s="39">
        <f t="shared" si="393"/>
        <v>0</v>
      </c>
      <c r="V4011" s="40"/>
    </row>
    <row r="4012" spans="2:22" x14ac:dyDescent="0.35">
      <c r="B4012" s="40">
        <v>38937</v>
      </c>
      <c r="C4012" s="39">
        <v>5651.92</v>
      </c>
      <c r="D4012" s="219">
        <f t="shared" si="394"/>
        <v>4.4775175238504304E-3</v>
      </c>
      <c r="F4012" s="40">
        <v>38937</v>
      </c>
      <c r="G4012" s="39">
        <v>5651.92</v>
      </c>
      <c r="H4012" s="39">
        <f t="shared" si="389"/>
        <v>2</v>
      </c>
      <c r="I4012" s="39">
        <f t="shared" si="390"/>
        <v>0</v>
      </c>
      <c r="K4012" s="40"/>
      <c r="Q4012" s="40">
        <v>38937</v>
      </c>
      <c r="R4012" s="39">
        <v>5651.92</v>
      </c>
      <c r="S4012" s="39">
        <f t="shared" si="391"/>
        <v>8</v>
      </c>
      <c r="T4012" s="39">
        <f t="shared" si="392"/>
        <v>0</v>
      </c>
      <c r="U4012" s="39">
        <f t="shared" si="393"/>
        <v>0</v>
      </c>
      <c r="V4012" s="40"/>
    </row>
    <row r="4013" spans="2:22" x14ac:dyDescent="0.35">
      <c r="B4013" s="40">
        <v>38938</v>
      </c>
      <c r="C4013" s="39">
        <v>5702.81</v>
      </c>
      <c r="D4013" s="219">
        <f t="shared" si="394"/>
        <v>8.9637253802779503E-3</v>
      </c>
      <c r="F4013" s="40">
        <v>38938</v>
      </c>
      <c r="G4013" s="39">
        <v>5702.81</v>
      </c>
      <c r="H4013" s="39">
        <f t="shared" si="389"/>
        <v>3</v>
      </c>
      <c r="I4013" s="39">
        <f t="shared" si="390"/>
        <v>0</v>
      </c>
      <c r="K4013" s="40"/>
      <c r="Q4013" s="40">
        <v>38938</v>
      </c>
      <c r="R4013" s="39">
        <v>5702.81</v>
      </c>
      <c r="S4013" s="39">
        <f t="shared" si="391"/>
        <v>8</v>
      </c>
      <c r="T4013" s="39">
        <f t="shared" si="392"/>
        <v>0</v>
      </c>
      <c r="U4013" s="39">
        <f t="shared" si="393"/>
        <v>0</v>
      </c>
      <c r="V4013" s="40"/>
    </row>
    <row r="4014" spans="2:22" x14ac:dyDescent="0.35">
      <c r="B4014" s="40">
        <v>38939</v>
      </c>
      <c r="C4014" s="39">
        <v>5630.96</v>
      </c>
      <c r="D4014" s="219">
        <f t="shared" si="394"/>
        <v>-1.2679093107472804E-2</v>
      </c>
      <c r="F4014" s="40">
        <v>38939</v>
      </c>
      <c r="G4014" s="39">
        <v>5630.96</v>
      </c>
      <c r="H4014" s="39">
        <f t="shared" si="389"/>
        <v>4</v>
      </c>
      <c r="I4014" s="39">
        <f t="shared" si="390"/>
        <v>0</v>
      </c>
      <c r="K4014" s="40"/>
      <c r="Q4014" s="40">
        <v>38939</v>
      </c>
      <c r="R4014" s="39">
        <v>5630.96</v>
      </c>
      <c r="S4014" s="39">
        <f t="shared" si="391"/>
        <v>8</v>
      </c>
      <c r="T4014" s="39">
        <f t="shared" si="392"/>
        <v>0</v>
      </c>
      <c r="U4014" s="39">
        <f t="shared" si="393"/>
        <v>0</v>
      </c>
      <c r="V4014" s="40"/>
    </row>
    <row r="4015" spans="2:22" x14ac:dyDescent="0.35">
      <c r="B4015" s="40">
        <v>38940</v>
      </c>
      <c r="C4015" s="39">
        <v>5628.37</v>
      </c>
      <c r="D4015" s="219">
        <f t="shared" si="394"/>
        <v>-4.6006290706164239E-4</v>
      </c>
      <c r="F4015" s="40">
        <v>38940</v>
      </c>
      <c r="G4015" s="39">
        <v>5628.37</v>
      </c>
      <c r="H4015" s="39">
        <f t="shared" si="389"/>
        <v>5</v>
      </c>
      <c r="I4015" s="39">
        <f t="shared" si="390"/>
        <v>5628.37</v>
      </c>
      <c r="K4015" s="40"/>
      <c r="Q4015" s="40">
        <v>38940</v>
      </c>
      <c r="R4015" s="39">
        <v>5628.37</v>
      </c>
      <c r="S4015" s="39">
        <f t="shared" si="391"/>
        <v>8</v>
      </c>
      <c r="T4015" s="39">
        <f t="shared" si="392"/>
        <v>0</v>
      </c>
      <c r="U4015" s="39">
        <f t="shared" si="393"/>
        <v>0</v>
      </c>
      <c r="V4015" s="40"/>
    </row>
    <row r="4016" spans="2:22" x14ac:dyDescent="0.35">
      <c r="B4016" s="40">
        <v>38943</v>
      </c>
      <c r="C4016" s="39">
        <v>5692</v>
      </c>
      <c r="D4016" s="219">
        <f t="shared" si="394"/>
        <v>1.1241800421424399E-2</v>
      </c>
      <c r="F4016" s="40">
        <v>38943</v>
      </c>
      <c r="G4016" s="39">
        <v>5692</v>
      </c>
      <c r="H4016" s="39">
        <f t="shared" si="389"/>
        <v>1</v>
      </c>
      <c r="I4016" s="39">
        <f t="shared" si="390"/>
        <v>0</v>
      </c>
      <c r="K4016" s="40"/>
      <c r="Q4016" s="40">
        <v>38943</v>
      </c>
      <c r="R4016" s="39">
        <v>5692</v>
      </c>
      <c r="S4016" s="39">
        <f t="shared" si="391"/>
        <v>8</v>
      </c>
      <c r="T4016" s="39">
        <f t="shared" si="392"/>
        <v>0</v>
      </c>
      <c r="U4016" s="39">
        <f t="shared" si="393"/>
        <v>0</v>
      </c>
      <c r="V4016" s="40"/>
    </row>
    <row r="4017" spans="2:22" x14ac:dyDescent="0.35">
      <c r="B4017" s="40">
        <v>38944</v>
      </c>
      <c r="C4017" s="39">
        <v>5776.8</v>
      </c>
      <c r="D4017" s="219">
        <f t="shared" si="394"/>
        <v>1.4788215927229032E-2</v>
      </c>
      <c r="F4017" s="40">
        <v>38944</v>
      </c>
      <c r="G4017" s="39">
        <v>5776.8</v>
      </c>
      <c r="H4017" s="39">
        <f t="shared" si="389"/>
        <v>2</v>
      </c>
      <c r="I4017" s="39">
        <f t="shared" si="390"/>
        <v>0</v>
      </c>
      <c r="K4017" s="40"/>
      <c r="Q4017" s="40">
        <v>38944</v>
      </c>
      <c r="R4017" s="39">
        <v>5776.8</v>
      </c>
      <c r="S4017" s="39">
        <f t="shared" si="391"/>
        <v>8</v>
      </c>
      <c r="T4017" s="39">
        <f t="shared" si="392"/>
        <v>0</v>
      </c>
      <c r="U4017" s="39">
        <f t="shared" si="393"/>
        <v>0</v>
      </c>
      <c r="V4017" s="40"/>
    </row>
    <row r="4018" spans="2:22" x14ac:dyDescent="0.35">
      <c r="B4018" s="40">
        <v>38945</v>
      </c>
      <c r="C4018" s="39">
        <v>5812.94</v>
      </c>
      <c r="D4018" s="219">
        <f t="shared" si="394"/>
        <v>6.2365708183519143E-3</v>
      </c>
      <c r="F4018" s="40">
        <v>38945</v>
      </c>
      <c r="G4018" s="39">
        <v>5812.94</v>
      </c>
      <c r="H4018" s="39">
        <f t="shared" si="389"/>
        <v>3</v>
      </c>
      <c r="I4018" s="39">
        <f t="shared" si="390"/>
        <v>0</v>
      </c>
      <c r="K4018" s="40"/>
      <c r="Q4018" s="40">
        <v>38945</v>
      </c>
      <c r="R4018" s="39">
        <v>5812.94</v>
      </c>
      <c r="S4018" s="39">
        <f t="shared" si="391"/>
        <v>8</v>
      </c>
      <c r="T4018" s="39">
        <f t="shared" si="392"/>
        <v>0</v>
      </c>
      <c r="U4018" s="39">
        <f t="shared" si="393"/>
        <v>0</v>
      </c>
      <c r="V4018" s="40"/>
    </row>
    <row r="4019" spans="2:22" x14ac:dyDescent="0.35">
      <c r="B4019" s="40">
        <v>38946</v>
      </c>
      <c r="C4019" s="39">
        <v>5833.51</v>
      </c>
      <c r="D4019" s="219">
        <f t="shared" si="394"/>
        <v>3.532410543854665E-3</v>
      </c>
      <c r="F4019" s="40">
        <v>38946</v>
      </c>
      <c r="G4019" s="39">
        <v>5833.51</v>
      </c>
      <c r="H4019" s="39">
        <f t="shared" si="389"/>
        <v>4</v>
      </c>
      <c r="I4019" s="39">
        <f t="shared" si="390"/>
        <v>0</v>
      </c>
      <c r="K4019" s="40"/>
      <c r="Q4019" s="40">
        <v>38946</v>
      </c>
      <c r="R4019" s="39">
        <v>5833.51</v>
      </c>
      <c r="S4019" s="39">
        <f t="shared" si="391"/>
        <v>8</v>
      </c>
      <c r="T4019" s="39">
        <f t="shared" si="392"/>
        <v>0</v>
      </c>
      <c r="U4019" s="39">
        <f t="shared" si="393"/>
        <v>0</v>
      </c>
      <c r="V4019" s="40"/>
    </row>
    <row r="4020" spans="2:22" x14ac:dyDescent="0.35">
      <c r="B4020" s="40">
        <v>38947</v>
      </c>
      <c r="C4020" s="39">
        <v>5817.02</v>
      </c>
      <c r="D4020" s="219">
        <f t="shared" si="394"/>
        <v>-2.8307743959434576E-3</v>
      </c>
      <c r="F4020" s="40">
        <v>38947</v>
      </c>
      <c r="G4020" s="39">
        <v>5817.02</v>
      </c>
      <c r="H4020" s="39">
        <f t="shared" si="389"/>
        <v>5</v>
      </c>
      <c r="I4020" s="39">
        <f t="shared" si="390"/>
        <v>5817.02</v>
      </c>
      <c r="K4020" s="40"/>
      <c r="Q4020" s="40">
        <v>38947</v>
      </c>
      <c r="R4020" s="39">
        <v>5817.02</v>
      </c>
      <c r="S4020" s="39">
        <f t="shared" si="391"/>
        <v>8</v>
      </c>
      <c r="T4020" s="39">
        <f t="shared" si="392"/>
        <v>0</v>
      </c>
      <c r="U4020" s="39">
        <f t="shared" si="393"/>
        <v>0</v>
      </c>
      <c r="V4020" s="40"/>
    </row>
    <row r="4021" spans="2:22" x14ac:dyDescent="0.35">
      <c r="B4021" s="40">
        <v>38950</v>
      </c>
      <c r="C4021" s="39">
        <v>5794.83</v>
      </c>
      <c r="D4021" s="219">
        <f t="shared" si="394"/>
        <v>-3.8219623938484729E-3</v>
      </c>
      <c r="F4021" s="40">
        <v>38950</v>
      </c>
      <c r="G4021" s="39">
        <v>5794.83</v>
      </c>
      <c r="H4021" s="39">
        <f t="shared" si="389"/>
        <v>1</v>
      </c>
      <c r="I4021" s="39">
        <f t="shared" si="390"/>
        <v>0</v>
      </c>
      <c r="K4021" s="40"/>
      <c r="Q4021" s="40">
        <v>38950</v>
      </c>
      <c r="R4021" s="39">
        <v>5794.83</v>
      </c>
      <c r="S4021" s="39">
        <f t="shared" si="391"/>
        <v>8</v>
      </c>
      <c r="T4021" s="39">
        <f t="shared" si="392"/>
        <v>0</v>
      </c>
      <c r="U4021" s="39">
        <f t="shared" si="393"/>
        <v>0</v>
      </c>
      <c r="V4021" s="40"/>
    </row>
    <row r="4022" spans="2:22" x14ac:dyDescent="0.35">
      <c r="B4022" s="40">
        <v>38951</v>
      </c>
      <c r="C4022" s="39">
        <v>5818.41</v>
      </c>
      <c r="D4022" s="219">
        <f t="shared" si="394"/>
        <v>4.0608878150167485E-3</v>
      </c>
      <c r="F4022" s="40">
        <v>38951</v>
      </c>
      <c r="G4022" s="39">
        <v>5818.41</v>
      </c>
      <c r="H4022" s="39">
        <f t="shared" si="389"/>
        <v>2</v>
      </c>
      <c r="I4022" s="39">
        <f t="shared" si="390"/>
        <v>0</v>
      </c>
      <c r="K4022" s="40"/>
      <c r="Q4022" s="40">
        <v>38951</v>
      </c>
      <c r="R4022" s="39">
        <v>5818.41</v>
      </c>
      <c r="S4022" s="39">
        <f t="shared" si="391"/>
        <v>8</v>
      </c>
      <c r="T4022" s="39">
        <f t="shared" si="392"/>
        <v>0</v>
      </c>
      <c r="U4022" s="39">
        <f t="shared" si="393"/>
        <v>0</v>
      </c>
      <c r="V4022" s="40"/>
    </row>
    <row r="4023" spans="2:22" x14ac:dyDescent="0.35">
      <c r="B4023" s="40">
        <v>38952</v>
      </c>
      <c r="C4023" s="39">
        <v>5775.54</v>
      </c>
      <c r="D4023" s="219">
        <f t="shared" si="394"/>
        <v>-7.3952700123621536E-3</v>
      </c>
      <c r="F4023" s="40">
        <v>38952</v>
      </c>
      <c r="G4023" s="39">
        <v>5775.54</v>
      </c>
      <c r="H4023" s="39">
        <f t="shared" ref="H4023:H4086" si="395">WEEKDAY(F4023,2)</f>
        <v>3</v>
      </c>
      <c r="I4023" s="39">
        <f t="shared" ref="I4023:I4086" si="396">IF(H4023&gt;H4024,G4023,0)</f>
        <v>0</v>
      </c>
      <c r="K4023" s="40"/>
      <c r="Q4023" s="40">
        <v>38952</v>
      </c>
      <c r="R4023" s="39">
        <v>5775.54</v>
      </c>
      <c r="S4023" s="39">
        <f t="shared" ref="S4023:S4086" si="397">MONTH(Q4023)</f>
        <v>8</v>
      </c>
      <c r="T4023" s="39">
        <f t="shared" ref="T4023:T4086" si="398">IF(S4024&lt;&gt;S4023,R4023,0)</f>
        <v>0</v>
      </c>
      <c r="U4023" s="39">
        <f t="shared" ref="U4023:U4086" si="399">IF(S4024=S4023,0,R4023)</f>
        <v>0</v>
      </c>
      <c r="V4023" s="40"/>
    </row>
    <row r="4024" spans="2:22" x14ac:dyDescent="0.35">
      <c r="B4024" s="40">
        <v>38953</v>
      </c>
      <c r="C4024" s="39">
        <v>5814.08</v>
      </c>
      <c r="D4024" s="219">
        <f t="shared" ref="D4024:D4087" si="400">LN(C4024/C4023)</f>
        <v>6.6508034020346159E-3</v>
      </c>
      <c r="F4024" s="40">
        <v>38953</v>
      </c>
      <c r="G4024" s="39">
        <v>5814.08</v>
      </c>
      <c r="H4024" s="39">
        <f t="shared" si="395"/>
        <v>4</v>
      </c>
      <c r="I4024" s="39">
        <f t="shared" si="396"/>
        <v>0</v>
      </c>
      <c r="K4024" s="40"/>
      <c r="Q4024" s="40">
        <v>38953</v>
      </c>
      <c r="R4024" s="39">
        <v>5814.08</v>
      </c>
      <c r="S4024" s="39">
        <f t="shared" si="397"/>
        <v>8</v>
      </c>
      <c r="T4024" s="39">
        <f t="shared" si="398"/>
        <v>0</v>
      </c>
      <c r="U4024" s="39">
        <f t="shared" si="399"/>
        <v>0</v>
      </c>
      <c r="V4024" s="40"/>
    </row>
    <row r="4025" spans="2:22" x14ac:dyDescent="0.35">
      <c r="B4025" s="40">
        <v>38954</v>
      </c>
      <c r="C4025" s="39">
        <v>5811.47</v>
      </c>
      <c r="D4025" s="219">
        <f t="shared" si="400"/>
        <v>-4.4901102207642042E-4</v>
      </c>
      <c r="F4025" s="40">
        <v>38954</v>
      </c>
      <c r="G4025" s="39">
        <v>5811.47</v>
      </c>
      <c r="H4025" s="39">
        <f t="shared" si="395"/>
        <v>5</v>
      </c>
      <c r="I4025" s="39">
        <f t="shared" si="396"/>
        <v>5811.47</v>
      </c>
      <c r="K4025" s="40"/>
      <c r="Q4025" s="40">
        <v>38954</v>
      </c>
      <c r="R4025" s="39">
        <v>5811.47</v>
      </c>
      <c r="S4025" s="39">
        <f t="shared" si="397"/>
        <v>8</v>
      </c>
      <c r="T4025" s="39">
        <f t="shared" si="398"/>
        <v>0</v>
      </c>
      <c r="U4025" s="39">
        <f t="shared" si="399"/>
        <v>0</v>
      </c>
      <c r="V4025" s="40"/>
    </row>
    <row r="4026" spans="2:22" x14ac:dyDescent="0.35">
      <c r="B4026" s="40">
        <v>38957</v>
      </c>
      <c r="C4026" s="39">
        <v>5854.99</v>
      </c>
      <c r="D4026" s="219">
        <f t="shared" si="400"/>
        <v>7.460738196429788E-3</v>
      </c>
      <c r="F4026" s="40">
        <v>38957</v>
      </c>
      <c r="G4026" s="39">
        <v>5854.99</v>
      </c>
      <c r="H4026" s="39">
        <f t="shared" si="395"/>
        <v>1</v>
      </c>
      <c r="I4026" s="39">
        <f t="shared" si="396"/>
        <v>0</v>
      </c>
      <c r="K4026" s="40"/>
      <c r="Q4026" s="40">
        <v>38957</v>
      </c>
      <c r="R4026" s="39">
        <v>5854.99</v>
      </c>
      <c r="S4026" s="39">
        <f t="shared" si="397"/>
        <v>8</v>
      </c>
      <c r="T4026" s="39">
        <f t="shared" si="398"/>
        <v>0</v>
      </c>
      <c r="U4026" s="39">
        <f t="shared" si="399"/>
        <v>0</v>
      </c>
      <c r="V4026" s="40"/>
    </row>
    <row r="4027" spans="2:22" x14ac:dyDescent="0.35">
      <c r="B4027" s="40">
        <v>38958</v>
      </c>
      <c r="C4027" s="39">
        <v>5847.02</v>
      </c>
      <c r="D4027" s="219">
        <f t="shared" si="400"/>
        <v>-1.3621593610578489E-3</v>
      </c>
      <c r="F4027" s="40">
        <v>38958</v>
      </c>
      <c r="G4027" s="39">
        <v>5847.02</v>
      </c>
      <c r="H4027" s="39">
        <f t="shared" si="395"/>
        <v>2</v>
      </c>
      <c r="I4027" s="39">
        <f t="shared" si="396"/>
        <v>0</v>
      </c>
      <c r="K4027" s="40"/>
      <c r="Q4027" s="40">
        <v>38958</v>
      </c>
      <c r="R4027" s="39">
        <v>5847.02</v>
      </c>
      <c r="S4027" s="39">
        <f t="shared" si="397"/>
        <v>8</v>
      </c>
      <c r="T4027" s="39">
        <f t="shared" si="398"/>
        <v>0</v>
      </c>
      <c r="U4027" s="39">
        <f t="shared" si="399"/>
        <v>0</v>
      </c>
      <c r="V4027" s="40"/>
    </row>
    <row r="4028" spans="2:22" x14ac:dyDescent="0.35">
      <c r="B4028" s="40">
        <v>38959</v>
      </c>
      <c r="C4028" s="39">
        <v>5867.53</v>
      </c>
      <c r="D4028" s="219">
        <f t="shared" si="400"/>
        <v>3.5016318948342751E-3</v>
      </c>
      <c r="F4028" s="40">
        <v>38959</v>
      </c>
      <c r="G4028" s="39">
        <v>5867.53</v>
      </c>
      <c r="H4028" s="39">
        <f t="shared" si="395"/>
        <v>3</v>
      </c>
      <c r="I4028" s="39">
        <f t="shared" si="396"/>
        <v>0</v>
      </c>
      <c r="K4028" s="40"/>
      <c r="Q4028" s="40">
        <v>38959</v>
      </c>
      <c r="R4028" s="39">
        <v>5867.53</v>
      </c>
      <c r="S4028" s="39">
        <f t="shared" si="397"/>
        <v>8</v>
      </c>
      <c r="T4028" s="39">
        <f t="shared" si="398"/>
        <v>0</v>
      </c>
      <c r="U4028" s="39">
        <f t="shared" si="399"/>
        <v>0</v>
      </c>
      <c r="V4028" s="40"/>
    </row>
    <row r="4029" spans="2:22" x14ac:dyDescent="0.35">
      <c r="B4029" s="40">
        <v>38960</v>
      </c>
      <c r="C4029" s="39">
        <v>5859.57</v>
      </c>
      <c r="D4029" s="219">
        <f t="shared" si="400"/>
        <v>-1.3575395830966043E-3</v>
      </c>
      <c r="F4029" s="40">
        <v>38960</v>
      </c>
      <c r="G4029" s="39">
        <v>5859.57</v>
      </c>
      <c r="H4029" s="39">
        <f t="shared" si="395"/>
        <v>4</v>
      </c>
      <c r="I4029" s="39">
        <f t="shared" si="396"/>
        <v>0</v>
      </c>
      <c r="K4029" s="40"/>
      <c r="Q4029" s="40">
        <v>38960</v>
      </c>
      <c r="R4029" s="39">
        <v>5859.57</v>
      </c>
      <c r="S4029" s="39">
        <f t="shared" si="397"/>
        <v>8</v>
      </c>
      <c r="T4029" s="39">
        <f t="shared" si="398"/>
        <v>5859.57</v>
      </c>
      <c r="U4029" s="39">
        <f t="shared" si="399"/>
        <v>5859.57</v>
      </c>
      <c r="V4029" s="40"/>
    </row>
    <row r="4030" spans="2:22" x14ac:dyDescent="0.35">
      <c r="B4030" s="40">
        <v>38961</v>
      </c>
      <c r="C4030" s="39">
        <v>5876.54</v>
      </c>
      <c r="D4030" s="219">
        <f t="shared" si="400"/>
        <v>2.8919312833726478E-3</v>
      </c>
      <c r="F4030" s="40">
        <v>38961</v>
      </c>
      <c r="G4030" s="39">
        <v>5876.54</v>
      </c>
      <c r="H4030" s="39">
        <f t="shared" si="395"/>
        <v>5</v>
      </c>
      <c r="I4030" s="39">
        <f t="shared" si="396"/>
        <v>5876.54</v>
      </c>
      <c r="K4030" s="40"/>
      <c r="Q4030" s="40">
        <v>38961</v>
      </c>
      <c r="R4030" s="39">
        <v>5876.54</v>
      </c>
      <c r="S4030" s="39">
        <f t="shared" si="397"/>
        <v>9</v>
      </c>
      <c r="T4030" s="39">
        <f t="shared" si="398"/>
        <v>0</v>
      </c>
      <c r="U4030" s="39">
        <f t="shared" si="399"/>
        <v>0</v>
      </c>
      <c r="V4030" s="40"/>
    </row>
    <row r="4031" spans="2:22" x14ac:dyDescent="0.35">
      <c r="B4031" s="40">
        <v>38964</v>
      </c>
      <c r="C4031" s="39">
        <v>5909.72</v>
      </c>
      <c r="D4031" s="219">
        <f t="shared" si="400"/>
        <v>5.63029962875601E-3</v>
      </c>
      <c r="F4031" s="40">
        <v>38964</v>
      </c>
      <c r="G4031" s="39">
        <v>5909.72</v>
      </c>
      <c r="H4031" s="39">
        <f t="shared" si="395"/>
        <v>1</v>
      </c>
      <c r="I4031" s="39">
        <f t="shared" si="396"/>
        <v>0</v>
      </c>
      <c r="K4031" s="40"/>
      <c r="Q4031" s="40">
        <v>38964</v>
      </c>
      <c r="R4031" s="39">
        <v>5909.72</v>
      </c>
      <c r="S4031" s="39">
        <f t="shared" si="397"/>
        <v>9</v>
      </c>
      <c r="T4031" s="39">
        <f t="shared" si="398"/>
        <v>0</v>
      </c>
      <c r="U4031" s="39">
        <f t="shared" si="399"/>
        <v>0</v>
      </c>
      <c r="V4031" s="40"/>
    </row>
    <row r="4032" spans="2:22" x14ac:dyDescent="0.35">
      <c r="B4032" s="40">
        <v>38965</v>
      </c>
      <c r="C4032" s="39">
        <v>5884.07</v>
      </c>
      <c r="D4032" s="219">
        <f t="shared" si="400"/>
        <v>-4.3497536317418364E-3</v>
      </c>
      <c r="F4032" s="40">
        <v>38965</v>
      </c>
      <c r="G4032" s="39">
        <v>5884.07</v>
      </c>
      <c r="H4032" s="39">
        <f t="shared" si="395"/>
        <v>2</v>
      </c>
      <c r="I4032" s="39">
        <f t="shared" si="396"/>
        <v>0</v>
      </c>
      <c r="K4032" s="40"/>
      <c r="Q4032" s="40">
        <v>38965</v>
      </c>
      <c r="R4032" s="39">
        <v>5884.07</v>
      </c>
      <c r="S4032" s="39">
        <f t="shared" si="397"/>
        <v>9</v>
      </c>
      <c r="T4032" s="39">
        <f t="shared" si="398"/>
        <v>0</v>
      </c>
      <c r="U4032" s="39">
        <f t="shared" si="399"/>
        <v>0</v>
      </c>
      <c r="V4032" s="40"/>
    </row>
    <row r="4033" spans="2:22" x14ac:dyDescent="0.35">
      <c r="B4033" s="40">
        <v>38966</v>
      </c>
      <c r="C4033" s="39">
        <v>5813.06</v>
      </c>
      <c r="D4033" s="219">
        <f t="shared" si="400"/>
        <v>-1.2141588978656049E-2</v>
      </c>
      <c r="F4033" s="40">
        <v>38966</v>
      </c>
      <c r="G4033" s="39">
        <v>5813.06</v>
      </c>
      <c r="H4033" s="39">
        <f t="shared" si="395"/>
        <v>3</v>
      </c>
      <c r="I4033" s="39">
        <f t="shared" si="396"/>
        <v>0</v>
      </c>
      <c r="K4033" s="40"/>
      <c r="Q4033" s="40">
        <v>38966</v>
      </c>
      <c r="R4033" s="39">
        <v>5813.06</v>
      </c>
      <c r="S4033" s="39">
        <f t="shared" si="397"/>
        <v>9</v>
      </c>
      <c r="T4033" s="39">
        <f t="shared" si="398"/>
        <v>0</v>
      </c>
      <c r="U4033" s="39">
        <f t="shared" si="399"/>
        <v>0</v>
      </c>
      <c r="V4033" s="40"/>
    </row>
    <row r="4034" spans="2:22" x14ac:dyDescent="0.35">
      <c r="B4034" s="40">
        <v>38967</v>
      </c>
      <c r="C4034" s="39">
        <v>5773.72</v>
      </c>
      <c r="D4034" s="219">
        <f t="shared" si="400"/>
        <v>-6.7905235393785797E-3</v>
      </c>
      <c r="F4034" s="40">
        <v>38967</v>
      </c>
      <c r="G4034" s="39">
        <v>5773.72</v>
      </c>
      <c r="H4034" s="39">
        <f t="shared" si="395"/>
        <v>4</v>
      </c>
      <c r="I4034" s="39">
        <f t="shared" si="396"/>
        <v>0</v>
      </c>
      <c r="K4034" s="40"/>
      <c r="Q4034" s="40">
        <v>38967</v>
      </c>
      <c r="R4034" s="39">
        <v>5773.72</v>
      </c>
      <c r="S4034" s="39">
        <f t="shared" si="397"/>
        <v>9</v>
      </c>
      <c r="T4034" s="39">
        <f t="shared" si="398"/>
        <v>0</v>
      </c>
      <c r="U4034" s="39">
        <f t="shared" si="399"/>
        <v>0</v>
      </c>
      <c r="V4034" s="40"/>
    </row>
    <row r="4035" spans="2:22" x14ac:dyDescent="0.35">
      <c r="B4035" s="40">
        <v>38968</v>
      </c>
      <c r="C4035" s="39">
        <v>5795.26</v>
      </c>
      <c r="D4035" s="219">
        <f t="shared" si="400"/>
        <v>3.723755229950762E-3</v>
      </c>
      <c r="F4035" s="40">
        <v>38968</v>
      </c>
      <c r="G4035" s="39">
        <v>5795.26</v>
      </c>
      <c r="H4035" s="39">
        <f t="shared" si="395"/>
        <v>5</v>
      </c>
      <c r="I4035" s="39">
        <f t="shared" si="396"/>
        <v>5795.26</v>
      </c>
      <c r="K4035" s="40"/>
      <c r="Q4035" s="40">
        <v>38968</v>
      </c>
      <c r="R4035" s="39">
        <v>5795.26</v>
      </c>
      <c r="S4035" s="39">
        <f t="shared" si="397"/>
        <v>9</v>
      </c>
      <c r="T4035" s="39">
        <f t="shared" si="398"/>
        <v>0</v>
      </c>
      <c r="U4035" s="39">
        <f t="shared" si="399"/>
        <v>0</v>
      </c>
      <c r="V4035" s="40"/>
    </row>
    <row r="4036" spans="2:22" x14ac:dyDescent="0.35">
      <c r="B4036" s="40">
        <v>38971</v>
      </c>
      <c r="C4036" s="39">
        <v>5798.46</v>
      </c>
      <c r="D4036" s="219">
        <f t="shared" si="400"/>
        <v>5.5202300577577982E-4</v>
      </c>
      <c r="F4036" s="40">
        <v>38971</v>
      </c>
      <c r="G4036" s="39">
        <v>5798.46</v>
      </c>
      <c r="H4036" s="39">
        <f t="shared" si="395"/>
        <v>1</v>
      </c>
      <c r="I4036" s="39">
        <f t="shared" si="396"/>
        <v>0</v>
      </c>
      <c r="K4036" s="40"/>
      <c r="Q4036" s="40">
        <v>38971</v>
      </c>
      <c r="R4036" s="39">
        <v>5798.46</v>
      </c>
      <c r="S4036" s="39">
        <f t="shared" si="397"/>
        <v>9</v>
      </c>
      <c r="T4036" s="39">
        <f t="shared" si="398"/>
        <v>0</v>
      </c>
      <c r="U4036" s="39">
        <f t="shared" si="399"/>
        <v>0</v>
      </c>
      <c r="V4036" s="40"/>
    </row>
    <row r="4037" spans="2:22" x14ac:dyDescent="0.35">
      <c r="B4037" s="40">
        <v>38972</v>
      </c>
      <c r="C4037" s="39">
        <v>5873.85</v>
      </c>
      <c r="D4037" s="219">
        <f t="shared" si="400"/>
        <v>1.2917931133830473E-2</v>
      </c>
      <c r="F4037" s="40">
        <v>38972</v>
      </c>
      <c r="G4037" s="39">
        <v>5873.85</v>
      </c>
      <c r="H4037" s="39">
        <f t="shared" si="395"/>
        <v>2</v>
      </c>
      <c r="I4037" s="39">
        <f t="shared" si="396"/>
        <v>0</v>
      </c>
      <c r="K4037" s="40"/>
      <c r="Q4037" s="40">
        <v>38972</v>
      </c>
      <c r="R4037" s="39">
        <v>5873.85</v>
      </c>
      <c r="S4037" s="39">
        <f t="shared" si="397"/>
        <v>9</v>
      </c>
      <c r="T4037" s="39">
        <f t="shared" si="398"/>
        <v>0</v>
      </c>
      <c r="U4037" s="39">
        <f t="shared" si="399"/>
        <v>0</v>
      </c>
      <c r="V4037" s="40"/>
    </row>
    <row r="4038" spans="2:22" x14ac:dyDescent="0.35">
      <c r="B4038" s="40">
        <v>38973</v>
      </c>
      <c r="C4038" s="39">
        <v>5906.12</v>
      </c>
      <c r="D4038" s="219">
        <f t="shared" si="400"/>
        <v>5.4788052467875936E-3</v>
      </c>
      <c r="F4038" s="40">
        <v>38973</v>
      </c>
      <c r="G4038" s="39">
        <v>5906.12</v>
      </c>
      <c r="H4038" s="39">
        <f t="shared" si="395"/>
        <v>3</v>
      </c>
      <c r="I4038" s="39">
        <f t="shared" si="396"/>
        <v>0</v>
      </c>
      <c r="K4038" s="40"/>
      <c r="Q4038" s="40">
        <v>38973</v>
      </c>
      <c r="R4038" s="39">
        <v>5906.12</v>
      </c>
      <c r="S4038" s="39">
        <f t="shared" si="397"/>
        <v>9</v>
      </c>
      <c r="T4038" s="39">
        <f t="shared" si="398"/>
        <v>0</v>
      </c>
      <c r="U4038" s="39">
        <f t="shared" si="399"/>
        <v>0</v>
      </c>
      <c r="V4038" s="40"/>
    </row>
    <row r="4039" spans="2:22" x14ac:dyDescent="0.35">
      <c r="B4039" s="40">
        <v>38974</v>
      </c>
      <c r="C4039" s="39">
        <v>5907.37</v>
      </c>
      <c r="D4039" s="219">
        <f t="shared" si="400"/>
        <v>2.1162247645117882E-4</v>
      </c>
      <c r="F4039" s="40">
        <v>38974</v>
      </c>
      <c r="G4039" s="39">
        <v>5907.37</v>
      </c>
      <c r="H4039" s="39">
        <f t="shared" si="395"/>
        <v>4</v>
      </c>
      <c r="I4039" s="39">
        <f t="shared" si="396"/>
        <v>0</v>
      </c>
      <c r="K4039" s="40"/>
      <c r="Q4039" s="40">
        <v>38974</v>
      </c>
      <c r="R4039" s="39">
        <v>5907.37</v>
      </c>
      <c r="S4039" s="39">
        <f t="shared" si="397"/>
        <v>9</v>
      </c>
      <c r="T4039" s="39">
        <f t="shared" si="398"/>
        <v>0</v>
      </c>
      <c r="U4039" s="39">
        <f t="shared" si="399"/>
        <v>0</v>
      </c>
      <c r="V4039" s="40"/>
    </row>
    <row r="4040" spans="2:22" x14ac:dyDescent="0.35">
      <c r="B4040" s="40">
        <v>38975</v>
      </c>
      <c r="C4040" s="39">
        <v>5937.87</v>
      </c>
      <c r="D4040" s="219">
        <f t="shared" si="400"/>
        <v>5.1497592965651521E-3</v>
      </c>
      <c r="F4040" s="40">
        <v>38975</v>
      </c>
      <c r="G4040" s="39">
        <v>5937.87</v>
      </c>
      <c r="H4040" s="39">
        <f t="shared" si="395"/>
        <v>5</v>
      </c>
      <c r="I4040" s="39">
        <f t="shared" si="396"/>
        <v>5937.87</v>
      </c>
      <c r="K4040" s="40"/>
      <c r="Q4040" s="40">
        <v>38975</v>
      </c>
      <c r="R4040" s="39">
        <v>5937.87</v>
      </c>
      <c r="S4040" s="39">
        <f t="shared" si="397"/>
        <v>9</v>
      </c>
      <c r="T4040" s="39">
        <f t="shared" si="398"/>
        <v>0</v>
      </c>
      <c r="U4040" s="39">
        <f t="shared" si="399"/>
        <v>0</v>
      </c>
      <c r="V4040" s="40"/>
    </row>
    <row r="4041" spans="2:22" x14ac:dyDescent="0.35">
      <c r="B4041" s="40">
        <v>38978</v>
      </c>
      <c r="C4041" s="39">
        <v>5926.33</v>
      </c>
      <c r="D4041" s="219">
        <f t="shared" si="400"/>
        <v>-1.9453488038491948E-3</v>
      </c>
      <c r="F4041" s="40">
        <v>38978</v>
      </c>
      <c r="G4041" s="39">
        <v>5926.33</v>
      </c>
      <c r="H4041" s="39">
        <f t="shared" si="395"/>
        <v>1</v>
      </c>
      <c r="I4041" s="39">
        <f t="shared" si="396"/>
        <v>0</v>
      </c>
      <c r="K4041" s="40"/>
      <c r="Q4041" s="40">
        <v>38978</v>
      </c>
      <c r="R4041" s="39">
        <v>5926.33</v>
      </c>
      <c r="S4041" s="39">
        <f t="shared" si="397"/>
        <v>9</v>
      </c>
      <c r="T4041" s="39">
        <f t="shared" si="398"/>
        <v>0</v>
      </c>
      <c r="U4041" s="39">
        <f t="shared" si="399"/>
        <v>0</v>
      </c>
      <c r="V4041" s="40"/>
    </row>
    <row r="4042" spans="2:22" x14ac:dyDescent="0.35">
      <c r="B4042" s="40">
        <v>38979</v>
      </c>
      <c r="C4042" s="39">
        <v>5873.46</v>
      </c>
      <c r="D4042" s="219">
        <f t="shared" si="400"/>
        <v>-8.9612363956475122E-3</v>
      </c>
      <c r="F4042" s="40">
        <v>38979</v>
      </c>
      <c r="G4042" s="39">
        <v>5873.46</v>
      </c>
      <c r="H4042" s="39">
        <f t="shared" si="395"/>
        <v>2</v>
      </c>
      <c r="I4042" s="39">
        <f t="shared" si="396"/>
        <v>0</v>
      </c>
      <c r="K4042" s="40"/>
      <c r="Q4042" s="40">
        <v>38979</v>
      </c>
      <c r="R4042" s="39">
        <v>5873.46</v>
      </c>
      <c r="S4042" s="39">
        <f t="shared" si="397"/>
        <v>9</v>
      </c>
      <c r="T4042" s="39">
        <f t="shared" si="398"/>
        <v>0</v>
      </c>
      <c r="U4042" s="39">
        <f t="shared" si="399"/>
        <v>0</v>
      </c>
      <c r="V4042" s="40"/>
    </row>
    <row r="4043" spans="2:22" x14ac:dyDescent="0.35">
      <c r="B4043" s="40">
        <v>38980</v>
      </c>
      <c r="C4043" s="39">
        <v>5954.38</v>
      </c>
      <c r="D4043" s="219">
        <f t="shared" si="400"/>
        <v>1.3683185188060065E-2</v>
      </c>
      <c r="F4043" s="40">
        <v>38980</v>
      </c>
      <c r="G4043" s="39">
        <v>5954.38</v>
      </c>
      <c r="H4043" s="39">
        <f t="shared" si="395"/>
        <v>3</v>
      </c>
      <c r="I4043" s="39">
        <f t="shared" si="396"/>
        <v>0</v>
      </c>
      <c r="K4043" s="40"/>
      <c r="Q4043" s="40">
        <v>38980</v>
      </c>
      <c r="R4043" s="39">
        <v>5954.38</v>
      </c>
      <c r="S4043" s="39">
        <f t="shared" si="397"/>
        <v>9</v>
      </c>
      <c r="T4043" s="39">
        <f t="shared" si="398"/>
        <v>0</v>
      </c>
      <c r="U4043" s="39">
        <f t="shared" si="399"/>
        <v>0</v>
      </c>
      <c r="V4043" s="40"/>
    </row>
    <row r="4044" spans="2:22" x14ac:dyDescent="0.35">
      <c r="B4044" s="40">
        <v>38981</v>
      </c>
      <c r="C4044" s="39">
        <v>5962.03</v>
      </c>
      <c r="D4044" s="219">
        <f t="shared" si="400"/>
        <v>1.2839439144718605E-3</v>
      </c>
      <c r="F4044" s="40">
        <v>38981</v>
      </c>
      <c r="G4044" s="39">
        <v>5962.03</v>
      </c>
      <c r="H4044" s="39">
        <f t="shared" si="395"/>
        <v>4</v>
      </c>
      <c r="I4044" s="39">
        <f t="shared" si="396"/>
        <v>0</v>
      </c>
      <c r="K4044" s="40"/>
      <c r="Q4044" s="40">
        <v>38981</v>
      </c>
      <c r="R4044" s="39">
        <v>5962.03</v>
      </c>
      <c r="S4044" s="39">
        <f t="shared" si="397"/>
        <v>9</v>
      </c>
      <c r="T4044" s="39">
        <f t="shared" si="398"/>
        <v>0</v>
      </c>
      <c r="U4044" s="39">
        <f t="shared" si="399"/>
        <v>0</v>
      </c>
      <c r="V4044" s="40"/>
    </row>
    <row r="4045" spans="2:22" x14ac:dyDescent="0.35">
      <c r="B4045" s="40">
        <v>38982</v>
      </c>
      <c r="C4045" s="39">
        <v>5883.32</v>
      </c>
      <c r="D4045" s="219">
        <f t="shared" si="400"/>
        <v>-1.3289798692044151E-2</v>
      </c>
      <c r="F4045" s="40">
        <v>38982</v>
      </c>
      <c r="G4045" s="39">
        <v>5883.32</v>
      </c>
      <c r="H4045" s="39">
        <f t="shared" si="395"/>
        <v>5</v>
      </c>
      <c r="I4045" s="39">
        <f t="shared" si="396"/>
        <v>5883.32</v>
      </c>
      <c r="K4045" s="40"/>
      <c r="Q4045" s="40">
        <v>38982</v>
      </c>
      <c r="R4045" s="39">
        <v>5883.32</v>
      </c>
      <c r="S4045" s="39">
        <f t="shared" si="397"/>
        <v>9</v>
      </c>
      <c r="T4045" s="39">
        <f t="shared" si="398"/>
        <v>0</v>
      </c>
      <c r="U4045" s="39">
        <f t="shared" si="399"/>
        <v>0</v>
      </c>
      <c r="V4045" s="40"/>
    </row>
    <row r="4046" spans="2:22" x14ac:dyDescent="0.35">
      <c r="B4046" s="40">
        <v>38985</v>
      </c>
      <c r="C4046" s="39">
        <v>5901.66</v>
      </c>
      <c r="D4046" s="219">
        <f t="shared" si="400"/>
        <v>3.1124388510433603E-3</v>
      </c>
      <c r="F4046" s="40">
        <v>38985</v>
      </c>
      <c r="G4046" s="39">
        <v>5901.66</v>
      </c>
      <c r="H4046" s="39">
        <f t="shared" si="395"/>
        <v>1</v>
      </c>
      <c r="I4046" s="39">
        <f t="shared" si="396"/>
        <v>0</v>
      </c>
      <c r="K4046" s="40"/>
      <c r="Q4046" s="40">
        <v>38985</v>
      </c>
      <c r="R4046" s="39">
        <v>5901.66</v>
      </c>
      <c r="S4046" s="39">
        <f t="shared" si="397"/>
        <v>9</v>
      </c>
      <c r="T4046" s="39">
        <f t="shared" si="398"/>
        <v>0</v>
      </c>
      <c r="U4046" s="39">
        <f t="shared" si="399"/>
        <v>0</v>
      </c>
      <c r="V4046" s="40"/>
    </row>
    <row r="4047" spans="2:22" x14ac:dyDescent="0.35">
      <c r="B4047" s="40">
        <v>38986</v>
      </c>
      <c r="C4047" s="39">
        <v>5960.63</v>
      </c>
      <c r="D4047" s="219">
        <f t="shared" si="400"/>
        <v>9.9425129181775779E-3</v>
      </c>
      <c r="F4047" s="40">
        <v>38986</v>
      </c>
      <c r="G4047" s="39">
        <v>5960.63</v>
      </c>
      <c r="H4047" s="39">
        <f t="shared" si="395"/>
        <v>2</v>
      </c>
      <c r="I4047" s="39">
        <f t="shared" si="396"/>
        <v>0</v>
      </c>
      <c r="K4047" s="40"/>
      <c r="Q4047" s="40">
        <v>38986</v>
      </c>
      <c r="R4047" s="39">
        <v>5960.63</v>
      </c>
      <c r="S4047" s="39">
        <f t="shared" si="397"/>
        <v>9</v>
      </c>
      <c r="T4047" s="39">
        <f t="shared" si="398"/>
        <v>0</v>
      </c>
      <c r="U4047" s="39">
        <f t="shared" si="399"/>
        <v>0</v>
      </c>
      <c r="V4047" s="40"/>
    </row>
    <row r="4048" spans="2:22" x14ac:dyDescent="0.35">
      <c r="B4048" s="40">
        <v>38987</v>
      </c>
      <c r="C4048" s="39">
        <v>5989.71</v>
      </c>
      <c r="D4048" s="219">
        <f t="shared" si="400"/>
        <v>4.8668167430918757E-3</v>
      </c>
      <c r="F4048" s="40">
        <v>38987</v>
      </c>
      <c r="G4048" s="39">
        <v>5989.71</v>
      </c>
      <c r="H4048" s="39">
        <f t="shared" si="395"/>
        <v>3</v>
      </c>
      <c r="I4048" s="39">
        <f t="shared" si="396"/>
        <v>0</v>
      </c>
      <c r="K4048" s="40"/>
      <c r="Q4048" s="40">
        <v>38987</v>
      </c>
      <c r="R4048" s="39">
        <v>5989.71</v>
      </c>
      <c r="S4048" s="39">
        <f t="shared" si="397"/>
        <v>9</v>
      </c>
      <c r="T4048" s="39">
        <f t="shared" si="398"/>
        <v>0</v>
      </c>
      <c r="U4048" s="39">
        <f t="shared" si="399"/>
        <v>0</v>
      </c>
      <c r="V4048" s="40"/>
    </row>
    <row r="4049" spans="2:22" x14ac:dyDescent="0.35">
      <c r="B4049" s="40">
        <v>38988</v>
      </c>
      <c r="C4049" s="39">
        <v>5989.16</v>
      </c>
      <c r="D4049" s="219">
        <f t="shared" si="400"/>
        <v>-9.1828361170374033E-5</v>
      </c>
      <c r="F4049" s="40">
        <v>38988</v>
      </c>
      <c r="G4049" s="39">
        <v>5989.16</v>
      </c>
      <c r="H4049" s="39">
        <f t="shared" si="395"/>
        <v>4</v>
      </c>
      <c r="I4049" s="39">
        <f t="shared" si="396"/>
        <v>0</v>
      </c>
      <c r="K4049" s="40"/>
      <c r="Q4049" s="40">
        <v>38988</v>
      </c>
      <c r="R4049" s="39">
        <v>5989.16</v>
      </c>
      <c r="S4049" s="39">
        <f t="shared" si="397"/>
        <v>9</v>
      </c>
      <c r="T4049" s="39">
        <f t="shared" si="398"/>
        <v>0</v>
      </c>
      <c r="U4049" s="39">
        <f t="shared" si="399"/>
        <v>0</v>
      </c>
      <c r="V4049" s="40"/>
    </row>
    <row r="4050" spans="2:22" x14ac:dyDescent="0.35">
      <c r="B4050" s="40">
        <v>38989</v>
      </c>
      <c r="C4050" s="39">
        <v>6004.33</v>
      </c>
      <c r="D4050" s="219">
        <f t="shared" si="400"/>
        <v>2.529707047728352E-3</v>
      </c>
      <c r="F4050" s="40">
        <v>38989</v>
      </c>
      <c r="G4050" s="39">
        <v>6004.33</v>
      </c>
      <c r="H4050" s="39">
        <f t="shared" si="395"/>
        <v>5</v>
      </c>
      <c r="I4050" s="39">
        <f t="shared" si="396"/>
        <v>6004.33</v>
      </c>
      <c r="K4050" s="40"/>
      <c r="Q4050" s="40">
        <v>38989</v>
      </c>
      <c r="R4050" s="39">
        <v>6004.33</v>
      </c>
      <c r="S4050" s="39">
        <f t="shared" si="397"/>
        <v>9</v>
      </c>
      <c r="T4050" s="39">
        <f t="shared" si="398"/>
        <v>6004.33</v>
      </c>
      <c r="U4050" s="39">
        <f t="shared" si="399"/>
        <v>6004.33</v>
      </c>
      <c r="V4050" s="40"/>
    </row>
    <row r="4051" spans="2:22" x14ac:dyDescent="0.35">
      <c r="B4051" s="40">
        <v>38992</v>
      </c>
      <c r="C4051" s="39">
        <v>5999.46</v>
      </c>
      <c r="D4051" s="219">
        <f t="shared" si="400"/>
        <v>-8.1141044073497915E-4</v>
      </c>
      <c r="F4051" s="40">
        <v>38992</v>
      </c>
      <c r="G4051" s="39">
        <v>5999.46</v>
      </c>
      <c r="H4051" s="39">
        <f t="shared" si="395"/>
        <v>1</v>
      </c>
      <c r="I4051" s="39">
        <f t="shared" si="396"/>
        <v>0</v>
      </c>
      <c r="K4051" s="40"/>
      <c r="Q4051" s="40">
        <v>38992</v>
      </c>
      <c r="R4051" s="39">
        <v>5999.46</v>
      </c>
      <c r="S4051" s="39">
        <f t="shared" si="397"/>
        <v>10</v>
      </c>
      <c r="T4051" s="39">
        <f t="shared" si="398"/>
        <v>0</v>
      </c>
      <c r="U4051" s="39">
        <f t="shared" si="399"/>
        <v>0</v>
      </c>
      <c r="V4051" s="40"/>
    </row>
    <row r="4052" spans="2:22" x14ac:dyDescent="0.35">
      <c r="B4052" s="40">
        <v>38993</v>
      </c>
      <c r="C4052" s="39">
        <v>5992.22</v>
      </c>
      <c r="D4052" s="219">
        <f t="shared" si="400"/>
        <v>-1.2075040160677514E-3</v>
      </c>
      <c r="F4052" s="40">
        <v>38993</v>
      </c>
      <c r="G4052" s="39">
        <v>5992.22</v>
      </c>
      <c r="H4052" s="39">
        <f t="shared" si="395"/>
        <v>2</v>
      </c>
      <c r="I4052" s="39">
        <f t="shared" si="396"/>
        <v>0</v>
      </c>
      <c r="K4052" s="40"/>
      <c r="Q4052" s="40">
        <v>38993</v>
      </c>
      <c r="R4052" s="39">
        <v>5992.22</v>
      </c>
      <c r="S4052" s="39">
        <f t="shared" si="397"/>
        <v>10</v>
      </c>
      <c r="T4052" s="39">
        <f t="shared" si="398"/>
        <v>0</v>
      </c>
      <c r="U4052" s="39">
        <f t="shared" si="399"/>
        <v>0</v>
      </c>
      <c r="V4052" s="40"/>
    </row>
    <row r="4053" spans="2:22" x14ac:dyDescent="0.35">
      <c r="B4053" s="40">
        <v>38994</v>
      </c>
      <c r="C4053" s="39">
        <v>6046.37</v>
      </c>
      <c r="D4053" s="219">
        <f t="shared" si="400"/>
        <v>8.9961308089733568E-3</v>
      </c>
      <c r="F4053" s="40">
        <v>38994</v>
      </c>
      <c r="G4053" s="39">
        <v>6046.37</v>
      </c>
      <c r="H4053" s="39">
        <f t="shared" si="395"/>
        <v>3</v>
      </c>
      <c r="I4053" s="39">
        <f t="shared" si="396"/>
        <v>0</v>
      </c>
      <c r="K4053" s="40"/>
      <c r="Q4053" s="40">
        <v>38994</v>
      </c>
      <c r="R4053" s="39">
        <v>6046.37</v>
      </c>
      <c r="S4053" s="39">
        <f t="shared" si="397"/>
        <v>10</v>
      </c>
      <c r="T4053" s="39">
        <f t="shared" si="398"/>
        <v>0</v>
      </c>
      <c r="U4053" s="39">
        <f t="shared" si="399"/>
        <v>0</v>
      </c>
      <c r="V4053" s="40"/>
    </row>
    <row r="4054" spans="2:22" x14ac:dyDescent="0.35">
      <c r="B4054" s="40">
        <v>38995</v>
      </c>
      <c r="C4054" s="39">
        <v>6075.28</v>
      </c>
      <c r="D4054" s="219">
        <f t="shared" si="400"/>
        <v>4.7699867287377268E-3</v>
      </c>
      <c r="F4054" s="40">
        <v>38995</v>
      </c>
      <c r="G4054" s="39">
        <v>6075.28</v>
      </c>
      <c r="H4054" s="39">
        <f t="shared" si="395"/>
        <v>4</v>
      </c>
      <c r="I4054" s="39">
        <f t="shared" si="396"/>
        <v>0</v>
      </c>
      <c r="K4054" s="40"/>
      <c r="Q4054" s="40">
        <v>38995</v>
      </c>
      <c r="R4054" s="39">
        <v>6075.28</v>
      </c>
      <c r="S4054" s="39">
        <f t="shared" si="397"/>
        <v>10</v>
      </c>
      <c r="T4054" s="39">
        <f t="shared" si="398"/>
        <v>0</v>
      </c>
      <c r="U4054" s="39">
        <f t="shared" si="399"/>
        <v>0</v>
      </c>
      <c r="V4054" s="40"/>
    </row>
    <row r="4055" spans="2:22" x14ac:dyDescent="0.35">
      <c r="B4055" s="40">
        <v>38996</v>
      </c>
      <c r="C4055" s="39">
        <v>6085.82</v>
      </c>
      <c r="D4055" s="219">
        <f t="shared" si="400"/>
        <v>1.733396261702419E-3</v>
      </c>
      <c r="F4055" s="40">
        <v>38996</v>
      </c>
      <c r="G4055" s="39">
        <v>6085.82</v>
      </c>
      <c r="H4055" s="39">
        <f t="shared" si="395"/>
        <v>5</v>
      </c>
      <c r="I4055" s="39">
        <f t="shared" si="396"/>
        <v>6085.82</v>
      </c>
      <c r="K4055" s="40"/>
      <c r="Q4055" s="40">
        <v>38996</v>
      </c>
      <c r="R4055" s="39">
        <v>6085.82</v>
      </c>
      <c r="S4055" s="39">
        <f t="shared" si="397"/>
        <v>10</v>
      </c>
      <c r="T4055" s="39">
        <f t="shared" si="398"/>
        <v>0</v>
      </c>
      <c r="U4055" s="39">
        <f t="shared" si="399"/>
        <v>0</v>
      </c>
      <c r="V4055" s="40"/>
    </row>
    <row r="4056" spans="2:22" x14ac:dyDescent="0.35">
      <c r="B4056" s="40">
        <v>38999</v>
      </c>
      <c r="C4056" s="39">
        <v>6084.4</v>
      </c>
      <c r="D4056" s="219">
        <f t="shared" si="400"/>
        <v>-2.3335650570717996E-4</v>
      </c>
      <c r="F4056" s="40">
        <v>38999</v>
      </c>
      <c r="G4056" s="39">
        <v>6084.4</v>
      </c>
      <c r="H4056" s="39">
        <f t="shared" si="395"/>
        <v>1</v>
      </c>
      <c r="I4056" s="39">
        <f t="shared" si="396"/>
        <v>0</v>
      </c>
      <c r="K4056" s="40"/>
      <c r="Q4056" s="40">
        <v>38999</v>
      </c>
      <c r="R4056" s="39">
        <v>6084.4</v>
      </c>
      <c r="S4056" s="39">
        <f t="shared" si="397"/>
        <v>10</v>
      </c>
      <c r="T4056" s="39">
        <f t="shared" si="398"/>
        <v>0</v>
      </c>
      <c r="U4056" s="39">
        <f t="shared" si="399"/>
        <v>0</v>
      </c>
      <c r="V4056" s="40"/>
    </row>
    <row r="4057" spans="2:22" x14ac:dyDescent="0.35">
      <c r="B4057" s="40">
        <v>39000</v>
      </c>
      <c r="C4057" s="39">
        <v>6117.71</v>
      </c>
      <c r="D4057" s="219">
        <f t="shared" si="400"/>
        <v>5.4597250383183957E-3</v>
      </c>
      <c r="F4057" s="40">
        <v>39000</v>
      </c>
      <c r="G4057" s="39">
        <v>6117.71</v>
      </c>
      <c r="H4057" s="39">
        <f t="shared" si="395"/>
        <v>2</v>
      </c>
      <c r="I4057" s="39">
        <f t="shared" si="396"/>
        <v>0</v>
      </c>
      <c r="K4057" s="40"/>
      <c r="Q4057" s="40">
        <v>39000</v>
      </c>
      <c r="R4057" s="39">
        <v>6117.71</v>
      </c>
      <c r="S4057" s="39">
        <f t="shared" si="397"/>
        <v>10</v>
      </c>
      <c r="T4057" s="39">
        <f t="shared" si="398"/>
        <v>0</v>
      </c>
      <c r="U4057" s="39">
        <f t="shared" si="399"/>
        <v>0</v>
      </c>
      <c r="V4057" s="40"/>
    </row>
    <row r="4058" spans="2:22" x14ac:dyDescent="0.35">
      <c r="B4058" s="40">
        <v>39001</v>
      </c>
      <c r="C4058" s="39">
        <v>6119.45</v>
      </c>
      <c r="D4058" s="219">
        <f t="shared" si="400"/>
        <v>2.8437971093399263E-4</v>
      </c>
      <c r="F4058" s="40">
        <v>39001</v>
      </c>
      <c r="G4058" s="39">
        <v>6119.45</v>
      </c>
      <c r="H4058" s="39">
        <f t="shared" si="395"/>
        <v>3</v>
      </c>
      <c r="I4058" s="39">
        <f t="shared" si="396"/>
        <v>0</v>
      </c>
      <c r="K4058" s="40"/>
      <c r="Q4058" s="40">
        <v>39001</v>
      </c>
      <c r="R4058" s="39">
        <v>6119.45</v>
      </c>
      <c r="S4058" s="39">
        <f t="shared" si="397"/>
        <v>10</v>
      </c>
      <c r="T4058" s="39">
        <f t="shared" si="398"/>
        <v>0</v>
      </c>
      <c r="U4058" s="39">
        <f t="shared" si="399"/>
        <v>0</v>
      </c>
      <c r="V4058" s="40"/>
    </row>
    <row r="4059" spans="2:22" x14ac:dyDescent="0.35">
      <c r="B4059" s="40">
        <v>39002</v>
      </c>
      <c r="C4059" s="39">
        <v>6160.28</v>
      </c>
      <c r="D4059" s="219">
        <f t="shared" si="400"/>
        <v>6.6500078531533027E-3</v>
      </c>
      <c r="F4059" s="40">
        <v>39002</v>
      </c>
      <c r="G4059" s="39">
        <v>6160.28</v>
      </c>
      <c r="H4059" s="39">
        <f t="shared" si="395"/>
        <v>4</v>
      </c>
      <c r="I4059" s="39">
        <f t="shared" si="396"/>
        <v>0</v>
      </c>
      <c r="K4059" s="40"/>
      <c r="Q4059" s="40">
        <v>39002</v>
      </c>
      <c r="R4059" s="39">
        <v>6160.28</v>
      </c>
      <c r="S4059" s="39">
        <f t="shared" si="397"/>
        <v>10</v>
      </c>
      <c r="T4059" s="39">
        <f t="shared" si="398"/>
        <v>0</v>
      </c>
      <c r="U4059" s="39">
        <f t="shared" si="399"/>
        <v>0</v>
      </c>
      <c r="V4059" s="40"/>
    </row>
    <row r="4060" spans="2:22" x14ac:dyDescent="0.35">
      <c r="B4060" s="40">
        <v>39003</v>
      </c>
      <c r="C4060" s="39">
        <v>6173.68</v>
      </c>
      <c r="D4060" s="219">
        <f t="shared" si="400"/>
        <v>2.1728634229652285E-3</v>
      </c>
      <c r="F4060" s="40">
        <v>39003</v>
      </c>
      <c r="G4060" s="39">
        <v>6173.68</v>
      </c>
      <c r="H4060" s="39">
        <f t="shared" si="395"/>
        <v>5</v>
      </c>
      <c r="I4060" s="39">
        <f t="shared" si="396"/>
        <v>6173.68</v>
      </c>
      <c r="K4060" s="40"/>
      <c r="Q4060" s="40">
        <v>39003</v>
      </c>
      <c r="R4060" s="39">
        <v>6173.68</v>
      </c>
      <c r="S4060" s="39">
        <f t="shared" si="397"/>
        <v>10</v>
      </c>
      <c r="T4060" s="39">
        <f t="shared" si="398"/>
        <v>0</v>
      </c>
      <c r="U4060" s="39">
        <f t="shared" si="399"/>
        <v>0</v>
      </c>
      <c r="V4060" s="40"/>
    </row>
    <row r="4061" spans="2:22" x14ac:dyDescent="0.35">
      <c r="B4061" s="40">
        <v>39006</v>
      </c>
      <c r="C4061" s="39">
        <v>6186.54</v>
      </c>
      <c r="D4061" s="219">
        <f t="shared" si="400"/>
        <v>2.0808698615942681E-3</v>
      </c>
      <c r="F4061" s="40">
        <v>39006</v>
      </c>
      <c r="G4061" s="39">
        <v>6186.54</v>
      </c>
      <c r="H4061" s="39">
        <f t="shared" si="395"/>
        <v>1</v>
      </c>
      <c r="I4061" s="39">
        <f t="shared" si="396"/>
        <v>0</v>
      </c>
      <c r="K4061" s="40"/>
      <c r="Q4061" s="40">
        <v>39006</v>
      </c>
      <c r="R4061" s="39">
        <v>6186.54</v>
      </c>
      <c r="S4061" s="39">
        <f t="shared" si="397"/>
        <v>10</v>
      </c>
      <c r="T4061" s="39">
        <f t="shared" si="398"/>
        <v>0</v>
      </c>
      <c r="U4061" s="39">
        <f t="shared" si="399"/>
        <v>0</v>
      </c>
      <c r="V4061" s="40"/>
    </row>
    <row r="4062" spans="2:22" x14ac:dyDescent="0.35">
      <c r="B4062" s="40">
        <v>39007</v>
      </c>
      <c r="C4062" s="39">
        <v>6115.1</v>
      </c>
      <c r="D4062" s="219">
        <f t="shared" si="400"/>
        <v>-1.1614842107229743E-2</v>
      </c>
      <c r="F4062" s="40">
        <v>39007</v>
      </c>
      <c r="G4062" s="39">
        <v>6115.1</v>
      </c>
      <c r="H4062" s="39">
        <f t="shared" si="395"/>
        <v>2</v>
      </c>
      <c r="I4062" s="39">
        <f t="shared" si="396"/>
        <v>0</v>
      </c>
      <c r="K4062" s="40"/>
      <c r="Q4062" s="40">
        <v>39007</v>
      </c>
      <c r="R4062" s="39">
        <v>6115.1</v>
      </c>
      <c r="S4062" s="39">
        <f t="shared" si="397"/>
        <v>10</v>
      </c>
      <c r="T4062" s="39">
        <f t="shared" si="398"/>
        <v>0</v>
      </c>
      <c r="U4062" s="39">
        <f t="shared" si="399"/>
        <v>0</v>
      </c>
      <c r="V4062" s="40"/>
    </row>
    <row r="4063" spans="2:22" x14ac:dyDescent="0.35">
      <c r="B4063" s="40">
        <v>39008</v>
      </c>
      <c r="C4063" s="39">
        <v>6182.78</v>
      </c>
      <c r="D4063" s="219">
        <f t="shared" si="400"/>
        <v>1.1006886275250056E-2</v>
      </c>
      <c r="F4063" s="40">
        <v>39008</v>
      </c>
      <c r="G4063" s="39">
        <v>6182.78</v>
      </c>
      <c r="H4063" s="39">
        <f t="shared" si="395"/>
        <v>3</v>
      </c>
      <c r="I4063" s="39">
        <f t="shared" si="396"/>
        <v>0</v>
      </c>
      <c r="K4063" s="40"/>
      <c r="Q4063" s="40">
        <v>39008</v>
      </c>
      <c r="R4063" s="39">
        <v>6182.78</v>
      </c>
      <c r="S4063" s="39">
        <f t="shared" si="397"/>
        <v>10</v>
      </c>
      <c r="T4063" s="39">
        <f t="shared" si="398"/>
        <v>0</v>
      </c>
      <c r="U4063" s="39">
        <f t="shared" si="399"/>
        <v>0</v>
      </c>
      <c r="V4063" s="40"/>
    </row>
    <row r="4064" spans="2:22" x14ac:dyDescent="0.35">
      <c r="B4064" s="40">
        <v>39009</v>
      </c>
      <c r="C4064" s="39">
        <v>6177.42</v>
      </c>
      <c r="D4064" s="219">
        <f t="shared" si="400"/>
        <v>-8.6729993624481006E-4</v>
      </c>
      <c r="F4064" s="40">
        <v>39009</v>
      </c>
      <c r="G4064" s="39">
        <v>6177.42</v>
      </c>
      <c r="H4064" s="39">
        <f t="shared" si="395"/>
        <v>4</v>
      </c>
      <c r="I4064" s="39">
        <f t="shared" si="396"/>
        <v>0</v>
      </c>
      <c r="K4064" s="40"/>
      <c r="Q4064" s="40">
        <v>39009</v>
      </c>
      <c r="R4064" s="39">
        <v>6177.42</v>
      </c>
      <c r="S4064" s="39">
        <f t="shared" si="397"/>
        <v>10</v>
      </c>
      <c r="T4064" s="39">
        <f t="shared" si="398"/>
        <v>0</v>
      </c>
      <c r="U4064" s="39">
        <f t="shared" si="399"/>
        <v>0</v>
      </c>
      <c r="V4064" s="40"/>
    </row>
    <row r="4065" spans="2:22" x14ac:dyDescent="0.35">
      <c r="B4065" s="40">
        <v>39010</v>
      </c>
      <c r="C4065" s="39">
        <v>6202.82</v>
      </c>
      <c r="D4065" s="219">
        <f t="shared" si="400"/>
        <v>4.1033187787608647E-3</v>
      </c>
      <c r="F4065" s="40">
        <v>39010</v>
      </c>
      <c r="G4065" s="39">
        <v>6202.82</v>
      </c>
      <c r="H4065" s="39">
        <f t="shared" si="395"/>
        <v>5</v>
      </c>
      <c r="I4065" s="39">
        <f t="shared" si="396"/>
        <v>6202.82</v>
      </c>
      <c r="K4065" s="40"/>
      <c r="Q4065" s="40">
        <v>39010</v>
      </c>
      <c r="R4065" s="39">
        <v>6202.82</v>
      </c>
      <c r="S4065" s="39">
        <f t="shared" si="397"/>
        <v>10</v>
      </c>
      <c r="T4065" s="39">
        <f t="shared" si="398"/>
        <v>0</v>
      </c>
      <c r="U4065" s="39">
        <f t="shared" si="399"/>
        <v>0</v>
      </c>
      <c r="V4065" s="40"/>
    </row>
    <row r="4066" spans="2:22" x14ac:dyDescent="0.35">
      <c r="B4066" s="40">
        <v>39013</v>
      </c>
      <c r="C4066" s="39">
        <v>6242.91</v>
      </c>
      <c r="D4066" s="219">
        <f t="shared" si="400"/>
        <v>6.4423924766578086E-3</v>
      </c>
      <c r="F4066" s="40">
        <v>39013</v>
      </c>
      <c r="G4066" s="39">
        <v>6242.91</v>
      </c>
      <c r="H4066" s="39">
        <f t="shared" si="395"/>
        <v>1</v>
      </c>
      <c r="I4066" s="39">
        <f t="shared" si="396"/>
        <v>0</v>
      </c>
      <c r="K4066" s="40"/>
      <c r="Q4066" s="40">
        <v>39013</v>
      </c>
      <c r="R4066" s="39">
        <v>6242.91</v>
      </c>
      <c r="S4066" s="39">
        <f t="shared" si="397"/>
        <v>10</v>
      </c>
      <c r="T4066" s="39">
        <f t="shared" si="398"/>
        <v>0</v>
      </c>
      <c r="U4066" s="39">
        <f t="shared" si="399"/>
        <v>0</v>
      </c>
      <c r="V4066" s="40"/>
    </row>
    <row r="4067" spans="2:22" x14ac:dyDescent="0.35">
      <c r="B4067" s="40">
        <v>39014</v>
      </c>
      <c r="C4067" s="39">
        <v>6247.52</v>
      </c>
      <c r="D4067" s="219">
        <f t="shared" si="400"/>
        <v>7.3816517274881031E-4</v>
      </c>
      <c r="F4067" s="40">
        <v>39014</v>
      </c>
      <c r="G4067" s="39">
        <v>6247.52</v>
      </c>
      <c r="H4067" s="39">
        <f t="shared" si="395"/>
        <v>2</v>
      </c>
      <c r="I4067" s="39">
        <f t="shared" si="396"/>
        <v>0</v>
      </c>
      <c r="K4067" s="40"/>
      <c r="Q4067" s="40">
        <v>39014</v>
      </c>
      <c r="R4067" s="39">
        <v>6247.52</v>
      </c>
      <c r="S4067" s="39">
        <f t="shared" si="397"/>
        <v>10</v>
      </c>
      <c r="T4067" s="39">
        <f t="shared" si="398"/>
        <v>0</v>
      </c>
      <c r="U4067" s="39">
        <f t="shared" si="399"/>
        <v>0</v>
      </c>
      <c r="V4067" s="40"/>
    </row>
    <row r="4068" spans="2:22" x14ac:dyDescent="0.35">
      <c r="B4068" s="40">
        <v>39015</v>
      </c>
      <c r="C4068" s="39">
        <v>6264.92</v>
      </c>
      <c r="D4068" s="219">
        <f t="shared" si="400"/>
        <v>2.7812339105926899E-3</v>
      </c>
      <c r="F4068" s="40">
        <v>39015</v>
      </c>
      <c r="G4068" s="39">
        <v>6264.92</v>
      </c>
      <c r="H4068" s="39">
        <f t="shared" si="395"/>
        <v>3</v>
      </c>
      <c r="I4068" s="39">
        <f t="shared" si="396"/>
        <v>0</v>
      </c>
      <c r="K4068" s="40"/>
      <c r="Q4068" s="40">
        <v>39015</v>
      </c>
      <c r="R4068" s="39">
        <v>6264.92</v>
      </c>
      <c r="S4068" s="39">
        <f t="shared" si="397"/>
        <v>10</v>
      </c>
      <c r="T4068" s="39">
        <f t="shared" si="398"/>
        <v>0</v>
      </c>
      <c r="U4068" s="39">
        <f t="shared" si="399"/>
        <v>0</v>
      </c>
      <c r="V4068" s="40"/>
    </row>
    <row r="4069" spans="2:22" x14ac:dyDescent="0.35">
      <c r="B4069" s="40">
        <v>39016</v>
      </c>
      <c r="C4069" s="39">
        <v>6284.19</v>
      </c>
      <c r="D4069" s="219">
        <f t="shared" si="400"/>
        <v>3.0711365421171337E-3</v>
      </c>
      <c r="F4069" s="40">
        <v>39016</v>
      </c>
      <c r="G4069" s="39">
        <v>6284.19</v>
      </c>
      <c r="H4069" s="39">
        <f t="shared" si="395"/>
        <v>4</v>
      </c>
      <c r="I4069" s="39">
        <f t="shared" si="396"/>
        <v>0</v>
      </c>
      <c r="K4069" s="40"/>
      <c r="Q4069" s="40">
        <v>39016</v>
      </c>
      <c r="R4069" s="39">
        <v>6284.19</v>
      </c>
      <c r="S4069" s="39">
        <f t="shared" si="397"/>
        <v>10</v>
      </c>
      <c r="T4069" s="39">
        <f t="shared" si="398"/>
        <v>0</v>
      </c>
      <c r="U4069" s="39">
        <f t="shared" si="399"/>
        <v>0</v>
      </c>
      <c r="V4069" s="40"/>
    </row>
    <row r="4070" spans="2:22" x14ac:dyDescent="0.35">
      <c r="B4070" s="40">
        <v>39017</v>
      </c>
      <c r="C4070" s="39">
        <v>6262.54</v>
      </c>
      <c r="D4070" s="219">
        <f t="shared" si="400"/>
        <v>-3.4511018389346265E-3</v>
      </c>
      <c r="F4070" s="40">
        <v>39017</v>
      </c>
      <c r="G4070" s="39">
        <v>6262.54</v>
      </c>
      <c r="H4070" s="39">
        <f t="shared" si="395"/>
        <v>5</v>
      </c>
      <c r="I4070" s="39">
        <f t="shared" si="396"/>
        <v>6262.54</v>
      </c>
      <c r="K4070" s="40"/>
      <c r="Q4070" s="40">
        <v>39017</v>
      </c>
      <c r="R4070" s="39">
        <v>6262.54</v>
      </c>
      <c r="S4070" s="39">
        <f t="shared" si="397"/>
        <v>10</v>
      </c>
      <c r="T4070" s="39">
        <f t="shared" si="398"/>
        <v>0</v>
      </c>
      <c r="U4070" s="39">
        <f t="shared" si="399"/>
        <v>0</v>
      </c>
      <c r="V4070" s="40"/>
    </row>
    <row r="4071" spans="2:22" x14ac:dyDescent="0.35">
      <c r="B4071" s="40">
        <v>39020</v>
      </c>
      <c r="C4071" s="39">
        <v>6258.19</v>
      </c>
      <c r="D4071" s="219">
        <f t="shared" si="400"/>
        <v>-6.9484769258986443E-4</v>
      </c>
      <c r="F4071" s="40">
        <v>39020</v>
      </c>
      <c r="G4071" s="39">
        <v>6258.19</v>
      </c>
      <c r="H4071" s="39">
        <f t="shared" si="395"/>
        <v>1</v>
      </c>
      <c r="I4071" s="39">
        <f t="shared" si="396"/>
        <v>0</v>
      </c>
      <c r="K4071" s="40"/>
      <c r="Q4071" s="40">
        <v>39020</v>
      </c>
      <c r="R4071" s="39">
        <v>6258.19</v>
      </c>
      <c r="S4071" s="39">
        <f t="shared" si="397"/>
        <v>10</v>
      </c>
      <c r="T4071" s="39">
        <f t="shared" si="398"/>
        <v>0</v>
      </c>
      <c r="U4071" s="39">
        <f t="shared" si="399"/>
        <v>0</v>
      </c>
      <c r="V4071" s="40"/>
    </row>
    <row r="4072" spans="2:22" x14ac:dyDescent="0.35">
      <c r="B4072" s="40">
        <v>39021</v>
      </c>
      <c r="C4072" s="39">
        <v>6268.92</v>
      </c>
      <c r="D4072" s="219">
        <f t="shared" si="400"/>
        <v>1.7130850809286449E-3</v>
      </c>
      <c r="F4072" s="40">
        <v>39021</v>
      </c>
      <c r="G4072" s="39">
        <v>6268.92</v>
      </c>
      <c r="H4072" s="39">
        <f t="shared" si="395"/>
        <v>2</v>
      </c>
      <c r="I4072" s="39">
        <f t="shared" si="396"/>
        <v>0</v>
      </c>
      <c r="K4072" s="40"/>
      <c r="Q4072" s="40">
        <v>39021</v>
      </c>
      <c r="R4072" s="39">
        <v>6268.92</v>
      </c>
      <c r="S4072" s="39">
        <f t="shared" si="397"/>
        <v>10</v>
      </c>
      <c r="T4072" s="39">
        <f t="shared" si="398"/>
        <v>6268.92</v>
      </c>
      <c r="U4072" s="39">
        <f t="shared" si="399"/>
        <v>6268.92</v>
      </c>
      <c r="V4072" s="40"/>
    </row>
    <row r="4073" spans="2:22" x14ac:dyDescent="0.35">
      <c r="B4073" s="40">
        <v>39022</v>
      </c>
      <c r="C4073" s="39">
        <v>6291.9</v>
      </c>
      <c r="D4073" s="219">
        <f t="shared" si="400"/>
        <v>3.6590008675491145E-3</v>
      </c>
      <c r="F4073" s="40">
        <v>39022</v>
      </c>
      <c r="G4073" s="39">
        <v>6291.9</v>
      </c>
      <c r="H4073" s="39">
        <f t="shared" si="395"/>
        <v>3</v>
      </c>
      <c r="I4073" s="39">
        <f t="shared" si="396"/>
        <v>0</v>
      </c>
      <c r="K4073" s="40"/>
      <c r="Q4073" s="40">
        <v>39022</v>
      </c>
      <c r="R4073" s="39">
        <v>6291.9</v>
      </c>
      <c r="S4073" s="39">
        <f t="shared" si="397"/>
        <v>11</v>
      </c>
      <c r="T4073" s="39">
        <f t="shared" si="398"/>
        <v>0</v>
      </c>
      <c r="U4073" s="39">
        <f t="shared" si="399"/>
        <v>0</v>
      </c>
      <c r="V4073" s="40"/>
    </row>
    <row r="4074" spans="2:22" x14ac:dyDescent="0.35">
      <c r="B4074" s="40">
        <v>39023</v>
      </c>
      <c r="C4074" s="39">
        <v>6223.33</v>
      </c>
      <c r="D4074" s="219">
        <f t="shared" si="400"/>
        <v>-1.0957958605283201E-2</v>
      </c>
      <c r="F4074" s="40">
        <v>39023</v>
      </c>
      <c r="G4074" s="39">
        <v>6223.33</v>
      </c>
      <c r="H4074" s="39">
        <f t="shared" si="395"/>
        <v>4</v>
      </c>
      <c r="I4074" s="39">
        <f t="shared" si="396"/>
        <v>0</v>
      </c>
      <c r="K4074" s="40"/>
      <c r="Q4074" s="40">
        <v>39023</v>
      </c>
      <c r="R4074" s="39">
        <v>6223.33</v>
      </c>
      <c r="S4074" s="39">
        <f t="shared" si="397"/>
        <v>11</v>
      </c>
      <c r="T4074" s="39">
        <f t="shared" si="398"/>
        <v>0</v>
      </c>
      <c r="U4074" s="39">
        <f t="shared" si="399"/>
        <v>0</v>
      </c>
      <c r="V4074" s="40"/>
    </row>
    <row r="4075" spans="2:22" x14ac:dyDescent="0.35">
      <c r="B4075" s="40">
        <v>39024</v>
      </c>
      <c r="C4075" s="39">
        <v>6241.15</v>
      </c>
      <c r="D4075" s="219">
        <f t="shared" si="400"/>
        <v>2.859327006178935E-3</v>
      </c>
      <c r="F4075" s="40">
        <v>39024</v>
      </c>
      <c r="G4075" s="39">
        <v>6241.15</v>
      </c>
      <c r="H4075" s="39">
        <f t="shared" si="395"/>
        <v>5</v>
      </c>
      <c r="I4075" s="39">
        <f t="shared" si="396"/>
        <v>6241.15</v>
      </c>
      <c r="K4075" s="40"/>
      <c r="Q4075" s="40">
        <v>39024</v>
      </c>
      <c r="R4075" s="39">
        <v>6241.15</v>
      </c>
      <c r="S4075" s="39">
        <f t="shared" si="397"/>
        <v>11</v>
      </c>
      <c r="T4075" s="39">
        <f t="shared" si="398"/>
        <v>0</v>
      </c>
      <c r="U4075" s="39">
        <f t="shared" si="399"/>
        <v>0</v>
      </c>
      <c r="V4075" s="40"/>
    </row>
    <row r="4076" spans="2:22" x14ac:dyDescent="0.35">
      <c r="B4076" s="40">
        <v>39027</v>
      </c>
      <c r="C4076" s="39">
        <v>6330.65</v>
      </c>
      <c r="D4076" s="219">
        <f t="shared" si="400"/>
        <v>1.4238456235372237E-2</v>
      </c>
      <c r="F4076" s="40">
        <v>39027</v>
      </c>
      <c r="G4076" s="39">
        <v>6330.65</v>
      </c>
      <c r="H4076" s="39">
        <f t="shared" si="395"/>
        <v>1</v>
      </c>
      <c r="I4076" s="39">
        <f t="shared" si="396"/>
        <v>0</v>
      </c>
      <c r="K4076" s="40"/>
      <c r="Q4076" s="40">
        <v>39027</v>
      </c>
      <c r="R4076" s="39">
        <v>6330.65</v>
      </c>
      <c r="S4076" s="39">
        <f t="shared" si="397"/>
        <v>11</v>
      </c>
      <c r="T4076" s="39">
        <f t="shared" si="398"/>
        <v>0</v>
      </c>
      <c r="U4076" s="39">
        <f t="shared" si="399"/>
        <v>0</v>
      </c>
      <c r="V4076" s="40"/>
    </row>
    <row r="4077" spans="2:22" x14ac:dyDescent="0.35">
      <c r="B4077" s="40">
        <v>39028</v>
      </c>
      <c r="C4077" s="39">
        <v>6361.96</v>
      </c>
      <c r="D4077" s="219">
        <f t="shared" si="400"/>
        <v>4.9335894678693608E-3</v>
      </c>
      <c r="F4077" s="40">
        <v>39028</v>
      </c>
      <c r="G4077" s="39">
        <v>6361.96</v>
      </c>
      <c r="H4077" s="39">
        <f t="shared" si="395"/>
        <v>2</v>
      </c>
      <c r="I4077" s="39">
        <f t="shared" si="396"/>
        <v>0</v>
      </c>
      <c r="K4077" s="40"/>
      <c r="Q4077" s="40">
        <v>39028</v>
      </c>
      <c r="R4077" s="39">
        <v>6361.96</v>
      </c>
      <c r="S4077" s="39">
        <f t="shared" si="397"/>
        <v>11</v>
      </c>
      <c r="T4077" s="39">
        <f t="shared" si="398"/>
        <v>0</v>
      </c>
      <c r="U4077" s="39">
        <f t="shared" si="399"/>
        <v>0</v>
      </c>
      <c r="V4077" s="40"/>
    </row>
    <row r="4078" spans="2:22" x14ac:dyDescent="0.35">
      <c r="B4078" s="40">
        <v>39029</v>
      </c>
      <c r="C4078" s="39">
        <v>6349.26</v>
      </c>
      <c r="D4078" s="219">
        <f t="shared" si="400"/>
        <v>-1.998235295410775E-3</v>
      </c>
      <c r="F4078" s="40">
        <v>39029</v>
      </c>
      <c r="G4078" s="39">
        <v>6349.26</v>
      </c>
      <c r="H4078" s="39">
        <f t="shared" si="395"/>
        <v>3</v>
      </c>
      <c r="I4078" s="39">
        <f t="shared" si="396"/>
        <v>0</v>
      </c>
      <c r="K4078" s="40"/>
      <c r="Q4078" s="40">
        <v>39029</v>
      </c>
      <c r="R4078" s="39">
        <v>6349.26</v>
      </c>
      <c r="S4078" s="39">
        <f t="shared" si="397"/>
        <v>11</v>
      </c>
      <c r="T4078" s="39">
        <f t="shared" si="398"/>
        <v>0</v>
      </c>
      <c r="U4078" s="39">
        <f t="shared" si="399"/>
        <v>0</v>
      </c>
      <c r="V4078" s="40"/>
    </row>
    <row r="4079" spans="2:22" x14ac:dyDescent="0.35">
      <c r="B4079" s="40">
        <v>39030</v>
      </c>
      <c r="C4079" s="39">
        <v>6358.68</v>
      </c>
      <c r="D4079" s="219">
        <f t="shared" si="400"/>
        <v>1.4825379605767788E-3</v>
      </c>
      <c r="F4079" s="40">
        <v>39030</v>
      </c>
      <c r="G4079" s="39">
        <v>6358.68</v>
      </c>
      <c r="H4079" s="39">
        <f t="shared" si="395"/>
        <v>4</v>
      </c>
      <c r="I4079" s="39">
        <f t="shared" si="396"/>
        <v>0</v>
      </c>
      <c r="K4079" s="40"/>
      <c r="Q4079" s="40">
        <v>39030</v>
      </c>
      <c r="R4079" s="39">
        <v>6358.68</v>
      </c>
      <c r="S4079" s="39">
        <f t="shared" si="397"/>
        <v>11</v>
      </c>
      <c r="T4079" s="39">
        <f t="shared" si="398"/>
        <v>0</v>
      </c>
      <c r="U4079" s="39">
        <f t="shared" si="399"/>
        <v>0</v>
      </c>
      <c r="V4079" s="40"/>
    </row>
    <row r="4080" spans="2:22" x14ac:dyDescent="0.35">
      <c r="B4080" s="40">
        <v>39031</v>
      </c>
      <c r="C4080" s="39">
        <v>6357.77</v>
      </c>
      <c r="D4080" s="219">
        <f t="shared" si="400"/>
        <v>-1.4312170480801248E-4</v>
      </c>
      <c r="F4080" s="40">
        <v>39031</v>
      </c>
      <c r="G4080" s="39">
        <v>6357.77</v>
      </c>
      <c r="H4080" s="39">
        <f t="shared" si="395"/>
        <v>5</v>
      </c>
      <c r="I4080" s="39">
        <f t="shared" si="396"/>
        <v>6357.77</v>
      </c>
      <c r="K4080" s="40"/>
      <c r="Q4080" s="40">
        <v>39031</v>
      </c>
      <c r="R4080" s="39">
        <v>6357.77</v>
      </c>
      <c r="S4080" s="39">
        <f t="shared" si="397"/>
        <v>11</v>
      </c>
      <c r="T4080" s="39">
        <f t="shared" si="398"/>
        <v>0</v>
      </c>
      <c r="U4080" s="39">
        <f t="shared" si="399"/>
        <v>0</v>
      </c>
      <c r="V4080" s="40"/>
    </row>
    <row r="4081" spans="2:22" x14ac:dyDescent="0.35">
      <c r="B4081" s="40">
        <v>39034</v>
      </c>
      <c r="C4081" s="39">
        <v>6393.73</v>
      </c>
      <c r="D4081" s="219">
        <f t="shared" si="400"/>
        <v>5.6401357216492197E-3</v>
      </c>
      <c r="F4081" s="40">
        <v>39034</v>
      </c>
      <c r="G4081" s="39">
        <v>6393.73</v>
      </c>
      <c r="H4081" s="39">
        <f t="shared" si="395"/>
        <v>1</v>
      </c>
      <c r="I4081" s="39">
        <f t="shared" si="396"/>
        <v>0</v>
      </c>
      <c r="K4081" s="40"/>
      <c r="Q4081" s="40">
        <v>39034</v>
      </c>
      <c r="R4081" s="39">
        <v>6393.73</v>
      </c>
      <c r="S4081" s="39">
        <f t="shared" si="397"/>
        <v>11</v>
      </c>
      <c r="T4081" s="39">
        <f t="shared" si="398"/>
        <v>0</v>
      </c>
      <c r="U4081" s="39">
        <f t="shared" si="399"/>
        <v>0</v>
      </c>
      <c r="V4081" s="40"/>
    </row>
    <row r="4082" spans="2:22" x14ac:dyDescent="0.35">
      <c r="B4082" s="40">
        <v>39035</v>
      </c>
      <c r="C4082" s="39">
        <v>6387.38</v>
      </c>
      <c r="D4082" s="219">
        <f t="shared" si="400"/>
        <v>-9.9365399757474649E-4</v>
      </c>
      <c r="F4082" s="40">
        <v>39035</v>
      </c>
      <c r="G4082" s="39">
        <v>6387.38</v>
      </c>
      <c r="H4082" s="39">
        <f t="shared" si="395"/>
        <v>2</v>
      </c>
      <c r="I4082" s="39">
        <f t="shared" si="396"/>
        <v>0</v>
      </c>
      <c r="K4082" s="40"/>
      <c r="Q4082" s="40">
        <v>39035</v>
      </c>
      <c r="R4082" s="39">
        <v>6387.38</v>
      </c>
      <c r="S4082" s="39">
        <f t="shared" si="397"/>
        <v>11</v>
      </c>
      <c r="T4082" s="39">
        <f t="shared" si="398"/>
        <v>0</v>
      </c>
      <c r="U4082" s="39">
        <f t="shared" si="399"/>
        <v>0</v>
      </c>
      <c r="V4082" s="40"/>
    </row>
    <row r="4083" spans="2:22" x14ac:dyDescent="0.35">
      <c r="B4083" s="40">
        <v>39036</v>
      </c>
      <c r="C4083" s="39">
        <v>6430.89</v>
      </c>
      <c r="D4083" s="219">
        <f t="shared" si="400"/>
        <v>6.7887736964937963E-3</v>
      </c>
      <c r="F4083" s="40">
        <v>39036</v>
      </c>
      <c r="G4083" s="39">
        <v>6430.89</v>
      </c>
      <c r="H4083" s="39">
        <f t="shared" si="395"/>
        <v>3</v>
      </c>
      <c r="I4083" s="39">
        <f t="shared" si="396"/>
        <v>0</v>
      </c>
      <c r="K4083" s="40"/>
      <c r="Q4083" s="40">
        <v>39036</v>
      </c>
      <c r="R4083" s="39">
        <v>6430.89</v>
      </c>
      <c r="S4083" s="39">
        <f t="shared" si="397"/>
        <v>11</v>
      </c>
      <c r="T4083" s="39">
        <f t="shared" si="398"/>
        <v>0</v>
      </c>
      <c r="U4083" s="39">
        <f t="shared" si="399"/>
        <v>0</v>
      </c>
      <c r="V4083" s="40"/>
    </row>
    <row r="4084" spans="2:22" x14ac:dyDescent="0.35">
      <c r="B4084" s="40">
        <v>39037</v>
      </c>
      <c r="C4084" s="39">
        <v>6443.02</v>
      </c>
      <c r="D4084" s="219">
        <f t="shared" si="400"/>
        <v>1.8844319386345963E-3</v>
      </c>
      <c r="F4084" s="40">
        <v>39037</v>
      </c>
      <c r="G4084" s="39">
        <v>6443.02</v>
      </c>
      <c r="H4084" s="39">
        <f t="shared" si="395"/>
        <v>4</v>
      </c>
      <c r="I4084" s="39">
        <f t="shared" si="396"/>
        <v>0</v>
      </c>
      <c r="K4084" s="40"/>
      <c r="Q4084" s="40">
        <v>39037</v>
      </c>
      <c r="R4084" s="39">
        <v>6443.02</v>
      </c>
      <c r="S4084" s="39">
        <f t="shared" si="397"/>
        <v>11</v>
      </c>
      <c r="T4084" s="39">
        <f t="shared" si="398"/>
        <v>0</v>
      </c>
      <c r="U4084" s="39">
        <f t="shared" si="399"/>
        <v>0</v>
      </c>
      <c r="V4084" s="40"/>
    </row>
    <row r="4085" spans="2:22" x14ac:dyDescent="0.35">
      <c r="B4085" s="40">
        <v>39038</v>
      </c>
      <c r="C4085" s="39">
        <v>6412.36</v>
      </c>
      <c r="D4085" s="219">
        <f t="shared" si="400"/>
        <v>-4.769996395835834E-3</v>
      </c>
      <c r="F4085" s="40">
        <v>39038</v>
      </c>
      <c r="G4085" s="39">
        <v>6412.36</v>
      </c>
      <c r="H4085" s="39">
        <f t="shared" si="395"/>
        <v>5</v>
      </c>
      <c r="I4085" s="39">
        <f t="shared" si="396"/>
        <v>6412.36</v>
      </c>
      <c r="K4085" s="40"/>
      <c r="Q4085" s="40">
        <v>39038</v>
      </c>
      <c r="R4085" s="39">
        <v>6412.36</v>
      </c>
      <c r="S4085" s="39">
        <f t="shared" si="397"/>
        <v>11</v>
      </c>
      <c r="T4085" s="39">
        <f t="shared" si="398"/>
        <v>0</v>
      </c>
      <c r="U4085" s="39">
        <f t="shared" si="399"/>
        <v>0</v>
      </c>
      <c r="V4085" s="40"/>
    </row>
    <row r="4086" spans="2:22" x14ac:dyDescent="0.35">
      <c r="B4086" s="40">
        <v>39041</v>
      </c>
      <c r="C4086" s="39">
        <v>6452.33</v>
      </c>
      <c r="D4086" s="219">
        <f t="shared" si="400"/>
        <v>6.2139279863027653E-3</v>
      </c>
      <c r="F4086" s="40">
        <v>39041</v>
      </c>
      <c r="G4086" s="39">
        <v>6452.33</v>
      </c>
      <c r="H4086" s="39">
        <f t="shared" si="395"/>
        <v>1</v>
      </c>
      <c r="I4086" s="39">
        <f t="shared" si="396"/>
        <v>0</v>
      </c>
      <c r="K4086" s="40"/>
      <c r="Q4086" s="40">
        <v>39041</v>
      </c>
      <c r="R4086" s="39">
        <v>6452.33</v>
      </c>
      <c r="S4086" s="39">
        <f t="shared" si="397"/>
        <v>11</v>
      </c>
      <c r="T4086" s="39">
        <f t="shared" si="398"/>
        <v>0</v>
      </c>
      <c r="U4086" s="39">
        <f t="shared" si="399"/>
        <v>0</v>
      </c>
      <c r="V4086" s="40"/>
    </row>
    <row r="4087" spans="2:22" x14ac:dyDescent="0.35">
      <c r="B4087" s="40">
        <v>39042</v>
      </c>
      <c r="C4087" s="39">
        <v>6460.39</v>
      </c>
      <c r="D4087" s="219">
        <f t="shared" si="400"/>
        <v>1.248381603064942E-3</v>
      </c>
      <c r="F4087" s="40">
        <v>39042</v>
      </c>
      <c r="G4087" s="39">
        <v>6460.39</v>
      </c>
      <c r="H4087" s="39">
        <f t="shared" ref="H4087:H4150" si="401">WEEKDAY(F4087,2)</f>
        <v>2</v>
      </c>
      <c r="I4087" s="39">
        <f t="shared" ref="I4087:I4150" si="402">IF(H4087&gt;H4088,G4087,0)</f>
        <v>0</v>
      </c>
      <c r="K4087" s="40"/>
      <c r="Q4087" s="40">
        <v>39042</v>
      </c>
      <c r="R4087" s="39">
        <v>6460.39</v>
      </c>
      <c r="S4087" s="39">
        <f t="shared" ref="S4087:S4150" si="403">MONTH(Q4087)</f>
        <v>11</v>
      </c>
      <c r="T4087" s="39">
        <f t="shared" ref="T4087:T4150" si="404">IF(S4088&lt;&gt;S4087,R4087,0)</f>
        <v>0</v>
      </c>
      <c r="U4087" s="39">
        <f t="shared" ref="U4087:U4150" si="405">IF(S4088=S4087,0,R4087)</f>
        <v>0</v>
      </c>
      <c r="V4087" s="40"/>
    </row>
    <row r="4088" spans="2:22" x14ac:dyDescent="0.35">
      <c r="B4088" s="40">
        <v>39043</v>
      </c>
      <c r="C4088" s="39">
        <v>6476.13</v>
      </c>
      <c r="D4088" s="219">
        <f t="shared" ref="D4088:D4151" si="406">LN(C4088/C4087)</f>
        <v>2.4334222444815602E-3</v>
      </c>
      <c r="F4088" s="40">
        <v>39043</v>
      </c>
      <c r="G4088" s="39">
        <v>6476.13</v>
      </c>
      <c r="H4088" s="39">
        <f t="shared" si="401"/>
        <v>3</v>
      </c>
      <c r="I4088" s="39">
        <f t="shared" si="402"/>
        <v>0</v>
      </c>
      <c r="K4088" s="40"/>
      <c r="Q4088" s="40">
        <v>39043</v>
      </c>
      <c r="R4088" s="39">
        <v>6476.13</v>
      </c>
      <c r="S4088" s="39">
        <f t="shared" si="403"/>
        <v>11</v>
      </c>
      <c r="T4088" s="39">
        <f t="shared" si="404"/>
        <v>0</v>
      </c>
      <c r="U4088" s="39">
        <f t="shared" si="405"/>
        <v>0</v>
      </c>
      <c r="V4088" s="40"/>
    </row>
    <row r="4089" spans="2:22" x14ac:dyDescent="0.35">
      <c r="B4089" s="40">
        <v>39044</v>
      </c>
      <c r="C4089" s="39">
        <v>6475.25</v>
      </c>
      <c r="D4089" s="219">
        <f t="shared" si="406"/>
        <v>-1.3589285487022415E-4</v>
      </c>
      <c r="F4089" s="40">
        <v>39044</v>
      </c>
      <c r="G4089" s="39">
        <v>6475.25</v>
      </c>
      <c r="H4089" s="39">
        <f t="shared" si="401"/>
        <v>4</v>
      </c>
      <c r="I4089" s="39">
        <f t="shared" si="402"/>
        <v>0</v>
      </c>
      <c r="K4089" s="40"/>
      <c r="Q4089" s="40">
        <v>39044</v>
      </c>
      <c r="R4089" s="39">
        <v>6475.25</v>
      </c>
      <c r="S4089" s="39">
        <f t="shared" si="403"/>
        <v>11</v>
      </c>
      <c r="T4089" s="39">
        <f t="shared" si="404"/>
        <v>0</v>
      </c>
      <c r="U4089" s="39">
        <f t="shared" si="405"/>
        <v>0</v>
      </c>
      <c r="V4089" s="40"/>
    </row>
    <row r="4090" spans="2:22" x14ac:dyDescent="0.35">
      <c r="B4090" s="40">
        <v>39045</v>
      </c>
      <c r="C4090" s="39">
        <v>6411.96</v>
      </c>
      <c r="D4090" s="219">
        <f t="shared" si="406"/>
        <v>-9.8222204541963901E-3</v>
      </c>
      <c r="F4090" s="40">
        <v>39045</v>
      </c>
      <c r="G4090" s="39">
        <v>6411.96</v>
      </c>
      <c r="H4090" s="39">
        <f t="shared" si="401"/>
        <v>5</v>
      </c>
      <c r="I4090" s="39">
        <f t="shared" si="402"/>
        <v>6411.96</v>
      </c>
      <c r="K4090" s="40"/>
      <c r="Q4090" s="40">
        <v>39045</v>
      </c>
      <c r="R4090" s="39">
        <v>6411.96</v>
      </c>
      <c r="S4090" s="39">
        <f t="shared" si="403"/>
        <v>11</v>
      </c>
      <c r="T4090" s="39">
        <f t="shared" si="404"/>
        <v>0</v>
      </c>
      <c r="U4090" s="39">
        <f t="shared" si="405"/>
        <v>0</v>
      </c>
      <c r="V4090" s="40"/>
    </row>
    <row r="4091" spans="2:22" x14ac:dyDescent="0.35">
      <c r="B4091" s="40">
        <v>39048</v>
      </c>
      <c r="C4091" s="39">
        <v>6298.17</v>
      </c>
      <c r="D4091" s="219">
        <f t="shared" si="406"/>
        <v>-1.7905881414036037E-2</v>
      </c>
      <c r="F4091" s="40">
        <v>39048</v>
      </c>
      <c r="G4091" s="39">
        <v>6298.17</v>
      </c>
      <c r="H4091" s="39">
        <f t="shared" si="401"/>
        <v>1</v>
      </c>
      <c r="I4091" s="39">
        <f t="shared" si="402"/>
        <v>0</v>
      </c>
      <c r="K4091" s="40"/>
      <c r="Q4091" s="40">
        <v>39048</v>
      </c>
      <c r="R4091" s="39">
        <v>6298.17</v>
      </c>
      <c r="S4091" s="39">
        <f t="shared" si="403"/>
        <v>11</v>
      </c>
      <c r="T4091" s="39">
        <f t="shared" si="404"/>
        <v>0</v>
      </c>
      <c r="U4091" s="39">
        <f t="shared" si="405"/>
        <v>0</v>
      </c>
      <c r="V4091" s="40"/>
    </row>
    <row r="4092" spans="2:22" x14ac:dyDescent="0.35">
      <c r="B4092" s="40">
        <v>39049</v>
      </c>
      <c r="C4092" s="39">
        <v>6281.68</v>
      </c>
      <c r="D4092" s="219">
        <f t="shared" si="406"/>
        <v>-2.6216543829608065E-3</v>
      </c>
      <c r="F4092" s="40">
        <v>39049</v>
      </c>
      <c r="G4092" s="39">
        <v>6281.68</v>
      </c>
      <c r="H4092" s="39">
        <f t="shared" si="401"/>
        <v>2</v>
      </c>
      <c r="I4092" s="39">
        <f t="shared" si="402"/>
        <v>0</v>
      </c>
      <c r="K4092" s="40"/>
      <c r="Q4092" s="40">
        <v>39049</v>
      </c>
      <c r="R4092" s="39">
        <v>6281.68</v>
      </c>
      <c r="S4092" s="39">
        <f t="shared" si="403"/>
        <v>11</v>
      </c>
      <c r="T4092" s="39">
        <f t="shared" si="404"/>
        <v>0</v>
      </c>
      <c r="U4092" s="39">
        <f t="shared" si="405"/>
        <v>0</v>
      </c>
      <c r="V4092" s="40"/>
    </row>
    <row r="4093" spans="2:22" x14ac:dyDescent="0.35">
      <c r="B4093" s="40">
        <v>39050</v>
      </c>
      <c r="C4093" s="39">
        <v>6363.8</v>
      </c>
      <c r="D4093" s="219">
        <f t="shared" si="406"/>
        <v>1.2988222578426406E-2</v>
      </c>
      <c r="F4093" s="40">
        <v>39050</v>
      </c>
      <c r="G4093" s="39">
        <v>6363.8</v>
      </c>
      <c r="H4093" s="39">
        <f t="shared" si="401"/>
        <v>3</v>
      </c>
      <c r="I4093" s="39">
        <f t="shared" si="402"/>
        <v>0</v>
      </c>
      <c r="K4093" s="40"/>
      <c r="Q4093" s="40">
        <v>39050</v>
      </c>
      <c r="R4093" s="39">
        <v>6363.8</v>
      </c>
      <c r="S4093" s="39">
        <f t="shared" si="403"/>
        <v>11</v>
      </c>
      <c r="T4093" s="39">
        <f t="shared" si="404"/>
        <v>0</v>
      </c>
      <c r="U4093" s="39">
        <f t="shared" si="405"/>
        <v>0</v>
      </c>
      <c r="V4093" s="40"/>
    </row>
    <row r="4094" spans="2:22" x14ac:dyDescent="0.35">
      <c r="B4094" s="40">
        <v>39051</v>
      </c>
      <c r="C4094" s="39">
        <v>6309.19</v>
      </c>
      <c r="D4094" s="219">
        <f t="shared" si="406"/>
        <v>-8.6183825631735034E-3</v>
      </c>
      <c r="F4094" s="40">
        <v>39051</v>
      </c>
      <c r="G4094" s="39">
        <v>6309.19</v>
      </c>
      <c r="H4094" s="39">
        <f t="shared" si="401"/>
        <v>4</v>
      </c>
      <c r="I4094" s="39">
        <f t="shared" si="402"/>
        <v>0</v>
      </c>
      <c r="K4094" s="40"/>
      <c r="Q4094" s="40">
        <v>39051</v>
      </c>
      <c r="R4094" s="39">
        <v>6309.19</v>
      </c>
      <c r="S4094" s="39">
        <f t="shared" si="403"/>
        <v>11</v>
      </c>
      <c r="T4094" s="39">
        <f t="shared" si="404"/>
        <v>6309.19</v>
      </c>
      <c r="U4094" s="39">
        <f t="shared" si="405"/>
        <v>6309.19</v>
      </c>
      <c r="V4094" s="40"/>
    </row>
    <row r="4095" spans="2:22" x14ac:dyDescent="0.35">
      <c r="B4095" s="40">
        <v>39052</v>
      </c>
      <c r="C4095" s="39">
        <v>6241.13</v>
      </c>
      <c r="D4095" s="219">
        <f t="shared" si="406"/>
        <v>-1.0846044912764991E-2</v>
      </c>
      <c r="F4095" s="40">
        <v>39052</v>
      </c>
      <c r="G4095" s="39">
        <v>6241.13</v>
      </c>
      <c r="H4095" s="39">
        <f t="shared" si="401"/>
        <v>5</v>
      </c>
      <c r="I4095" s="39">
        <f t="shared" si="402"/>
        <v>6241.13</v>
      </c>
      <c r="K4095" s="40"/>
      <c r="Q4095" s="40">
        <v>39052</v>
      </c>
      <c r="R4095" s="39">
        <v>6241.13</v>
      </c>
      <c r="S4095" s="39">
        <f t="shared" si="403"/>
        <v>12</v>
      </c>
      <c r="T4095" s="39">
        <f t="shared" si="404"/>
        <v>0</v>
      </c>
      <c r="U4095" s="39">
        <f t="shared" si="405"/>
        <v>0</v>
      </c>
      <c r="V4095" s="40"/>
    </row>
    <row r="4096" spans="2:22" x14ac:dyDescent="0.35">
      <c r="B4096" s="40">
        <v>39055</v>
      </c>
      <c r="C4096" s="39">
        <v>6295.23</v>
      </c>
      <c r="D4096" s="219">
        <f t="shared" si="406"/>
        <v>8.6309480327697984E-3</v>
      </c>
      <c r="F4096" s="40">
        <v>39055</v>
      </c>
      <c r="G4096" s="39">
        <v>6295.23</v>
      </c>
      <c r="H4096" s="39">
        <f t="shared" si="401"/>
        <v>1</v>
      </c>
      <c r="I4096" s="39">
        <f t="shared" si="402"/>
        <v>0</v>
      </c>
      <c r="K4096" s="40"/>
      <c r="Q4096" s="40">
        <v>39055</v>
      </c>
      <c r="R4096" s="39">
        <v>6295.23</v>
      </c>
      <c r="S4096" s="39">
        <f t="shared" si="403"/>
        <v>12</v>
      </c>
      <c r="T4096" s="39">
        <f t="shared" si="404"/>
        <v>0</v>
      </c>
      <c r="U4096" s="39">
        <f t="shared" si="405"/>
        <v>0</v>
      </c>
      <c r="V4096" s="40"/>
    </row>
    <row r="4097" spans="2:22" x14ac:dyDescent="0.35">
      <c r="B4097" s="40">
        <v>39056</v>
      </c>
      <c r="C4097" s="39">
        <v>6372.8</v>
      </c>
      <c r="D4097" s="219">
        <f t="shared" si="406"/>
        <v>1.2246729682315083E-2</v>
      </c>
      <c r="F4097" s="40">
        <v>39056</v>
      </c>
      <c r="G4097" s="39">
        <v>6372.8</v>
      </c>
      <c r="H4097" s="39">
        <f t="shared" si="401"/>
        <v>2</v>
      </c>
      <c r="I4097" s="39">
        <f t="shared" si="402"/>
        <v>0</v>
      </c>
      <c r="K4097" s="40"/>
      <c r="Q4097" s="40">
        <v>39056</v>
      </c>
      <c r="R4097" s="39">
        <v>6372.8</v>
      </c>
      <c r="S4097" s="39">
        <f t="shared" si="403"/>
        <v>12</v>
      </c>
      <c r="T4097" s="39">
        <f t="shared" si="404"/>
        <v>0</v>
      </c>
      <c r="U4097" s="39">
        <f t="shared" si="405"/>
        <v>0</v>
      </c>
      <c r="V4097" s="40"/>
    </row>
    <row r="4098" spans="2:22" x14ac:dyDescent="0.35">
      <c r="B4098" s="40">
        <v>39057</v>
      </c>
      <c r="C4098" s="39">
        <v>6369.51</v>
      </c>
      <c r="D4098" s="219">
        <f t="shared" si="406"/>
        <v>-5.1638989682546222E-4</v>
      </c>
      <c r="F4098" s="40">
        <v>39057</v>
      </c>
      <c r="G4098" s="39">
        <v>6369.51</v>
      </c>
      <c r="H4098" s="39">
        <f t="shared" si="401"/>
        <v>3</v>
      </c>
      <c r="I4098" s="39">
        <f t="shared" si="402"/>
        <v>0</v>
      </c>
      <c r="K4098" s="40"/>
      <c r="Q4098" s="40">
        <v>39057</v>
      </c>
      <c r="R4098" s="39">
        <v>6369.51</v>
      </c>
      <c r="S4098" s="39">
        <f t="shared" si="403"/>
        <v>12</v>
      </c>
      <c r="T4098" s="39">
        <f t="shared" si="404"/>
        <v>0</v>
      </c>
      <c r="U4098" s="39">
        <f t="shared" si="405"/>
        <v>0</v>
      </c>
      <c r="V4098" s="40"/>
    </row>
    <row r="4099" spans="2:22" x14ac:dyDescent="0.35">
      <c r="B4099" s="40">
        <v>39058</v>
      </c>
      <c r="C4099" s="39">
        <v>6413.03</v>
      </c>
      <c r="D4099" s="219">
        <f t="shared" si="406"/>
        <v>6.8093146051836058E-3</v>
      </c>
      <c r="F4099" s="40">
        <v>39058</v>
      </c>
      <c r="G4099" s="39">
        <v>6413.03</v>
      </c>
      <c r="H4099" s="39">
        <f t="shared" si="401"/>
        <v>4</v>
      </c>
      <c r="I4099" s="39">
        <f t="shared" si="402"/>
        <v>0</v>
      </c>
      <c r="K4099" s="40"/>
      <c r="Q4099" s="40">
        <v>39058</v>
      </c>
      <c r="R4099" s="39">
        <v>6413.03</v>
      </c>
      <c r="S4099" s="39">
        <f t="shared" si="403"/>
        <v>12</v>
      </c>
      <c r="T4099" s="39">
        <f t="shared" si="404"/>
        <v>0</v>
      </c>
      <c r="U4099" s="39">
        <f t="shared" si="405"/>
        <v>0</v>
      </c>
      <c r="V4099" s="40"/>
    </row>
    <row r="4100" spans="2:22" x14ac:dyDescent="0.35">
      <c r="B4100" s="40">
        <v>39059</v>
      </c>
      <c r="C4100" s="39">
        <v>6427.41</v>
      </c>
      <c r="D4100" s="219">
        <f t="shared" si="406"/>
        <v>2.2397995725506716E-3</v>
      </c>
      <c r="F4100" s="40">
        <v>39059</v>
      </c>
      <c r="G4100" s="39">
        <v>6427.41</v>
      </c>
      <c r="H4100" s="39">
        <f t="shared" si="401"/>
        <v>5</v>
      </c>
      <c r="I4100" s="39">
        <f t="shared" si="402"/>
        <v>6427.41</v>
      </c>
      <c r="K4100" s="40"/>
      <c r="Q4100" s="40">
        <v>39059</v>
      </c>
      <c r="R4100" s="39">
        <v>6427.41</v>
      </c>
      <c r="S4100" s="39">
        <f t="shared" si="403"/>
        <v>12</v>
      </c>
      <c r="T4100" s="39">
        <f t="shared" si="404"/>
        <v>0</v>
      </c>
      <c r="U4100" s="39">
        <f t="shared" si="405"/>
        <v>0</v>
      </c>
      <c r="V4100" s="40"/>
    </row>
    <row r="4101" spans="2:22" x14ac:dyDescent="0.35">
      <c r="B4101" s="40">
        <v>39062</v>
      </c>
      <c r="C4101" s="39">
        <v>6469.42</v>
      </c>
      <c r="D4101" s="219">
        <f t="shared" si="406"/>
        <v>6.5148022552105065E-3</v>
      </c>
      <c r="F4101" s="40">
        <v>39062</v>
      </c>
      <c r="G4101" s="39">
        <v>6469.42</v>
      </c>
      <c r="H4101" s="39">
        <f t="shared" si="401"/>
        <v>1</v>
      </c>
      <c r="I4101" s="39">
        <f t="shared" si="402"/>
        <v>0</v>
      </c>
      <c r="K4101" s="40"/>
      <c r="Q4101" s="40">
        <v>39062</v>
      </c>
      <c r="R4101" s="39">
        <v>6469.42</v>
      </c>
      <c r="S4101" s="39">
        <f t="shared" si="403"/>
        <v>12</v>
      </c>
      <c r="T4101" s="39">
        <f t="shared" si="404"/>
        <v>0</v>
      </c>
      <c r="U4101" s="39">
        <f t="shared" si="405"/>
        <v>0</v>
      </c>
      <c r="V4101" s="40"/>
    </row>
    <row r="4102" spans="2:22" x14ac:dyDescent="0.35">
      <c r="B4102" s="40">
        <v>39063</v>
      </c>
      <c r="C4102" s="39">
        <v>6476.17</v>
      </c>
      <c r="D4102" s="219">
        <f t="shared" si="406"/>
        <v>1.0428262615625179E-3</v>
      </c>
      <c r="F4102" s="40">
        <v>39063</v>
      </c>
      <c r="G4102" s="39">
        <v>6476.17</v>
      </c>
      <c r="H4102" s="39">
        <f t="shared" si="401"/>
        <v>2</v>
      </c>
      <c r="I4102" s="39">
        <f t="shared" si="402"/>
        <v>0</v>
      </c>
      <c r="K4102" s="40"/>
      <c r="Q4102" s="40">
        <v>39063</v>
      </c>
      <c r="R4102" s="39">
        <v>6476.17</v>
      </c>
      <c r="S4102" s="39">
        <f t="shared" si="403"/>
        <v>12</v>
      </c>
      <c r="T4102" s="39">
        <f t="shared" si="404"/>
        <v>0</v>
      </c>
      <c r="U4102" s="39">
        <f t="shared" si="405"/>
        <v>0</v>
      </c>
      <c r="V4102" s="40"/>
    </row>
    <row r="4103" spans="2:22" x14ac:dyDescent="0.35">
      <c r="B4103" s="40">
        <v>39064</v>
      </c>
      <c r="C4103" s="39">
        <v>6520.77</v>
      </c>
      <c r="D4103" s="219">
        <f t="shared" si="406"/>
        <v>6.8631808821074678E-3</v>
      </c>
      <c r="F4103" s="40">
        <v>39064</v>
      </c>
      <c r="G4103" s="39">
        <v>6520.77</v>
      </c>
      <c r="H4103" s="39">
        <f t="shared" si="401"/>
        <v>3</v>
      </c>
      <c r="I4103" s="39">
        <f t="shared" si="402"/>
        <v>0</v>
      </c>
      <c r="K4103" s="40"/>
      <c r="Q4103" s="40">
        <v>39064</v>
      </c>
      <c r="R4103" s="39">
        <v>6520.77</v>
      </c>
      <c r="S4103" s="39">
        <f t="shared" si="403"/>
        <v>12</v>
      </c>
      <c r="T4103" s="39">
        <f t="shared" si="404"/>
        <v>0</v>
      </c>
      <c r="U4103" s="39">
        <f t="shared" si="405"/>
        <v>0</v>
      </c>
      <c r="V4103" s="40"/>
    </row>
    <row r="4104" spans="2:22" x14ac:dyDescent="0.35">
      <c r="B4104" s="40">
        <v>39065</v>
      </c>
      <c r="C4104" s="39">
        <v>6552.58</v>
      </c>
      <c r="D4104" s="219">
        <f t="shared" si="406"/>
        <v>4.8663980963654313E-3</v>
      </c>
      <c r="F4104" s="40">
        <v>39065</v>
      </c>
      <c r="G4104" s="39">
        <v>6552.58</v>
      </c>
      <c r="H4104" s="39">
        <f t="shared" si="401"/>
        <v>4</v>
      </c>
      <c r="I4104" s="39">
        <f t="shared" si="402"/>
        <v>0</v>
      </c>
      <c r="K4104" s="40"/>
      <c r="Q4104" s="40">
        <v>39065</v>
      </c>
      <c r="R4104" s="39">
        <v>6552.58</v>
      </c>
      <c r="S4104" s="39">
        <f t="shared" si="403"/>
        <v>12</v>
      </c>
      <c r="T4104" s="39">
        <f t="shared" si="404"/>
        <v>0</v>
      </c>
      <c r="U4104" s="39">
        <f t="shared" si="405"/>
        <v>0</v>
      </c>
      <c r="V4104" s="40"/>
    </row>
    <row r="4105" spans="2:22" x14ac:dyDescent="0.35">
      <c r="B4105" s="40">
        <v>39066</v>
      </c>
      <c r="C4105" s="39">
        <v>6588.83</v>
      </c>
      <c r="D4105" s="219">
        <f t="shared" si="406"/>
        <v>5.5169258007257155E-3</v>
      </c>
      <c r="F4105" s="40">
        <v>39066</v>
      </c>
      <c r="G4105" s="39">
        <v>6588.83</v>
      </c>
      <c r="H4105" s="39">
        <f t="shared" si="401"/>
        <v>5</v>
      </c>
      <c r="I4105" s="39">
        <f t="shared" si="402"/>
        <v>6588.83</v>
      </c>
      <c r="K4105" s="40"/>
      <c r="Q4105" s="40">
        <v>39066</v>
      </c>
      <c r="R4105" s="39">
        <v>6588.83</v>
      </c>
      <c r="S4105" s="39">
        <f t="shared" si="403"/>
        <v>12</v>
      </c>
      <c r="T4105" s="39">
        <f t="shared" si="404"/>
        <v>0</v>
      </c>
      <c r="U4105" s="39">
        <f t="shared" si="405"/>
        <v>0</v>
      </c>
      <c r="V4105" s="40"/>
    </row>
    <row r="4106" spans="2:22" x14ac:dyDescent="0.35">
      <c r="B4106" s="40">
        <v>39069</v>
      </c>
      <c r="C4106" s="39">
        <v>6597.25</v>
      </c>
      <c r="D4106" s="219">
        <f t="shared" si="406"/>
        <v>1.2771045139139958E-3</v>
      </c>
      <c r="F4106" s="40">
        <v>39069</v>
      </c>
      <c r="G4106" s="39">
        <v>6597.25</v>
      </c>
      <c r="H4106" s="39">
        <f t="shared" si="401"/>
        <v>1</v>
      </c>
      <c r="I4106" s="39">
        <f t="shared" si="402"/>
        <v>0</v>
      </c>
      <c r="K4106" s="40"/>
      <c r="Q4106" s="40">
        <v>39069</v>
      </c>
      <c r="R4106" s="39">
        <v>6597.25</v>
      </c>
      <c r="S4106" s="39">
        <f t="shared" si="403"/>
        <v>12</v>
      </c>
      <c r="T4106" s="39">
        <f t="shared" si="404"/>
        <v>0</v>
      </c>
      <c r="U4106" s="39">
        <f t="shared" si="405"/>
        <v>0</v>
      </c>
      <c r="V4106" s="40"/>
    </row>
    <row r="4107" spans="2:22" x14ac:dyDescent="0.35">
      <c r="B4107" s="40">
        <v>39070</v>
      </c>
      <c r="C4107" s="39">
        <v>6553.51</v>
      </c>
      <c r="D4107" s="219">
        <f t="shared" si="406"/>
        <v>-6.6521115575487013E-3</v>
      </c>
      <c r="F4107" s="40">
        <v>39070</v>
      </c>
      <c r="G4107" s="39">
        <v>6553.51</v>
      </c>
      <c r="H4107" s="39">
        <f t="shared" si="401"/>
        <v>2</v>
      </c>
      <c r="I4107" s="39">
        <f t="shared" si="402"/>
        <v>0</v>
      </c>
      <c r="K4107" s="40"/>
      <c r="Q4107" s="40">
        <v>39070</v>
      </c>
      <c r="R4107" s="39">
        <v>6553.51</v>
      </c>
      <c r="S4107" s="39">
        <f t="shared" si="403"/>
        <v>12</v>
      </c>
      <c r="T4107" s="39">
        <f t="shared" si="404"/>
        <v>0</v>
      </c>
      <c r="U4107" s="39">
        <f t="shared" si="405"/>
        <v>0</v>
      </c>
      <c r="V4107" s="40"/>
    </row>
    <row r="4108" spans="2:22" x14ac:dyDescent="0.35">
      <c r="B4108" s="40">
        <v>39071</v>
      </c>
      <c r="C4108" s="39">
        <v>6586.91</v>
      </c>
      <c r="D4108" s="219">
        <f t="shared" si="406"/>
        <v>5.0835623105737306E-3</v>
      </c>
      <c r="F4108" s="40">
        <v>39071</v>
      </c>
      <c r="G4108" s="39">
        <v>6586.91</v>
      </c>
      <c r="H4108" s="39">
        <f t="shared" si="401"/>
        <v>3</v>
      </c>
      <c r="I4108" s="39">
        <f t="shared" si="402"/>
        <v>0</v>
      </c>
      <c r="K4108" s="40"/>
      <c r="Q4108" s="40">
        <v>39071</v>
      </c>
      <c r="R4108" s="39">
        <v>6586.91</v>
      </c>
      <c r="S4108" s="39">
        <f t="shared" si="403"/>
        <v>12</v>
      </c>
      <c r="T4108" s="39">
        <f t="shared" si="404"/>
        <v>0</v>
      </c>
      <c r="U4108" s="39">
        <f t="shared" si="405"/>
        <v>0</v>
      </c>
      <c r="V4108" s="40"/>
    </row>
    <row r="4109" spans="2:22" x14ac:dyDescent="0.35">
      <c r="B4109" s="40">
        <v>39072</v>
      </c>
      <c r="C4109" s="39">
        <v>6573.96</v>
      </c>
      <c r="D4109" s="219">
        <f t="shared" si="406"/>
        <v>-1.9679556411467949E-3</v>
      </c>
      <c r="F4109" s="40">
        <v>39072</v>
      </c>
      <c r="G4109" s="39">
        <v>6573.96</v>
      </c>
      <c r="H4109" s="39">
        <f t="shared" si="401"/>
        <v>4</v>
      </c>
      <c r="I4109" s="39">
        <f t="shared" si="402"/>
        <v>0</v>
      </c>
      <c r="K4109" s="40"/>
      <c r="Q4109" s="40">
        <v>39072</v>
      </c>
      <c r="R4109" s="39">
        <v>6573.96</v>
      </c>
      <c r="S4109" s="39">
        <f t="shared" si="403"/>
        <v>12</v>
      </c>
      <c r="T4109" s="39">
        <f t="shared" si="404"/>
        <v>0</v>
      </c>
      <c r="U4109" s="39">
        <f t="shared" si="405"/>
        <v>0</v>
      </c>
      <c r="V4109" s="40"/>
    </row>
    <row r="4110" spans="2:22" x14ac:dyDescent="0.35">
      <c r="B4110" s="40">
        <v>39073</v>
      </c>
      <c r="C4110" s="39">
        <v>6503.13</v>
      </c>
      <c r="D4110" s="219">
        <f t="shared" si="406"/>
        <v>-1.0832791187224661E-2</v>
      </c>
      <c r="F4110" s="40">
        <v>39073</v>
      </c>
      <c r="G4110" s="39">
        <v>6503.13</v>
      </c>
      <c r="H4110" s="39">
        <f t="shared" si="401"/>
        <v>5</v>
      </c>
      <c r="I4110" s="39">
        <f t="shared" si="402"/>
        <v>6503.13</v>
      </c>
      <c r="K4110" s="40"/>
      <c r="Q4110" s="40">
        <v>39073</v>
      </c>
      <c r="R4110" s="39">
        <v>6503.13</v>
      </c>
      <c r="S4110" s="39">
        <f t="shared" si="403"/>
        <v>12</v>
      </c>
      <c r="T4110" s="39">
        <f t="shared" si="404"/>
        <v>0</v>
      </c>
      <c r="U4110" s="39">
        <f t="shared" si="405"/>
        <v>0</v>
      </c>
      <c r="V4110" s="40"/>
    </row>
    <row r="4111" spans="2:22" x14ac:dyDescent="0.35">
      <c r="B4111" s="40">
        <v>39078</v>
      </c>
      <c r="C4111" s="39">
        <v>6608.86</v>
      </c>
      <c r="D4111" s="219">
        <f t="shared" si="406"/>
        <v>1.6127573568274153E-2</v>
      </c>
      <c r="F4111" s="40">
        <v>39078</v>
      </c>
      <c r="G4111" s="39">
        <v>6608.86</v>
      </c>
      <c r="H4111" s="39">
        <f t="shared" si="401"/>
        <v>3</v>
      </c>
      <c r="I4111" s="39">
        <f t="shared" si="402"/>
        <v>0</v>
      </c>
      <c r="K4111" s="40"/>
      <c r="Q4111" s="40">
        <v>39078</v>
      </c>
      <c r="R4111" s="39">
        <v>6608.86</v>
      </c>
      <c r="S4111" s="39">
        <f t="shared" si="403"/>
        <v>12</v>
      </c>
      <c r="T4111" s="39">
        <f t="shared" si="404"/>
        <v>0</v>
      </c>
      <c r="U4111" s="39">
        <f t="shared" si="405"/>
        <v>0</v>
      </c>
      <c r="V4111" s="40"/>
    </row>
    <row r="4112" spans="2:22" x14ac:dyDescent="0.35">
      <c r="B4112" s="40">
        <v>39079</v>
      </c>
      <c r="C4112" s="39">
        <v>6611.81</v>
      </c>
      <c r="D4112" s="219">
        <f t="shared" si="406"/>
        <v>4.4627088475256718E-4</v>
      </c>
      <c r="F4112" s="40">
        <v>39079</v>
      </c>
      <c r="G4112" s="39">
        <v>6611.81</v>
      </c>
      <c r="H4112" s="39">
        <f t="shared" si="401"/>
        <v>4</v>
      </c>
      <c r="I4112" s="39">
        <f t="shared" si="402"/>
        <v>0</v>
      </c>
      <c r="K4112" s="40"/>
      <c r="Q4112" s="40">
        <v>39079</v>
      </c>
      <c r="R4112" s="39">
        <v>6611.81</v>
      </c>
      <c r="S4112" s="39">
        <f t="shared" si="403"/>
        <v>12</v>
      </c>
      <c r="T4112" s="39">
        <f t="shared" si="404"/>
        <v>0</v>
      </c>
      <c r="U4112" s="39">
        <f t="shared" si="405"/>
        <v>0</v>
      </c>
      <c r="V4112" s="40"/>
    </row>
    <row r="4113" spans="2:22" x14ac:dyDescent="0.35">
      <c r="B4113" s="40">
        <v>39080</v>
      </c>
      <c r="C4113" s="39">
        <v>6596.92</v>
      </c>
      <c r="D4113" s="219">
        <f t="shared" si="406"/>
        <v>-2.2545704707818181E-3</v>
      </c>
      <c r="F4113" s="40">
        <v>39080</v>
      </c>
      <c r="G4113" s="39">
        <v>6596.92</v>
      </c>
      <c r="H4113" s="39">
        <f t="shared" si="401"/>
        <v>5</v>
      </c>
      <c r="I4113" s="39">
        <f t="shared" si="402"/>
        <v>6596.92</v>
      </c>
      <c r="K4113" s="40"/>
      <c r="Q4113" s="40">
        <v>39080</v>
      </c>
      <c r="R4113" s="39">
        <v>6596.92</v>
      </c>
      <c r="S4113" s="39">
        <f t="shared" si="403"/>
        <v>12</v>
      </c>
      <c r="T4113" s="39">
        <f t="shared" si="404"/>
        <v>6596.92</v>
      </c>
      <c r="U4113" s="39">
        <f t="shared" si="405"/>
        <v>6596.92</v>
      </c>
      <c r="V4113" s="40"/>
    </row>
    <row r="4114" spans="2:22" x14ac:dyDescent="0.35">
      <c r="B4114" s="40">
        <v>39084</v>
      </c>
      <c r="C4114" s="39">
        <v>6681.13</v>
      </c>
      <c r="D4114" s="219">
        <f t="shared" si="406"/>
        <v>1.2684261476042111E-2</v>
      </c>
      <c r="F4114" s="40">
        <v>39084</v>
      </c>
      <c r="G4114" s="39">
        <v>6681.13</v>
      </c>
      <c r="H4114" s="39">
        <f t="shared" si="401"/>
        <v>2</v>
      </c>
      <c r="I4114" s="39">
        <f t="shared" si="402"/>
        <v>0</v>
      </c>
      <c r="K4114" s="40"/>
      <c r="Q4114" s="40">
        <v>39084</v>
      </c>
      <c r="R4114" s="39">
        <v>6681.13</v>
      </c>
      <c r="S4114" s="39">
        <f t="shared" si="403"/>
        <v>1</v>
      </c>
      <c r="T4114" s="39">
        <f t="shared" si="404"/>
        <v>0</v>
      </c>
      <c r="U4114" s="39">
        <f t="shared" si="405"/>
        <v>0</v>
      </c>
      <c r="V4114" s="40"/>
    </row>
    <row r="4115" spans="2:22" x14ac:dyDescent="0.35">
      <c r="B4115" s="40">
        <v>39085</v>
      </c>
      <c r="C4115" s="39">
        <v>6691.32</v>
      </c>
      <c r="D4115" s="219">
        <f t="shared" si="406"/>
        <v>1.5240291752564952E-3</v>
      </c>
      <c r="F4115" s="40">
        <v>39085</v>
      </c>
      <c r="G4115" s="39">
        <v>6691.32</v>
      </c>
      <c r="H4115" s="39">
        <f t="shared" si="401"/>
        <v>3</v>
      </c>
      <c r="I4115" s="39">
        <f t="shared" si="402"/>
        <v>0</v>
      </c>
      <c r="K4115" s="40"/>
      <c r="Q4115" s="40">
        <v>39085</v>
      </c>
      <c r="R4115" s="39">
        <v>6691.32</v>
      </c>
      <c r="S4115" s="39">
        <f t="shared" si="403"/>
        <v>1</v>
      </c>
      <c r="T4115" s="39">
        <f t="shared" si="404"/>
        <v>0</v>
      </c>
      <c r="U4115" s="39">
        <f t="shared" si="405"/>
        <v>0</v>
      </c>
      <c r="V4115" s="40"/>
    </row>
    <row r="4116" spans="2:22" x14ac:dyDescent="0.35">
      <c r="B4116" s="40">
        <v>39086</v>
      </c>
      <c r="C4116" s="39">
        <v>6674.4</v>
      </c>
      <c r="D4116" s="219">
        <f t="shared" si="406"/>
        <v>-2.5318514885067523E-3</v>
      </c>
      <c r="F4116" s="40">
        <v>39086</v>
      </c>
      <c r="G4116" s="39">
        <v>6674.4</v>
      </c>
      <c r="H4116" s="39">
        <f t="shared" si="401"/>
        <v>4</v>
      </c>
      <c r="I4116" s="39">
        <f t="shared" si="402"/>
        <v>0</v>
      </c>
      <c r="K4116" s="40"/>
      <c r="Q4116" s="40">
        <v>39086</v>
      </c>
      <c r="R4116" s="39">
        <v>6674.4</v>
      </c>
      <c r="S4116" s="39">
        <f t="shared" si="403"/>
        <v>1</v>
      </c>
      <c r="T4116" s="39">
        <f t="shared" si="404"/>
        <v>0</v>
      </c>
      <c r="U4116" s="39">
        <f t="shared" si="405"/>
        <v>0</v>
      </c>
      <c r="V4116" s="40"/>
    </row>
    <row r="4117" spans="2:22" x14ac:dyDescent="0.35">
      <c r="B4117" s="40">
        <v>39087</v>
      </c>
      <c r="C4117" s="39">
        <v>6593.09</v>
      </c>
      <c r="D4117" s="219">
        <f t="shared" si="406"/>
        <v>-1.2257181725935025E-2</v>
      </c>
      <c r="F4117" s="40">
        <v>39087</v>
      </c>
      <c r="G4117" s="39">
        <v>6593.09</v>
      </c>
      <c r="H4117" s="39">
        <f t="shared" si="401"/>
        <v>5</v>
      </c>
      <c r="I4117" s="39">
        <f t="shared" si="402"/>
        <v>6593.09</v>
      </c>
      <c r="K4117" s="40"/>
      <c r="Q4117" s="40">
        <v>39087</v>
      </c>
      <c r="R4117" s="39">
        <v>6593.09</v>
      </c>
      <c r="S4117" s="39">
        <f t="shared" si="403"/>
        <v>1</v>
      </c>
      <c r="T4117" s="39">
        <f t="shared" si="404"/>
        <v>0</v>
      </c>
      <c r="U4117" s="39">
        <f t="shared" si="405"/>
        <v>0</v>
      </c>
      <c r="V4117" s="40"/>
    </row>
    <row r="4118" spans="2:22" x14ac:dyDescent="0.35">
      <c r="B4118" s="40">
        <v>39090</v>
      </c>
      <c r="C4118" s="39">
        <v>6607.59</v>
      </c>
      <c r="D4118" s="219">
        <f t="shared" si="406"/>
        <v>2.1968574091087568E-3</v>
      </c>
      <c r="F4118" s="40">
        <v>39090</v>
      </c>
      <c r="G4118" s="39">
        <v>6607.59</v>
      </c>
      <c r="H4118" s="39">
        <f t="shared" si="401"/>
        <v>1</v>
      </c>
      <c r="I4118" s="39">
        <f t="shared" si="402"/>
        <v>0</v>
      </c>
      <c r="K4118" s="40"/>
      <c r="Q4118" s="40">
        <v>39090</v>
      </c>
      <c r="R4118" s="39">
        <v>6607.59</v>
      </c>
      <c r="S4118" s="39">
        <f t="shared" si="403"/>
        <v>1</v>
      </c>
      <c r="T4118" s="39">
        <f t="shared" si="404"/>
        <v>0</v>
      </c>
      <c r="U4118" s="39">
        <f t="shared" si="405"/>
        <v>0</v>
      </c>
      <c r="V4118" s="40"/>
    </row>
    <row r="4119" spans="2:22" x14ac:dyDescent="0.35">
      <c r="B4119" s="40">
        <v>39091</v>
      </c>
      <c r="C4119" s="39">
        <v>6614.37</v>
      </c>
      <c r="D4119" s="219">
        <f t="shared" si="406"/>
        <v>1.0255666473442447E-3</v>
      </c>
      <c r="F4119" s="40">
        <v>39091</v>
      </c>
      <c r="G4119" s="39">
        <v>6614.37</v>
      </c>
      <c r="H4119" s="39">
        <f t="shared" si="401"/>
        <v>2</v>
      </c>
      <c r="I4119" s="39">
        <f t="shared" si="402"/>
        <v>0</v>
      </c>
      <c r="K4119" s="40"/>
      <c r="Q4119" s="40">
        <v>39091</v>
      </c>
      <c r="R4119" s="39">
        <v>6614.37</v>
      </c>
      <c r="S4119" s="39">
        <f t="shared" si="403"/>
        <v>1</v>
      </c>
      <c r="T4119" s="39">
        <f t="shared" si="404"/>
        <v>0</v>
      </c>
      <c r="U4119" s="39">
        <f t="shared" si="405"/>
        <v>0</v>
      </c>
      <c r="V4119" s="40"/>
    </row>
    <row r="4120" spans="2:22" x14ac:dyDescent="0.35">
      <c r="B4120" s="40">
        <v>39092</v>
      </c>
      <c r="C4120" s="39">
        <v>6566.56</v>
      </c>
      <c r="D4120" s="219">
        <f t="shared" si="406"/>
        <v>-7.2544516471642314E-3</v>
      </c>
      <c r="F4120" s="40">
        <v>39092</v>
      </c>
      <c r="G4120" s="39">
        <v>6566.56</v>
      </c>
      <c r="H4120" s="39">
        <f t="shared" si="401"/>
        <v>3</v>
      </c>
      <c r="I4120" s="39">
        <f t="shared" si="402"/>
        <v>0</v>
      </c>
      <c r="K4120" s="40"/>
      <c r="Q4120" s="40">
        <v>39092</v>
      </c>
      <c r="R4120" s="39">
        <v>6566.56</v>
      </c>
      <c r="S4120" s="39">
        <f t="shared" si="403"/>
        <v>1</v>
      </c>
      <c r="T4120" s="39">
        <f t="shared" si="404"/>
        <v>0</v>
      </c>
      <c r="U4120" s="39">
        <f t="shared" si="405"/>
        <v>0</v>
      </c>
      <c r="V4120" s="40"/>
    </row>
    <row r="4121" spans="2:22" x14ac:dyDescent="0.35">
      <c r="B4121" s="40">
        <v>39093</v>
      </c>
      <c r="C4121" s="39">
        <v>6687.3</v>
      </c>
      <c r="D4121" s="219">
        <f t="shared" si="406"/>
        <v>1.8220101943778055E-2</v>
      </c>
      <c r="F4121" s="40">
        <v>39093</v>
      </c>
      <c r="G4121" s="39">
        <v>6687.3</v>
      </c>
      <c r="H4121" s="39">
        <f t="shared" si="401"/>
        <v>4</v>
      </c>
      <c r="I4121" s="39">
        <f t="shared" si="402"/>
        <v>0</v>
      </c>
      <c r="K4121" s="40"/>
      <c r="Q4121" s="40">
        <v>39093</v>
      </c>
      <c r="R4121" s="39">
        <v>6687.3</v>
      </c>
      <c r="S4121" s="39">
        <f t="shared" si="403"/>
        <v>1</v>
      </c>
      <c r="T4121" s="39">
        <f t="shared" si="404"/>
        <v>0</v>
      </c>
      <c r="U4121" s="39">
        <f t="shared" si="405"/>
        <v>0</v>
      </c>
      <c r="V4121" s="40"/>
    </row>
    <row r="4122" spans="2:22" x14ac:dyDescent="0.35">
      <c r="B4122" s="40">
        <v>39094</v>
      </c>
      <c r="C4122" s="39">
        <v>6705.17</v>
      </c>
      <c r="D4122" s="219">
        <f t="shared" si="406"/>
        <v>2.6686653926435498E-3</v>
      </c>
      <c r="F4122" s="40">
        <v>39094</v>
      </c>
      <c r="G4122" s="39">
        <v>6705.17</v>
      </c>
      <c r="H4122" s="39">
        <f t="shared" si="401"/>
        <v>5</v>
      </c>
      <c r="I4122" s="39">
        <f t="shared" si="402"/>
        <v>6705.17</v>
      </c>
      <c r="K4122" s="40"/>
      <c r="Q4122" s="40">
        <v>39094</v>
      </c>
      <c r="R4122" s="39">
        <v>6705.17</v>
      </c>
      <c r="S4122" s="39">
        <f t="shared" si="403"/>
        <v>1</v>
      </c>
      <c r="T4122" s="39">
        <f t="shared" si="404"/>
        <v>0</v>
      </c>
      <c r="U4122" s="39">
        <f t="shared" si="405"/>
        <v>0</v>
      </c>
      <c r="V4122" s="40"/>
    </row>
    <row r="4123" spans="2:22" x14ac:dyDescent="0.35">
      <c r="B4123" s="40">
        <v>39097</v>
      </c>
      <c r="C4123" s="39">
        <v>6731.74</v>
      </c>
      <c r="D4123" s="219">
        <f t="shared" si="406"/>
        <v>3.9547834480171944E-3</v>
      </c>
      <c r="F4123" s="40">
        <v>39097</v>
      </c>
      <c r="G4123" s="39">
        <v>6731.74</v>
      </c>
      <c r="H4123" s="39">
        <f t="shared" si="401"/>
        <v>1</v>
      </c>
      <c r="I4123" s="39">
        <f t="shared" si="402"/>
        <v>0</v>
      </c>
      <c r="K4123" s="40"/>
      <c r="Q4123" s="40">
        <v>39097</v>
      </c>
      <c r="R4123" s="39">
        <v>6731.74</v>
      </c>
      <c r="S4123" s="39">
        <f t="shared" si="403"/>
        <v>1</v>
      </c>
      <c r="T4123" s="39">
        <f t="shared" si="404"/>
        <v>0</v>
      </c>
      <c r="U4123" s="39">
        <f t="shared" si="405"/>
        <v>0</v>
      </c>
      <c r="V4123" s="40"/>
    </row>
    <row r="4124" spans="2:22" x14ac:dyDescent="0.35">
      <c r="B4124" s="40">
        <v>39098</v>
      </c>
      <c r="C4124" s="39">
        <v>6716.82</v>
      </c>
      <c r="D4124" s="219">
        <f t="shared" si="406"/>
        <v>-2.2188258253914577E-3</v>
      </c>
      <c r="F4124" s="40">
        <v>39098</v>
      </c>
      <c r="G4124" s="39">
        <v>6716.82</v>
      </c>
      <c r="H4124" s="39">
        <f t="shared" si="401"/>
        <v>2</v>
      </c>
      <c r="I4124" s="39">
        <f t="shared" si="402"/>
        <v>0</v>
      </c>
      <c r="K4124" s="40"/>
      <c r="Q4124" s="40">
        <v>39098</v>
      </c>
      <c r="R4124" s="39">
        <v>6716.82</v>
      </c>
      <c r="S4124" s="39">
        <f t="shared" si="403"/>
        <v>1</v>
      </c>
      <c r="T4124" s="39">
        <f t="shared" si="404"/>
        <v>0</v>
      </c>
      <c r="U4124" s="39">
        <f t="shared" si="405"/>
        <v>0</v>
      </c>
      <c r="V4124" s="40"/>
    </row>
    <row r="4125" spans="2:22" x14ac:dyDescent="0.35">
      <c r="B4125" s="40">
        <v>39099</v>
      </c>
      <c r="C4125" s="39">
        <v>6701.7</v>
      </c>
      <c r="D4125" s="219">
        <f t="shared" si="406"/>
        <v>-2.253602692278007E-3</v>
      </c>
      <c r="F4125" s="40">
        <v>39099</v>
      </c>
      <c r="G4125" s="39">
        <v>6701.7</v>
      </c>
      <c r="H4125" s="39">
        <f t="shared" si="401"/>
        <v>3</v>
      </c>
      <c r="I4125" s="39">
        <f t="shared" si="402"/>
        <v>0</v>
      </c>
      <c r="K4125" s="40"/>
      <c r="Q4125" s="40">
        <v>39099</v>
      </c>
      <c r="R4125" s="39">
        <v>6701.7</v>
      </c>
      <c r="S4125" s="39">
        <f t="shared" si="403"/>
        <v>1</v>
      </c>
      <c r="T4125" s="39">
        <f t="shared" si="404"/>
        <v>0</v>
      </c>
      <c r="U4125" s="39">
        <f t="shared" si="405"/>
        <v>0</v>
      </c>
      <c r="V4125" s="40"/>
    </row>
    <row r="4126" spans="2:22" x14ac:dyDescent="0.35">
      <c r="B4126" s="40">
        <v>39100</v>
      </c>
      <c r="C4126" s="39">
        <v>6689.62</v>
      </c>
      <c r="D4126" s="219">
        <f t="shared" si="406"/>
        <v>-1.8041542247772637E-3</v>
      </c>
      <c r="F4126" s="40">
        <v>39100</v>
      </c>
      <c r="G4126" s="39">
        <v>6689.62</v>
      </c>
      <c r="H4126" s="39">
        <f t="shared" si="401"/>
        <v>4</v>
      </c>
      <c r="I4126" s="39">
        <f t="shared" si="402"/>
        <v>0</v>
      </c>
      <c r="K4126" s="40"/>
      <c r="Q4126" s="40">
        <v>39100</v>
      </c>
      <c r="R4126" s="39">
        <v>6689.62</v>
      </c>
      <c r="S4126" s="39">
        <f t="shared" si="403"/>
        <v>1</v>
      </c>
      <c r="T4126" s="39">
        <f t="shared" si="404"/>
        <v>0</v>
      </c>
      <c r="U4126" s="39">
        <f t="shared" si="405"/>
        <v>0</v>
      </c>
      <c r="V4126" s="40"/>
    </row>
    <row r="4127" spans="2:22" x14ac:dyDescent="0.35">
      <c r="B4127" s="40">
        <v>39101</v>
      </c>
      <c r="C4127" s="39">
        <v>6747.17</v>
      </c>
      <c r="D4127" s="219">
        <f t="shared" si="406"/>
        <v>8.5660863803692644E-3</v>
      </c>
      <c r="F4127" s="40">
        <v>39101</v>
      </c>
      <c r="G4127" s="39">
        <v>6747.17</v>
      </c>
      <c r="H4127" s="39">
        <f t="shared" si="401"/>
        <v>5</v>
      </c>
      <c r="I4127" s="39">
        <f t="shared" si="402"/>
        <v>6747.17</v>
      </c>
      <c r="K4127" s="40"/>
      <c r="Q4127" s="40">
        <v>39101</v>
      </c>
      <c r="R4127" s="39">
        <v>6747.17</v>
      </c>
      <c r="S4127" s="39">
        <f t="shared" si="403"/>
        <v>1</v>
      </c>
      <c r="T4127" s="39">
        <f t="shared" si="404"/>
        <v>0</v>
      </c>
      <c r="U4127" s="39">
        <f t="shared" si="405"/>
        <v>0</v>
      </c>
      <c r="V4127" s="40"/>
    </row>
    <row r="4128" spans="2:22" x14ac:dyDescent="0.35">
      <c r="B4128" s="40">
        <v>39104</v>
      </c>
      <c r="C4128" s="39">
        <v>6687.31</v>
      </c>
      <c r="D4128" s="219">
        <f t="shared" si="406"/>
        <v>-8.9114571078772083E-3</v>
      </c>
      <c r="F4128" s="40">
        <v>39104</v>
      </c>
      <c r="G4128" s="39">
        <v>6687.31</v>
      </c>
      <c r="H4128" s="39">
        <f t="shared" si="401"/>
        <v>1</v>
      </c>
      <c r="I4128" s="39">
        <f t="shared" si="402"/>
        <v>0</v>
      </c>
      <c r="K4128" s="40"/>
      <c r="Q4128" s="40">
        <v>39104</v>
      </c>
      <c r="R4128" s="39">
        <v>6687.31</v>
      </c>
      <c r="S4128" s="39">
        <f t="shared" si="403"/>
        <v>1</v>
      </c>
      <c r="T4128" s="39">
        <f t="shared" si="404"/>
        <v>0</v>
      </c>
      <c r="U4128" s="39">
        <f t="shared" si="405"/>
        <v>0</v>
      </c>
      <c r="V4128" s="40"/>
    </row>
    <row r="4129" spans="2:22" x14ac:dyDescent="0.35">
      <c r="B4129" s="40">
        <v>39105</v>
      </c>
      <c r="C4129" s="39">
        <v>6678.93</v>
      </c>
      <c r="D4129" s="219">
        <f t="shared" si="406"/>
        <v>-1.2539055258584276E-3</v>
      </c>
      <c r="F4129" s="40">
        <v>39105</v>
      </c>
      <c r="G4129" s="39">
        <v>6678.93</v>
      </c>
      <c r="H4129" s="39">
        <f t="shared" si="401"/>
        <v>2</v>
      </c>
      <c r="I4129" s="39">
        <f t="shared" si="402"/>
        <v>0</v>
      </c>
      <c r="K4129" s="40"/>
      <c r="Q4129" s="40">
        <v>39105</v>
      </c>
      <c r="R4129" s="39">
        <v>6678.93</v>
      </c>
      <c r="S4129" s="39">
        <f t="shared" si="403"/>
        <v>1</v>
      </c>
      <c r="T4129" s="39">
        <f t="shared" si="404"/>
        <v>0</v>
      </c>
      <c r="U4129" s="39">
        <f t="shared" si="405"/>
        <v>0</v>
      </c>
      <c r="V4129" s="40"/>
    </row>
    <row r="4130" spans="2:22" x14ac:dyDescent="0.35">
      <c r="B4130" s="40">
        <v>39106</v>
      </c>
      <c r="C4130" s="39">
        <v>6748.37</v>
      </c>
      <c r="D4130" s="219">
        <f t="shared" si="406"/>
        <v>1.0343199163902238E-2</v>
      </c>
      <c r="F4130" s="40">
        <v>39106</v>
      </c>
      <c r="G4130" s="39">
        <v>6748.37</v>
      </c>
      <c r="H4130" s="39">
        <f t="shared" si="401"/>
        <v>3</v>
      </c>
      <c r="I4130" s="39">
        <f t="shared" si="402"/>
        <v>0</v>
      </c>
      <c r="K4130" s="40"/>
      <c r="Q4130" s="40">
        <v>39106</v>
      </c>
      <c r="R4130" s="39">
        <v>6748.37</v>
      </c>
      <c r="S4130" s="39">
        <f t="shared" si="403"/>
        <v>1</v>
      </c>
      <c r="T4130" s="39">
        <f t="shared" si="404"/>
        <v>0</v>
      </c>
      <c r="U4130" s="39">
        <f t="shared" si="405"/>
        <v>0</v>
      </c>
      <c r="V4130" s="40"/>
    </row>
    <row r="4131" spans="2:22" x14ac:dyDescent="0.35">
      <c r="B4131" s="40">
        <v>39107</v>
      </c>
      <c r="C4131" s="39">
        <v>6719.58</v>
      </c>
      <c r="D4131" s="219">
        <f t="shared" si="406"/>
        <v>-4.2753416597575257E-3</v>
      </c>
      <c r="F4131" s="40">
        <v>39107</v>
      </c>
      <c r="G4131" s="39">
        <v>6719.58</v>
      </c>
      <c r="H4131" s="39">
        <f t="shared" si="401"/>
        <v>4</v>
      </c>
      <c r="I4131" s="39">
        <f t="shared" si="402"/>
        <v>0</v>
      </c>
      <c r="K4131" s="40"/>
      <c r="Q4131" s="40">
        <v>39107</v>
      </c>
      <c r="R4131" s="39">
        <v>6719.58</v>
      </c>
      <c r="S4131" s="39">
        <f t="shared" si="403"/>
        <v>1</v>
      </c>
      <c r="T4131" s="39">
        <f t="shared" si="404"/>
        <v>0</v>
      </c>
      <c r="U4131" s="39">
        <f t="shared" si="405"/>
        <v>0</v>
      </c>
      <c r="V4131" s="40"/>
    </row>
    <row r="4132" spans="2:22" x14ac:dyDescent="0.35">
      <c r="B4132" s="40">
        <v>39108</v>
      </c>
      <c r="C4132" s="39">
        <v>6690.34</v>
      </c>
      <c r="D4132" s="219">
        <f t="shared" si="406"/>
        <v>-4.3609576105439881E-3</v>
      </c>
      <c r="F4132" s="40">
        <v>39108</v>
      </c>
      <c r="G4132" s="39">
        <v>6690.34</v>
      </c>
      <c r="H4132" s="39">
        <f t="shared" si="401"/>
        <v>5</v>
      </c>
      <c r="I4132" s="39">
        <f t="shared" si="402"/>
        <v>6690.34</v>
      </c>
      <c r="K4132" s="40"/>
      <c r="Q4132" s="40">
        <v>39108</v>
      </c>
      <c r="R4132" s="39">
        <v>6690.34</v>
      </c>
      <c r="S4132" s="39">
        <f t="shared" si="403"/>
        <v>1</v>
      </c>
      <c r="T4132" s="39">
        <f t="shared" si="404"/>
        <v>0</v>
      </c>
      <c r="U4132" s="39">
        <f t="shared" si="405"/>
        <v>0</v>
      </c>
      <c r="V4132" s="40"/>
    </row>
    <row r="4133" spans="2:22" x14ac:dyDescent="0.35">
      <c r="B4133" s="40">
        <v>39111</v>
      </c>
      <c r="C4133" s="39">
        <v>6726.01</v>
      </c>
      <c r="D4133" s="219">
        <f t="shared" si="406"/>
        <v>5.3174051134317691E-3</v>
      </c>
      <c r="F4133" s="40">
        <v>39111</v>
      </c>
      <c r="G4133" s="39">
        <v>6726.01</v>
      </c>
      <c r="H4133" s="39">
        <f t="shared" si="401"/>
        <v>1</v>
      </c>
      <c r="I4133" s="39">
        <f t="shared" si="402"/>
        <v>0</v>
      </c>
      <c r="K4133" s="40"/>
      <c r="Q4133" s="40">
        <v>39111</v>
      </c>
      <c r="R4133" s="39">
        <v>6726.01</v>
      </c>
      <c r="S4133" s="39">
        <f t="shared" si="403"/>
        <v>1</v>
      </c>
      <c r="T4133" s="39">
        <f t="shared" si="404"/>
        <v>0</v>
      </c>
      <c r="U4133" s="39">
        <f t="shared" si="405"/>
        <v>0</v>
      </c>
      <c r="V4133" s="40"/>
    </row>
    <row r="4134" spans="2:22" x14ac:dyDescent="0.35">
      <c r="B4134" s="40">
        <v>39112</v>
      </c>
      <c r="C4134" s="39">
        <v>6788.23</v>
      </c>
      <c r="D4134" s="219">
        <f t="shared" si="406"/>
        <v>9.2081300367255741E-3</v>
      </c>
      <c r="F4134" s="40">
        <v>39112</v>
      </c>
      <c r="G4134" s="39">
        <v>6788.23</v>
      </c>
      <c r="H4134" s="39">
        <f t="shared" si="401"/>
        <v>2</v>
      </c>
      <c r="I4134" s="39">
        <f t="shared" si="402"/>
        <v>0</v>
      </c>
      <c r="K4134" s="40"/>
      <c r="Q4134" s="40">
        <v>39112</v>
      </c>
      <c r="R4134" s="39">
        <v>6788.23</v>
      </c>
      <c r="S4134" s="39">
        <f t="shared" si="403"/>
        <v>1</v>
      </c>
      <c r="T4134" s="39">
        <f t="shared" si="404"/>
        <v>0</v>
      </c>
      <c r="U4134" s="39">
        <f t="shared" si="405"/>
        <v>0</v>
      </c>
      <c r="V4134" s="40"/>
    </row>
    <row r="4135" spans="2:22" x14ac:dyDescent="0.35">
      <c r="B4135" s="40">
        <v>39113</v>
      </c>
      <c r="C4135" s="39">
        <v>6789.11</v>
      </c>
      <c r="D4135" s="219">
        <f t="shared" si="406"/>
        <v>1.2962774759017151E-4</v>
      </c>
      <c r="F4135" s="40">
        <v>39113</v>
      </c>
      <c r="G4135" s="39">
        <v>6789.11</v>
      </c>
      <c r="H4135" s="39">
        <f t="shared" si="401"/>
        <v>3</v>
      </c>
      <c r="I4135" s="39">
        <f t="shared" si="402"/>
        <v>0</v>
      </c>
      <c r="K4135" s="40"/>
      <c r="Q4135" s="40">
        <v>39113</v>
      </c>
      <c r="R4135" s="39">
        <v>6789.11</v>
      </c>
      <c r="S4135" s="39">
        <f t="shared" si="403"/>
        <v>1</v>
      </c>
      <c r="T4135" s="39">
        <f t="shared" si="404"/>
        <v>6789.11</v>
      </c>
      <c r="U4135" s="39">
        <f t="shared" si="405"/>
        <v>6789.11</v>
      </c>
      <c r="V4135" s="40"/>
    </row>
    <row r="4136" spans="2:22" x14ac:dyDescent="0.35">
      <c r="B4136" s="40">
        <v>39114</v>
      </c>
      <c r="C4136" s="39">
        <v>6851.28</v>
      </c>
      <c r="D4136" s="219">
        <f t="shared" si="406"/>
        <v>9.1156382625466881E-3</v>
      </c>
      <c r="F4136" s="40">
        <v>39114</v>
      </c>
      <c r="G4136" s="39">
        <v>6851.28</v>
      </c>
      <c r="H4136" s="39">
        <f t="shared" si="401"/>
        <v>4</v>
      </c>
      <c r="I4136" s="39">
        <f t="shared" si="402"/>
        <v>0</v>
      </c>
      <c r="K4136" s="40"/>
      <c r="Q4136" s="40">
        <v>39114</v>
      </c>
      <c r="R4136" s="39">
        <v>6851.28</v>
      </c>
      <c r="S4136" s="39">
        <f t="shared" si="403"/>
        <v>2</v>
      </c>
      <c r="T4136" s="39">
        <f t="shared" si="404"/>
        <v>0</v>
      </c>
      <c r="U4136" s="39">
        <f t="shared" si="405"/>
        <v>0</v>
      </c>
      <c r="V4136" s="40"/>
    </row>
    <row r="4137" spans="2:22" x14ac:dyDescent="0.35">
      <c r="B4137" s="40">
        <v>39115</v>
      </c>
      <c r="C4137" s="39">
        <v>6885.76</v>
      </c>
      <c r="D4137" s="219">
        <f t="shared" si="406"/>
        <v>5.0200148517508683E-3</v>
      </c>
      <c r="F4137" s="40">
        <v>39115</v>
      </c>
      <c r="G4137" s="39">
        <v>6885.76</v>
      </c>
      <c r="H4137" s="39">
        <f t="shared" si="401"/>
        <v>5</v>
      </c>
      <c r="I4137" s="39">
        <f t="shared" si="402"/>
        <v>6885.76</v>
      </c>
      <c r="K4137" s="40"/>
      <c r="Q4137" s="40">
        <v>39115</v>
      </c>
      <c r="R4137" s="39">
        <v>6885.76</v>
      </c>
      <c r="S4137" s="39">
        <f t="shared" si="403"/>
        <v>2</v>
      </c>
      <c r="T4137" s="39">
        <f t="shared" si="404"/>
        <v>0</v>
      </c>
      <c r="U4137" s="39">
        <f t="shared" si="405"/>
        <v>0</v>
      </c>
      <c r="V4137" s="40"/>
    </row>
    <row r="4138" spans="2:22" x14ac:dyDescent="0.35">
      <c r="B4138" s="40">
        <v>39118</v>
      </c>
      <c r="C4138" s="39">
        <v>6874.06</v>
      </c>
      <c r="D4138" s="219">
        <f t="shared" si="406"/>
        <v>-1.7006040514705295E-3</v>
      </c>
      <c r="F4138" s="40">
        <v>39118</v>
      </c>
      <c r="G4138" s="39">
        <v>6874.06</v>
      </c>
      <c r="H4138" s="39">
        <f t="shared" si="401"/>
        <v>1</v>
      </c>
      <c r="I4138" s="39">
        <f t="shared" si="402"/>
        <v>0</v>
      </c>
      <c r="K4138" s="40"/>
      <c r="Q4138" s="40">
        <v>39118</v>
      </c>
      <c r="R4138" s="39">
        <v>6874.06</v>
      </c>
      <c r="S4138" s="39">
        <f t="shared" si="403"/>
        <v>2</v>
      </c>
      <c r="T4138" s="39">
        <f t="shared" si="404"/>
        <v>0</v>
      </c>
      <c r="U4138" s="39">
        <f t="shared" si="405"/>
        <v>0</v>
      </c>
      <c r="V4138" s="40"/>
    </row>
    <row r="4139" spans="2:22" x14ac:dyDescent="0.35">
      <c r="B4139" s="40">
        <v>39119</v>
      </c>
      <c r="C4139" s="39">
        <v>6875.7</v>
      </c>
      <c r="D4139" s="219">
        <f t="shared" si="406"/>
        <v>2.3854961945166949E-4</v>
      </c>
      <c r="F4139" s="40">
        <v>39119</v>
      </c>
      <c r="G4139" s="39">
        <v>6875.7</v>
      </c>
      <c r="H4139" s="39">
        <f t="shared" si="401"/>
        <v>2</v>
      </c>
      <c r="I4139" s="39">
        <f t="shared" si="402"/>
        <v>0</v>
      </c>
      <c r="K4139" s="40"/>
      <c r="Q4139" s="40">
        <v>39119</v>
      </c>
      <c r="R4139" s="39">
        <v>6875.7</v>
      </c>
      <c r="S4139" s="39">
        <f t="shared" si="403"/>
        <v>2</v>
      </c>
      <c r="T4139" s="39">
        <f t="shared" si="404"/>
        <v>0</v>
      </c>
      <c r="U4139" s="39">
        <f t="shared" si="405"/>
        <v>0</v>
      </c>
      <c r="V4139" s="40"/>
    </row>
    <row r="4140" spans="2:22" x14ac:dyDescent="0.35">
      <c r="B4140" s="40">
        <v>39120</v>
      </c>
      <c r="C4140" s="39">
        <v>6915.56</v>
      </c>
      <c r="D4140" s="219">
        <f t="shared" si="406"/>
        <v>5.780488655898309E-3</v>
      </c>
      <c r="F4140" s="40">
        <v>39120</v>
      </c>
      <c r="G4140" s="39">
        <v>6915.56</v>
      </c>
      <c r="H4140" s="39">
        <f t="shared" si="401"/>
        <v>3</v>
      </c>
      <c r="I4140" s="39">
        <f t="shared" si="402"/>
        <v>0</v>
      </c>
      <c r="K4140" s="40"/>
      <c r="Q4140" s="40">
        <v>39120</v>
      </c>
      <c r="R4140" s="39">
        <v>6915.56</v>
      </c>
      <c r="S4140" s="39">
        <f t="shared" si="403"/>
        <v>2</v>
      </c>
      <c r="T4140" s="39">
        <f t="shared" si="404"/>
        <v>0</v>
      </c>
      <c r="U4140" s="39">
        <f t="shared" si="405"/>
        <v>0</v>
      </c>
      <c r="V4140" s="40"/>
    </row>
    <row r="4141" spans="2:22" x14ac:dyDescent="0.35">
      <c r="B4141" s="40">
        <v>39121</v>
      </c>
      <c r="C4141" s="39">
        <v>6876.73</v>
      </c>
      <c r="D4141" s="219">
        <f t="shared" si="406"/>
        <v>-5.63069694608036E-3</v>
      </c>
      <c r="F4141" s="40">
        <v>39121</v>
      </c>
      <c r="G4141" s="39">
        <v>6876.73</v>
      </c>
      <c r="H4141" s="39">
        <f t="shared" si="401"/>
        <v>4</v>
      </c>
      <c r="I4141" s="39">
        <f t="shared" si="402"/>
        <v>0</v>
      </c>
      <c r="K4141" s="40"/>
      <c r="Q4141" s="40">
        <v>39121</v>
      </c>
      <c r="R4141" s="39">
        <v>6876.73</v>
      </c>
      <c r="S4141" s="39">
        <f t="shared" si="403"/>
        <v>2</v>
      </c>
      <c r="T4141" s="39">
        <f t="shared" si="404"/>
        <v>0</v>
      </c>
      <c r="U4141" s="39">
        <f t="shared" si="405"/>
        <v>0</v>
      </c>
      <c r="V4141" s="40"/>
    </row>
    <row r="4142" spans="2:22" x14ac:dyDescent="0.35">
      <c r="B4142" s="40">
        <v>39122</v>
      </c>
      <c r="C4142" s="39">
        <v>6911.11</v>
      </c>
      <c r="D4142" s="219">
        <f t="shared" si="406"/>
        <v>4.9870133760453574E-3</v>
      </c>
      <c r="F4142" s="40">
        <v>39122</v>
      </c>
      <c r="G4142" s="39">
        <v>6911.11</v>
      </c>
      <c r="H4142" s="39">
        <f t="shared" si="401"/>
        <v>5</v>
      </c>
      <c r="I4142" s="39">
        <f t="shared" si="402"/>
        <v>6911.11</v>
      </c>
      <c r="K4142" s="40"/>
      <c r="Q4142" s="40">
        <v>39122</v>
      </c>
      <c r="R4142" s="39">
        <v>6911.11</v>
      </c>
      <c r="S4142" s="39">
        <f t="shared" si="403"/>
        <v>2</v>
      </c>
      <c r="T4142" s="39">
        <f t="shared" si="404"/>
        <v>0</v>
      </c>
      <c r="U4142" s="39">
        <f t="shared" si="405"/>
        <v>0</v>
      </c>
      <c r="V4142" s="40"/>
    </row>
    <row r="4143" spans="2:22" x14ac:dyDescent="0.35">
      <c r="B4143" s="40">
        <v>39125</v>
      </c>
      <c r="C4143" s="39">
        <v>6859.45</v>
      </c>
      <c r="D4143" s="219">
        <f t="shared" si="406"/>
        <v>-7.5029980406983365E-3</v>
      </c>
      <c r="F4143" s="40">
        <v>39125</v>
      </c>
      <c r="G4143" s="39">
        <v>6859.45</v>
      </c>
      <c r="H4143" s="39">
        <f t="shared" si="401"/>
        <v>1</v>
      </c>
      <c r="I4143" s="39">
        <f t="shared" si="402"/>
        <v>0</v>
      </c>
      <c r="K4143" s="40"/>
      <c r="Q4143" s="40">
        <v>39125</v>
      </c>
      <c r="R4143" s="39">
        <v>6859.45</v>
      </c>
      <c r="S4143" s="39">
        <f t="shared" si="403"/>
        <v>2</v>
      </c>
      <c r="T4143" s="39">
        <f t="shared" si="404"/>
        <v>0</v>
      </c>
      <c r="U4143" s="39">
        <f t="shared" si="405"/>
        <v>0</v>
      </c>
      <c r="V4143" s="40"/>
    </row>
    <row r="4144" spans="2:22" x14ac:dyDescent="0.35">
      <c r="B4144" s="40">
        <v>39126</v>
      </c>
      <c r="C4144" s="39">
        <v>6895.34</v>
      </c>
      <c r="D4144" s="219">
        <f t="shared" si="406"/>
        <v>5.2185575280106235E-3</v>
      </c>
      <c r="F4144" s="40">
        <v>39126</v>
      </c>
      <c r="G4144" s="39">
        <v>6895.34</v>
      </c>
      <c r="H4144" s="39">
        <f t="shared" si="401"/>
        <v>2</v>
      </c>
      <c r="I4144" s="39">
        <f t="shared" si="402"/>
        <v>0</v>
      </c>
      <c r="K4144" s="40"/>
      <c r="Q4144" s="40">
        <v>39126</v>
      </c>
      <c r="R4144" s="39">
        <v>6895.34</v>
      </c>
      <c r="S4144" s="39">
        <f t="shared" si="403"/>
        <v>2</v>
      </c>
      <c r="T4144" s="39">
        <f t="shared" si="404"/>
        <v>0</v>
      </c>
      <c r="U4144" s="39">
        <f t="shared" si="405"/>
        <v>0</v>
      </c>
      <c r="V4144" s="40"/>
    </row>
    <row r="4145" spans="2:22" x14ac:dyDescent="0.35">
      <c r="B4145" s="40">
        <v>39127</v>
      </c>
      <c r="C4145" s="39">
        <v>6961.18</v>
      </c>
      <c r="D4145" s="219">
        <f t="shared" si="406"/>
        <v>9.5031790813834664E-3</v>
      </c>
      <c r="F4145" s="40">
        <v>39127</v>
      </c>
      <c r="G4145" s="39">
        <v>6961.18</v>
      </c>
      <c r="H4145" s="39">
        <f t="shared" si="401"/>
        <v>3</v>
      </c>
      <c r="I4145" s="39">
        <f t="shared" si="402"/>
        <v>0</v>
      </c>
      <c r="K4145" s="40"/>
      <c r="Q4145" s="40">
        <v>39127</v>
      </c>
      <c r="R4145" s="39">
        <v>6961.18</v>
      </c>
      <c r="S4145" s="39">
        <f t="shared" si="403"/>
        <v>2</v>
      </c>
      <c r="T4145" s="39">
        <f t="shared" si="404"/>
        <v>0</v>
      </c>
      <c r="U4145" s="39">
        <f t="shared" si="405"/>
        <v>0</v>
      </c>
      <c r="V4145" s="40"/>
    </row>
    <row r="4146" spans="2:22" x14ac:dyDescent="0.35">
      <c r="B4146" s="40">
        <v>39128</v>
      </c>
      <c r="C4146" s="39">
        <v>6958.62</v>
      </c>
      <c r="D4146" s="219">
        <f t="shared" si="406"/>
        <v>-3.6782138089095631E-4</v>
      </c>
      <c r="F4146" s="40">
        <v>39128</v>
      </c>
      <c r="G4146" s="39">
        <v>6958.62</v>
      </c>
      <c r="H4146" s="39">
        <f t="shared" si="401"/>
        <v>4</v>
      </c>
      <c r="I4146" s="39">
        <f t="shared" si="402"/>
        <v>0</v>
      </c>
      <c r="K4146" s="40"/>
      <c r="Q4146" s="40">
        <v>39128</v>
      </c>
      <c r="R4146" s="39">
        <v>6958.62</v>
      </c>
      <c r="S4146" s="39">
        <f t="shared" si="403"/>
        <v>2</v>
      </c>
      <c r="T4146" s="39">
        <f t="shared" si="404"/>
        <v>0</v>
      </c>
      <c r="U4146" s="39">
        <f t="shared" si="405"/>
        <v>0</v>
      </c>
      <c r="V4146" s="40"/>
    </row>
    <row r="4147" spans="2:22" x14ac:dyDescent="0.35">
      <c r="B4147" s="40">
        <v>39129</v>
      </c>
      <c r="C4147" s="39">
        <v>6957.07</v>
      </c>
      <c r="D4147" s="219">
        <f t="shared" si="406"/>
        <v>-2.2277012586659071E-4</v>
      </c>
      <c r="F4147" s="40">
        <v>39129</v>
      </c>
      <c r="G4147" s="39">
        <v>6957.07</v>
      </c>
      <c r="H4147" s="39">
        <f t="shared" si="401"/>
        <v>5</v>
      </c>
      <c r="I4147" s="39">
        <f t="shared" si="402"/>
        <v>6957.07</v>
      </c>
      <c r="K4147" s="40"/>
      <c r="Q4147" s="40">
        <v>39129</v>
      </c>
      <c r="R4147" s="39">
        <v>6957.07</v>
      </c>
      <c r="S4147" s="39">
        <f t="shared" si="403"/>
        <v>2</v>
      </c>
      <c r="T4147" s="39">
        <f t="shared" si="404"/>
        <v>0</v>
      </c>
      <c r="U4147" s="39">
        <f t="shared" si="405"/>
        <v>0</v>
      </c>
      <c r="V4147" s="40"/>
    </row>
    <row r="4148" spans="2:22" x14ac:dyDescent="0.35">
      <c r="B4148" s="40">
        <v>39132</v>
      </c>
      <c r="C4148" s="39">
        <v>6987.08</v>
      </c>
      <c r="D4148" s="219">
        <f t="shared" si="406"/>
        <v>4.304320641038019E-3</v>
      </c>
      <c r="F4148" s="40">
        <v>39132</v>
      </c>
      <c r="G4148" s="39">
        <v>6987.08</v>
      </c>
      <c r="H4148" s="39">
        <f t="shared" si="401"/>
        <v>1</v>
      </c>
      <c r="I4148" s="39">
        <f t="shared" si="402"/>
        <v>0</v>
      </c>
      <c r="K4148" s="40"/>
      <c r="Q4148" s="40">
        <v>39132</v>
      </c>
      <c r="R4148" s="39">
        <v>6987.08</v>
      </c>
      <c r="S4148" s="39">
        <f t="shared" si="403"/>
        <v>2</v>
      </c>
      <c r="T4148" s="39">
        <f t="shared" si="404"/>
        <v>0</v>
      </c>
      <c r="U4148" s="39">
        <f t="shared" si="405"/>
        <v>0</v>
      </c>
      <c r="V4148" s="40"/>
    </row>
    <row r="4149" spans="2:22" x14ac:dyDescent="0.35">
      <c r="B4149" s="40">
        <v>39133</v>
      </c>
      <c r="C4149" s="39">
        <v>6982.91</v>
      </c>
      <c r="D4149" s="219">
        <f t="shared" si="406"/>
        <v>-5.9699400269432675E-4</v>
      </c>
      <c r="F4149" s="40">
        <v>39133</v>
      </c>
      <c r="G4149" s="39">
        <v>6982.91</v>
      </c>
      <c r="H4149" s="39">
        <f t="shared" si="401"/>
        <v>2</v>
      </c>
      <c r="I4149" s="39">
        <f t="shared" si="402"/>
        <v>0</v>
      </c>
      <c r="K4149" s="40"/>
      <c r="Q4149" s="40">
        <v>39133</v>
      </c>
      <c r="R4149" s="39">
        <v>6982.91</v>
      </c>
      <c r="S4149" s="39">
        <f t="shared" si="403"/>
        <v>2</v>
      </c>
      <c r="T4149" s="39">
        <f t="shared" si="404"/>
        <v>0</v>
      </c>
      <c r="U4149" s="39">
        <f t="shared" si="405"/>
        <v>0</v>
      </c>
      <c r="V4149" s="40"/>
    </row>
    <row r="4150" spans="2:22" x14ac:dyDescent="0.35">
      <c r="B4150" s="40">
        <v>39134</v>
      </c>
      <c r="C4150" s="39">
        <v>6941.66</v>
      </c>
      <c r="D4150" s="219">
        <f t="shared" si="406"/>
        <v>-5.9247963372972418E-3</v>
      </c>
      <c r="F4150" s="40">
        <v>39134</v>
      </c>
      <c r="G4150" s="39">
        <v>6941.66</v>
      </c>
      <c r="H4150" s="39">
        <f t="shared" si="401"/>
        <v>3</v>
      </c>
      <c r="I4150" s="39">
        <f t="shared" si="402"/>
        <v>0</v>
      </c>
      <c r="K4150" s="40"/>
      <c r="Q4150" s="40">
        <v>39134</v>
      </c>
      <c r="R4150" s="39">
        <v>6941.66</v>
      </c>
      <c r="S4150" s="39">
        <f t="shared" si="403"/>
        <v>2</v>
      </c>
      <c r="T4150" s="39">
        <f t="shared" si="404"/>
        <v>0</v>
      </c>
      <c r="U4150" s="39">
        <f t="shared" si="405"/>
        <v>0</v>
      </c>
      <c r="V4150" s="40"/>
    </row>
    <row r="4151" spans="2:22" x14ac:dyDescent="0.35">
      <c r="B4151" s="40">
        <v>39135</v>
      </c>
      <c r="C4151" s="39">
        <v>6973.73</v>
      </c>
      <c r="D4151" s="219">
        <f t="shared" si="406"/>
        <v>4.6092932758339559E-3</v>
      </c>
      <c r="F4151" s="40">
        <v>39135</v>
      </c>
      <c r="G4151" s="39">
        <v>6973.73</v>
      </c>
      <c r="H4151" s="39">
        <f t="shared" ref="H4151:H4214" si="407">WEEKDAY(F4151,2)</f>
        <v>4</v>
      </c>
      <c r="I4151" s="39">
        <f t="shared" ref="I4151:I4214" si="408">IF(H4151&gt;H4152,G4151,0)</f>
        <v>0</v>
      </c>
      <c r="K4151" s="40"/>
      <c r="Q4151" s="40">
        <v>39135</v>
      </c>
      <c r="R4151" s="39">
        <v>6973.73</v>
      </c>
      <c r="S4151" s="39">
        <f t="shared" ref="S4151:S4214" si="409">MONTH(Q4151)</f>
        <v>2</v>
      </c>
      <c r="T4151" s="39">
        <f t="shared" ref="T4151:T4214" si="410">IF(S4152&lt;&gt;S4151,R4151,0)</f>
        <v>0</v>
      </c>
      <c r="U4151" s="39">
        <f t="shared" ref="U4151:U4214" si="411">IF(S4152=S4151,0,R4151)</f>
        <v>0</v>
      </c>
      <c r="V4151" s="40"/>
    </row>
    <row r="4152" spans="2:22" x14ac:dyDescent="0.35">
      <c r="B4152" s="40">
        <v>39136</v>
      </c>
      <c r="C4152" s="39">
        <v>6992.58</v>
      </c>
      <c r="D4152" s="219">
        <f t="shared" ref="D4152:D4215" si="412">LN(C4152/C4151)</f>
        <v>2.6993545819761228E-3</v>
      </c>
      <c r="F4152" s="40">
        <v>39136</v>
      </c>
      <c r="G4152" s="39">
        <v>6992.58</v>
      </c>
      <c r="H4152" s="39">
        <f t="shared" si="407"/>
        <v>5</v>
      </c>
      <c r="I4152" s="39">
        <f t="shared" si="408"/>
        <v>6992.58</v>
      </c>
      <c r="K4152" s="40"/>
      <c r="Q4152" s="40">
        <v>39136</v>
      </c>
      <c r="R4152" s="39">
        <v>6992.58</v>
      </c>
      <c r="S4152" s="39">
        <f t="shared" si="409"/>
        <v>2</v>
      </c>
      <c r="T4152" s="39">
        <f t="shared" si="410"/>
        <v>0</v>
      </c>
      <c r="U4152" s="39">
        <f t="shared" si="411"/>
        <v>0</v>
      </c>
      <c r="V4152" s="40"/>
    </row>
    <row r="4153" spans="2:22" x14ac:dyDescent="0.35">
      <c r="B4153" s="40">
        <v>39139</v>
      </c>
      <c r="C4153" s="39">
        <v>7027.59</v>
      </c>
      <c r="D4153" s="219">
        <f t="shared" si="412"/>
        <v>4.9942436888606515E-3</v>
      </c>
      <c r="F4153" s="40">
        <v>39139</v>
      </c>
      <c r="G4153" s="39">
        <v>7027.59</v>
      </c>
      <c r="H4153" s="39">
        <f t="shared" si="407"/>
        <v>1</v>
      </c>
      <c r="I4153" s="39">
        <f t="shared" si="408"/>
        <v>0</v>
      </c>
      <c r="K4153" s="40"/>
      <c r="Q4153" s="40">
        <v>39139</v>
      </c>
      <c r="R4153" s="39">
        <v>7027.59</v>
      </c>
      <c r="S4153" s="39">
        <f t="shared" si="409"/>
        <v>2</v>
      </c>
      <c r="T4153" s="39">
        <f t="shared" si="410"/>
        <v>0</v>
      </c>
      <c r="U4153" s="39">
        <f t="shared" si="411"/>
        <v>0</v>
      </c>
      <c r="V4153" s="40"/>
    </row>
    <row r="4154" spans="2:22" x14ac:dyDescent="0.35">
      <c r="B4154" s="40">
        <v>39140</v>
      </c>
      <c r="C4154" s="39">
        <v>6819.65</v>
      </c>
      <c r="D4154" s="219">
        <f t="shared" si="412"/>
        <v>-3.0035679656474037E-2</v>
      </c>
      <c r="F4154" s="40">
        <v>39140</v>
      </c>
      <c r="G4154" s="39">
        <v>6819.65</v>
      </c>
      <c r="H4154" s="39">
        <f t="shared" si="407"/>
        <v>2</v>
      </c>
      <c r="I4154" s="39">
        <f t="shared" si="408"/>
        <v>0</v>
      </c>
      <c r="K4154" s="40"/>
      <c r="Q4154" s="40">
        <v>39140</v>
      </c>
      <c r="R4154" s="39">
        <v>6819.65</v>
      </c>
      <c r="S4154" s="39">
        <f t="shared" si="409"/>
        <v>2</v>
      </c>
      <c r="T4154" s="39">
        <f t="shared" si="410"/>
        <v>0</v>
      </c>
      <c r="U4154" s="39">
        <f t="shared" si="411"/>
        <v>0</v>
      </c>
      <c r="V4154" s="40"/>
    </row>
    <row r="4155" spans="2:22" x14ac:dyDescent="0.35">
      <c r="B4155" s="40">
        <v>39141</v>
      </c>
      <c r="C4155" s="39">
        <v>6715.44</v>
      </c>
      <c r="D4155" s="219">
        <f t="shared" si="412"/>
        <v>-1.5398798117688338E-2</v>
      </c>
      <c r="F4155" s="40">
        <v>39141</v>
      </c>
      <c r="G4155" s="39">
        <v>6715.44</v>
      </c>
      <c r="H4155" s="39">
        <f t="shared" si="407"/>
        <v>3</v>
      </c>
      <c r="I4155" s="39">
        <f t="shared" si="408"/>
        <v>0</v>
      </c>
      <c r="K4155" s="40"/>
      <c r="Q4155" s="40">
        <v>39141</v>
      </c>
      <c r="R4155" s="39">
        <v>6715.44</v>
      </c>
      <c r="S4155" s="39">
        <f t="shared" si="409"/>
        <v>2</v>
      </c>
      <c r="T4155" s="39">
        <f t="shared" si="410"/>
        <v>6715.44</v>
      </c>
      <c r="U4155" s="39">
        <f t="shared" si="411"/>
        <v>6715.44</v>
      </c>
      <c r="V4155" s="40"/>
    </row>
    <row r="4156" spans="2:22" x14ac:dyDescent="0.35">
      <c r="B4156" s="40">
        <v>39142</v>
      </c>
      <c r="C4156" s="39">
        <v>6640.24</v>
      </c>
      <c r="D4156" s="219">
        <f t="shared" si="412"/>
        <v>-1.1261245359234203E-2</v>
      </c>
      <c r="F4156" s="40">
        <v>39142</v>
      </c>
      <c r="G4156" s="39">
        <v>6640.24</v>
      </c>
      <c r="H4156" s="39">
        <f t="shared" si="407"/>
        <v>4</v>
      </c>
      <c r="I4156" s="39">
        <f t="shared" si="408"/>
        <v>0</v>
      </c>
      <c r="K4156" s="40"/>
      <c r="Q4156" s="40">
        <v>39142</v>
      </c>
      <c r="R4156" s="39">
        <v>6640.24</v>
      </c>
      <c r="S4156" s="39">
        <f t="shared" si="409"/>
        <v>3</v>
      </c>
      <c r="T4156" s="39">
        <f t="shared" si="410"/>
        <v>0</v>
      </c>
      <c r="U4156" s="39">
        <f t="shared" si="411"/>
        <v>0</v>
      </c>
      <c r="V4156" s="40"/>
    </row>
    <row r="4157" spans="2:22" x14ac:dyDescent="0.35">
      <c r="B4157" s="40">
        <v>39143</v>
      </c>
      <c r="C4157" s="39">
        <v>6603.32</v>
      </c>
      <c r="D4157" s="219">
        <f t="shared" si="412"/>
        <v>-5.5755545553760697E-3</v>
      </c>
      <c r="F4157" s="40">
        <v>39143</v>
      </c>
      <c r="G4157" s="39">
        <v>6603.32</v>
      </c>
      <c r="H4157" s="39">
        <f t="shared" si="407"/>
        <v>5</v>
      </c>
      <c r="I4157" s="39">
        <f t="shared" si="408"/>
        <v>6603.32</v>
      </c>
      <c r="K4157" s="40"/>
      <c r="Q4157" s="40">
        <v>39143</v>
      </c>
      <c r="R4157" s="39">
        <v>6603.32</v>
      </c>
      <c r="S4157" s="39">
        <f t="shared" si="409"/>
        <v>3</v>
      </c>
      <c r="T4157" s="39">
        <f t="shared" si="410"/>
        <v>0</v>
      </c>
      <c r="U4157" s="39">
        <f t="shared" si="411"/>
        <v>0</v>
      </c>
      <c r="V4157" s="40"/>
    </row>
    <row r="4158" spans="2:22" x14ac:dyDescent="0.35">
      <c r="B4158" s="40">
        <v>39146</v>
      </c>
      <c r="C4158" s="39">
        <v>6534.57</v>
      </c>
      <c r="D4158" s="219">
        <f t="shared" si="412"/>
        <v>-1.0466007487713078E-2</v>
      </c>
      <c r="F4158" s="40">
        <v>39146</v>
      </c>
      <c r="G4158" s="39">
        <v>6534.57</v>
      </c>
      <c r="H4158" s="39">
        <f t="shared" si="407"/>
        <v>1</v>
      </c>
      <c r="I4158" s="39">
        <f t="shared" si="408"/>
        <v>0</v>
      </c>
      <c r="K4158" s="40"/>
      <c r="Q4158" s="40">
        <v>39146</v>
      </c>
      <c r="R4158" s="39">
        <v>6534.57</v>
      </c>
      <c r="S4158" s="39">
        <f t="shared" si="409"/>
        <v>3</v>
      </c>
      <c r="T4158" s="39">
        <f t="shared" si="410"/>
        <v>0</v>
      </c>
      <c r="U4158" s="39">
        <f t="shared" si="411"/>
        <v>0</v>
      </c>
      <c r="V4158" s="40"/>
    </row>
    <row r="4159" spans="2:22" x14ac:dyDescent="0.35">
      <c r="B4159" s="40">
        <v>39147</v>
      </c>
      <c r="C4159" s="39">
        <v>6595</v>
      </c>
      <c r="D4159" s="219">
        <f t="shared" si="412"/>
        <v>9.2052407989108298E-3</v>
      </c>
      <c r="F4159" s="40">
        <v>39147</v>
      </c>
      <c r="G4159" s="39">
        <v>6595</v>
      </c>
      <c r="H4159" s="39">
        <f t="shared" si="407"/>
        <v>2</v>
      </c>
      <c r="I4159" s="39">
        <f t="shared" si="408"/>
        <v>0</v>
      </c>
      <c r="K4159" s="40"/>
      <c r="Q4159" s="40">
        <v>39147</v>
      </c>
      <c r="R4159" s="39">
        <v>6595</v>
      </c>
      <c r="S4159" s="39">
        <f t="shared" si="409"/>
        <v>3</v>
      </c>
      <c r="T4159" s="39">
        <f t="shared" si="410"/>
        <v>0</v>
      </c>
      <c r="U4159" s="39">
        <f t="shared" si="411"/>
        <v>0</v>
      </c>
      <c r="V4159" s="40"/>
    </row>
    <row r="4160" spans="2:22" x14ac:dyDescent="0.35">
      <c r="B4160" s="40">
        <v>39148</v>
      </c>
      <c r="C4160" s="39">
        <v>6617.75</v>
      </c>
      <c r="D4160" s="219">
        <f t="shared" si="412"/>
        <v>3.4436468535499988E-3</v>
      </c>
      <c r="F4160" s="40">
        <v>39148</v>
      </c>
      <c r="G4160" s="39">
        <v>6617.75</v>
      </c>
      <c r="H4160" s="39">
        <f t="shared" si="407"/>
        <v>3</v>
      </c>
      <c r="I4160" s="39">
        <f t="shared" si="408"/>
        <v>0</v>
      </c>
      <c r="K4160" s="40"/>
      <c r="Q4160" s="40">
        <v>39148</v>
      </c>
      <c r="R4160" s="39">
        <v>6617.75</v>
      </c>
      <c r="S4160" s="39">
        <f t="shared" si="409"/>
        <v>3</v>
      </c>
      <c r="T4160" s="39">
        <f t="shared" si="410"/>
        <v>0</v>
      </c>
      <c r="U4160" s="39">
        <f t="shared" si="411"/>
        <v>0</v>
      </c>
      <c r="V4160" s="40"/>
    </row>
    <row r="4161" spans="2:22" x14ac:dyDescent="0.35">
      <c r="B4161" s="40">
        <v>39149</v>
      </c>
      <c r="C4161" s="39">
        <v>6713.23</v>
      </c>
      <c r="D4161" s="219">
        <f t="shared" si="412"/>
        <v>1.4324773226796069E-2</v>
      </c>
      <c r="F4161" s="40">
        <v>39149</v>
      </c>
      <c r="G4161" s="39">
        <v>6713.23</v>
      </c>
      <c r="H4161" s="39">
        <f t="shared" si="407"/>
        <v>4</v>
      </c>
      <c r="I4161" s="39">
        <f t="shared" si="408"/>
        <v>0</v>
      </c>
      <c r="K4161" s="40"/>
      <c r="Q4161" s="40">
        <v>39149</v>
      </c>
      <c r="R4161" s="39">
        <v>6713.23</v>
      </c>
      <c r="S4161" s="39">
        <f t="shared" si="409"/>
        <v>3</v>
      </c>
      <c r="T4161" s="39">
        <f t="shared" si="410"/>
        <v>0</v>
      </c>
      <c r="U4161" s="39">
        <f t="shared" si="411"/>
        <v>0</v>
      </c>
      <c r="V4161" s="40"/>
    </row>
    <row r="4162" spans="2:22" x14ac:dyDescent="0.35">
      <c r="B4162" s="40">
        <v>39150</v>
      </c>
      <c r="C4162" s="39">
        <v>6716.52</v>
      </c>
      <c r="D4162" s="219">
        <f t="shared" si="412"/>
        <v>4.8995700825644551E-4</v>
      </c>
      <c r="F4162" s="40">
        <v>39150</v>
      </c>
      <c r="G4162" s="39">
        <v>6716.52</v>
      </c>
      <c r="H4162" s="39">
        <f t="shared" si="407"/>
        <v>5</v>
      </c>
      <c r="I4162" s="39">
        <f t="shared" si="408"/>
        <v>6716.52</v>
      </c>
      <c r="K4162" s="40"/>
      <c r="Q4162" s="40">
        <v>39150</v>
      </c>
      <c r="R4162" s="39">
        <v>6716.52</v>
      </c>
      <c r="S4162" s="39">
        <f t="shared" si="409"/>
        <v>3</v>
      </c>
      <c r="T4162" s="39">
        <f t="shared" si="410"/>
        <v>0</v>
      </c>
      <c r="U4162" s="39">
        <f t="shared" si="411"/>
        <v>0</v>
      </c>
      <c r="V4162" s="40"/>
    </row>
    <row r="4163" spans="2:22" x14ac:dyDescent="0.35">
      <c r="B4163" s="40">
        <v>39153</v>
      </c>
      <c r="C4163" s="39">
        <v>6715.49</v>
      </c>
      <c r="D4163" s="219">
        <f t="shared" si="412"/>
        <v>-1.5336498439468037E-4</v>
      </c>
      <c r="F4163" s="40">
        <v>39153</v>
      </c>
      <c r="G4163" s="39">
        <v>6715.49</v>
      </c>
      <c r="H4163" s="39">
        <f t="shared" si="407"/>
        <v>1</v>
      </c>
      <c r="I4163" s="39">
        <f t="shared" si="408"/>
        <v>0</v>
      </c>
      <c r="K4163" s="40"/>
      <c r="Q4163" s="40">
        <v>39153</v>
      </c>
      <c r="R4163" s="39">
        <v>6715.49</v>
      </c>
      <c r="S4163" s="39">
        <f t="shared" si="409"/>
        <v>3</v>
      </c>
      <c r="T4163" s="39">
        <f t="shared" si="410"/>
        <v>0</v>
      </c>
      <c r="U4163" s="39">
        <f t="shared" si="411"/>
        <v>0</v>
      </c>
      <c r="V4163" s="40"/>
    </row>
    <row r="4164" spans="2:22" x14ac:dyDescent="0.35">
      <c r="B4164" s="40">
        <v>39154</v>
      </c>
      <c r="C4164" s="39">
        <v>6623.99</v>
      </c>
      <c r="D4164" s="219">
        <f t="shared" si="412"/>
        <v>-1.3718890853502731E-2</v>
      </c>
      <c r="F4164" s="40">
        <v>39154</v>
      </c>
      <c r="G4164" s="39">
        <v>6623.99</v>
      </c>
      <c r="H4164" s="39">
        <f t="shared" si="407"/>
        <v>2</v>
      </c>
      <c r="I4164" s="39">
        <f t="shared" si="408"/>
        <v>0</v>
      </c>
      <c r="K4164" s="40"/>
      <c r="Q4164" s="40">
        <v>39154</v>
      </c>
      <c r="R4164" s="39">
        <v>6623.99</v>
      </c>
      <c r="S4164" s="39">
        <f t="shared" si="409"/>
        <v>3</v>
      </c>
      <c r="T4164" s="39">
        <f t="shared" si="410"/>
        <v>0</v>
      </c>
      <c r="U4164" s="39">
        <f t="shared" si="411"/>
        <v>0</v>
      </c>
      <c r="V4164" s="40"/>
    </row>
    <row r="4165" spans="2:22" x14ac:dyDescent="0.35">
      <c r="B4165" s="40">
        <v>39155</v>
      </c>
      <c r="C4165" s="39">
        <v>6447.7</v>
      </c>
      <c r="D4165" s="219">
        <f t="shared" si="412"/>
        <v>-2.6974429352617138E-2</v>
      </c>
      <c r="F4165" s="40">
        <v>39155</v>
      </c>
      <c r="G4165" s="39">
        <v>6447.7</v>
      </c>
      <c r="H4165" s="39">
        <f t="shared" si="407"/>
        <v>3</v>
      </c>
      <c r="I4165" s="39">
        <f t="shared" si="408"/>
        <v>0</v>
      </c>
      <c r="K4165" s="40"/>
      <c r="Q4165" s="40">
        <v>39155</v>
      </c>
      <c r="R4165" s="39">
        <v>6447.7</v>
      </c>
      <c r="S4165" s="39">
        <f t="shared" si="409"/>
        <v>3</v>
      </c>
      <c r="T4165" s="39">
        <f t="shared" si="410"/>
        <v>0</v>
      </c>
      <c r="U4165" s="39">
        <f t="shared" si="411"/>
        <v>0</v>
      </c>
      <c r="V4165" s="40"/>
    </row>
    <row r="4166" spans="2:22" x14ac:dyDescent="0.35">
      <c r="B4166" s="40">
        <v>39156</v>
      </c>
      <c r="C4166" s="39">
        <v>6585.47</v>
      </c>
      <c r="D4166" s="219">
        <f t="shared" si="412"/>
        <v>2.1142228916462811E-2</v>
      </c>
      <c r="F4166" s="40">
        <v>39156</v>
      </c>
      <c r="G4166" s="39">
        <v>6585.47</v>
      </c>
      <c r="H4166" s="39">
        <f t="shared" si="407"/>
        <v>4</v>
      </c>
      <c r="I4166" s="39">
        <f t="shared" si="408"/>
        <v>0</v>
      </c>
      <c r="K4166" s="40"/>
      <c r="Q4166" s="40">
        <v>39156</v>
      </c>
      <c r="R4166" s="39">
        <v>6585.47</v>
      </c>
      <c r="S4166" s="39">
        <f t="shared" si="409"/>
        <v>3</v>
      </c>
      <c r="T4166" s="39">
        <f t="shared" si="410"/>
        <v>0</v>
      </c>
      <c r="U4166" s="39">
        <f t="shared" si="411"/>
        <v>0</v>
      </c>
      <c r="V4166" s="40"/>
    </row>
    <row r="4167" spans="2:22" x14ac:dyDescent="0.35">
      <c r="B4167" s="40">
        <v>39157</v>
      </c>
      <c r="C4167" s="39">
        <v>6579.87</v>
      </c>
      <c r="D4167" s="219">
        <f t="shared" si="412"/>
        <v>-8.5071868067783732E-4</v>
      </c>
      <c r="F4167" s="40">
        <v>39157</v>
      </c>
      <c r="G4167" s="39">
        <v>6579.87</v>
      </c>
      <c r="H4167" s="39">
        <f t="shared" si="407"/>
        <v>5</v>
      </c>
      <c r="I4167" s="39">
        <f t="shared" si="408"/>
        <v>6579.87</v>
      </c>
      <c r="K4167" s="40"/>
      <c r="Q4167" s="40">
        <v>39157</v>
      </c>
      <c r="R4167" s="39">
        <v>6579.87</v>
      </c>
      <c r="S4167" s="39">
        <f t="shared" si="409"/>
        <v>3</v>
      </c>
      <c r="T4167" s="39">
        <f t="shared" si="410"/>
        <v>0</v>
      </c>
      <c r="U4167" s="39">
        <f t="shared" si="411"/>
        <v>0</v>
      </c>
      <c r="V4167" s="40"/>
    </row>
    <row r="4168" spans="2:22" x14ac:dyDescent="0.35">
      <c r="B4168" s="40">
        <v>39160</v>
      </c>
      <c r="C4168" s="39">
        <v>6671.41</v>
      </c>
      <c r="D4168" s="219">
        <f t="shared" si="412"/>
        <v>1.3816243586602493E-2</v>
      </c>
      <c r="F4168" s="40">
        <v>39160</v>
      </c>
      <c r="G4168" s="39">
        <v>6671.41</v>
      </c>
      <c r="H4168" s="39">
        <f t="shared" si="407"/>
        <v>1</v>
      </c>
      <c r="I4168" s="39">
        <f t="shared" si="408"/>
        <v>0</v>
      </c>
      <c r="K4168" s="40"/>
      <c r="Q4168" s="40">
        <v>39160</v>
      </c>
      <c r="R4168" s="39">
        <v>6671.41</v>
      </c>
      <c r="S4168" s="39">
        <f t="shared" si="409"/>
        <v>3</v>
      </c>
      <c r="T4168" s="39">
        <f t="shared" si="410"/>
        <v>0</v>
      </c>
      <c r="U4168" s="39">
        <f t="shared" si="411"/>
        <v>0</v>
      </c>
      <c r="V4168" s="40"/>
    </row>
    <row r="4169" spans="2:22" x14ac:dyDescent="0.35">
      <c r="B4169" s="40">
        <v>39161</v>
      </c>
      <c r="C4169" s="39">
        <v>6700.29</v>
      </c>
      <c r="D4169" s="219">
        <f t="shared" si="412"/>
        <v>4.3195771525490053E-3</v>
      </c>
      <c r="F4169" s="40">
        <v>39161</v>
      </c>
      <c r="G4169" s="39">
        <v>6700.29</v>
      </c>
      <c r="H4169" s="39">
        <f t="shared" si="407"/>
        <v>2</v>
      </c>
      <c r="I4169" s="39">
        <f t="shared" si="408"/>
        <v>0</v>
      </c>
      <c r="K4169" s="40"/>
      <c r="Q4169" s="40">
        <v>39161</v>
      </c>
      <c r="R4169" s="39">
        <v>6700.29</v>
      </c>
      <c r="S4169" s="39">
        <f t="shared" si="409"/>
        <v>3</v>
      </c>
      <c r="T4169" s="39">
        <f t="shared" si="410"/>
        <v>0</v>
      </c>
      <c r="U4169" s="39">
        <f t="shared" si="411"/>
        <v>0</v>
      </c>
      <c r="V4169" s="40"/>
    </row>
    <row r="4170" spans="2:22" x14ac:dyDescent="0.35">
      <c r="B4170" s="40">
        <v>39162</v>
      </c>
      <c r="C4170" s="39">
        <v>6712.06</v>
      </c>
      <c r="D4170" s="219">
        <f t="shared" si="412"/>
        <v>1.7550992959970413E-3</v>
      </c>
      <c r="F4170" s="40">
        <v>39162</v>
      </c>
      <c r="G4170" s="39">
        <v>6712.06</v>
      </c>
      <c r="H4170" s="39">
        <f t="shared" si="407"/>
        <v>3</v>
      </c>
      <c r="I4170" s="39">
        <f t="shared" si="408"/>
        <v>0</v>
      </c>
      <c r="K4170" s="40"/>
      <c r="Q4170" s="40">
        <v>39162</v>
      </c>
      <c r="R4170" s="39">
        <v>6712.06</v>
      </c>
      <c r="S4170" s="39">
        <f t="shared" si="409"/>
        <v>3</v>
      </c>
      <c r="T4170" s="39">
        <f t="shared" si="410"/>
        <v>0</v>
      </c>
      <c r="U4170" s="39">
        <f t="shared" si="411"/>
        <v>0</v>
      </c>
      <c r="V4170" s="40"/>
    </row>
    <row r="4171" spans="2:22" x14ac:dyDescent="0.35">
      <c r="B4171" s="40">
        <v>39163</v>
      </c>
      <c r="C4171" s="39">
        <v>6856.96</v>
      </c>
      <c r="D4171" s="219">
        <f t="shared" si="412"/>
        <v>2.1358286492049326E-2</v>
      </c>
      <c r="F4171" s="40">
        <v>39163</v>
      </c>
      <c r="G4171" s="39">
        <v>6856.96</v>
      </c>
      <c r="H4171" s="39">
        <f t="shared" si="407"/>
        <v>4</v>
      </c>
      <c r="I4171" s="39">
        <f t="shared" si="408"/>
        <v>0</v>
      </c>
      <c r="K4171" s="40"/>
      <c r="Q4171" s="40">
        <v>39163</v>
      </c>
      <c r="R4171" s="39">
        <v>6856.96</v>
      </c>
      <c r="S4171" s="39">
        <f t="shared" si="409"/>
        <v>3</v>
      </c>
      <c r="T4171" s="39">
        <f t="shared" si="410"/>
        <v>0</v>
      </c>
      <c r="U4171" s="39">
        <f t="shared" si="411"/>
        <v>0</v>
      </c>
      <c r="V4171" s="40"/>
    </row>
    <row r="4172" spans="2:22" x14ac:dyDescent="0.35">
      <c r="B4172" s="40">
        <v>39164</v>
      </c>
      <c r="C4172" s="39">
        <v>6899.06</v>
      </c>
      <c r="D4172" s="219">
        <f t="shared" si="412"/>
        <v>6.1209756084006604E-3</v>
      </c>
      <c r="F4172" s="40">
        <v>39164</v>
      </c>
      <c r="G4172" s="39">
        <v>6899.06</v>
      </c>
      <c r="H4172" s="39">
        <f t="shared" si="407"/>
        <v>5</v>
      </c>
      <c r="I4172" s="39">
        <f t="shared" si="408"/>
        <v>6899.06</v>
      </c>
      <c r="K4172" s="40"/>
      <c r="Q4172" s="40">
        <v>39164</v>
      </c>
      <c r="R4172" s="39">
        <v>6899.06</v>
      </c>
      <c r="S4172" s="39">
        <f t="shared" si="409"/>
        <v>3</v>
      </c>
      <c r="T4172" s="39">
        <f t="shared" si="410"/>
        <v>0</v>
      </c>
      <c r="U4172" s="39">
        <f t="shared" si="411"/>
        <v>0</v>
      </c>
      <c r="V4172" s="40"/>
    </row>
    <row r="4173" spans="2:22" x14ac:dyDescent="0.35">
      <c r="B4173" s="40">
        <v>39167</v>
      </c>
      <c r="C4173" s="39">
        <v>6828.82</v>
      </c>
      <c r="D4173" s="219">
        <f t="shared" si="412"/>
        <v>-1.0233278985537483E-2</v>
      </c>
      <c r="F4173" s="40">
        <v>39167</v>
      </c>
      <c r="G4173" s="39">
        <v>6828.82</v>
      </c>
      <c r="H4173" s="39">
        <f t="shared" si="407"/>
        <v>1</v>
      </c>
      <c r="I4173" s="39">
        <f t="shared" si="408"/>
        <v>0</v>
      </c>
      <c r="K4173" s="40"/>
      <c r="Q4173" s="40">
        <v>39167</v>
      </c>
      <c r="R4173" s="39">
        <v>6828.82</v>
      </c>
      <c r="S4173" s="39">
        <f t="shared" si="409"/>
        <v>3</v>
      </c>
      <c r="T4173" s="39">
        <f t="shared" si="410"/>
        <v>0</v>
      </c>
      <c r="U4173" s="39">
        <f t="shared" si="411"/>
        <v>0</v>
      </c>
      <c r="V4173" s="40"/>
    </row>
    <row r="4174" spans="2:22" x14ac:dyDescent="0.35">
      <c r="B4174" s="40">
        <v>39168</v>
      </c>
      <c r="C4174" s="39">
        <v>6858.34</v>
      </c>
      <c r="D4174" s="219">
        <f t="shared" si="412"/>
        <v>4.3135384948020366E-3</v>
      </c>
      <c r="F4174" s="40">
        <v>39168</v>
      </c>
      <c r="G4174" s="39">
        <v>6858.34</v>
      </c>
      <c r="H4174" s="39">
        <f t="shared" si="407"/>
        <v>2</v>
      </c>
      <c r="I4174" s="39">
        <f t="shared" si="408"/>
        <v>0</v>
      </c>
      <c r="K4174" s="40"/>
      <c r="Q4174" s="40">
        <v>39168</v>
      </c>
      <c r="R4174" s="39">
        <v>6858.34</v>
      </c>
      <c r="S4174" s="39">
        <f t="shared" si="409"/>
        <v>3</v>
      </c>
      <c r="T4174" s="39">
        <f t="shared" si="410"/>
        <v>0</v>
      </c>
      <c r="U4174" s="39">
        <f t="shared" si="411"/>
        <v>0</v>
      </c>
      <c r="V4174" s="40"/>
    </row>
    <row r="4175" spans="2:22" x14ac:dyDescent="0.35">
      <c r="B4175" s="40">
        <v>39169</v>
      </c>
      <c r="C4175" s="39">
        <v>6816.89</v>
      </c>
      <c r="D4175" s="219">
        <f t="shared" si="412"/>
        <v>-6.0620738278174564E-3</v>
      </c>
      <c r="F4175" s="40">
        <v>39169</v>
      </c>
      <c r="G4175" s="39">
        <v>6816.89</v>
      </c>
      <c r="H4175" s="39">
        <f t="shared" si="407"/>
        <v>3</v>
      </c>
      <c r="I4175" s="39">
        <f t="shared" si="408"/>
        <v>0</v>
      </c>
      <c r="K4175" s="40"/>
      <c r="Q4175" s="40">
        <v>39169</v>
      </c>
      <c r="R4175" s="39">
        <v>6816.89</v>
      </c>
      <c r="S4175" s="39">
        <f t="shared" si="409"/>
        <v>3</v>
      </c>
      <c r="T4175" s="39">
        <f t="shared" si="410"/>
        <v>0</v>
      </c>
      <c r="U4175" s="39">
        <f t="shared" si="411"/>
        <v>0</v>
      </c>
      <c r="V4175" s="40"/>
    </row>
    <row r="4176" spans="2:22" x14ac:dyDescent="0.35">
      <c r="B4176" s="40">
        <v>39170</v>
      </c>
      <c r="C4176" s="39">
        <v>6897.08</v>
      </c>
      <c r="D4176" s="219">
        <f t="shared" si="412"/>
        <v>1.1694777507735425E-2</v>
      </c>
      <c r="F4176" s="40">
        <v>39170</v>
      </c>
      <c r="G4176" s="39">
        <v>6897.08</v>
      </c>
      <c r="H4176" s="39">
        <f t="shared" si="407"/>
        <v>4</v>
      </c>
      <c r="I4176" s="39">
        <f t="shared" si="408"/>
        <v>0</v>
      </c>
      <c r="K4176" s="40"/>
      <c r="Q4176" s="40">
        <v>39170</v>
      </c>
      <c r="R4176" s="39">
        <v>6897.08</v>
      </c>
      <c r="S4176" s="39">
        <f t="shared" si="409"/>
        <v>3</v>
      </c>
      <c r="T4176" s="39">
        <f t="shared" si="410"/>
        <v>0</v>
      </c>
      <c r="U4176" s="39">
        <f t="shared" si="411"/>
        <v>0</v>
      </c>
      <c r="V4176" s="40"/>
    </row>
    <row r="4177" spans="2:22" x14ac:dyDescent="0.35">
      <c r="B4177" s="40">
        <v>39171</v>
      </c>
      <c r="C4177" s="39">
        <v>6917.03</v>
      </c>
      <c r="D4177" s="219">
        <f t="shared" si="412"/>
        <v>2.8883531214885503E-3</v>
      </c>
      <c r="F4177" s="40">
        <v>39171</v>
      </c>
      <c r="G4177" s="39">
        <v>6917.03</v>
      </c>
      <c r="H4177" s="39">
        <f t="shared" si="407"/>
        <v>5</v>
      </c>
      <c r="I4177" s="39">
        <f t="shared" si="408"/>
        <v>6917.03</v>
      </c>
      <c r="K4177" s="40"/>
      <c r="Q4177" s="40">
        <v>39171</v>
      </c>
      <c r="R4177" s="39">
        <v>6917.03</v>
      </c>
      <c r="S4177" s="39">
        <f t="shared" si="409"/>
        <v>3</v>
      </c>
      <c r="T4177" s="39">
        <f t="shared" si="410"/>
        <v>6917.03</v>
      </c>
      <c r="U4177" s="39">
        <f t="shared" si="411"/>
        <v>6917.03</v>
      </c>
      <c r="V4177" s="40"/>
    </row>
    <row r="4178" spans="2:22" x14ac:dyDescent="0.35">
      <c r="B4178" s="40">
        <v>39174</v>
      </c>
      <c r="C4178" s="39">
        <v>6937.17</v>
      </c>
      <c r="D4178" s="219">
        <f t="shared" si="412"/>
        <v>2.9074236241917496E-3</v>
      </c>
      <c r="F4178" s="40">
        <v>39174</v>
      </c>
      <c r="G4178" s="39">
        <v>6937.17</v>
      </c>
      <c r="H4178" s="39">
        <f t="shared" si="407"/>
        <v>1</v>
      </c>
      <c r="I4178" s="39">
        <f t="shared" si="408"/>
        <v>0</v>
      </c>
      <c r="K4178" s="40"/>
      <c r="Q4178" s="40">
        <v>39174</v>
      </c>
      <c r="R4178" s="39">
        <v>6937.17</v>
      </c>
      <c r="S4178" s="39">
        <f t="shared" si="409"/>
        <v>4</v>
      </c>
      <c r="T4178" s="39">
        <f t="shared" si="410"/>
        <v>0</v>
      </c>
      <c r="U4178" s="39">
        <f t="shared" si="411"/>
        <v>0</v>
      </c>
      <c r="V4178" s="40"/>
    </row>
    <row r="4179" spans="2:22" x14ac:dyDescent="0.35">
      <c r="B4179" s="40">
        <v>39175</v>
      </c>
      <c r="C4179" s="39">
        <v>7045.56</v>
      </c>
      <c r="D4179" s="219">
        <f t="shared" si="412"/>
        <v>1.5503720817238102E-2</v>
      </c>
      <c r="F4179" s="40">
        <v>39175</v>
      </c>
      <c r="G4179" s="39">
        <v>7045.56</v>
      </c>
      <c r="H4179" s="39">
        <f t="shared" si="407"/>
        <v>2</v>
      </c>
      <c r="I4179" s="39">
        <f t="shared" si="408"/>
        <v>0</v>
      </c>
      <c r="K4179" s="40"/>
      <c r="Q4179" s="40">
        <v>39175</v>
      </c>
      <c r="R4179" s="39">
        <v>7045.56</v>
      </c>
      <c r="S4179" s="39">
        <f t="shared" si="409"/>
        <v>4</v>
      </c>
      <c r="T4179" s="39">
        <f t="shared" si="410"/>
        <v>0</v>
      </c>
      <c r="U4179" s="39">
        <f t="shared" si="411"/>
        <v>0</v>
      </c>
      <c r="V4179" s="40"/>
    </row>
    <row r="4180" spans="2:22" x14ac:dyDescent="0.35">
      <c r="B4180" s="40">
        <v>39176</v>
      </c>
      <c r="C4180" s="39">
        <v>7073.91</v>
      </c>
      <c r="D4180" s="219">
        <f t="shared" si="412"/>
        <v>4.0157368651941583E-3</v>
      </c>
      <c r="F4180" s="40">
        <v>39176</v>
      </c>
      <c r="G4180" s="39">
        <v>7073.91</v>
      </c>
      <c r="H4180" s="39">
        <f t="shared" si="407"/>
        <v>3</v>
      </c>
      <c r="I4180" s="39">
        <f t="shared" si="408"/>
        <v>0</v>
      </c>
      <c r="K4180" s="40"/>
      <c r="Q4180" s="40">
        <v>39176</v>
      </c>
      <c r="R4180" s="39">
        <v>7073.91</v>
      </c>
      <c r="S4180" s="39">
        <f t="shared" si="409"/>
        <v>4</v>
      </c>
      <c r="T4180" s="39">
        <f t="shared" si="410"/>
        <v>0</v>
      </c>
      <c r="U4180" s="39">
        <f t="shared" si="411"/>
        <v>0</v>
      </c>
      <c r="V4180" s="40"/>
    </row>
    <row r="4181" spans="2:22" x14ac:dyDescent="0.35">
      <c r="B4181" s="40">
        <v>39177</v>
      </c>
      <c r="C4181" s="39">
        <v>7099.91</v>
      </c>
      <c r="D4181" s="219">
        <f t="shared" si="412"/>
        <v>3.6687398545448779E-3</v>
      </c>
      <c r="F4181" s="40">
        <v>39177</v>
      </c>
      <c r="G4181" s="39">
        <v>7099.91</v>
      </c>
      <c r="H4181" s="39">
        <f t="shared" si="407"/>
        <v>4</v>
      </c>
      <c r="I4181" s="39">
        <f t="shared" si="408"/>
        <v>7099.91</v>
      </c>
      <c r="K4181" s="40"/>
      <c r="Q4181" s="40">
        <v>39177</v>
      </c>
      <c r="R4181" s="39">
        <v>7099.91</v>
      </c>
      <c r="S4181" s="39">
        <f t="shared" si="409"/>
        <v>4</v>
      </c>
      <c r="T4181" s="39">
        <f t="shared" si="410"/>
        <v>0</v>
      </c>
      <c r="U4181" s="39">
        <f t="shared" si="411"/>
        <v>0</v>
      </c>
      <c r="V4181" s="40"/>
    </row>
    <row r="4182" spans="2:22" x14ac:dyDescent="0.35">
      <c r="B4182" s="40">
        <v>39182</v>
      </c>
      <c r="C4182" s="39">
        <v>7166.67</v>
      </c>
      <c r="D4182" s="219">
        <f t="shared" si="412"/>
        <v>9.3590036710885175E-3</v>
      </c>
      <c r="F4182" s="40">
        <v>39182</v>
      </c>
      <c r="G4182" s="39">
        <v>7166.67</v>
      </c>
      <c r="H4182" s="39">
        <f t="shared" si="407"/>
        <v>2</v>
      </c>
      <c r="I4182" s="39">
        <f t="shared" si="408"/>
        <v>0</v>
      </c>
      <c r="K4182" s="40"/>
      <c r="Q4182" s="40">
        <v>39182</v>
      </c>
      <c r="R4182" s="39">
        <v>7166.67</v>
      </c>
      <c r="S4182" s="39">
        <f t="shared" si="409"/>
        <v>4</v>
      </c>
      <c r="T4182" s="39">
        <f t="shared" si="410"/>
        <v>0</v>
      </c>
      <c r="U4182" s="39">
        <f t="shared" si="411"/>
        <v>0</v>
      </c>
      <c r="V4182" s="40"/>
    </row>
    <row r="4183" spans="2:22" x14ac:dyDescent="0.35">
      <c r="B4183" s="40">
        <v>39183</v>
      </c>
      <c r="C4183" s="39">
        <v>7152.83</v>
      </c>
      <c r="D4183" s="219">
        <f t="shared" si="412"/>
        <v>-1.9330289897757026E-3</v>
      </c>
      <c r="F4183" s="40">
        <v>39183</v>
      </c>
      <c r="G4183" s="39">
        <v>7152.83</v>
      </c>
      <c r="H4183" s="39">
        <f t="shared" si="407"/>
        <v>3</v>
      </c>
      <c r="I4183" s="39">
        <f t="shared" si="408"/>
        <v>0</v>
      </c>
      <c r="K4183" s="40"/>
      <c r="Q4183" s="40">
        <v>39183</v>
      </c>
      <c r="R4183" s="39">
        <v>7152.83</v>
      </c>
      <c r="S4183" s="39">
        <f t="shared" si="409"/>
        <v>4</v>
      </c>
      <c r="T4183" s="39">
        <f t="shared" si="410"/>
        <v>0</v>
      </c>
      <c r="U4183" s="39">
        <f t="shared" si="411"/>
        <v>0</v>
      </c>
      <c r="V4183" s="40"/>
    </row>
    <row r="4184" spans="2:22" x14ac:dyDescent="0.35">
      <c r="B4184" s="40">
        <v>39184</v>
      </c>
      <c r="C4184" s="39">
        <v>7142.95</v>
      </c>
      <c r="D4184" s="219">
        <f t="shared" si="412"/>
        <v>-1.3822263035691944E-3</v>
      </c>
      <c r="F4184" s="40">
        <v>39184</v>
      </c>
      <c r="G4184" s="39">
        <v>7142.95</v>
      </c>
      <c r="H4184" s="39">
        <f t="shared" si="407"/>
        <v>4</v>
      </c>
      <c r="I4184" s="39">
        <f t="shared" si="408"/>
        <v>0</v>
      </c>
      <c r="K4184" s="40"/>
      <c r="Q4184" s="40">
        <v>39184</v>
      </c>
      <c r="R4184" s="39">
        <v>7142.95</v>
      </c>
      <c r="S4184" s="39">
        <f t="shared" si="409"/>
        <v>4</v>
      </c>
      <c r="T4184" s="39">
        <f t="shared" si="410"/>
        <v>0</v>
      </c>
      <c r="U4184" s="39">
        <f t="shared" si="411"/>
        <v>0</v>
      </c>
      <c r="V4184" s="40"/>
    </row>
    <row r="4185" spans="2:22" x14ac:dyDescent="0.35">
      <c r="B4185" s="40">
        <v>39185</v>
      </c>
      <c r="C4185" s="39">
        <v>7212.07</v>
      </c>
      <c r="D4185" s="219">
        <f t="shared" si="412"/>
        <v>9.6301550511136546E-3</v>
      </c>
      <c r="F4185" s="40">
        <v>39185</v>
      </c>
      <c r="G4185" s="39">
        <v>7212.07</v>
      </c>
      <c r="H4185" s="39">
        <f t="shared" si="407"/>
        <v>5</v>
      </c>
      <c r="I4185" s="39">
        <f t="shared" si="408"/>
        <v>7212.07</v>
      </c>
      <c r="K4185" s="40"/>
      <c r="Q4185" s="40">
        <v>39185</v>
      </c>
      <c r="R4185" s="39">
        <v>7212.07</v>
      </c>
      <c r="S4185" s="39">
        <f t="shared" si="409"/>
        <v>4</v>
      </c>
      <c r="T4185" s="39">
        <f t="shared" si="410"/>
        <v>0</v>
      </c>
      <c r="U4185" s="39">
        <f t="shared" si="411"/>
        <v>0</v>
      </c>
      <c r="V4185" s="40"/>
    </row>
    <row r="4186" spans="2:22" x14ac:dyDescent="0.35">
      <c r="B4186" s="40">
        <v>39188</v>
      </c>
      <c r="C4186" s="39">
        <v>7338.06</v>
      </c>
      <c r="D4186" s="219">
        <f t="shared" si="412"/>
        <v>1.7318491175096228E-2</v>
      </c>
      <c r="F4186" s="40">
        <v>39188</v>
      </c>
      <c r="G4186" s="39">
        <v>7338.06</v>
      </c>
      <c r="H4186" s="39">
        <f t="shared" si="407"/>
        <v>1</v>
      </c>
      <c r="I4186" s="39">
        <f t="shared" si="408"/>
        <v>0</v>
      </c>
      <c r="K4186" s="40"/>
      <c r="Q4186" s="40">
        <v>39188</v>
      </c>
      <c r="R4186" s="39">
        <v>7338.06</v>
      </c>
      <c r="S4186" s="39">
        <f t="shared" si="409"/>
        <v>4</v>
      </c>
      <c r="T4186" s="39">
        <f t="shared" si="410"/>
        <v>0</v>
      </c>
      <c r="U4186" s="39">
        <f t="shared" si="411"/>
        <v>0</v>
      </c>
      <c r="V4186" s="40"/>
    </row>
    <row r="4187" spans="2:22" x14ac:dyDescent="0.35">
      <c r="B4187" s="40">
        <v>39189</v>
      </c>
      <c r="C4187" s="39">
        <v>7348.83</v>
      </c>
      <c r="D4187" s="219">
        <f t="shared" si="412"/>
        <v>1.466614365666803E-3</v>
      </c>
      <c r="F4187" s="40">
        <v>39189</v>
      </c>
      <c r="G4187" s="39">
        <v>7348.83</v>
      </c>
      <c r="H4187" s="39">
        <f t="shared" si="407"/>
        <v>2</v>
      </c>
      <c r="I4187" s="39">
        <f t="shared" si="408"/>
        <v>0</v>
      </c>
      <c r="K4187" s="40"/>
      <c r="Q4187" s="40">
        <v>39189</v>
      </c>
      <c r="R4187" s="39">
        <v>7348.83</v>
      </c>
      <c r="S4187" s="39">
        <f t="shared" si="409"/>
        <v>4</v>
      </c>
      <c r="T4187" s="39">
        <f t="shared" si="410"/>
        <v>0</v>
      </c>
      <c r="U4187" s="39">
        <f t="shared" si="411"/>
        <v>0</v>
      </c>
      <c r="V4187" s="40"/>
    </row>
    <row r="4188" spans="2:22" x14ac:dyDescent="0.35">
      <c r="B4188" s="40">
        <v>39190</v>
      </c>
      <c r="C4188" s="39">
        <v>7282.34</v>
      </c>
      <c r="D4188" s="219">
        <f t="shared" si="412"/>
        <v>-9.0888777472833502E-3</v>
      </c>
      <c r="F4188" s="40">
        <v>39190</v>
      </c>
      <c r="G4188" s="39">
        <v>7282.34</v>
      </c>
      <c r="H4188" s="39">
        <f t="shared" si="407"/>
        <v>3</v>
      </c>
      <c r="I4188" s="39">
        <f t="shared" si="408"/>
        <v>0</v>
      </c>
      <c r="K4188" s="40"/>
      <c r="Q4188" s="40">
        <v>39190</v>
      </c>
      <c r="R4188" s="39">
        <v>7282.34</v>
      </c>
      <c r="S4188" s="39">
        <f t="shared" si="409"/>
        <v>4</v>
      </c>
      <c r="T4188" s="39">
        <f t="shared" si="410"/>
        <v>0</v>
      </c>
      <c r="U4188" s="39">
        <f t="shared" si="411"/>
        <v>0</v>
      </c>
      <c r="V4188" s="40"/>
    </row>
    <row r="4189" spans="2:22" x14ac:dyDescent="0.35">
      <c r="B4189" s="40">
        <v>39191</v>
      </c>
      <c r="C4189" s="39">
        <v>7242.73</v>
      </c>
      <c r="D4189" s="219">
        <f t="shared" si="412"/>
        <v>-5.4540319858114306E-3</v>
      </c>
      <c r="F4189" s="40">
        <v>39191</v>
      </c>
      <c r="G4189" s="39">
        <v>7242.73</v>
      </c>
      <c r="H4189" s="39">
        <f t="shared" si="407"/>
        <v>4</v>
      </c>
      <c r="I4189" s="39">
        <f t="shared" si="408"/>
        <v>0</v>
      </c>
      <c r="K4189" s="40"/>
      <c r="Q4189" s="40">
        <v>39191</v>
      </c>
      <c r="R4189" s="39">
        <v>7242.73</v>
      </c>
      <c r="S4189" s="39">
        <f t="shared" si="409"/>
        <v>4</v>
      </c>
      <c r="T4189" s="39">
        <f t="shared" si="410"/>
        <v>0</v>
      </c>
      <c r="U4189" s="39">
        <f t="shared" si="411"/>
        <v>0</v>
      </c>
      <c r="V4189" s="40"/>
    </row>
    <row r="4190" spans="2:22" x14ac:dyDescent="0.35">
      <c r="B4190" s="40">
        <v>39192</v>
      </c>
      <c r="C4190" s="39">
        <v>7342.54</v>
      </c>
      <c r="D4190" s="219">
        <f t="shared" si="412"/>
        <v>1.3686624664468666E-2</v>
      </c>
      <c r="F4190" s="40">
        <v>39192</v>
      </c>
      <c r="G4190" s="39">
        <v>7342.54</v>
      </c>
      <c r="H4190" s="39">
        <f t="shared" si="407"/>
        <v>5</v>
      </c>
      <c r="I4190" s="39">
        <f t="shared" si="408"/>
        <v>7342.54</v>
      </c>
      <c r="K4190" s="40"/>
      <c r="Q4190" s="40">
        <v>39192</v>
      </c>
      <c r="R4190" s="39">
        <v>7342.54</v>
      </c>
      <c r="S4190" s="39">
        <f t="shared" si="409"/>
        <v>4</v>
      </c>
      <c r="T4190" s="39">
        <f t="shared" si="410"/>
        <v>0</v>
      </c>
      <c r="U4190" s="39">
        <f t="shared" si="411"/>
        <v>0</v>
      </c>
      <c r="V4190" s="40"/>
    </row>
    <row r="4191" spans="2:22" x14ac:dyDescent="0.35">
      <c r="B4191" s="40">
        <v>39195</v>
      </c>
      <c r="C4191" s="39">
        <v>7335.62</v>
      </c>
      <c r="D4191" s="219">
        <f t="shared" si="412"/>
        <v>-9.4289754474519009E-4</v>
      </c>
      <c r="F4191" s="40">
        <v>39195</v>
      </c>
      <c r="G4191" s="39">
        <v>7335.62</v>
      </c>
      <c r="H4191" s="39">
        <f t="shared" si="407"/>
        <v>1</v>
      </c>
      <c r="I4191" s="39">
        <f t="shared" si="408"/>
        <v>0</v>
      </c>
      <c r="K4191" s="40"/>
      <c r="Q4191" s="40">
        <v>39195</v>
      </c>
      <c r="R4191" s="39">
        <v>7335.62</v>
      </c>
      <c r="S4191" s="39">
        <f t="shared" si="409"/>
        <v>4</v>
      </c>
      <c r="T4191" s="39">
        <f t="shared" si="410"/>
        <v>0</v>
      </c>
      <c r="U4191" s="39">
        <f t="shared" si="411"/>
        <v>0</v>
      </c>
      <c r="V4191" s="40"/>
    </row>
    <row r="4192" spans="2:22" x14ac:dyDescent="0.35">
      <c r="B4192" s="40">
        <v>39196</v>
      </c>
      <c r="C4192" s="39">
        <v>7270.32</v>
      </c>
      <c r="D4192" s="219">
        <f t="shared" si="412"/>
        <v>-8.9416271839190351E-3</v>
      </c>
      <c r="F4192" s="40">
        <v>39196</v>
      </c>
      <c r="G4192" s="39">
        <v>7270.32</v>
      </c>
      <c r="H4192" s="39">
        <f t="shared" si="407"/>
        <v>2</v>
      </c>
      <c r="I4192" s="39">
        <f t="shared" si="408"/>
        <v>0</v>
      </c>
      <c r="K4192" s="40"/>
      <c r="Q4192" s="40">
        <v>39196</v>
      </c>
      <c r="R4192" s="39">
        <v>7270.32</v>
      </c>
      <c r="S4192" s="39">
        <f t="shared" si="409"/>
        <v>4</v>
      </c>
      <c r="T4192" s="39">
        <f t="shared" si="410"/>
        <v>0</v>
      </c>
      <c r="U4192" s="39">
        <f t="shared" si="411"/>
        <v>0</v>
      </c>
      <c r="V4192" s="40"/>
    </row>
    <row r="4193" spans="2:22" x14ac:dyDescent="0.35">
      <c r="B4193" s="40">
        <v>39197</v>
      </c>
      <c r="C4193" s="39">
        <v>7343.08</v>
      </c>
      <c r="D4193" s="219">
        <f t="shared" si="412"/>
        <v>9.9580660568809685E-3</v>
      </c>
      <c r="F4193" s="40">
        <v>39197</v>
      </c>
      <c r="G4193" s="39">
        <v>7343.08</v>
      </c>
      <c r="H4193" s="39">
        <f t="shared" si="407"/>
        <v>3</v>
      </c>
      <c r="I4193" s="39">
        <f t="shared" si="408"/>
        <v>0</v>
      </c>
      <c r="K4193" s="40"/>
      <c r="Q4193" s="40">
        <v>39197</v>
      </c>
      <c r="R4193" s="39">
        <v>7343.08</v>
      </c>
      <c r="S4193" s="39">
        <f t="shared" si="409"/>
        <v>4</v>
      </c>
      <c r="T4193" s="39">
        <f t="shared" si="410"/>
        <v>0</v>
      </c>
      <c r="U4193" s="39">
        <f t="shared" si="411"/>
        <v>0</v>
      </c>
      <c r="V4193" s="40"/>
    </row>
    <row r="4194" spans="2:22" x14ac:dyDescent="0.35">
      <c r="B4194" s="40">
        <v>39198</v>
      </c>
      <c r="C4194" s="39">
        <v>7387.02</v>
      </c>
      <c r="D4194" s="219">
        <f t="shared" si="412"/>
        <v>5.9660328621844883E-3</v>
      </c>
      <c r="F4194" s="40">
        <v>39198</v>
      </c>
      <c r="G4194" s="39">
        <v>7387.02</v>
      </c>
      <c r="H4194" s="39">
        <f t="shared" si="407"/>
        <v>4</v>
      </c>
      <c r="I4194" s="39">
        <f t="shared" si="408"/>
        <v>0</v>
      </c>
      <c r="K4194" s="40"/>
      <c r="Q4194" s="40">
        <v>39198</v>
      </c>
      <c r="R4194" s="39">
        <v>7387.02</v>
      </c>
      <c r="S4194" s="39">
        <f t="shared" si="409"/>
        <v>4</v>
      </c>
      <c r="T4194" s="39">
        <f t="shared" si="410"/>
        <v>0</v>
      </c>
      <c r="U4194" s="39">
        <f t="shared" si="411"/>
        <v>0</v>
      </c>
      <c r="V4194" s="40"/>
    </row>
    <row r="4195" spans="2:22" x14ac:dyDescent="0.35">
      <c r="B4195" s="40">
        <v>39199</v>
      </c>
      <c r="C4195" s="39">
        <v>7378.12</v>
      </c>
      <c r="D4195" s="219">
        <f t="shared" si="412"/>
        <v>-1.2055423894238148E-3</v>
      </c>
      <c r="F4195" s="40">
        <v>39199</v>
      </c>
      <c r="G4195" s="39">
        <v>7378.12</v>
      </c>
      <c r="H4195" s="39">
        <f t="shared" si="407"/>
        <v>5</v>
      </c>
      <c r="I4195" s="39">
        <f t="shared" si="408"/>
        <v>7378.12</v>
      </c>
      <c r="K4195" s="40"/>
      <c r="Q4195" s="40">
        <v>39199</v>
      </c>
      <c r="R4195" s="39">
        <v>7378.12</v>
      </c>
      <c r="S4195" s="39">
        <f t="shared" si="409"/>
        <v>4</v>
      </c>
      <c r="T4195" s="39">
        <f t="shared" si="410"/>
        <v>0</v>
      </c>
      <c r="U4195" s="39">
        <f t="shared" si="411"/>
        <v>0</v>
      </c>
      <c r="V4195" s="40"/>
    </row>
    <row r="4196" spans="2:22" x14ac:dyDescent="0.35">
      <c r="B4196" s="40">
        <v>39202</v>
      </c>
      <c r="C4196" s="39">
        <v>7408.87</v>
      </c>
      <c r="D4196" s="219">
        <f t="shared" si="412"/>
        <v>4.1590674404605402E-3</v>
      </c>
      <c r="F4196" s="40">
        <v>39202</v>
      </c>
      <c r="G4196" s="39">
        <v>7408.87</v>
      </c>
      <c r="H4196" s="39">
        <f t="shared" si="407"/>
        <v>1</v>
      </c>
      <c r="I4196" s="39">
        <f t="shared" si="408"/>
        <v>0</v>
      </c>
      <c r="K4196" s="40"/>
      <c r="Q4196" s="40">
        <v>39202</v>
      </c>
      <c r="R4196" s="39">
        <v>7408.87</v>
      </c>
      <c r="S4196" s="39">
        <f t="shared" si="409"/>
        <v>4</v>
      </c>
      <c r="T4196" s="39">
        <f t="shared" si="410"/>
        <v>7408.87</v>
      </c>
      <c r="U4196" s="39">
        <f t="shared" si="411"/>
        <v>7408.87</v>
      </c>
      <c r="V4196" s="40"/>
    </row>
    <row r="4197" spans="2:22" x14ac:dyDescent="0.35">
      <c r="B4197" s="40">
        <v>39204</v>
      </c>
      <c r="C4197" s="39">
        <v>7455.93</v>
      </c>
      <c r="D4197" s="219">
        <f t="shared" si="412"/>
        <v>6.3317578741796682E-3</v>
      </c>
      <c r="F4197" s="40">
        <v>39204</v>
      </c>
      <c r="G4197" s="39">
        <v>7455.93</v>
      </c>
      <c r="H4197" s="39">
        <f t="shared" si="407"/>
        <v>3</v>
      </c>
      <c r="I4197" s="39">
        <f t="shared" si="408"/>
        <v>0</v>
      </c>
      <c r="K4197" s="40"/>
      <c r="Q4197" s="40">
        <v>39204</v>
      </c>
      <c r="R4197" s="39">
        <v>7455.93</v>
      </c>
      <c r="S4197" s="39">
        <f t="shared" si="409"/>
        <v>5</v>
      </c>
      <c r="T4197" s="39">
        <f t="shared" si="410"/>
        <v>0</v>
      </c>
      <c r="U4197" s="39">
        <f t="shared" si="411"/>
        <v>0</v>
      </c>
      <c r="V4197" s="40"/>
    </row>
    <row r="4198" spans="2:22" x14ac:dyDescent="0.35">
      <c r="B4198" s="40">
        <v>39205</v>
      </c>
      <c r="C4198" s="39">
        <v>7476.69</v>
      </c>
      <c r="D4198" s="219">
        <f t="shared" si="412"/>
        <v>2.7804917522658915E-3</v>
      </c>
      <c r="F4198" s="40">
        <v>39205</v>
      </c>
      <c r="G4198" s="39">
        <v>7476.69</v>
      </c>
      <c r="H4198" s="39">
        <f t="shared" si="407"/>
        <v>4</v>
      </c>
      <c r="I4198" s="39">
        <f t="shared" si="408"/>
        <v>0</v>
      </c>
      <c r="K4198" s="40"/>
      <c r="Q4198" s="40">
        <v>39205</v>
      </c>
      <c r="R4198" s="39">
        <v>7476.69</v>
      </c>
      <c r="S4198" s="39">
        <f t="shared" si="409"/>
        <v>5</v>
      </c>
      <c r="T4198" s="39">
        <f t="shared" si="410"/>
        <v>0</v>
      </c>
      <c r="U4198" s="39">
        <f t="shared" si="411"/>
        <v>0</v>
      </c>
      <c r="V4198" s="40"/>
    </row>
    <row r="4199" spans="2:22" x14ac:dyDescent="0.35">
      <c r="B4199" s="40">
        <v>39206</v>
      </c>
      <c r="C4199" s="39">
        <v>7516.76</v>
      </c>
      <c r="D4199" s="219">
        <f t="shared" si="412"/>
        <v>5.3450133754630357E-3</v>
      </c>
      <c r="F4199" s="40">
        <v>39206</v>
      </c>
      <c r="G4199" s="39">
        <v>7516.76</v>
      </c>
      <c r="H4199" s="39">
        <f t="shared" si="407"/>
        <v>5</v>
      </c>
      <c r="I4199" s="39">
        <f t="shared" si="408"/>
        <v>7516.76</v>
      </c>
      <c r="K4199" s="40"/>
      <c r="Q4199" s="40">
        <v>39206</v>
      </c>
      <c r="R4199" s="39">
        <v>7516.76</v>
      </c>
      <c r="S4199" s="39">
        <f t="shared" si="409"/>
        <v>5</v>
      </c>
      <c r="T4199" s="39">
        <f t="shared" si="410"/>
        <v>0</v>
      </c>
      <c r="U4199" s="39">
        <f t="shared" si="411"/>
        <v>0</v>
      </c>
      <c r="V4199" s="40"/>
    </row>
    <row r="4200" spans="2:22" x14ac:dyDescent="0.35">
      <c r="B4200" s="40">
        <v>39209</v>
      </c>
      <c r="C4200" s="39">
        <v>7525.69</v>
      </c>
      <c r="D4200" s="219">
        <f t="shared" si="412"/>
        <v>1.1873067284982456E-3</v>
      </c>
      <c r="F4200" s="40">
        <v>39209</v>
      </c>
      <c r="G4200" s="39">
        <v>7525.69</v>
      </c>
      <c r="H4200" s="39">
        <f t="shared" si="407"/>
        <v>1</v>
      </c>
      <c r="I4200" s="39">
        <f t="shared" si="408"/>
        <v>0</v>
      </c>
      <c r="K4200" s="40"/>
      <c r="Q4200" s="40">
        <v>39209</v>
      </c>
      <c r="R4200" s="39">
        <v>7525.69</v>
      </c>
      <c r="S4200" s="39">
        <f t="shared" si="409"/>
        <v>5</v>
      </c>
      <c r="T4200" s="39">
        <f t="shared" si="410"/>
        <v>0</v>
      </c>
      <c r="U4200" s="39">
        <f t="shared" si="411"/>
        <v>0</v>
      </c>
      <c r="V4200" s="40"/>
    </row>
    <row r="4201" spans="2:22" x14ac:dyDescent="0.35">
      <c r="B4201" s="40">
        <v>39210</v>
      </c>
      <c r="C4201" s="39">
        <v>7442.2</v>
      </c>
      <c r="D4201" s="219">
        <f t="shared" si="412"/>
        <v>-1.1155996724007518E-2</v>
      </c>
      <c r="F4201" s="40">
        <v>39210</v>
      </c>
      <c r="G4201" s="39">
        <v>7442.2</v>
      </c>
      <c r="H4201" s="39">
        <f t="shared" si="407"/>
        <v>2</v>
      </c>
      <c r="I4201" s="39">
        <f t="shared" si="408"/>
        <v>0</v>
      </c>
      <c r="K4201" s="40"/>
      <c r="Q4201" s="40">
        <v>39210</v>
      </c>
      <c r="R4201" s="39">
        <v>7442.2</v>
      </c>
      <c r="S4201" s="39">
        <f t="shared" si="409"/>
        <v>5</v>
      </c>
      <c r="T4201" s="39">
        <f t="shared" si="410"/>
        <v>0</v>
      </c>
      <c r="U4201" s="39">
        <f t="shared" si="411"/>
        <v>0</v>
      </c>
      <c r="V4201" s="40"/>
    </row>
    <row r="4202" spans="2:22" x14ac:dyDescent="0.35">
      <c r="B4202" s="40">
        <v>39211</v>
      </c>
      <c r="C4202" s="39">
        <v>7475.99</v>
      </c>
      <c r="D4202" s="219">
        <f t="shared" si="412"/>
        <v>4.5300479193035367E-3</v>
      </c>
      <c r="F4202" s="40">
        <v>39211</v>
      </c>
      <c r="G4202" s="39">
        <v>7475.99</v>
      </c>
      <c r="H4202" s="39">
        <f t="shared" si="407"/>
        <v>3</v>
      </c>
      <c r="I4202" s="39">
        <f t="shared" si="408"/>
        <v>0</v>
      </c>
      <c r="K4202" s="40"/>
      <c r="Q4202" s="40">
        <v>39211</v>
      </c>
      <c r="R4202" s="39">
        <v>7475.99</v>
      </c>
      <c r="S4202" s="39">
        <f t="shared" si="409"/>
        <v>5</v>
      </c>
      <c r="T4202" s="39">
        <f t="shared" si="410"/>
        <v>0</v>
      </c>
      <c r="U4202" s="39">
        <f t="shared" si="411"/>
        <v>0</v>
      </c>
      <c r="V4202" s="40"/>
    </row>
    <row r="4203" spans="2:22" x14ac:dyDescent="0.35">
      <c r="B4203" s="40">
        <v>39212</v>
      </c>
      <c r="C4203" s="39">
        <v>7415.33</v>
      </c>
      <c r="D4203" s="219">
        <f t="shared" si="412"/>
        <v>-8.147072996112446E-3</v>
      </c>
      <c r="F4203" s="40">
        <v>39212</v>
      </c>
      <c r="G4203" s="39">
        <v>7415.33</v>
      </c>
      <c r="H4203" s="39">
        <f t="shared" si="407"/>
        <v>4</v>
      </c>
      <c r="I4203" s="39">
        <f t="shared" si="408"/>
        <v>0</v>
      </c>
      <c r="K4203" s="40"/>
      <c r="Q4203" s="40">
        <v>39212</v>
      </c>
      <c r="R4203" s="39">
        <v>7415.33</v>
      </c>
      <c r="S4203" s="39">
        <f t="shared" si="409"/>
        <v>5</v>
      </c>
      <c r="T4203" s="39">
        <f t="shared" si="410"/>
        <v>0</v>
      </c>
      <c r="U4203" s="39">
        <f t="shared" si="411"/>
        <v>0</v>
      </c>
      <c r="V4203" s="40"/>
    </row>
    <row r="4204" spans="2:22" x14ac:dyDescent="0.35">
      <c r="B4204" s="40">
        <v>39213</v>
      </c>
      <c r="C4204" s="39">
        <v>7479.34</v>
      </c>
      <c r="D4204" s="219">
        <f t="shared" si="412"/>
        <v>8.5950738166934854E-3</v>
      </c>
      <c r="F4204" s="40">
        <v>39213</v>
      </c>
      <c r="G4204" s="39">
        <v>7479.34</v>
      </c>
      <c r="H4204" s="39">
        <f t="shared" si="407"/>
        <v>5</v>
      </c>
      <c r="I4204" s="39">
        <f t="shared" si="408"/>
        <v>7479.34</v>
      </c>
      <c r="K4204" s="40"/>
      <c r="Q4204" s="40">
        <v>39213</v>
      </c>
      <c r="R4204" s="39">
        <v>7479.34</v>
      </c>
      <c r="S4204" s="39">
        <f t="shared" si="409"/>
        <v>5</v>
      </c>
      <c r="T4204" s="39">
        <f t="shared" si="410"/>
        <v>0</v>
      </c>
      <c r="U4204" s="39">
        <f t="shared" si="411"/>
        <v>0</v>
      </c>
      <c r="V4204" s="40"/>
    </row>
    <row r="4205" spans="2:22" x14ac:dyDescent="0.35">
      <c r="B4205" s="40">
        <v>39216</v>
      </c>
      <c r="C4205" s="39">
        <v>7459.61</v>
      </c>
      <c r="D4205" s="219">
        <f t="shared" si="412"/>
        <v>-2.6414187705967158E-3</v>
      </c>
      <c r="F4205" s="40">
        <v>39216</v>
      </c>
      <c r="G4205" s="39">
        <v>7459.61</v>
      </c>
      <c r="H4205" s="39">
        <f t="shared" si="407"/>
        <v>1</v>
      </c>
      <c r="I4205" s="39">
        <f t="shared" si="408"/>
        <v>0</v>
      </c>
      <c r="K4205" s="40"/>
      <c r="Q4205" s="40">
        <v>39216</v>
      </c>
      <c r="R4205" s="39">
        <v>7459.61</v>
      </c>
      <c r="S4205" s="39">
        <f t="shared" si="409"/>
        <v>5</v>
      </c>
      <c r="T4205" s="39">
        <f t="shared" si="410"/>
        <v>0</v>
      </c>
      <c r="U4205" s="39">
        <f t="shared" si="411"/>
        <v>0</v>
      </c>
      <c r="V4205" s="40"/>
    </row>
    <row r="4206" spans="2:22" x14ac:dyDescent="0.35">
      <c r="B4206" s="40">
        <v>39217</v>
      </c>
      <c r="C4206" s="39">
        <v>7505.35</v>
      </c>
      <c r="D4206" s="219">
        <f t="shared" si="412"/>
        <v>6.112965545594113E-3</v>
      </c>
      <c r="F4206" s="40">
        <v>39217</v>
      </c>
      <c r="G4206" s="39">
        <v>7505.35</v>
      </c>
      <c r="H4206" s="39">
        <f t="shared" si="407"/>
        <v>2</v>
      </c>
      <c r="I4206" s="39">
        <f t="shared" si="408"/>
        <v>0</v>
      </c>
      <c r="K4206" s="40"/>
      <c r="Q4206" s="40">
        <v>39217</v>
      </c>
      <c r="R4206" s="39">
        <v>7505.35</v>
      </c>
      <c r="S4206" s="39">
        <f t="shared" si="409"/>
        <v>5</v>
      </c>
      <c r="T4206" s="39">
        <f t="shared" si="410"/>
        <v>0</v>
      </c>
      <c r="U4206" s="39">
        <f t="shared" si="411"/>
        <v>0</v>
      </c>
      <c r="V4206" s="40"/>
    </row>
    <row r="4207" spans="2:22" x14ac:dyDescent="0.35">
      <c r="B4207" s="40">
        <v>39218</v>
      </c>
      <c r="C4207" s="39">
        <v>7481.25</v>
      </c>
      <c r="D4207" s="219">
        <f t="shared" si="412"/>
        <v>-3.2162092501569349E-3</v>
      </c>
      <c r="F4207" s="40">
        <v>39218</v>
      </c>
      <c r="G4207" s="39">
        <v>7481.25</v>
      </c>
      <c r="H4207" s="39">
        <f t="shared" si="407"/>
        <v>3</v>
      </c>
      <c r="I4207" s="39">
        <f t="shared" si="408"/>
        <v>0</v>
      </c>
      <c r="K4207" s="40"/>
      <c r="Q4207" s="40">
        <v>39218</v>
      </c>
      <c r="R4207" s="39">
        <v>7481.25</v>
      </c>
      <c r="S4207" s="39">
        <f t="shared" si="409"/>
        <v>5</v>
      </c>
      <c r="T4207" s="39">
        <f t="shared" si="410"/>
        <v>0</v>
      </c>
      <c r="U4207" s="39">
        <f t="shared" si="411"/>
        <v>0</v>
      </c>
      <c r="V4207" s="40"/>
    </row>
    <row r="4208" spans="2:22" x14ac:dyDescent="0.35">
      <c r="B4208" s="40">
        <v>39219</v>
      </c>
      <c r="C4208" s="39">
        <v>7499.5</v>
      </c>
      <c r="D4208" s="219">
        <f t="shared" si="412"/>
        <v>2.4364613291307669E-3</v>
      </c>
      <c r="F4208" s="40">
        <v>39219</v>
      </c>
      <c r="G4208" s="39">
        <v>7499.5</v>
      </c>
      <c r="H4208" s="39">
        <f t="shared" si="407"/>
        <v>4</v>
      </c>
      <c r="I4208" s="39">
        <f t="shared" si="408"/>
        <v>0</v>
      </c>
      <c r="K4208" s="40"/>
      <c r="Q4208" s="40">
        <v>39219</v>
      </c>
      <c r="R4208" s="39">
        <v>7499.5</v>
      </c>
      <c r="S4208" s="39">
        <f t="shared" si="409"/>
        <v>5</v>
      </c>
      <c r="T4208" s="39">
        <f t="shared" si="410"/>
        <v>0</v>
      </c>
      <c r="U4208" s="39">
        <f t="shared" si="411"/>
        <v>0</v>
      </c>
      <c r="V4208" s="40"/>
    </row>
    <row r="4209" spans="2:22" x14ac:dyDescent="0.35">
      <c r="B4209" s="40">
        <v>39220</v>
      </c>
      <c r="C4209" s="39">
        <v>7607.54</v>
      </c>
      <c r="D4209" s="219">
        <f t="shared" si="412"/>
        <v>1.4303509090998291E-2</v>
      </c>
      <c r="F4209" s="40">
        <v>39220</v>
      </c>
      <c r="G4209" s="39">
        <v>7607.54</v>
      </c>
      <c r="H4209" s="39">
        <f t="shared" si="407"/>
        <v>5</v>
      </c>
      <c r="I4209" s="39">
        <f t="shared" si="408"/>
        <v>7607.54</v>
      </c>
      <c r="K4209" s="40"/>
      <c r="Q4209" s="40">
        <v>39220</v>
      </c>
      <c r="R4209" s="39">
        <v>7607.54</v>
      </c>
      <c r="S4209" s="39">
        <f t="shared" si="409"/>
        <v>5</v>
      </c>
      <c r="T4209" s="39">
        <f t="shared" si="410"/>
        <v>0</v>
      </c>
      <c r="U4209" s="39">
        <f t="shared" si="411"/>
        <v>0</v>
      </c>
      <c r="V4209" s="40"/>
    </row>
    <row r="4210" spans="2:22" x14ac:dyDescent="0.35">
      <c r="B4210" s="40">
        <v>39223</v>
      </c>
      <c r="C4210" s="39">
        <v>7619.31</v>
      </c>
      <c r="D4210" s="219">
        <f t="shared" si="412"/>
        <v>1.5459536731714601E-3</v>
      </c>
      <c r="F4210" s="40">
        <v>39223</v>
      </c>
      <c r="G4210" s="39">
        <v>7619.31</v>
      </c>
      <c r="H4210" s="39">
        <f t="shared" si="407"/>
        <v>1</v>
      </c>
      <c r="I4210" s="39">
        <f t="shared" si="408"/>
        <v>0</v>
      </c>
      <c r="K4210" s="40"/>
      <c r="Q4210" s="40">
        <v>39223</v>
      </c>
      <c r="R4210" s="39">
        <v>7619.31</v>
      </c>
      <c r="S4210" s="39">
        <f t="shared" si="409"/>
        <v>5</v>
      </c>
      <c r="T4210" s="39">
        <f t="shared" si="410"/>
        <v>0</v>
      </c>
      <c r="U4210" s="39">
        <f t="shared" si="411"/>
        <v>0</v>
      </c>
      <c r="V4210" s="40"/>
    </row>
    <row r="4211" spans="2:22" x14ac:dyDescent="0.35">
      <c r="B4211" s="40">
        <v>39224</v>
      </c>
      <c r="C4211" s="39">
        <v>7659.39</v>
      </c>
      <c r="D4211" s="219">
        <f t="shared" si="412"/>
        <v>5.2465316993086852E-3</v>
      </c>
      <c r="F4211" s="40">
        <v>39224</v>
      </c>
      <c r="G4211" s="39">
        <v>7659.39</v>
      </c>
      <c r="H4211" s="39">
        <f t="shared" si="407"/>
        <v>2</v>
      </c>
      <c r="I4211" s="39">
        <f t="shared" si="408"/>
        <v>0</v>
      </c>
      <c r="K4211" s="40"/>
      <c r="Q4211" s="40">
        <v>39224</v>
      </c>
      <c r="R4211" s="39">
        <v>7659.39</v>
      </c>
      <c r="S4211" s="39">
        <f t="shared" si="409"/>
        <v>5</v>
      </c>
      <c r="T4211" s="39">
        <f t="shared" si="410"/>
        <v>0</v>
      </c>
      <c r="U4211" s="39">
        <f t="shared" si="411"/>
        <v>0</v>
      </c>
      <c r="V4211" s="40"/>
    </row>
    <row r="4212" spans="2:22" x14ac:dyDescent="0.35">
      <c r="B4212" s="40">
        <v>39225</v>
      </c>
      <c r="C4212" s="39">
        <v>7735.88</v>
      </c>
      <c r="D4212" s="219">
        <f t="shared" si="412"/>
        <v>9.9369000214759428E-3</v>
      </c>
      <c r="F4212" s="40">
        <v>39225</v>
      </c>
      <c r="G4212" s="39">
        <v>7735.88</v>
      </c>
      <c r="H4212" s="39">
        <f t="shared" si="407"/>
        <v>3</v>
      </c>
      <c r="I4212" s="39">
        <f t="shared" si="408"/>
        <v>0</v>
      </c>
      <c r="K4212" s="40"/>
      <c r="Q4212" s="40">
        <v>39225</v>
      </c>
      <c r="R4212" s="39">
        <v>7735.88</v>
      </c>
      <c r="S4212" s="39">
        <f t="shared" si="409"/>
        <v>5</v>
      </c>
      <c r="T4212" s="39">
        <f t="shared" si="410"/>
        <v>0</v>
      </c>
      <c r="U4212" s="39">
        <f t="shared" si="411"/>
        <v>0</v>
      </c>
      <c r="V4212" s="40"/>
    </row>
    <row r="4213" spans="2:22" x14ac:dyDescent="0.35">
      <c r="B4213" s="40">
        <v>39226</v>
      </c>
      <c r="C4213" s="39">
        <v>7697.38</v>
      </c>
      <c r="D4213" s="219">
        <f t="shared" si="412"/>
        <v>-4.989234920333434E-3</v>
      </c>
      <c r="F4213" s="40">
        <v>39226</v>
      </c>
      <c r="G4213" s="39">
        <v>7697.38</v>
      </c>
      <c r="H4213" s="39">
        <f t="shared" si="407"/>
        <v>4</v>
      </c>
      <c r="I4213" s="39">
        <f t="shared" si="408"/>
        <v>0</v>
      </c>
      <c r="K4213" s="40"/>
      <c r="Q4213" s="40">
        <v>39226</v>
      </c>
      <c r="R4213" s="39">
        <v>7697.38</v>
      </c>
      <c r="S4213" s="39">
        <f t="shared" si="409"/>
        <v>5</v>
      </c>
      <c r="T4213" s="39">
        <f t="shared" si="410"/>
        <v>0</v>
      </c>
      <c r="U4213" s="39">
        <f t="shared" si="411"/>
        <v>0</v>
      </c>
      <c r="V4213" s="40"/>
    </row>
    <row r="4214" spans="2:22" x14ac:dyDescent="0.35">
      <c r="B4214" s="40">
        <v>39227</v>
      </c>
      <c r="C4214" s="39">
        <v>7739.2</v>
      </c>
      <c r="D4214" s="219">
        <f t="shared" si="412"/>
        <v>5.4183118686833062E-3</v>
      </c>
      <c r="F4214" s="40">
        <v>39227</v>
      </c>
      <c r="G4214" s="39">
        <v>7739.2</v>
      </c>
      <c r="H4214" s="39">
        <f t="shared" si="407"/>
        <v>5</v>
      </c>
      <c r="I4214" s="39">
        <f t="shared" si="408"/>
        <v>7739.2</v>
      </c>
      <c r="K4214" s="40"/>
      <c r="Q4214" s="40">
        <v>39227</v>
      </c>
      <c r="R4214" s="39">
        <v>7739.2</v>
      </c>
      <c r="S4214" s="39">
        <f t="shared" si="409"/>
        <v>5</v>
      </c>
      <c r="T4214" s="39">
        <f t="shared" si="410"/>
        <v>0</v>
      </c>
      <c r="U4214" s="39">
        <f t="shared" si="411"/>
        <v>0</v>
      </c>
      <c r="V4214" s="40"/>
    </row>
    <row r="4215" spans="2:22" x14ac:dyDescent="0.35">
      <c r="B4215" s="40">
        <v>39231</v>
      </c>
      <c r="C4215" s="39">
        <v>7781.04</v>
      </c>
      <c r="D4215" s="219">
        <f t="shared" si="412"/>
        <v>5.3916822624109099E-3</v>
      </c>
      <c r="F4215" s="40">
        <v>39231</v>
      </c>
      <c r="G4215" s="39">
        <v>7781.04</v>
      </c>
      <c r="H4215" s="39">
        <f t="shared" ref="H4215:H4278" si="413">WEEKDAY(F4215,2)</f>
        <v>2</v>
      </c>
      <c r="I4215" s="39">
        <f t="shared" ref="I4215:I4278" si="414">IF(H4215&gt;H4216,G4215,0)</f>
        <v>0</v>
      </c>
      <c r="K4215" s="40"/>
      <c r="Q4215" s="40">
        <v>39231</v>
      </c>
      <c r="R4215" s="39">
        <v>7781.04</v>
      </c>
      <c r="S4215" s="39">
        <f t="shared" ref="S4215:S4278" si="415">MONTH(Q4215)</f>
        <v>5</v>
      </c>
      <c r="T4215" s="39">
        <f t="shared" ref="T4215:T4278" si="416">IF(S4216&lt;&gt;S4215,R4215,0)</f>
        <v>0</v>
      </c>
      <c r="U4215" s="39">
        <f t="shared" ref="U4215:U4278" si="417">IF(S4216=S4215,0,R4215)</f>
        <v>0</v>
      </c>
      <c r="V4215" s="40"/>
    </row>
    <row r="4216" spans="2:22" x14ac:dyDescent="0.35">
      <c r="B4216" s="40">
        <v>39232</v>
      </c>
      <c r="C4216" s="39">
        <v>7764.97</v>
      </c>
      <c r="D4216" s="219">
        <f t="shared" ref="D4216:D4279" si="418">LN(C4216/C4215)</f>
        <v>-2.0674122458246747E-3</v>
      </c>
      <c r="F4216" s="40">
        <v>39232</v>
      </c>
      <c r="G4216" s="39">
        <v>7764.97</v>
      </c>
      <c r="H4216" s="39">
        <f t="shared" si="413"/>
        <v>3</v>
      </c>
      <c r="I4216" s="39">
        <f t="shared" si="414"/>
        <v>0</v>
      </c>
      <c r="K4216" s="40"/>
      <c r="Q4216" s="40">
        <v>39232</v>
      </c>
      <c r="R4216" s="39">
        <v>7764.97</v>
      </c>
      <c r="S4216" s="39">
        <f t="shared" si="415"/>
        <v>5</v>
      </c>
      <c r="T4216" s="39">
        <f t="shared" si="416"/>
        <v>0</v>
      </c>
      <c r="U4216" s="39">
        <f t="shared" si="417"/>
        <v>0</v>
      </c>
      <c r="V4216" s="40"/>
    </row>
    <row r="4217" spans="2:22" x14ac:dyDescent="0.35">
      <c r="B4217" s="40">
        <v>39233</v>
      </c>
      <c r="C4217" s="39">
        <v>7883.04</v>
      </c>
      <c r="D4217" s="219">
        <f t="shared" si="418"/>
        <v>1.5091023172055722E-2</v>
      </c>
      <c r="F4217" s="40">
        <v>39233</v>
      </c>
      <c r="G4217" s="39">
        <v>7883.04</v>
      </c>
      <c r="H4217" s="39">
        <f t="shared" si="413"/>
        <v>4</v>
      </c>
      <c r="I4217" s="39">
        <f t="shared" si="414"/>
        <v>0</v>
      </c>
      <c r="K4217" s="40"/>
      <c r="Q4217" s="40">
        <v>39233</v>
      </c>
      <c r="R4217" s="39">
        <v>7883.04</v>
      </c>
      <c r="S4217" s="39">
        <f t="shared" si="415"/>
        <v>5</v>
      </c>
      <c r="T4217" s="39">
        <f t="shared" si="416"/>
        <v>7883.04</v>
      </c>
      <c r="U4217" s="39">
        <f t="shared" si="417"/>
        <v>7883.04</v>
      </c>
      <c r="V4217" s="40"/>
    </row>
    <row r="4218" spans="2:22" x14ac:dyDescent="0.35">
      <c r="B4218" s="40">
        <v>39234</v>
      </c>
      <c r="C4218" s="39">
        <v>7987.85</v>
      </c>
      <c r="D4218" s="219">
        <f t="shared" si="418"/>
        <v>1.3208020934782553E-2</v>
      </c>
      <c r="F4218" s="40">
        <v>39234</v>
      </c>
      <c r="G4218" s="39">
        <v>7987.85</v>
      </c>
      <c r="H4218" s="39">
        <f t="shared" si="413"/>
        <v>5</v>
      </c>
      <c r="I4218" s="39">
        <f t="shared" si="414"/>
        <v>7987.85</v>
      </c>
      <c r="K4218" s="40"/>
      <c r="Q4218" s="40">
        <v>39234</v>
      </c>
      <c r="R4218" s="39">
        <v>7987.85</v>
      </c>
      <c r="S4218" s="39">
        <f t="shared" si="415"/>
        <v>6</v>
      </c>
      <c r="T4218" s="39">
        <f t="shared" si="416"/>
        <v>0</v>
      </c>
      <c r="U4218" s="39">
        <f t="shared" si="417"/>
        <v>0</v>
      </c>
      <c r="V4218" s="40"/>
    </row>
    <row r="4219" spans="2:22" x14ac:dyDescent="0.35">
      <c r="B4219" s="40">
        <v>39237</v>
      </c>
      <c r="C4219" s="39">
        <v>7976.79</v>
      </c>
      <c r="D4219" s="219">
        <f t="shared" si="418"/>
        <v>-1.3855623138887029E-3</v>
      </c>
      <c r="F4219" s="40">
        <v>39237</v>
      </c>
      <c r="G4219" s="39">
        <v>7976.79</v>
      </c>
      <c r="H4219" s="39">
        <f t="shared" si="413"/>
        <v>1</v>
      </c>
      <c r="I4219" s="39">
        <f t="shared" si="414"/>
        <v>0</v>
      </c>
      <c r="K4219" s="40"/>
      <c r="Q4219" s="40">
        <v>39237</v>
      </c>
      <c r="R4219" s="39">
        <v>7976.79</v>
      </c>
      <c r="S4219" s="39">
        <f t="shared" si="415"/>
        <v>6</v>
      </c>
      <c r="T4219" s="39">
        <f t="shared" si="416"/>
        <v>0</v>
      </c>
      <c r="U4219" s="39">
        <f t="shared" si="417"/>
        <v>0</v>
      </c>
      <c r="V4219" s="40"/>
    </row>
    <row r="4220" spans="2:22" x14ac:dyDescent="0.35">
      <c r="B4220" s="40">
        <v>39238</v>
      </c>
      <c r="C4220" s="39">
        <v>7919.83</v>
      </c>
      <c r="D4220" s="219">
        <f t="shared" si="418"/>
        <v>-7.1663339466161982E-3</v>
      </c>
      <c r="F4220" s="40">
        <v>39238</v>
      </c>
      <c r="G4220" s="39">
        <v>7919.83</v>
      </c>
      <c r="H4220" s="39">
        <f t="shared" si="413"/>
        <v>2</v>
      </c>
      <c r="I4220" s="39">
        <f t="shared" si="414"/>
        <v>0</v>
      </c>
      <c r="K4220" s="40"/>
      <c r="Q4220" s="40">
        <v>39238</v>
      </c>
      <c r="R4220" s="39">
        <v>7919.83</v>
      </c>
      <c r="S4220" s="39">
        <f t="shared" si="415"/>
        <v>6</v>
      </c>
      <c r="T4220" s="39">
        <f t="shared" si="416"/>
        <v>0</v>
      </c>
      <c r="U4220" s="39">
        <f t="shared" si="417"/>
        <v>0</v>
      </c>
      <c r="V4220" s="40"/>
    </row>
    <row r="4221" spans="2:22" x14ac:dyDescent="0.35">
      <c r="B4221" s="40">
        <v>39239</v>
      </c>
      <c r="C4221" s="39">
        <v>7730.05</v>
      </c>
      <c r="D4221" s="219">
        <f t="shared" si="418"/>
        <v>-2.4254410065785836E-2</v>
      </c>
      <c r="F4221" s="40">
        <v>39239</v>
      </c>
      <c r="G4221" s="39">
        <v>7730.05</v>
      </c>
      <c r="H4221" s="39">
        <f t="shared" si="413"/>
        <v>3</v>
      </c>
      <c r="I4221" s="39">
        <f t="shared" si="414"/>
        <v>0</v>
      </c>
      <c r="K4221" s="40"/>
      <c r="Q4221" s="40">
        <v>39239</v>
      </c>
      <c r="R4221" s="39">
        <v>7730.05</v>
      </c>
      <c r="S4221" s="39">
        <f t="shared" si="415"/>
        <v>6</v>
      </c>
      <c r="T4221" s="39">
        <f t="shared" si="416"/>
        <v>0</v>
      </c>
      <c r="U4221" s="39">
        <f t="shared" si="417"/>
        <v>0</v>
      </c>
      <c r="V4221" s="40"/>
    </row>
    <row r="4222" spans="2:22" x14ac:dyDescent="0.35">
      <c r="B4222" s="40">
        <v>39240</v>
      </c>
      <c r="C4222" s="39">
        <v>7618.61</v>
      </c>
      <c r="D4222" s="219">
        <f t="shared" si="418"/>
        <v>-1.4521392522907723E-2</v>
      </c>
      <c r="F4222" s="40">
        <v>39240</v>
      </c>
      <c r="G4222" s="39">
        <v>7618.61</v>
      </c>
      <c r="H4222" s="39">
        <f t="shared" si="413"/>
        <v>4</v>
      </c>
      <c r="I4222" s="39">
        <f t="shared" si="414"/>
        <v>0</v>
      </c>
      <c r="K4222" s="40"/>
      <c r="Q4222" s="40">
        <v>39240</v>
      </c>
      <c r="R4222" s="39">
        <v>7618.61</v>
      </c>
      <c r="S4222" s="39">
        <f t="shared" si="415"/>
        <v>6</v>
      </c>
      <c r="T4222" s="39">
        <f t="shared" si="416"/>
        <v>0</v>
      </c>
      <c r="U4222" s="39">
        <f t="shared" si="417"/>
        <v>0</v>
      </c>
      <c r="V4222" s="40"/>
    </row>
    <row r="4223" spans="2:22" x14ac:dyDescent="0.35">
      <c r="B4223" s="40">
        <v>39241</v>
      </c>
      <c r="C4223" s="39">
        <v>7590.5</v>
      </c>
      <c r="D4223" s="219">
        <f t="shared" si="418"/>
        <v>-3.6964729701747579E-3</v>
      </c>
      <c r="F4223" s="40">
        <v>39241</v>
      </c>
      <c r="G4223" s="39">
        <v>7590.5</v>
      </c>
      <c r="H4223" s="39">
        <f t="shared" si="413"/>
        <v>5</v>
      </c>
      <c r="I4223" s="39">
        <f t="shared" si="414"/>
        <v>7590.5</v>
      </c>
      <c r="K4223" s="40"/>
      <c r="Q4223" s="40">
        <v>39241</v>
      </c>
      <c r="R4223" s="39">
        <v>7590.5</v>
      </c>
      <c r="S4223" s="39">
        <f t="shared" si="415"/>
        <v>6</v>
      </c>
      <c r="T4223" s="39">
        <f t="shared" si="416"/>
        <v>0</v>
      </c>
      <c r="U4223" s="39">
        <f t="shared" si="417"/>
        <v>0</v>
      </c>
      <c r="V4223" s="40"/>
    </row>
    <row r="4224" spans="2:22" x14ac:dyDescent="0.35">
      <c r="B4224" s="40">
        <v>39244</v>
      </c>
      <c r="C4224" s="39">
        <v>7706.1</v>
      </c>
      <c r="D4224" s="219">
        <f t="shared" si="418"/>
        <v>1.5114757630249918E-2</v>
      </c>
      <c r="F4224" s="40">
        <v>39244</v>
      </c>
      <c r="G4224" s="39">
        <v>7706.1</v>
      </c>
      <c r="H4224" s="39">
        <f t="shared" si="413"/>
        <v>1</v>
      </c>
      <c r="I4224" s="39">
        <f t="shared" si="414"/>
        <v>0</v>
      </c>
      <c r="K4224" s="40"/>
      <c r="Q4224" s="40">
        <v>39244</v>
      </c>
      <c r="R4224" s="39">
        <v>7706.1</v>
      </c>
      <c r="S4224" s="39">
        <f t="shared" si="415"/>
        <v>6</v>
      </c>
      <c r="T4224" s="39">
        <f t="shared" si="416"/>
        <v>0</v>
      </c>
      <c r="U4224" s="39">
        <f t="shared" si="417"/>
        <v>0</v>
      </c>
      <c r="V4224" s="40"/>
    </row>
    <row r="4225" spans="2:22" x14ac:dyDescent="0.35">
      <c r="B4225" s="40">
        <v>39245</v>
      </c>
      <c r="C4225" s="39">
        <v>7678.26</v>
      </c>
      <c r="D4225" s="219">
        <f t="shared" si="418"/>
        <v>-3.6192640304622201E-3</v>
      </c>
      <c r="F4225" s="40">
        <v>39245</v>
      </c>
      <c r="G4225" s="39">
        <v>7678.26</v>
      </c>
      <c r="H4225" s="39">
        <f t="shared" si="413"/>
        <v>2</v>
      </c>
      <c r="I4225" s="39">
        <f t="shared" si="414"/>
        <v>0</v>
      </c>
      <c r="K4225" s="40"/>
      <c r="Q4225" s="40">
        <v>39245</v>
      </c>
      <c r="R4225" s="39">
        <v>7678.26</v>
      </c>
      <c r="S4225" s="39">
        <f t="shared" si="415"/>
        <v>6</v>
      </c>
      <c r="T4225" s="39">
        <f t="shared" si="416"/>
        <v>0</v>
      </c>
      <c r="U4225" s="39">
        <f t="shared" si="417"/>
        <v>0</v>
      </c>
      <c r="V4225" s="40"/>
    </row>
    <row r="4226" spans="2:22" x14ac:dyDescent="0.35">
      <c r="B4226" s="40">
        <v>39246</v>
      </c>
      <c r="C4226" s="39">
        <v>7680.76</v>
      </c>
      <c r="D4226" s="219">
        <f t="shared" si="418"/>
        <v>3.2554160644077752E-4</v>
      </c>
      <c r="F4226" s="40">
        <v>39246</v>
      </c>
      <c r="G4226" s="39">
        <v>7680.76</v>
      </c>
      <c r="H4226" s="39">
        <f t="shared" si="413"/>
        <v>3</v>
      </c>
      <c r="I4226" s="39">
        <f t="shared" si="414"/>
        <v>0</v>
      </c>
      <c r="K4226" s="40"/>
      <c r="Q4226" s="40">
        <v>39246</v>
      </c>
      <c r="R4226" s="39">
        <v>7680.76</v>
      </c>
      <c r="S4226" s="39">
        <f t="shared" si="415"/>
        <v>6</v>
      </c>
      <c r="T4226" s="39">
        <f t="shared" si="416"/>
        <v>0</v>
      </c>
      <c r="U4226" s="39">
        <f t="shared" si="417"/>
        <v>0</v>
      </c>
      <c r="V4226" s="40"/>
    </row>
    <row r="4227" spans="2:22" x14ac:dyDescent="0.35">
      <c r="B4227" s="40">
        <v>39247</v>
      </c>
      <c r="C4227" s="39">
        <v>7849.16</v>
      </c>
      <c r="D4227" s="219">
        <f t="shared" si="418"/>
        <v>2.1688019102438942E-2</v>
      </c>
      <c r="F4227" s="40">
        <v>39247</v>
      </c>
      <c r="G4227" s="39">
        <v>7849.16</v>
      </c>
      <c r="H4227" s="39">
        <f t="shared" si="413"/>
        <v>4</v>
      </c>
      <c r="I4227" s="39">
        <f t="shared" si="414"/>
        <v>0</v>
      </c>
      <c r="K4227" s="40"/>
      <c r="Q4227" s="40">
        <v>39247</v>
      </c>
      <c r="R4227" s="39">
        <v>7849.16</v>
      </c>
      <c r="S4227" s="39">
        <f t="shared" si="415"/>
        <v>6</v>
      </c>
      <c r="T4227" s="39">
        <f t="shared" si="416"/>
        <v>0</v>
      </c>
      <c r="U4227" s="39">
        <f t="shared" si="417"/>
        <v>0</v>
      </c>
      <c r="V4227" s="40"/>
    </row>
    <row r="4228" spans="2:22" x14ac:dyDescent="0.35">
      <c r="B4228" s="40">
        <v>39248</v>
      </c>
      <c r="C4228" s="39">
        <v>8030.64</v>
      </c>
      <c r="D4228" s="219">
        <f t="shared" si="418"/>
        <v>2.2857706204201567E-2</v>
      </c>
      <c r="F4228" s="40">
        <v>39248</v>
      </c>
      <c r="G4228" s="39">
        <v>8030.64</v>
      </c>
      <c r="H4228" s="39">
        <f t="shared" si="413"/>
        <v>5</v>
      </c>
      <c r="I4228" s="39">
        <f t="shared" si="414"/>
        <v>8030.64</v>
      </c>
      <c r="K4228" s="40"/>
      <c r="Q4228" s="40">
        <v>39248</v>
      </c>
      <c r="R4228" s="39">
        <v>8030.64</v>
      </c>
      <c r="S4228" s="39">
        <f t="shared" si="415"/>
        <v>6</v>
      </c>
      <c r="T4228" s="39">
        <f t="shared" si="416"/>
        <v>0</v>
      </c>
      <c r="U4228" s="39">
        <f t="shared" si="417"/>
        <v>0</v>
      </c>
      <c r="V4228" s="40"/>
    </row>
    <row r="4229" spans="2:22" x14ac:dyDescent="0.35">
      <c r="B4229" s="40">
        <v>39251</v>
      </c>
      <c r="C4229" s="39">
        <v>8036.12</v>
      </c>
      <c r="D4229" s="219">
        <f t="shared" si="418"/>
        <v>6.8215374008219606E-4</v>
      </c>
      <c r="F4229" s="40">
        <v>39251</v>
      </c>
      <c r="G4229" s="39">
        <v>8036.12</v>
      </c>
      <c r="H4229" s="39">
        <f t="shared" si="413"/>
        <v>1</v>
      </c>
      <c r="I4229" s="39">
        <f t="shared" si="414"/>
        <v>0</v>
      </c>
      <c r="K4229" s="40"/>
      <c r="Q4229" s="40">
        <v>39251</v>
      </c>
      <c r="R4229" s="39">
        <v>8036.12</v>
      </c>
      <c r="S4229" s="39">
        <f t="shared" si="415"/>
        <v>6</v>
      </c>
      <c r="T4229" s="39">
        <f t="shared" si="416"/>
        <v>0</v>
      </c>
      <c r="U4229" s="39">
        <f t="shared" si="417"/>
        <v>0</v>
      </c>
      <c r="V4229" s="40"/>
    </row>
    <row r="4230" spans="2:22" x14ac:dyDescent="0.35">
      <c r="B4230" s="40">
        <v>39252</v>
      </c>
      <c r="C4230" s="39">
        <v>8033.52</v>
      </c>
      <c r="D4230" s="219">
        <f t="shared" si="418"/>
        <v>-3.2359157052514273E-4</v>
      </c>
      <c r="F4230" s="40">
        <v>39252</v>
      </c>
      <c r="G4230" s="39">
        <v>8033.52</v>
      </c>
      <c r="H4230" s="39">
        <f t="shared" si="413"/>
        <v>2</v>
      </c>
      <c r="I4230" s="39">
        <f t="shared" si="414"/>
        <v>0</v>
      </c>
      <c r="K4230" s="40"/>
      <c r="Q4230" s="40">
        <v>39252</v>
      </c>
      <c r="R4230" s="39">
        <v>8033.52</v>
      </c>
      <c r="S4230" s="39">
        <f t="shared" si="415"/>
        <v>6</v>
      </c>
      <c r="T4230" s="39">
        <f t="shared" si="416"/>
        <v>0</v>
      </c>
      <c r="U4230" s="39">
        <f t="shared" si="417"/>
        <v>0</v>
      </c>
      <c r="V4230" s="40"/>
    </row>
    <row r="4231" spans="2:22" x14ac:dyDescent="0.35">
      <c r="B4231" s="40">
        <v>39253</v>
      </c>
      <c r="C4231" s="39">
        <v>8090.49</v>
      </c>
      <c r="D4231" s="219">
        <f t="shared" si="418"/>
        <v>7.0665097663515459E-3</v>
      </c>
      <c r="F4231" s="40">
        <v>39253</v>
      </c>
      <c r="G4231" s="39">
        <v>8090.49</v>
      </c>
      <c r="H4231" s="39">
        <f t="shared" si="413"/>
        <v>3</v>
      </c>
      <c r="I4231" s="39">
        <f t="shared" si="414"/>
        <v>0</v>
      </c>
      <c r="K4231" s="40"/>
      <c r="Q4231" s="40">
        <v>39253</v>
      </c>
      <c r="R4231" s="39">
        <v>8090.49</v>
      </c>
      <c r="S4231" s="39">
        <f t="shared" si="415"/>
        <v>6</v>
      </c>
      <c r="T4231" s="39">
        <f t="shared" si="416"/>
        <v>0</v>
      </c>
      <c r="U4231" s="39">
        <f t="shared" si="417"/>
        <v>0</v>
      </c>
      <c r="V4231" s="40"/>
    </row>
    <row r="4232" spans="2:22" x14ac:dyDescent="0.35">
      <c r="B4232" s="40">
        <v>39254</v>
      </c>
      <c r="C4232" s="39">
        <v>7964.71</v>
      </c>
      <c r="D4232" s="219">
        <f t="shared" si="418"/>
        <v>-1.5668764430879393E-2</v>
      </c>
      <c r="F4232" s="40">
        <v>39254</v>
      </c>
      <c r="G4232" s="39">
        <v>7964.71</v>
      </c>
      <c r="H4232" s="39">
        <f t="shared" si="413"/>
        <v>4</v>
      </c>
      <c r="I4232" s="39">
        <f t="shared" si="414"/>
        <v>0</v>
      </c>
      <c r="K4232" s="40"/>
      <c r="Q4232" s="40">
        <v>39254</v>
      </c>
      <c r="R4232" s="39">
        <v>7964.71</v>
      </c>
      <c r="S4232" s="39">
        <f t="shared" si="415"/>
        <v>6</v>
      </c>
      <c r="T4232" s="39">
        <f t="shared" si="416"/>
        <v>0</v>
      </c>
      <c r="U4232" s="39">
        <f t="shared" si="417"/>
        <v>0</v>
      </c>
      <c r="V4232" s="40"/>
    </row>
    <row r="4233" spans="2:22" x14ac:dyDescent="0.35">
      <c r="B4233" s="40">
        <v>39255</v>
      </c>
      <c r="C4233" s="39">
        <v>7949.63</v>
      </c>
      <c r="D4233" s="219">
        <f t="shared" si="418"/>
        <v>-1.8951467058539368E-3</v>
      </c>
      <c r="F4233" s="40">
        <v>39255</v>
      </c>
      <c r="G4233" s="39">
        <v>7949.63</v>
      </c>
      <c r="H4233" s="39">
        <f t="shared" si="413"/>
        <v>5</v>
      </c>
      <c r="I4233" s="39">
        <f t="shared" si="414"/>
        <v>7949.63</v>
      </c>
      <c r="K4233" s="40"/>
      <c r="Q4233" s="40">
        <v>39255</v>
      </c>
      <c r="R4233" s="39">
        <v>7949.63</v>
      </c>
      <c r="S4233" s="39">
        <f t="shared" si="415"/>
        <v>6</v>
      </c>
      <c r="T4233" s="39">
        <f t="shared" si="416"/>
        <v>0</v>
      </c>
      <c r="U4233" s="39">
        <f t="shared" si="417"/>
        <v>0</v>
      </c>
      <c r="V4233" s="40"/>
    </row>
    <row r="4234" spans="2:22" x14ac:dyDescent="0.35">
      <c r="B4234" s="40">
        <v>39258</v>
      </c>
      <c r="C4234" s="39">
        <v>7930.61</v>
      </c>
      <c r="D4234" s="219">
        <f t="shared" si="418"/>
        <v>-2.3954309374255352E-3</v>
      </c>
      <c r="F4234" s="40">
        <v>39258</v>
      </c>
      <c r="G4234" s="39">
        <v>7930.61</v>
      </c>
      <c r="H4234" s="39">
        <f t="shared" si="413"/>
        <v>1</v>
      </c>
      <c r="I4234" s="39">
        <f t="shared" si="414"/>
        <v>0</v>
      </c>
      <c r="K4234" s="40"/>
      <c r="Q4234" s="40">
        <v>39258</v>
      </c>
      <c r="R4234" s="39">
        <v>7930.61</v>
      </c>
      <c r="S4234" s="39">
        <f t="shared" si="415"/>
        <v>6</v>
      </c>
      <c r="T4234" s="39">
        <f t="shared" si="416"/>
        <v>0</v>
      </c>
      <c r="U4234" s="39">
        <f t="shared" si="417"/>
        <v>0</v>
      </c>
      <c r="V4234" s="40"/>
    </row>
    <row r="4235" spans="2:22" x14ac:dyDescent="0.35">
      <c r="B4235" s="40">
        <v>39259</v>
      </c>
      <c r="C4235" s="39">
        <v>7860.52</v>
      </c>
      <c r="D4235" s="219">
        <f t="shared" si="418"/>
        <v>-8.8771937516501313E-3</v>
      </c>
      <c r="F4235" s="40">
        <v>39259</v>
      </c>
      <c r="G4235" s="39">
        <v>7860.52</v>
      </c>
      <c r="H4235" s="39">
        <f t="shared" si="413"/>
        <v>2</v>
      </c>
      <c r="I4235" s="39">
        <f t="shared" si="414"/>
        <v>0</v>
      </c>
      <c r="K4235" s="40"/>
      <c r="Q4235" s="40">
        <v>39259</v>
      </c>
      <c r="R4235" s="39">
        <v>7860.52</v>
      </c>
      <c r="S4235" s="39">
        <f t="shared" si="415"/>
        <v>6</v>
      </c>
      <c r="T4235" s="39">
        <f t="shared" si="416"/>
        <v>0</v>
      </c>
      <c r="U4235" s="39">
        <f t="shared" si="417"/>
        <v>0</v>
      </c>
      <c r="V4235" s="40"/>
    </row>
    <row r="4236" spans="2:22" x14ac:dyDescent="0.35">
      <c r="B4236" s="40">
        <v>39260</v>
      </c>
      <c r="C4236" s="39">
        <v>7801.23</v>
      </c>
      <c r="D4236" s="219">
        <f t="shared" si="418"/>
        <v>-7.571348442488017E-3</v>
      </c>
      <c r="F4236" s="40">
        <v>39260</v>
      </c>
      <c r="G4236" s="39">
        <v>7801.23</v>
      </c>
      <c r="H4236" s="39">
        <f t="shared" si="413"/>
        <v>3</v>
      </c>
      <c r="I4236" s="39">
        <f t="shared" si="414"/>
        <v>0</v>
      </c>
      <c r="K4236" s="40"/>
      <c r="Q4236" s="40">
        <v>39260</v>
      </c>
      <c r="R4236" s="39">
        <v>7801.23</v>
      </c>
      <c r="S4236" s="39">
        <f t="shared" si="415"/>
        <v>6</v>
      </c>
      <c r="T4236" s="39">
        <f t="shared" si="416"/>
        <v>0</v>
      </c>
      <c r="U4236" s="39">
        <f t="shared" si="417"/>
        <v>0</v>
      </c>
      <c r="V4236" s="40"/>
    </row>
    <row r="4237" spans="2:22" x14ac:dyDescent="0.35">
      <c r="B4237" s="40">
        <v>39261</v>
      </c>
      <c r="C4237" s="39">
        <v>7921.36</v>
      </c>
      <c r="D4237" s="219">
        <f t="shared" si="418"/>
        <v>1.5281494685232395E-2</v>
      </c>
      <c r="F4237" s="40">
        <v>39261</v>
      </c>
      <c r="G4237" s="39">
        <v>7921.36</v>
      </c>
      <c r="H4237" s="39">
        <f t="shared" si="413"/>
        <v>4</v>
      </c>
      <c r="I4237" s="39">
        <f t="shared" si="414"/>
        <v>0</v>
      </c>
      <c r="K4237" s="40"/>
      <c r="Q4237" s="40">
        <v>39261</v>
      </c>
      <c r="R4237" s="39">
        <v>7921.36</v>
      </c>
      <c r="S4237" s="39">
        <f t="shared" si="415"/>
        <v>6</v>
      </c>
      <c r="T4237" s="39">
        <f t="shared" si="416"/>
        <v>0</v>
      </c>
      <c r="U4237" s="39">
        <f t="shared" si="417"/>
        <v>0</v>
      </c>
      <c r="V4237" s="40"/>
    </row>
    <row r="4238" spans="2:22" x14ac:dyDescent="0.35">
      <c r="B4238" s="40">
        <v>39262</v>
      </c>
      <c r="C4238" s="39">
        <v>8007.32</v>
      </c>
      <c r="D4238" s="219">
        <f t="shared" si="418"/>
        <v>1.0793215066168642E-2</v>
      </c>
      <c r="F4238" s="40">
        <v>39262</v>
      </c>
      <c r="G4238" s="39">
        <v>8007.32</v>
      </c>
      <c r="H4238" s="39">
        <f t="shared" si="413"/>
        <v>5</v>
      </c>
      <c r="I4238" s="39">
        <f t="shared" si="414"/>
        <v>8007.32</v>
      </c>
      <c r="K4238" s="40"/>
      <c r="Q4238" s="40">
        <v>39262</v>
      </c>
      <c r="R4238" s="39">
        <v>8007.32</v>
      </c>
      <c r="S4238" s="39">
        <f t="shared" si="415"/>
        <v>6</v>
      </c>
      <c r="T4238" s="39">
        <f t="shared" si="416"/>
        <v>8007.32</v>
      </c>
      <c r="U4238" s="39">
        <f t="shared" si="417"/>
        <v>8007.32</v>
      </c>
      <c r="V4238" s="40"/>
    </row>
    <row r="4239" spans="2:22" x14ac:dyDescent="0.35">
      <c r="B4239" s="40">
        <v>39265</v>
      </c>
      <c r="C4239" s="39">
        <v>7958.24</v>
      </c>
      <c r="D4239" s="219">
        <f t="shared" si="418"/>
        <v>-6.1482534412918982E-3</v>
      </c>
      <c r="F4239" s="40">
        <v>39265</v>
      </c>
      <c r="G4239" s="39">
        <v>7958.24</v>
      </c>
      <c r="H4239" s="39">
        <f t="shared" si="413"/>
        <v>1</v>
      </c>
      <c r="I4239" s="39">
        <f t="shared" si="414"/>
        <v>0</v>
      </c>
      <c r="K4239" s="40"/>
      <c r="Q4239" s="40">
        <v>39265</v>
      </c>
      <c r="R4239" s="39">
        <v>7958.24</v>
      </c>
      <c r="S4239" s="39">
        <f t="shared" si="415"/>
        <v>7</v>
      </c>
      <c r="T4239" s="39">
        <f t="shared" si="416"/>
        <v>0</v>
      </c>
      <c r="U4239" s="39">
        <f t="shared" si="417"/>
        <v>0</v>
      </c>
      <c r="V4239" s="40"/>
    </row>
    <row r="4240" spans="2:22" x14ac:dyDescent="0.35">
      <c r="B4240" s="40">
        <v>39266</v>
      </c>
      <c r="C4240" s="39">
        <v>8050.68</v>
      </c>
      <c r="D4240" s="219">
        <f t="shared" si="418"/>
        <v>1.1548690031376294E-2</v>
      </c>
      <c r="F4240" s="40">
        <v>39266</v>
      </c>
      <c r="G4240" s="39">
        <v>8050.68</v>
      </c>
      <c r="H4240" s="39">
        <f t="shared" si="413"/>
        <v>2</v>
      </c>
      <c r="I4240" s="39">
        <f t="shared" si="414"/>
        <v>0</v>
      </c>
      <c r="K4240" s="40"/>
      <c r="Q4240" s="40">
        <v>39266</v>
      </c>
      <c r="R4240" s="39">
        <v>8050.68</v>
      </c>
      <c r="S4240" s="39">
        <f t="shared" si="415"/>
        <v>7</v>
      </c>
      <c r="T4240" s="39">
        <f t="shared" si="416"/>
        <v>0</v>
      </c>
      <c r="U4240" s="39">
        <f t="shared" si="417"/>
        <v>0</v>
      </c>
      <c r="V4240" s="40"/>
    </row>
    <row r="4241" spans="2:22" x14ac:dyDescent="0.35">
      <c r="B4241" s="40">
        <v>39267</v>
      </c>
      <c r="C4241" s="39">
        <v>8075.26</v>
      </c>
      <c r="D4241" s="219">
        <f t="shared" si="418"/>
        <v>3.0485068201872218E-3</v>
      </c>
      <c r="F4241" s="40">
        <v>39267</v>
      </c>
      <c r="G4241" s="39">
        <v>8075.26</v>
      </c>
      <c r="H4241" s="39">
        <f t="shared" si="413"/>
        <v>3</v>
      </c>
      <c r="I4241" s="39">
        <f t="shared" si="414"/>
        <v>0</v>
      </c>
      <c r="K4241" s="40"/>
      <c r="Q4241" s="40">
        <v>39267</v>
      </c>
      <c r="R4241" s="39">
        <v>8075.26</v>
      </c>
      <c r="S4241" s="39">
        <f t="shared" si="415"/>
        <v>7</v>
      </c>
      <c r="T4241" s="39">
        <f t="shared" si="416"/>
        <v>0</v>
      </c>
      <c r="U4241" s="39">
        <f t="shared" si="417"/>
        <v>0</v>
      </c>
      <c r="V4241" s="40"/>
    </row>
    <row r="4242" spans="2:22" x14ac:dyDescent="0.35">
      <c r="B4242" s="40">
        <v>39268</v>
      </c>
      <c r="C4242" s="39">
        <v>7987.13</v>
      </c>
      <c r="D4242" s="219">
        <f t="shared" si="418"/>
        <v>-1.097357048076416E-2</v>
      </c>
      <c r="F4242" s="40">
        <v>39268</v>
      </c>
      <c r="G4242" s="39">
        <v>7987.13</v>
      </c>
      <c r="H4242" s="39">
        <f t="shared" si="413"/>
        <v>4</v>
      </c>
      <c r="I4242" s="39">
        <f t="shared" si="414"/>
        <v>0</v>
      </c>
      <c r="K4242" s="40"/>
      <c r="Q4242" s="40">
        <v>39268</v>
      </c>
      <c r="R4242" s="39">
        <v>7987.13</v>
      </c>
      <c r="S4242" s="39">
        <f t="shared" si="415"/>
        <v>7</v>
      </c>
      <c r="T4242" s="39">
        <f t="shared" si="416"/>
        <v>0</v>
      </c>
      <c r="U4242" s="39">
        <f t="shared" si="417"/>
        <v>0</v>
      </c>
      <c r="V4242" s="40"/>
    </row>
    <row r="4243" spans="2:22" x14ac:dyDescent="0.35">
      <c r="B4243" s="40">
        <v>39269</v>
      </c>
      <c r="C4243" s="39">
        <v>8048.32</v>
      </c>
      <c r="D4243" s="219">
        <f t="shared" si="418"/>
        <v>7.6318777463081746E-3</v>
      </c>
      <c r="F4243" s="40">
        <v>39269</v>
      </c>
      <c r="G4243" s="39">
        <v>8048.32</v>
      </c>
      <c r="H4243" s="39">
        <f t="shared" si="413"/>
        <v>5</v>
      </c>
      <c r="I4243" s="39">
        <f t="shared" si="414"/>
        <v>8048.32</v>
      </c>
      <c r="K4243" s="40"/>
      <c r="Q4243" s="40">
        <v>39269</v>
      </c>
      <c r="R4243" s="39">
        <v>8048.32</v>
      </c>
      <c r="S4243" s="39">
        <f t="shared" si="415"/>
        <v>7</v>
      </c>
      <c r="T4243" s="39">
        <f t="shared" si="416"/>
        <v>0</v>
      </c>
      <c r="U4243" s="39">
        <f t="shared" si="417"/>
        <v>0</v>
      </c>
      <c r="V4243" s="40"/>
    </row>
    <row r="4244" spans="2:22" x14ac:dyDescent="0.35">
      <c r="B4244" s="40">
        <v>39272</v>
      </c>
      <c r="C4244" s="39">
        <v>8077.39</v>
      </c>
      <c r="D4244" s="219">
        <f t="shared" si="418"/>
        <v>3.6054265505599137E-3</v>
      </c>
      <c r="F4244" s="40">
        <v>39272</v>
      </c>
      <c r="G4244" s="39">
        <v>8077.39</v>
      </c>
      <c r="H4244" s="39">
        <f t="shared" si="413"/>
        <v>1</v>
      </c>
      <c r="I4244" s="39">
        <f t="shared" si="414"/>
        <v>0</v>
      </c>
      <c r="K4244" s="40"/>
      <c r="Q4244" s="40">
        <v>39272</v>
      </c>
      <c r="R4244" s="39">
        <v>8077.39</v>
      </c>
      <c r="S4244" s="39">
        <f t="shared" si="415"/>
        <v>7</v>
      </c>
      <c r="T4244" s="39">
        <f t="shared" si="416"/>
        <v>0</v>
      </c>
      <c r="U4244" s="39">
        <f t="shared" si="417"/>
        <v>0</v>
      </c>
      <c r="V4244" s="40"/>
    </row>
    <row r="4245" spans="2:22" x14ac:dyDescent="0.35">
      <c r="B4245" s="40">
        <v>39273</v>
      </c>
      <c r="C4245" s="39">
        <v>7964.76</v>
      </c>
      <c r="D4245" s="219">
        <f t="shared" si="418"/>
        <v>-1.404198946759279E-2</v>
      </c>
      <c r="F4245" s="40">
        <v>39273</v>
      </c>
      <c r="G4245" s="39">
        <v>7964.76</v>
      </c>
      <c r="H4245" s="39">
        <f t="shared" si="413"/>
        <v>2</v>
      </c>
      <c r="I4245" s="39">
        <f t="shared" si="414"/>
        <v>0</v>
      </c>
      <c r="K4245" s="40"/>
      <c r="Q4245" s="40">
        <v>39273</v>
      </c>
      <c r="R4245" s="39">
        <v>7964.76</v>
      </c>
      <c r="S4245" s="39">
        <f t="shared" si="415"/>
        <v>7</v>
      </c>
      <c r="T4245" s="39">
        <f t="shared" si="416"/>
        <v>0</v>
      </c>
      <c r="U4245" s="39">
        <f t="shared" si="417"/>
        <v>0</v>
      </c>
      <c r="V4245" s="40"/>
    </row>
    <row r="4246" spans="2:22" x14ac:dyDescent="0.35">
      <c r="B4246" s="40">
        <v>39274</v>
      </c>
      <c r="C4246" s="39">
        <v>7898.54</v>
      </c>
      <c r="D4246" s="219">
        <f t="shared" si="418"/>
        <v>-8.3488788143995032E-3</v>
      </c>
      <c r="F4246" s="40">
        <v>39274</v>
      </c>
      <c r="G4246" s="39">
        <v>7898.54</v>
      </c>
      <c r="H4246" s="39">
        <f t="shared" si="413"/>
        <v>3</v>
      </c>
      <c r="I4246" s="39">
        <f t="shared" si="414"/>
        <v>0</v>
      </c>
      <c r="K4246" s="40"/>
      <c r="Q4246" s="40">
        <v>39274</v>
      </c>
      <c r="R4246" s="39">
        <v>7898.54</v>
      </c>
      <c r="S4246" s="39">
        <f t="shared" si="415"/>
        <v>7</v>
      </c>
      <c r="T4246" s="39">
        <f t="shared" si="416"/>
        <v>0</v>
      </c>
      <c r="U4246" s="39">
        <f t="shared" si="417"/>
        <v>0</v>
      </c>
      <c r="V4246" s="40"/>
    </row>
    <row r="4247" spans="2:22" x14ac:dyDescent="0.35">
      <c r="B4247" s="40">
        <v>39275</v>
      </c>
      <c r="C4247" s="39">
        <v>8053.43</v>
      </c>
      <c r="D4247" s="219">
        <f t="shared" si="418"/>
        <v>1.9420155370825979E-2</v>
      </c>
      <c r="F4247" s="40">
        <v>39275</v>
      </c>
      <c r="G4247" s="39">
        <v>8053.43</v>
      </c>
      <c r="H4247" s="39">
        <f t="shared" si="413"/>
        <v>4</v>
      </c>
      <c r="I4247" s="39">
        <f t="shared" si="414"/>
        <v>0</v>
      </c>
      <c r="K4247" s="40"/>
      <c r="Q4247" s="40">
        <v>39275</v>
      </c>
      <c r="R4247" s="39">
        <v>8053.43</v>
      </c>
      <c r="S4247" s="39">
        <f t="shared" si="415"/>
        <v>7</v>
      </c>
      <c r="T4247" s="39">
        <f t="shared" si="416"/>
        <v>0</v>
      </c>
      <c r="U4247" s="39">
        <f t="shared" si="417"/>
        <v>0</v>
      </c>
      <c r="V4247" s="40"/>
    </row>
    <row r="4248" spans="2:22" x14ac:dyDescent="0.35">
      <c r="B4248" s="40">
        <v>39276</v>
      </c>
      <c r="C4248" s="39">
        <v>8092.77</v>
      </c>
      <c r="D4248" s="219">
        <f t="shared" si="418"/>
        <v>4.8729828501007525E-3</v>
      </c>
      <c r="F4248" s="40">
        <v>39276</v>
      </c>
      <c r="G4248" s="39">
        <v>8092.77</v>
      </c>
      <c r="H4248" s="39">
        <f t="shared" si="413"/>
        <v>5</v>
      </c>
      <c r="I4248" s="39">
        <f t="shared" si="414"/>
        <v>8092.77</v>
      </c>
      <c r="K4248" s="40"/>
      <c r="Q4248" s="40">
        <v>39276</v>
      </c>
      <c r="R4248" s="39">
        <v>8092.77</v>
      </c>
      <c r="S4248" s="39">
        <f t="shared" si="415"/>
        <v>7</v>
      </c>
      <c r="T4248" s="39">
        <f t="shared" si="416"/>
        <v>0</v>
      </c>
      <c r="U4248" s="39">
        <f t="shared" si="417"/>
        <v>0</v>
      </c>
      <c r="V4248" s="40"/>
    </row>
    <row r="4249" spans="2:22" x14ac:dyDescent="0.35">
      <c r="B4249" s="40">
        <v>39279</v>
      </c>
      <c r="C4249" s="39">
        <v>8105.69</v>
      </c>
      <c r="D4249" s="219">
        <f t="shared" si="418"/>
        <v>1.5952137104143576E-3</v>
      </c>
      <c r="F4249" s="40">
        <v>39279</v>
      </c>
      <c r="G4249" s="39">
        <v>8105.69</v>
      </c>
      <c r="H4249" s="39">
        <f t="shared" si="413"/>
        <v>1</v>
      </c>
      <c r="I4249" s="39">
        <f t="shared" si="414"/>
        <v>0</v>
      </c>
      <c r="K4249" s="40"/>
      <c r="Q4249" s="40">
        <v>39279</v>
      </c>
      <c r="R4249" s="39">
        <v>8105.69</v>
      </c>
      <c r="S4249" s="39">
        <f t="shared" si="415"/>
        <v>7</v>
      </c>
      <c r="T4249" s="39">
        <f t="shared" si="416"/>
        <v>0</v>
      </c>
      <c r="U4249" s="39">
        <f t="shared" si="417"/>
        <v>0</v>
      </c>
      <c r="V4249" s="40"/>
    </row>
    <row r="4250" spans="2:22" x14ac:dyDescent="0.35">
      <c r="B4250" s="40">
        <v>39280</v>
      </c>
      <c r="C4250" s="39">
        <v>8038.21</v>
      </c>
      <c r="D4250" s="219">
        <f t="shared" si="418"/>
        <v>-8.3598626105391462E-3</v>
      </c>
      <c r="F4250" s="40">
        <v>39280</v>
      </c>
      <c r="G4250" s="39">
        <v>8038.21</v>
      </c>
      <c r="H4250" s="39">
        <f t="shared" si="413"/>
        <v>2</v>
      </c>
      <c r="I4250" s="39">
        <f t="shared" si="414"/>
        <v>0</v>
      </c>
      <c r="K4250" s="40"/>
      <c r="Q4250" s="40">
        <v>39280</v>
      </c>
      <c r="R4250" s="39">
        <v>8038.21</v>
      </c>
      <c r="S4250" s="39">
        <f t="shared" si="415"/>
        <v>7</v>
      </c>
      <c r="T4250" s="39">
        <f t="shared" si="416"/>
        <v>0</v>
      </c>
      <c r="U4250" s="39">
        <f t="shared" si="417"/>
        <v>0</v>
      </c>
      <c r="V4250" s="40"/>
    </row>
    <row r="4251" spans="2:22" x14ac:dyDescent="0.35">
      <c r="B4251" s="40">
        <v>39281</v>
      </c>
      <c r="C4251" s="39">
        <v>7893.61</v>
      </c>
      <c r="D4251" s="219">
        <f t="shared" si="418"/>
        <v>-1.8152850178589357E-2</v>
      </c>
      <c r="F4251" s="40">
        <v>39281</v>
      </c>
      <c r="G4251" s="39">
        <v>7893.61</v>
      </c>
      <c r="H4251" s="39">
        <f t="shared" si="413"/>
        <v>3</v>
      </c>
      <c r="I4251" s="39">
        <f t="shared" si="414"/>
        <v>0</v>
      </c>
      <c r="K4251" s="40"/>
      <c r="Q4251" s="40">
        <v>39281</v>
      </c>
      <c r="R4251" s="39">
        <v>7893.61</v>
      </c>
      <c r="S4251" s="39">
        <f t="shared" si="415"/>
        <v>7</v>
      </c>
      <c r="T4251" s="39">
        <f t="shared" si="416"/>
        <v>0</v>
      </c>
      <c r="U4251" s="39">
        <f t="shared" si="417"/>
        <v>0</v>
      </c>
      <c r="V4251" s="40"/>
    </row>
    <row r="4252" spans="2:22" x14ac:dyDescent="0.35">
      <c r="B4252" s="40">
        <v>39282</v>
      </c>
      <c r="C4252" s="39">
        <v>7991.21</v>
      </c>
      <c r="D4252" s="219">
        <f t="shared" si="418"/>
        <v>1.2288616202423738E-2</v>
      </c>
      <c r="F4252" s="40">
        <v>39282</v>
      </c>
      <c r="G4252" s="39">
        <v>7991.21</v>
      </c>
      <c r="H4252" s="39">
        <f t="shared" si="413"/>
        <v>4</v>
      </c>
      <c r="I4252" s="39">
        <f t="shared" si="414"/>
        <v>0</v>
      </c>
      <c r="K4252" s="40"/>
      <c r="Q4252" s="40">
        <v>39282</v>
      </c>
      <c r="R4252" s="39">
        <v>7991.21</v>
      </c>
      <c r="S4252" s="39">
        <f t="shared" si="415"/>
        <v>7</v>
      </c>
      <c r="T4252" s="39">
        <f t="shared" si="416"/>
        <v>0</v>
      </c>
      <c r="U4252" s="39">
        <f t="shared" si="417"/>
        <v>0</v>
      </c>
      <c r="V4252" s="40"/>
    </row>
    <row r="4253" spans="2:22" x14ac:dyDescent="0.35">
      <c r="B4253" s="40">
        <v>39283</v>
      </c>
      <c r="C4253" s="39">
        <v>7874.85</v>
      </c>
      <c r="D4253" s="219">
        <f t="shared" si="418"/>
        <v>-1.4668050700293086E-2</v>
      </c>
      <c r="F4253" s="40">
        <v>39283</v>
      </c>
      <c r="G4253" s="39">
        <v>7874.85</v>
      </c>
      <c r="H4253" s="39">
        <f t="shared" si="413"/>
        <v>5</v>
      </c>
      <c r="I4253" s="39">
        <f t="shared" si="414"/>
        <v>7874.85</v>
      </c>
      <c r="K4253" s="40"/>
      <c r="Q4253" s="40">
        <v>39283</v>
      </c>
      <c r="R4253" s="39">
        <v>7874.85</v>
      </c>
      <c r="S4253" s="39">
        <f t="shared" si="415"/>
        <v>7</v>
      </c>
      <c r="T4253" s="39">
        <f t="shared" si="416"/>
        <v>0</v>
      </c>
      <c r="U4253" s="39">
        <f t="shared" si="417"/>
        <v>0</v>
      </c>
      <c r="V4253" s="40"/>
    </row>
    <row r="4254" spans="2:22" x14ac:dyDescent="0.35">
      <c r="B4254" s="40">
        <v>39286</v>
      </c>
      <c r="C4254" s="39">
        <v>7944.21</v>
      </c>
      <c r="D4254" s="219">
        <f t="shared" si="418"/>
        <v>8.7692245275480928E-3</v>
      </c>
      <c r="F4254" s="40">
        <v>39286</v>
      </c>
      <c r="G4254" s="39">
        <v>7944.21</v>
      </c>
      <c r="H4254" s="39">
        <f t="shared" si="413"/>
        <v>1</v>
      </c>
      <c r="I4254" s="39">
        <f t="shared" si="414"/>
        <v>0</v>
      </c>
      <c r="K4254" s="40"/>
      <c r="Q4254" s="40">
        <v>39286</v>
      </c>
      <c r="R4254" s="39">
        <v>7944.21</v>
      </c>
      <c r="S4254" s="39">
        <f t="shared" si="415"/>
        <v>7</v>
      </c>
      <c r="T4254" s="39">
        <f t="shared" si="416"/>
        <v>0</v>
      </c>
      <c r="U4254" s="39">
        <f t="shared" si="417"/>
        <v>0</v>
      </c>
      <c r="V4254" s="40"/>
    </row>
    <row r="4255" spans="2:22" x14ac:dyDescent="0.35">
      <c r="B4255" s="40">
        <v>39287</v>
      </c>
      <c r="C4255" s="39">
        <v>7806.79</v>
      </c>
      <c r="D4255" s="219">
        <f t="shared" si="418"/>
        <v>-1.7449493599269575E-2</v>
      </c>
      <c r="F4255" s="40">
        <v>39287</v>
      </c>
      <c r="G4255" s="39">
        <v>7806.79</v>
      </c>
      <c r="H4255" s="39">
        <f t="shared" si="413"/>
        <v>2</v>
      </c>
      <c r="I4255" s="39">
        <f t="shared" si="414"/>
        <v>0</v>
      </c>
      <c r="K4255" s="40"/>
      <c r="Q4255" s="40">
        <v>39287</v>
      </c>
      <c r="R4255" s="39">
        <v>7806.79</v>
      </c>
      <c r="S4255" s="39">
        <f t="shared" si="415"/>
        <v>7</v>
      </c>
      <c r="T4255" s="39">
        <f t="shared" si="416"/>
        <v>0</v>
      </c>
      <c r="U4255" s="39">
        <f t="shared" si="417"/>
        <v>0</v>
      </c>
      <c r="V4255" s="40"/>
    </row>
    <row r="4256" spans="2:22" x14ac:dyDescent="0.35">
      <c r="B4256" s="40">
        <v>39288</v>
      </c>
      <c r="C4256" s="39">
        <v>7692.55</v>
      </c>
      <c r="D4256" s="219">
        <f t="shared" si="418"/>
        <v>-1.4741539809079414E-2</v>
      </c>
      <c r="F4256" s="40">
        <v>39288</v>
      </c>
      <c r="G4256" s="39">
        <v>7692.55</v>
      </c>
      <c r="H4256" s="39">
        <f t="shared" si="413"/>
        <v>3</v>
      </c>
      <c r="I4256" s="39">
        <f t="shared" si="414"/>
        <v>0</v>
      </c>
      <c r="K4256" s="40"/>
      <c r="Q4256" s="40">
        <v>39288</v>
      </c>
      <c r="R4256" s="39">
        <v>7692.55</v>
      </c>
      <c r="S4256" s="39">
        <f t="shared" si="415"/>
        <v>7</v>
      </c>
      <c r="T4256" s="39">
        <f t="shared" si="416"/>
        <v>0</v>
      </c>
      <c r="U4256" s="39">
        <f t="shared" si="417"/>
        <v>0</v>
      </c>
      <c r="V4256" s="40"/>
    </row>
    <row r="4257" spans="2:22" x14ac:dyDescent="0.35">
      <c r="B4257" s="40">
        <v>39289</v>
      </c>
      <c r="C4257" s="39">
        <v>7508.96</v>
      </c>
      <c r="D4257" s="219">
        <f t="shared" si="418"/>
        <v>-2.4155353867885535E-2</v>
      </c>
      <c r="F4257" s="40">
        <v>39289</v>
      </c>
      <c r="G4257" s="39">
        <v>7508.96</v>
      </c>
      <c r="H4257" s="39">
        <f t="shared" si="413"/>
        <v>4</v>
      </c>
      <c r="I4257" s="39">
        <f t="shared" si="414"/>
        <v>0</v>
      </c>
      <c r="K4257" s="40"/>
      <c r="Q4257" s="40">
        <v>39289</v>
      </c>
      <c r="R4257" s="39">
        <v>7508.96</v>
      </c>
      <c r="S4257" s="39">
        <f t="shared" si="415"/>
        <v>7</v>
      </c>
      <c r="T4257" s="39">
        <f t="shared" si="416"/>
        <v>0</v>
      </c>
      <c r="U4257" s="39">
        <f t="shared" si="417"/>
        <v>0</v>
      </c>
      <c r="V4257" s="40"/>
    </row>
    <row r="4258" spans="2:22" x14ac:dyDescent="0.35">
      <c r="B4258" s="40">
        <v>39290</v>
      </c>
      <c r="C4258" s="39">
        <v>7451.68</v>
      </c>
      <c r="D4258" s="219">
        <f t="shared" si="418"/>
        <v>-7.6574638374415395E-3</v>
      </c>
      <c r="F4258" s="40">
        <v>39290</v>
      </c>
      <c r="G4258" s="39">
        <v>7451.68</v>
      </c>
      <c r="H4258" s="39">
        <f t="shared" si="413"/>
        <v>5</v>
      </c>
      <c r="I4258" s="39">
        <f t="shared" si="414"/>
        <v>7451.68</v>
      </c>
      <c r="K4258" s="40"/>
      <c r="Q4258" s="40">
        <v>39290</v>
      </c>
      <c r="R4258" s="39">
        <v>7451.68</v>
      </c>
      <c r="S4258" s="39">
        <f t="shared" si="415"/>
        <v>7</v>
      </c>
      <c r="T4258" s="39">
        <f t="shared" si="416"/>
        <v>0</v>
      </c>
      <c r="U4258" s="39">
        <f t="shared" si="417"/>
        <v>0</v>
      </c>
      <c r="V4258" s="40"/>
    </row>
    <row r="4259" spans="2:22" x14ac:dyDescent="0.35">
      <c r="B4259" s="40">
        <v>39293</v>
      </c>
      <c r="C4259" s="39">
        <v>7456.31</v>
      </c>
      <c r="D4259" s="219">
        <f t="shared" si="418"/>
        <v>6.2114344708611932E-4</v>
      </c>
      <c r="F4259" s="40">
        <v>39293</v>
      </c>
      <c r="G4259" s="39">
        <v>7456.31</v>
      </c>
      <c r="H4259" s="39">
        <f t="shared" si="413"/>
        <v>1</v>
      </c>
      <c r="I4259" s="39">
        <f t="shared" si="414"/>
        <v>0</v>
      </c>
      <c r="K4259" s="40"/>
      <c r="Q4259" s="40">
        <v>39293</v>
      </c>
      <c r="R4259" s="39">
        <v>7456.31</v>
      </c>
      <c r="S4259" s="39">
        <f t="shared" si="415"/>
        <v>7</v>
      </c>
      <c r="T4259" s="39">
        <f t="shared" si="416"/>
        <v>0</v>
      </c>
      <c r="U4259" s="39">
        <f t="shared" si="417"/>
        <v>0</v>
      </c>
      <c r="V4259" s="40"/>
    </row>
    <row r="4260" spans="2:22" x14ac:dyDescent="0.35">
      <c r="B4260" s="40">
        <v>39294</v>
      </c>
      <c r="C4260" s="39">
        <v>7584.14</v>
      </c>
      <c r="D4260" s="219">
        <f t="shared" si="418"/>
        <v>1.6998570925751452E-2</v>
      </c>
      <c r="F4260" s="40">
        <v>39294</v>
      </c>
      <c r="G4260" s="39">
        <v>7584.14</v>
      </c>
      <c r="H4260" s="39">
        <f t="shared" si="413"/>
        <v>2</v>
      </c>
      <c r="I4260" s="39">
        <f t="shared" si="414"/>
        <v>0</v>
      </c>
      <c r="K4260" s="40"/>
      <c r="Q4260" s="40">
        <v>39294</v>
      </c>
      <c r="R4260" s="39">
        <v>7584.14</v>
      </c>
      <c r="S4260" s="39">
        <f t="shared" si="415"/>
        <v>7</v>
      </c>
      <c r="T4260" s="39">
        <f t="shared" si="416"/>
        <v>7584.14</v>
      </c>
      <c r="U4260" s="39">
        <f t="shared" si="417"/>
        <v>7584.14</v>
      </c>
      <c r="V4260" s="40"/>
    </row>
    <row r="4261" spans="2:22" x14ac:dyDescent="0.35">
      <c r="B4261" s="40">
        <v>39295</v>
      </c>
      <c r="C4261" s="39">
        <v>7473.93</v>
      </c>
      <c r="D4261" s="219">
        <f t="shared" si="418"/>
        <v>-1.4638259479962574E-2</v>
      </c>
      <c r="F4261" s="40">
        <v>39295</v>
      </c>
      <c r="G4261" s="39">
        <v>7473.93</v>
      </c>
      <c r="H4261" s="39">
        <f t="shared" si="413"/>
        <v>3</v>
      </c>
      <c r="I4261" s="39">
        <f t="shared" si="414"/>
        <v>0</v>
      </c>
      <c r="K4261" s="40"/>
      <c r="Q4261" s="40">
        <v>39295</v>
      </c>
      <c r="R4261" s="39">
        <v>7473.93</v>
      </c>
      <c r="S4261" s="39">
        <f t="shared" si="415"/>
        <v>8</v>
      </c>
      <c r="T4261" s="39">
        <f t="shared" si="416"/>
        <v>0</v>
      </c>
      <c r="U4261" s="39">
        <f t="shared" si="417"/>
        <v>0</v>
      </c>
      <c r="V4261" s="40"/>
    </row>
    <row r="4262" spans="2:22" x14ac:dyDescent="0.35">
      <c r="B4262" s="40">
        <v>39296</v>
      </c>
      <c r="C4262" s="39">
        <v>7534.13</v>
      </c>
      <c r="D4262" s="219">
        <f t="shared" si="418"/>
        <v>8.0223990131611193E-3</v>
      </c>
      <c r="F4262" s="40">
        <v>39296</v>
      </c>
      <c r="G4262" s="39">
        <v>7534.13</v>
      </c>
      <c r="H4262" s="39">
        <f t="shared" si="413"/>
        <v>4</v>
      </c>
      <c r="I4262" s="39">
        <f t="shared" si="414"/>
        <v>0</v>
      </c>
      <c r="K4262" s="40"/>
      <c r="Q4262" s="40">
        <v>39296</v>
      </c>
      <c r="R4262" s="39">
        <v>7534.13</v>
      </c>
      <c r="S4262" s="39">
        <f t="shared" si="415"/>
        <v>8</v>
      </c>
      <c r="T4262" s="39">
        <f t="shared" si="416"/>
        <v>0</v>
      </c>
      <c r="U4262" s="39">
        <f t="shared" si="417"/>
        <v>0</v>
      </c>
      <c r="V4262" s="40"/>
    </row>
    <row r="4263" spans="2:22" x14ac:dyDescent="0.35">
      <c r="B4263" s="40">
        <v>39297</v>
      </c>
      <c r="C4263" s="39">
        <v>7435.67</v>
      </c>
      <c r="D4263" s="219">
        <f t="shared" si="418"/>
        <v>-1.3154674054939725E-2</v>
      </c>
      <c r="F4263" s="40">
        <v>39297</v>
      </c>
      <c r="G4263" s="39">
        <v>7435.67</v>
      </c>
      <c r="H4263" s="39">
        <f t="shared" si="413"/>
        <v>5</v>
      </c>
      <c r="I4263" s="39">
        <f t="shared" si="414"/>
        <v>7435.67</v>
      </c>
      <c r="K4263" s="40"/>
      <c r="Q4263" s="40">
        <v>39297</v>
      </c>
      <c r="R4263" s="39">
        <v>7435.67</v>
      </c>
      <c r="S4263" s="39">
        <f t="shared" si="415"/>
        <v>8</v>
      </c>
      <c r="T4263" s="39">
        <f t="shared" si="416"/>
        <v>0</v>
      </c>
      <c r="U4263" s="39">
        <f t="shared" si="417"/>
        <v>0</v>
      </c>
      <c r="V4263" s="40"/>
    </row>
    <row r="4264" spans="2:22" x14ac:dyDescent="0.35">
      <c r="B4264" s="40">
        <v>39300</v>
      </c>
      <c r="C4264" s="39">
        <v>7444.45</v>
      </c>
      <c r="D4264" s="219">
        <f t="shared" si="418"/>
        <v>1.1800981469157167E-3</v>
      </c>
      <c r="F4264" s="40">
        <v>39300</v>
      </c>
      <c r="G4264" s="39">
        <v>7444.45</v>
      </c>
      <c r="H4264" s="39">
        <f t="shared" si="413"/>
        <v>1</v>
      </c>
      <c r="I4264" s="39">
        <f t="shared" si="414"/>
        <v>0</v>
      </c>
      <c r="K4264" s="40"/>
      <c r="Q4264" s="40">
        <v>39300</v>
      </c>
      <c r="R4264" s="39">
        <v>7444.45</v>
      </c>
      <c r="S4264" s="39">
        <f t="shared" si="415"/>
        <v>8</v>
      </c>
      <c r="T4264" s="39">
        <f t="shared" si="416"/>
        <v>0</v>
      </c>
      <c r="U4264" s="39">
        <f t="shared" si="417"/>
        <v>0</v>
      </c>
      <c r="V4264" s="40"/>
    </row>
    <row r="4265" spans="2:22" x14ac:dyDescent="0.35">
      <c r="B4265" s="40">
        <v>39301</v>
      </c>
      <c r="C4265" s="39">
        <v>7513.66</v>
      </c>
      <c r="D4265" s="219">
        <f t="shared" si="418"/>
        <v>9.253908936112944E-3</v>
      </c>
      <c r="F4265" s="40">
        <v>39301</v>
      </c>
      <c r="G4265" s="39">
        <v>7513.66</v>
      </c>
      <c r="H4265" s="39">
        <f t="shared" si="413"/>
        <v>2</v>
      </c>
      <c r="I4265" s="39">
        <f t="shared" si="414"/>
        <v>0</v>
      </c>
      <c r="K4265" s="40"/>
      <c r="Q4265" s="40">
        <v>39301</v>
      </c>
      <c r="R4265" s="39">
        <v>7513.66</v>
      </c>
      <c r="S4265" s="39">
        <f t="shared" si="415"/>
        <v>8</v>
      </c>
      <c r="T4265" s="39">
        <f t="shared" si="416"/>
        <v>0</v>
      </c>
      <c r="U4265" s="39">
        <f t="shared" si="417"/>
        <v>0</v>
      </c>
      <c r="V4265" s="40"/>
    </row>
    <row r="4266" spans="2:22" x14ac:dyDescent="0.35">
      <c r="B4266" s="40">
        <v>39302</v>
      </c>
      <c r="C4266" s="39">
        <v>7605.94</v>
      </c>
      <c r="D4266" s="219">
        <f t="shared" si="418"/>
        <v>1.2206823706643822E-2</v>
      </c>
      <c r="F4266" s="40">
        <v>39302</v>
      </c>
      <c r="G4266" s="39">
        <v>7605.94</v>
      </c>
      <c r="H4266" s="39">
        <f t="shared" si="413"/>
        <v>3</v>
      </c>
      <c r="I4266" s="39">
        <f t="shared" si="414"/>
        <v>0</v>
      </c>
      <c r="K4266" s="40"/>
      <c r="Q4266" s="40">
        <v>39302</v>
      </c>
      <c r="R4266" s="39">
        <v>7605.94</v>
      </c>
      <c r="S4266" s="39">
        <f t="shared" si="415"/>
        <v>8</v>
      </c>
      <c r="T4266" s="39">
        <f t="shared" si="416"/>
        <v>0</v>
      </c>
      <c r="U4266" s="39">
        <f t="shared" si="417"/>
        <v>0</v>
      </c>
      <c r="V4266" s="40"/>
    </row>
    <row r="4267" spans="2:22" x14ac:dyDescent="0.35">
      <c r="B4267" s="40">
        <v>39303</v>
      </c>
      <c r="C4267" s="39">
        <v>7453.59</v>
      </c>
      <c r="D4267" s="219">
        <f t="shared" si="418"/>
        <v>-2.0233725446276499E-2</v>
      </c>
      <c r="F4267" s="40">
        <v>39303</v>
      </c>
      <c r="G4267" s="39">
        <v>7453.59</v>
      </c>
      <c r="H4267" s="39">
        <f t="shared" si="413"/>
        <v>4</v>
      </c>
      <c r="I4267" s="39">
        <f t="shared" si="414"/>
        <v>0</v>
      </c>
      <c r="K4267" s="40"/>
      <c r="Q4267" s="40">
        <v>39303</v>
      </c>
      <c r="R4267" s="39">
        <v>7453.59</v>
      </c>
      <c r="S4267" s="39">
        <f t="shared" si="415"/>
        <v>8</v>
      </c>
      <c r="T4267" s="39">
        <f t="shared" si="416"/>
        <v>0</v>
      </c>
      <c r="U4267" s="39">
        <f t="shared" si="417"/>
        <v>0</v>
      </c>
      <c r="V4267" s="40"/>
    </row>
    <row r="4268" spans="2:22" x14ac:dyDescent="0.35">
      <c r="B4268" s="40">
        <v>39304</v>
      </c>
      <c r="C4268" s="39">
        <v>7343.26</v>
      </c>
      <c r="D4268" s="219">
        <f t="shared" si="418"/>
        <v>-1.4912909805533369E-2</v>
      </c>
      <c r="F4268" s="40">
        <v>39304</v>
      </c>
      <c r="G4268" s="39">
        <v>7343.26</v>
      </c>
      <c r="H4268" s="39">
        <f t="shared" si="413"/>
        <v>5</v>
      </c>
      <c r="I4268" s="39">
        <f t="shared" si="414"/>
        <v>7343.26</v>
      </c>
      <c r="K4268" s="40"/>
      <c r="Q4268" s="40">
        <v>39304</v>
      </c>
      <c r="R4268" s="39">
        <v>7343.26</v>
      </c>
      <c r="S4268" s="39">
        <f t="shared" si="415"/>
        <v>8</v>
      </c>
      <c r="T4268" s="39">
        <f t="shared" si="416"/>
        <v>0</v>
      </c>
      <c r="U4268" s="39">
        <f t="shared" si="417"/>
        <v>0</v>
      </c>
      <c r="V4268" s="40"/>
    </row>
    <row r="4269" spans="2:22" x14ac:dyDescent="0.35">
      <c r="B4269" s="40">
        <v>39307</v>
      </c>
      <c r="C4269" s="39">
        <v>7474.33</v>
      </c>
      <c r="D4269" s="219">
        <f t="shared" si="418"/>
        <v>1.7691597438457538E-2</v>
      </c>
      <c r="F4269" s="40">
        <v>39307</v>
      </c>
      <c r="G4269" s="39">
        <v>7474.33</v>
      </c>
      <c r="H4269" s="39">
        <f t="shared" si="413"/>
        <v>1</v>
      </c>
      <c r="I4269" s="39">
        <f t="shared" si="414"/>
        <v>0</v>
      </c>
      <c r="K4269" s="40"/>
      <c r="Q4269" s="40">
        <v>39307</v>
      </c>
      <c r="R4269" s="39">
        <v>7474.33</v>
      </c>
      <c r="S4269" s="39">
        <f t="shared" si="415"/>
        <v>8</v>
      </c>
      <c r="T4269" s="39">
        <f t="shared" si="416"/>
        <v>0</v>
      </c>
      <c r="U4269" s="39">
        <f t="shared" si="417"/>
        <v>0</v>
      </c>
      <c r="V4269" s="40"/>
    </row>
    <row r="4270" spans="2:22" x14ac:dyDescent="0.35">
      <c r="B4270" s="40">
        <v>39308</v>
      </c>
      <c r="C4270" s="39">
        <v>7425.07</v>
      </c>
      <c r="D4270" s="219">
        <f t="shared" si="418"/>
        <v>-6.612370898778145E-3</v>
      </c>
      <c r="F4270" s="40">
        <v>39308</v>
      </c>
      <c r="G4270" s="39">
        <v>7425.07</v>
      </c>
      <c r="H4270" s="39">
        <f t="shared" si="413"/>
        <v>2</v>
      </c>
      <c r="I4270" s="39">
        <f t="shared" si="414"/>
        <v>0</v>
      </c>
      <c r="K4270" s="40"/>
      <c r="Q4270" s="40">
        <v>39308</v>
      </c>
      <c r="R4270" s="39">
        <v>7425.07</v>
      </c>
      <c r="S4270" s="39">
        <f t="shared" si="415"/>
        <v>8</v>
      </c>
      <c r="T4270" s="39">
        <f t="shared" si="416"/>
        <v>0</v>
      </c>
      <c r="U4270" s="39">
        <f t="shared" si="417"/>
        <v>0</v>
      </c>
      <c r="V4270" s="40"/>
    </row>
    <row r="4271" spans="2:22" x14ac:dyDescent="0.35">
      <c r="B4271" s="40">
        <v>39309</v>
      </c>
      <c r="C4271" s="39">
        <v>7445.9</v>
      </c>
      <c r="D4271" s="219">
        <f t="shared" si="418"/>
        <v>2.801433077044029E-3</v>
      </c>
      <c r="F4271" s="40">
        <v>39309</v>
      </c>
      <c r="G4271" s="39">
        <v>7445.9</v>
      </c>
      <c r="H4271" s="39">
        <f t="shared" si="413"/>
        <v>3</v>
      </c>
      <c r="I4271" s="39">
        <f t="shared" si="414"/>
        <v>0</v>
      </c>
      <c r="K4271" s="40"/>
      <c r="Q4271" s="40">
        <v>39309</v>
      </c>
      <c r="R4271" s="39">
        <v>7445.9</v>
      </c>
      <c r="S4271" s="39">
        <f t="shared" si="415"/>
        <v>8</v>
      </c>
      <c r="T4271" s="39">
        <f t="shared" si="416"/>
        <v>0</v>
      </c>
      <c r="U4271" s="39">
        <f t="shared" si="417"/>
        <v>0</v>
      </c>
      <c r="V4271" s="40"/>
    </row>
    <row r="4272" spans="2:22" x14ac:dyDescent="0.35">
      <c r="B4272" s="40">
        <v>39310</v>
      </c>
      <c r="C4272" s="39">
        <v>7270.07</v>
      </c>
      <c r="D4272" s="219">
        <f t="shared" si="418"/>
        <v>-2.389762522099315E-2</v>
      </c>
      <c r="F4272" s="40">
        <v>39310</v>
      </c>
      <c r="G4272" s="39">
        <v>7270.07</v>
      </c>
      <c r="H4272" s="39">
        <f t="shared" si="413"/>
        <v>4</v>
      </c>
      <c r="I4272" s="39">
        <f t="shared" si="414"/>
        <v>0</v>
      </c>
      <c r="K4272" s="40"/>
      <c r="Q4272" s="40">
        <v>39310</v>
      </c>
      <c r="R4272" s="39">
        <v>7270.07</v>
      </c>
      <c r="S4272" s="39">
        <f t="shared" si="415"/>
        <v>8</v>
      </c>
      <c r="T4272" s="39">
        <f t="shared" si="416"/>
        <v>0</v>
      </c>
      <c r="U4272" s="39">
        <f t="shared" si="417"/>
        <v>0</v>
      </c>
      <c r="V4272" s="40"/>
    </row>
    <row r="4273" spans="2:22" x14ac:dyDescent="0.35">
      <c r="B4273" s="40">
        <v>39311</v>
      </c>
      <c r="C4273" s="39">
        <v>7378.29</v>
      </c>
      <c r="D4273" s="219">
        <f t="shared" si="418"/>
        <v>1.4775984337217914E-2</v>
      </c>
      <c r="F4273" s="40">
        <v>39311</v>
      </c>
      <c r="G4273" s="39">
        <v>7378.29</v>
      </c>
      <c r="H4273" s="39">
        <f t="shared" si="413"/>
        <v>5</v>
      </c>
      <c r="I4273" s="39">
        <f t="shared" si="414"/>
        <v>7378.29</v>
      </c>
      <c r="K4273" s="40"/>
      <c r="Q4273" s="40">
        <v>39311</v>
      </c>
      <c r="R4273" s="39">
        <v>7378.29</v>
      </c>
      <c r="S4273" s="39">
        <f t="shared" si="415"/>
        <v>8</v>
      </c>
      <c r="T4273" s="39">
        <f t="shared" si="416"/>
        <v>0</v>
      </c>
      <c r="U4273" s="39">
        <f t="shared" si="417"/>
        <v>0</v>
      </c>
      <c r="V4273" s="40"/>
    </row>
    <row r="4274" spans="2:22" x14ac:dyDescent="0.35">
      <c r="B4274" s="40">
        <v>39314</v>
      </c>
      <c r="C4274" s="39">
        <v>7407.53</v>
      </c>
      <c r="D4274" s="219">
        <f t="shared" si="418"/>
        <v>3.9551459597376385E-3</v>
      </c>
      <c r="F4274" s="40">
        <v>39314</v>
      </c>
      <c r="G4274" s="39">
        <v>7407.53</v>
      </c>
      <c r="H4274" s="39">
        <f t="shared" si="413"/>
        <v>1</v>
      </c>
      <c r="I4274" s="39">
        <f t="shared" si="414"/>
        <v>0</v>
      </c>
      <c r="K4274" s="40"/>
      <c r="Q4274" s="40">
        <v>39314</v>
      </c>
      <c r="R4274" s="39">
        <v>7407.53</v>
      </c>
      <c r="S4274" s="39">
        <f t="shared" si="415"/>
        <v>8</v>
      </c>
      <c r="T4274" s="39">
        <f t="shared" si="416"/>
        <v>0</v>
      </c>
      <c r="U4274" s="39">
        <f t="shared" si="417"/>
        <v>0</v>
      </c>
      <c r="V4274" s="40"/>
    </row>
    <row r="4275" spans="2:22" x14ac:dyDescent="0.35">
      <c r="B4275" s="40">
        <v>39315</v>
      </c>
      <c r="C4275" s="39">
        <v>7424.75</v>
      </c>
      <c r="D4275" s="219">
        <f t="shared" si="418"/>
        <v>2.3219636814871139E-3</v>
      </c>
      <c r="F4275" s="40">
        <v>39315</v>
      </c>
      <c r="G4275" s="39">
        <v>7424.75</v>
      </c>
      <c r="H4275" s="39">
        <f t="shared" si="413"/>
        <v>2</v>
      </c>
      <c r="I4275" s="39">
        <f t="shared" si="414"/>
        <v>0</v>
      </c>
      <c r="K4275" s="40"/>
      <c r="Q4275" s="40">
        <v>39315</v>
      </c>
      <c r="R4275" s="39">
        <v>7424.75</v>
      </c>
      <c r="S4275" s="39">
        <f t="shared" si="415"/>
        <v>8</v>
      </c>
      <c r="T4275" s="39">
        <f t="shared" si="416"/>
        <v>0</v>
      </c>
      <c r="U4275" s="39">
        <f t="shared" si="417"/>
        <v>0</v>
      </c>
      <c r="V4275" s="40"/>
    </row>
    <row r="4276" spans="2:22" x14ac:dyDescent="0.35">
      <c r="B4276" s="40">
        <v>39316</v>
      </c>
      <c r="C4276" s="39">
        <v>7500.48</v>
      </c>
      <c r="D4276" s="219">
        <f t="shared" si="418"/>
        <v>1.0148004406107202E-2</v>
      </c>
      <c r="F4276" s="40">
        <v>39316</v>
      </c>
      <c r="G4276" s="39">
        <v>7500.48</v>
      </c>
      <c r="H4276" s="39">
        <f t="shared" si="413"/>
        <v>3</v>
      </c>
      <c r="I4276" s="39">
        <f t="shared" si="414"/>
        <v>0</v>
      </c>
      <c r="K4276" s="40"/>
      <c r="Q4276" s="40">
        <v>39316</v>
      </c>
      <c r="R4276" s="39">
        <v>7500.48</v>
      </c>
      <c r="S4276" s="39">
        <f t="shared" si="415"/>
        <v>8</v>
      </c>
      <c r="T4276" s="39">
        <f t="shared" si="416"/>
        <v>0</v>
      </c>
      <c r="U4276" s="39">
        <f t="shared" si="417"/>
        <v>0</v>
      </c>
      <c r="V4276" s="40"/>
    </row>
    <row r="4277" spans="2:22" x14ac:dyDescent="0.35">
      <c r="B4277" s="40">
        <v>39317</v>
      </c>
      <c r="C4277" s="39">
        <v>7511.96</v>
      </c>
      <c r="D4277" s="219">
        <f t="shared" si="418"/>
        <v>1.5293985838014008E-3</v>
      </c>
      <c r="F4277" s="40">
        <v>39317</v>
      </c>
      <c r="G4277" s="39">
        <v>7511.96</v>
      </c>
      <c r="H4277" s="39">
        <f t="shared" si="413"/>
        <v>4</v>
      </c>
      <c r="I4277" s="39">
        <f t="shared" si="414"/>
        <v>0</v>
      </c>
      <c r="K4277" s="40"/>
      <c r="Q4277" s="40">
        <v>39317</v>
      </c>
      <c r="R4277" s="39">
        <v>7511.96</v>
      </c>
      <c r="S4277" s="39">
        <f t="shared" si="415"/>
        <v>8</v>
      </c>
      <c r="T4277" s="39">
        <f t="shared" si="416"/>
        <v>0</v>
      </c>
      <c r="U4277" s="39">
        <f t="shared" si="417"/>
        <v>0</v>
      </c>
      <c r="V4277" s="40"/>
    </row>
    <row r="4278" spans="2:22" x14ac:dyDescent="0.35">
      <c r="B4278" s="40">
        <v>39318</v>
      </c>
      <c r="C4278" s="39">
        <v>7507.27</v>
      </c>
      <c r="D4278" s="219">
        <f t="shared" si="418"/>
        <v>-6.2453270273386114E-4</v>
      </c>
      <c r="F4278" s="40">
        <v>39318</v>
      </c>
      <c r="G4278" s="39">
        <v>7507.27</v>
      </c>
      <c r="H4278" s="39">
        <f t="shared" si="413"/>
        <v>5</v>
      </c>
      <c r="I4278" s="39">
        <f t="shared" si="414"/>
        <v>7507.27</v>
      </c>
      <c r="K4278" s="40"/>
      <c r="Q4278" s="40">
        <v>39318</v>
      </c>
      <c r="R4278" s="39">
        <v>7507.27</v>
      </c>
      <c r="S4278" s="39">
        <f t="shared" si="415"/>
        <v>8</v>
      </c>
      <c r="T4278" s="39">
        <f t="shared" si="416"/>
        <v>0</v>
      </c>
      <c r="U4278" s="39">
        <f t="shared" si="417"/>
        <v>0</v>
      </c>
      <c r="V4278" s="40"/>
    </row>
    <row r="4279" spans="2:22" x14ac:dyDescent="0.35">
      <c r="B4279" s="40">
        <v>39321</v>
      </c>
      <c r="C4279" s="39">
        <v>7485.99</v>
      </c>
      <c r="D4279" s="219">
        <f t="shared" si="418"/>
        <v>-2.838610720951444E-3</v>
      </c>
      <c r="F4279" s="40">
        <v>39321</v>
      </c>
      <c r="G4279" s="39">
        <v>7485.99</v>
      </c>
      <c r="H4279" s="39">
        <f t="shared" ref="H4279:H4342" si="419">WEEKDAY(F4279,2)</f>
        <v>1</v>
      </c>
      <c r="I4279" s="39">
        <f t="shared" ref="I4279:I4342" si="420">IF(H4279&gt;H4280,G4279,0)</f>
        <v>0</v>
      </c>
      <c r="K4279" s="40"/>
      <c r="Q4279" s="40">
        <v>39321</v>
      </c>
      <c r="R4279" s="39">
        <v>7485.99</v>
      </c>
      <c r="S4279" s="39">
        <f t="shared" ref="S4279:S4342" si="421">MONTH(Q4279)</f>
        <v>8</v>
      </c>
      <c r="T4279" s="39">
        <f t="shared" ref="T4279:T4342" si="422">IF(S4280&lt;&gt;S4279,R4279,0)</f>
        <v>0</v>
      </c>
      <c r="U4279" s="39">
        <f t="shared" ref="U4279:U4342" si="423">IF(S4280=S4279,0,R4279)</f>
        <v>0</v>
      </c>
      <c r="V4279" s="40"/>
    </row>
    <row r="4280" spans="2:22" x14ac:dyDescent="0.35">
      <c r="B4280" s="40">
        <v>39322</v>
      </c>
      <c r="C4280" s="39">
        <v>7430.24</v>
      </c>
      <c r="D4280" s="219">
        <f t="shared" ref="D4280:D4343" si="424">LN(C4280/C4279)</f>
        <v>-7.4751139659973874E-3</v>
      </c>
      <c r="F4280" s="40">
        <v>39322</v>
      </c>
      <c r="G4280" s="39">
        <v>7430.24</v>
      </c>
      <c r="H4280" s="39">
        <f t="shared" si="419"/>
        <v>2</v>
      </c>
      <c r="I4280" s="39">
        <f t="shared" si="420"/>
        <v>0</v>
      </c>
      <c r="K4280" s="40"/>
      <c r="Q4280" s="40">
        <v>39322</v>
      </c>
      <c r="R4280" s="39">
        <v>7430.24</v>
      </c>
      <c r="S4280" s="39">
        <f t="shared" si="421"/>
        <v>8</v>
      </c>
      <c r="T4280" s="39">
        <f t="shared" si="422"/>
        <v>0</v>
      </c>
      <c r="U4280" s="39">
        <f t="shared" si="423"/>
        <v>0</v>
      </c>
      <c r="V4280" s="40"/>
    </row>
    <row r="4281" spans="2:22" x14ac:dyDescent="0.35">
      <c r="B4281" s="40">
        <v>39323</v>
      </c>
      <c r="C4281" s="39">
        <v>7439.18</v>
      </c>
      <c r="D4281" s="219">
        <f t="shared" si="424"/>
        <v>1.2024680286409635E-3</v>
      </c>
      <c r="F4281" s="40">
        <v>39323</v>
      </c>
      <c r="G4281" s="39">
        <v>7439.18</v>
      </c>
      <c r="H4281" s="39">
        <f t="shared" si="419"/>
        <v>3</v>
      </c>
      <c r="I4281" s="39">
        <f t="shared" si="420"/>
        <v>0</v>
      </c>
      <c r="K4281" s="40"/>
      <c r="Q4281" s="40">
        <v>39323</v>
      </c>
      <c r="R4281" s="39">
        <v>7439.18</v>
      </c>
      <c r="S4281" s="39">
        <f t="shared" si="421"/>
        <v>8</v>
      </c>
      <c r="T4281" s="39">
        <f t="shared" si="422"/>
        <v>0</v>
      </c>
      <c r="U4281" s="39">
        <f t="shared" si="423"/>
        <v>0</v>
      </c>
      <c r="V4281" s="40"/>
    </row>
    <row r="4282" spans="2:22" x14ac:dyDescent="0.35">
      <c r="B4282" s="40">
        <v>39324</v>
      </c>
      <c r="C4282" s="39">
        <v>7519.94</v>
      </c>
      <c r="D4282" s="219">
        <f t="shared" si="424"/>
        <v>1.0797531489402223E-2</v>
      </c>
      <c r="F4282" s="40">
        <v>39324</v>
      </c>
      <c r="G4282" s="39">
        <v>7519.94</v>
      </c>
      <c r="H4282" s="39">
        <f t="shared" si="419"/>
        <v>4</v>
      </c>
      <c r="I4282" s="39">
        <f t="shared" si="420"/>
        <v>0</v>
      </c>
      <c r="K4282" s="40"/>
      <c r="Q4282" s="40">
        <v>39324</v>
      </c>
      <c r="R4282" s="39">
        <v>7519.94</v>
      </c>
      <c r="S4282" s="39">
        <f t="shared" si="421"/>
        <v>8</v>
      </c>
      <c r="T4282" s="39">
        <f t="shared" si="422"/>
        <v>0</v>
      </c>
      <c r="U4282" s="39">
        <f t="shared" si="423"/>
        <v>0</v>
      </c>
      <c r="V4282" s="40"/>
    </row>
    <row r="4283" spans="2:22" x14ac:dyDescent="0.35">
      <c r="B4283" s="40">
        <v>39325</v>
      </c>
      <c r="C4283" s="39">
        <v>7638.17</v>
      </c>
      <c r="D4283" s="219">
        <f t="shared" si="424"/>
        <v>1.5599886484499966E-2</v>
      </c>
      <c r="F4283" s="40">
        <v>39325</v>
      </c>
      <c r="G4283" s="39">
        <v>7638.17</v>
      </c>
      <c r="H4283" s="39">
        <f t="shared" si="419"/>
        <v>5</v>
      </c>
      <c r="I4283" s="39">
        <f t="shared" si="420"/>
        <v>7638.17</v>
      </c>
      <c r="K4283" s="40"/>
      <c r="Q4283" s="40">
        <v>39325</v>
      </c>
      <c r="R4283" s="39">
        <v>7638.17</v>
      </c>
      <c r="S4283" s="39">
        <f t="shared" si="421"/>
        <v>8</v>
      </c>
      <c r="T4283" s="39">
        <f t="shared" si="422"/>
        <v>7638.17</v>
      </c>
      <c r="U4283" s="39">
        <f t="shared" si="423"/>
        <v>7638.17</v>
      </c>
      <c r="V4283" s="40"/>
    </row>
    <row r="4284" spans="2:22" x14ac:dyDescent="0.35">
      <c r="B4284" s="40">
        <v>39328</v>
      </c>
      <c r="C4284" s="39">
        <v>7648.58</v>
      </c>
      <c r="D4284" s="219">
        <f t="shared" si="424"/>
        <v>1.3619640027037643E-3</v>
      </c>
      <c r="F4284" s="40">
        <v>39328</v>
      </c>
      <c r="G4284" s="39">
        <v>7648.58</v>
      </c>
      <c r="H4284" s="39">
        <f t="shared" si="419"/>
        <v>1</v>
      </c>
      <c r="I4284" s="39">
        <f t="shared" si="420"/>
        <v>0</v>
      </c>
      <c r="K4284" s="40"/>
      <c r="Q4284" s="40">
        <v>39328</v>
      </c>
      <c r="R4284" s="39">
        <v>7648.58</v>
      </c>
      <c r="S4284" s="39">
        <f t="shared" si="421"/>
        <v>9</v>
      </c>
      <c r="T4284" s="39">
        <f t="shared" si="422"/>
        <v>0</v>
      </c>
      <c r="U4284" s="39">
        <f t="shared" si="423"/>
        <v>0</v>
      </c>
      <c r="V4284" s="40"/>
    </row>
    <row r="4285" spans="2:22" x14ac:dyDescent="0.35">
      <c r="B4285" s="40">
        <v>39329</v>
      </c>
      <c r="C4285" s="39">
        <v>7721.77</v>
      </c>
      <c r="D4285" s="219">
        <f t="shared" si="424"/>
        <v>9.5236026749592056E-3</v>
      </c>
      <c r="F4285" s="40">
        <v>39329</v>
      </c>
      <c r="G4285" s="39">
        <v>7721.77</v>
      </c>
      <c r="H4285" s="39">
        <f t="shared" si="419"/>
        <v>2</v>
      </c>
      <c r="I4285" s="39">
        <f t="shared" si="420"/>
        <v>0</v>
      </c>
      <c r="K4285" s="40"/>
      <c r="Q4285" s="40">
        <v>39329</v>
      </c>
      <c r="R4285" s="39">
        <v>7721.77</v>
      </c>
      <c r="S4285" s="39">
        <f t="shared" si="421"/>
        <v>9</v>
      </c>
      <c r="T4285" s="39">
        <f t="shared" si="422"/>
        <v>0</v>
      </c>
      <c r="U4285" s="39">
        <f t="shared" si="423"/>
        <v>0</v>
      </c>
      <c r="V4285" s="40"/>
    </row>
    <row r="4286" spans="2:22" x14ac:dyDescent="0.35">
      <c r="B4286" s="40">
        <v>39330</v>
      </c>
      <c r="C4286" s="39">
        <v>7588.03</v>
      </c>
      <c r="D4286" s="219">
        <f t="shared" si="424"/>
        <v>-1.7471606692759871E-2</v>
      </c>
      <c r="F4286" s="40">
        <v>39330</v>
      </c>
      <c r="G4286" s="39">
        <v>7588.03</v>
      </c>
      <c r="H4286" s="39">
        <f t="shared" si="419"/>
        <v>3</v>
      </c>
      <c r="I4286" s="39">
        <f t="shared" si="420"/>
        <v>0</v>
      </c>
      <c r="K4286" s="40"/>
      <c r="Q4286" s="40">
        <v>39330</v>
      </c>
      <c r="R4286" s="39">
        <v>7588.03</v>
      </c>
      <c r="S4286" s="39">
        <f t="shared" si="421"/>
        <v>9</v>
      </c>
      <c r="T4286" s="39">
        <f t="shared" si="422"/>
        <v>0</v>
      </c>
      <c r="U4286" s="39">
        <f t="shared" si="423"/>
        <v>0</v>
      </c>
      <c r="V4286" s="40"/>
    </row>
    <row r="4287" spans="2:22" x14ac:dyDescent="0.35">
      <c r="B4287" s="40">
        <v>39331</v>
      </c>
      <c r="C4287" s="39">
        <v>7621.72</v>
      </c>
      <c r="D4287" s="219">
        <f t="shared" si="424"/>
        <v>4.4300603360856354E-3</v>
      </c>
      <c r="F4287" s="40">
        <v>39331</v>
      </c>
      <c r="G4287" s="39">
        <v>7621.72</v>
      </c>
      <c r="H4287" s="39">
        <f t="shared" si="419"/>
        <v>4</v>
      </c>
      <c r="I4287" s="39">
        <f t="shared" si="420"/>
        <v>0</v>
      </c>
      <c r="K4287" s="40"/>
      <c r="Q4287" s="40">
        <v>39331</v>
      </c>
      <c r="R4287" s="39">
        <v>7621.72</v>
      </c>
      <c r="S4287" s="39">
        <f t="shared" si="421"/>
        <v>9</v>
      </c>
      <c r="T4287" s="39">
        <f t="shared" si="422"/>
        <v>0</v>
      </c>
      <c r="U4287" s="39">
        <f t="shared" si="423"/>
        <v>0</v>
      </c>
      <c r="V4287" s="40"/>
    </row>
    <row r="4288" spans="2:22" x14ac:dyDescent="0.35">
      <c r="B4288" s="40">
        <v>39332</v>
      </c>
      <c r="C4288" s="39">
        <v>7436.63</v>
      </c>
      <c r="D4288" s="219">
        <f t="shared" si="424"/>
        <v>-2.4584276772254738E-2</v>
      </c>
      <c r="F4288" s="40">
        <v>39332</v>
      </c>
      <c r="G4288" s="39">
        <v>7436.63</v>
      </c>
      <c r="H4288" s="39">
        <f t="shared" si="419"/>
        <v>5</v>
      </c>
      <c r="I4288" s="39">
        <f t="shared" si="420"/>
        <v>7436.63</v>
      </c>
      <c r="K4288" s="40"/>
      <c r="Q4288" s="40">
        <v>39332</v>
      </c>
      <c r="R4288" s="39">
        <v>7436.63</v>
      </c>
      <c r="S4288" s="39">
        <f t="shared" si="421"/>
        <v>9</v>
      </c>
      <c r="T4288" s="39">
        <f t="shared" si="422"/>
        <v>0</v>
      </c>
      <c r="U4288" s="39">
        <f t="shared" si="423"/>
        <v>0</v>
      </c>
      <c r="V4288" s="40"/>
    </row>
    <row r="4289" spans="2:22" x14ac:dyDescent="0.35">
      <c r="B4289" s="40">
        <v>39335</v>
      </c>
      <c r="C4289" s="39">
        <v>7375.44</v>
      </c>
      <c r="D4289" s="219">
        <f t="shared" si="424"/>
        <v>-8.2622277765629151E-3</v>
      </c>
      <c r="F4289" s="40">
        <v>39335</v>
      </c>
      <c r="G4289" s="39">
        <v>7375.44</v>
      </c>
      <c r="H4289" s="39">
        <f t="shared" si="419"/>
        <v>1</v>
      </c>
      <c r="I4289" s="39">
        <f t="shared" si="420"/>
        <v>0</v>
      </c>
      <c r="K4289" s="40"/>
      <c r="Q4289" s="40">
        <v>39335</v>
      </c>
      <c r="R4289" s="39">
        <v>7375.44</v>
      </c>
      <c r="S4289" s="39">
        <f t="shared" si="421"/>
        <v>9</v>
      </c>
      <c r="T4289" s="39">
        <f t="shared" si="422"/>
        <v>0</v>
      </c>
      <c r="U4289" s="39">
        <f t="shared" si="423"/>
        <v>0</v>
      </c>
      <c r="V4289" s="40"/>
    </row>
    <row r="4290" spans="2:22" x14ac:dyDescent="0.35">
      <c r="B4290" s="40">
        <v>39336</v>
      </c>
      <c r="C4290" s="39">
        <v>7457.9</v>
      </c>
      <c r="D4290" s="219">
        <f t="shared" si="424"/>
        <v>1.1118311783062433E-2</v>
      </c>
      <c r="F4290" s="40">
        <v>39336</v>
      </c>
      <c r="G4290" s="39">
        <v>7457.9</v>
      </c>
      <c r="H4290" s="39">
        <f t="shared" si="419"/>
        <v>2</v>
      </c>
      <c r="I4290" s="39">
        <f t="shared" si="420"/>
        <v>0</v>
      </c>
      <c r="K4290" s="40"/>
      <c r="Q4290" s="40">
        <v>39336</v>
      </c>
      <c r="R4290" s="39">
        <v>7457.9</v>
      </c>
      <c r="S4290" s="39">
        <f t="shared" si="421"/>
        <v>9</v>
      </c>
      <c r="T4290" s="39">
        <f t="shared" si="422"/>
        <v>0</v>
      </c>
      <c r="U4290" s="39">
        <f t="shared" si="423"/>
        <v>0</v>
      </c>
      <c r="V4290" s="40"/>
    </row>
    <row r="4291" spans="2:22" x14ac:dyDescent="0.35">
      <c r="B4291" s="40">
        <v>39337</v>
      </c>
      <c r="C4291" s="39">
        <v>7472.99</v>
      </c>
      <c r="D4291" s="219">
        <f t="shared" si="424"/>
        <v>2.0213135503347568E-3</v>
      </c>
      <c r="F4291" s="40">
        <v>39337</v>
      </c>
      <c r="G4291" s="39">
        <v>7472.99</v>
      </c>
      <c r="H4291" s="39">
        <f t="shared" si="419"/>
        <v>3</v>
      </c>
      <c r="I4291" s="39">
        <f t="shared" si="420"/>
        <v>0</v>
      </c>
      <c r="K4291" s="40"/>
      <c r="Q4291" s="40">
        <v>39337</v>
      </c>
      <c r="R4291" s="39">
        <v>7472.99</v>
      </c>
      <c r="S4291" s="39">
        <f t="shared" si="421"/>
        <v>9</v>
      </c>
      <c r="T4291" s="39">
        <f t="shared" si="422"/>
        <v>0</v>
      </c>
      <c r="U4291" s="39">
        <f t="shared" si="423"/>
        <v>0</v>
      </c>
      <c r="V4291" s="40"/>
    </row>
    <row r="4292" spans="2:22" x14ac:dyDescent="0.35">
      <c r="B4292" s="40">
        <v>39338</v>
      </c>
      <c r="C4292" s="39">
        <v>7535.97</v>
      </c>
      <c r="D4292" s="219">
        <f t="shared" si="424"/>
        <v>8.3923695778365306E-3</v>
      </c>
      <c r="F4292" s="40">
        <v>39338</v>
      </c>
      <c r="G4292" s="39">
        <v>7535.97</v>
      </c>
      <c r="H4292" s="39">
        <f t="shared" si="419"/>
        <v>4</v>
      </c>
      <c r="I4292" s="39">
        <f t="shared" si="420"/>
        <v>0</v>
      </c>
      <c r="K4292" s="40"/>
      <c r="Q4292" s="40">
        <v>39338</v>
      </c>
      <c r="R4292" s="39">
        <v>7535.97</v>
      </c>
      <c r="S4292" s="39">
        <f t="shared" si="421"/>
        <v>9</v>
      </c>
      <c r="T4292" s="39">
        <f t="shared" si="422"/>
        <v>0</v>
      </c>
      <c r="U4292" s="39">
        <f t="shared" si="423"/>
        <v>0</v>
      </c>
      <c r="V4292" s="40"/>
    </row>
    <row r="4293" spans="2:22" x14ac:dyDescent="0.35">
      <c r="B4293" s="40">
        <v>39339</v>
      </c>
      <c r="C4293" s="39">
        <v>7497.74</v>
      </c>
      <c r="D4293" s="219">
        <f t="shared" si="424"/>
        <v>-5.0859145754985433E-3</v>
      </c>
      <c r="F4293" s="40">
        <v>39339</v>
      </c>
      <c r="G4293" s="39">
        <v>7497.74</v>
      </c>
      <c r="H4293" s="39">
        <f t="shared" si="419"/>
        <v>5</v>
      </c>
      <c r="I4293" s="39">
        <f t="shared" si="420"/>
        <v>7497.74</v>
      </c>
      <c r="K4293" s="40"/>
      <c r="Q4293" s="40">
        <v>39339</v>
      </c>
      <c r="R4293" s="39">
        <v>7497.74</v>
      </c>
      <c r="S4293" s="39">
        <f t="shared" si="421"/>
        <v>9</v>
      </c>
      <c r="T4293" s="39">
        <f t="shared" si="422"/>
        <v>0</v>
      </c>
      <c r="U4293" s="39">
        <f t="shared" si="423"/>
        <v>0</v>
      </c>
      <c r="V4293" s="40"/>
    </row>
    <row r="4294" spans="2:22" x14ac:dyDescent="0.35">
      <c r="B4294" s="40">
        <v>39342</v>
      </c>
      <c r="C4294" s="39">
        <v>7479.85</v>
      </c>
      <c r="D4294" s="219">
        <f t="shared" si="424"/>
        <v>-2.3889034895434973E-3</v>
      </c>
      <c r="F4294" s="40">
        <v>39342</v>
      </c>
      <c r="G4294" s="39">
        <v>7479.85</v>
      </c>
      <c r="H4294" s="39">
        <f t="shared" si="419"/>
        <v>1</v>
      </c>
      <c r="I4294" s="39">
        <f t="shared" si="420"/>
        <v>0</v>
      </c>
      <c r="K4294" s="40"/>
      <c r="Q4294" s="40">
        <v>39342</v>
      </c>
      <c r="R4294" s="39">
        <v>7479.85</v>
      </c>
      <c r="S4294" s="39">
        <f t="shared" si="421"/>
        <v>9</v>
      </c>
      <c r="T4294" s="39">
        <f t="shared" si="422"/>
        <v>0</v>
      </c>
      <c r="U4294" s="39">
        <f t="shared" si="423"/>
        <v>0</v>
      </c>
      <c r="V4294" s="40"/>
    </row>
    <row r="4295" spans="2:22" x14ac:dyDescent="0.35">
      <c r="B4295" s="40">
        <v>39343</v>
      </c>
      <c r="C4295" s="39">
        <v>7575.21</v>
      </c>
      <c r="D4295" s="219">
        <f t="shared" si="424"/>
        <v>1.2668335474064615E-2</v>
      </c>
      <c r="F4295" s="40">
        <v>39343</v>
      </c>
      <c r="G4295" s="39">
        <v>7575.21</v>
      </c>
      <c r="H4295" s="39">
        <f t="shared" si="419"/>
        <v>2</v>
      </c>
      <c r="I4295" s="39">
        <f t="shared" si="420"/>
        <v>0</v>
      </c>
      <c r="K4295" s="40"/>
      <c r="Q4295" s="40">
        <v>39343</v>
      </c>
      <c r="R4295" s="39">
        <v>7575.21</v>
      </c>
      <c r="S4295" s="39">
        <f t="shared" si="421"/>
        <v>9</v>
      </c>
      <c r="T4295" s="39">
        <f t="shared" si="422"/>
        <v>0</v>
      </c>
      <c r="U4295" s="39">
        <f t="shared" si="423"/>
        <v>0</v>
      </c>
      <c r="V4295" s="40"/>
    </row>
    <row r="4296" spans="2:22" x14ac:dyDescent="0.35">
      <c r="B4296" s="40">
        <v>39344</v>
      </c>
      <c r="C4296" s="39">
        <v>7750.84</v>
      </c>
      <c r="D4296" s="219">
        <f t="shared" si="424"/>
        <v>2.2920150805131691E-2</v>
      </c>
      <c r="F4296" s="40">
        <v>39344</v>
      </c>
      <c r="G4296" s="39">
        <v>7750.84</v>
      </c>
      <c r="H4296" s="39">
        <f t="shared" si="419"/>
        <v>3</v>
      </c>
      <c r="I4296" s="39">
        <f t="shared" si="420"/>
        <v>0</v>
      </c>
      <c r="K4296" s="40"/>
      <c r="Q4296" s="40">
        <v>39344</v>
      </c>
      <c r="R4296" s="39">
        <v>7750.84</v>
      </c>
      <c r="S4296" s="39">
        <f t="shared" si="421"/>
        <v>9</v>
      </c>
      <c r="T4296" s="39">
        <f t="shared" si="422"/>
        <v>0</v>
      </c>
      <c r="U4296" s="39">
        <f t="shared" si="423"/>
        <v>0</v>
      </c>
      <c r="V4296" s="40"/>
    </row>
    <row r="4297" spans="2:22" x14ac:dyDescent="0.35">
      <c r="B4297" s="40">
        <v>39345</v>
      </c>
      <c r="C4297" s="39">
        <v>7735.09</v>
      </c>
      <c r="D4297" s="219">
        <f t="shared" si="424"/>
        <v>-2.0341052078343331E-3</v>
      </c>
      <c r="F4297" s="40">
        <v>39345</v>
      </c>
      <c r="G4297" s="39">
        <v>7735.09</v>
      </c>
      <c r="H4297" s="39">
        <f t="shared" si="419"/>
        <v>4</v>
      </c>
      <c r="I4297" s="39">
        <f t="shared" si="420"/>
        <v>0</v>
      </c>
      <c r="K4297" s="40"/>
      <c r="Q4297" s="40">
        <v>39345</v>
      </c>
      <c r="R4297" s="39">
        <v>7735.09</v>
      </c>
      <c r="S4297" s="39">
        <f t="shared" si="421"/>
        <v>9</v>
      </c>
      <c r="T4297" s="39">
        <f t="shared" si="422"/>
        <v>0</v>
      </c>
      <c r="U4297" s="39">
        <f t="shared" si="423"/>
        <v>0</v>
      </c>
      <c r="V4297" s="40"/>
    </row>
    <row r="4298" spans="2:22" x14ac:dyDescent="0.35">
      <c r="B4298" s="40">
        <v>39346</v>
      </c>
      <c r="C4298" s="39">
        <v>7794.43</v>
      </c>
      <c r="D4298" s="219">
        <f t="shared" si="424"/>
        <v>7.6422566580200855E-3</v>
      </c>
      <c r="F4298" s="40">
        <v>39346</v>
      </c>
      <c r="G4298" s="39">
        <v>7794.43</v>
      </c>
      <c r="H4298" s="39">
        <f t="shared" si="419"/>
        <v>5</v>
      </c>
      <c r="I4298" s="39">
        <f t="shared" si="420"/>
        <v>7794.43</v>
      </c>
      <c r="K4298" s="40"/>
      <c r="Q4298" s="40">
        <v>39346</v>
      </c>
      <c r="R4298" s="39">
        <v>7794.43</v>
      </c>
      <c r="S4298" s="39">
        <f t="shared" si="421"/>
        <v>9</v>
      </c>
      <c r="T4298" s="39">
        <f t="shared" si="422"/>
        <v>0</v>
      </c>
      <c r="U4298" s="39">
        <f t="shared" si="423"/>
        <v>0</v>
      </c>
      <c r="V4298" s="40"/>
    </row>
    <row r="4299" spans="2:22" x14ac:dyDescent="0.35">
      <c r="B4299" s="40">
        <v>39349</v>
      </c>
      <c r="C4299" s="39">
        <v>7787.92</v>
      </c>
      <c r="D4299" s="219">
        <f t="shared" si="424"/>
        <v>-8.3556079522703825E-4</v>
      </c>
      <c r="F4299" s="40">
        <v>39349</v>
      </c>
      <c r="G4299" s="39">
        <v>7787.92</v>
      </c>
      <c r="H4299" s="39">
        <f t="shared" si="419"/>
        <v>1</v>
      </c>
      <c r="I4299" s="39">
        <f t="shared" si="420"/>
        <v>0</v>
      </c>
      <c r="K4299" s="40"/>
      <c r="Q4299" s="40">
        <v>39349</v>
      </c>
      <c r="R4299" s="39">
        <v>7787.92</v>
      </c>
      <c r="S4299" s="39">
        <f t="shared" si="421"/>
        <v>9</v>
      </c>
      <c r="T4299" s="39">
        <f t="shared" si="422"/>
        <v>0</v>
      </c>
      <c r="U4299" s="39">
        <f t="shared" si="423"/>
        <v>0</v>
      </c>
      <c r="V4299" s="40"/>
    </row>
    <row r="4300" spans="2:22" x14ac:dyDescent="0.35">
      <c r="B4300" s="40">
        <v>39350</v>
      </c>
      <c r="C4300" s="39">
        <v>7769.44</v>
      </c>
      <c r="D4300" s="219">
        <f t="shared" si="424"/>
        <v>-2.3757255333643383E-3</v>
      </c>
      <c r="F4300" s="40">
        <v>39350</v>
      </c>
      <c r="G4300" s="39">
        <v>7769.44</v>
      </c>
      <c r="H4300" s="39">
        <f t="shared" si="419"/>
        <v>2</v>
      </c>
      <c r="I4300" s="39">
        <f t="shared" si="420"/>
        <v>0</v>
      </c>
      <c r="K4300" s="40"/>
      <c r="Q4300" s="40">
        <v>39350</v>
      </c>
      <c r="R4300" s="39">
        <v>7769.44</v>
      </c>
      <c r="S4300" s="39">
        <f t="shared" si="421"/>
        <v>9</v>
      </c>
      <c r="T4300" s="39">
        <f t="shared" si="422"/>
        <v>0</v>
      </c>
      <c r="U4300" s="39">
        <f t="shared" si="423"/>
        <v>0</v>
      </c>
      <c r="V4300" s="40"/>
    </row>
    <row r="4301" spans="2:22" x14ac:dyDescent="0.35">
      <c r="B4301" s="40">
        <v>39351</v>
      </c>
      <c r="C4301" s="39">
        <v>7804.15</v>
      </c>
      <c r="D4301" s="219">
        <f t="shared" si="424"/>
        <v>4.4575537783307327E-3</v>
      </c>
      <c r="F4301" s="40">
        <v>39351</v>
      </c>
      <c r="G4301" s="39">
        <v>7804.15</v>
      </c>
      <c r="H4301" s="39">
        <f t="shared" si="419"/>
        <v>3</v>
      </c>
      <c r="I4301" s="39">
        <f t="shared" si="420"/>
        <v>0</v>
      </c>
      <c r="K4301" s="40"/>
      <c r="Q4301" s="40">
        <v>39351</v>
      </c>
      <c r="R4301" s="39">
        <v>7804.15</v>
      </c>
      <c r="S4301" s="39">
        <f t="shared" si="421"/>
        <v>9</v>
      </c>
      <c r="T4301" s="39">
        <f t="shared" si="422"/>
        <v>0</v>
      </c>
      <c r="U4301" s="39">
        <f t="shared" si="423"/>
        <v>0</v>
      </c>
      <c r="V4301" s="40"/>
    </row>
    <row r="4302" spans="2:22" x14ac:dyDescent="0.35">
      <c r="B4302" s="40">
        <v>39352</v>
      </c>
      <c r="C4302" s="39">
        <v>7853.79</v>
      </c>
      <c r="D4302" s="219">
        <f t="shared" si="424"/>
        <v>6.3405743419395408E-3</v>
      </c>
      <c r="F4302" s="40">
        <v>39352</v>
      </c>
      <c r="G4302" s="39">
        <v>7853.79</v>
      </c>
      <c r="H4302" s="39">
        <f t="shared" si="419"/>
        <v>4</v>
      </c>
      <c r="I4302" s="39">
        <f t="shared" si="420"/>
        <v>0</v>
      </c>
      <c r="K4302" s="40"/>
      <c r="Q4302" s="40">
        <v>39352</v>
      </c>
      <c r="R4302" s="39">
        <v>7853.79</v>
      </c>
      <c r="S4302" s="39">
        <f t="shared" si="421"/>
        <v>9</v>
      </c>
      <c r="T4302" s="39">
        <f t="shared" si="422"/>
        <v>0</v>
      </c>
      <c r="U4302" s="39">
        <f t="shared" si="423"/>
        <v>0</v>
      </c>
      <c r="V4302" s="40"/>
    </row>
    <row r="4303" spans="2:22" x14ac:dyDescent="0.35">
      <c r="B4303" s="40">
        <v>39353</v>
      </c>
      <c r="C4303" s="39">
        <v>7861.51</v>
      </c>
      <c r="D4303" s="219">
        <f t="shared" si="424"/>
        <v>9.8248211882572705E-4</v>
      </c>
      <c r="F4303" s="40">
        <v>39353</v>
      </c>
      <c r="G4303" s="39">
        <v>7861.51</v>
      </c>
      <c r="H4303" s="39">
        <f t="shared" si="419"/>
        <v>5</v>
      </c>
      <c r="I4303" s="39">
        <f t="shared" si="420"/>
        <v>7861.51</v>
      </c>
      <c r="K4303" s="40"/>
      <c r="Q4303" s="40">
        <v>39353</v>
      </c>
      <c r="R4303" s="39">
        <v>7861.51</v>
      </c>
      <c r="S4303" s="39">
        <f t="shared" si="421"/>
        <v>9</v>
      </c>
      <c r="T4303" s="39">
        <f t="shared" si="422"/>
        <v>7861.51</v>
      </c>
      <c r="U4303" s="39">
        <f t="shared" si="423"/>
        <v>7861.51</v>
      </c>
      <c r="V4303" s="40"/>
    </row>
    <row r="4304" spans="2:22" x14ac:dyDescent="0.35">
      <c r="B4304" s="40">
        <v>39356</v>
      </c>
      <c r="C4304" s="39">
        <v>7922.42</v>
      </c>
      <c r="D4304" s="219">
        <f t="shared" si="424"/>
        <v>7.7180147600350362E-3</v>
      </c>
      <c r="F4304" s="40">
        <v>39356</v>
      </c>
      <c r="G4304" s="39">
        <v>7922.42</v>
      </c>
      <c r="H4304" s="39">
        <f t="shared" si="419"/>
        <v>1</v>
      </c>
      <c r="I4304" s="39">
        <f t="shared" si="420"/>
        <v>0</v>
      </c>
      <c r="K4304" s="40"/>
      <c r="Q4304" s="40">
        <v>39356</v>
      </c>
      <c r="R4304" s="39">
        <v>7922.42</v>
      </c>
      <c r="S4304" s="39">
        <f t="shared" si="421"/>
        <v>10</v>
      </c>
      <c r="T4304" s="39">
        <f t="shared" si="422"/>
        <v>0</v>
      </c>
      <c r="U4304" s="39">
        <f t="shared" si="423"/>
        <v>0</v>
      </c>
      <c r="V4304" s="40"/>
    </row>
    <row r="4305" spans="2:22" x14ac:dyDescent="0.35">
      <c r="B4305" s="40">
        <v>39357</v>
      </c>
      <c r="C4305" s="39">
        <v>7946.79</v>
      </c>
      <c r="D4305" s="219">
        <f t="shared" si="424"/>
        <v>3.0713588335331064E-3</v>
      </c>
      <c r="F4305" s="40">
        <v>39357</v>
      </c>
      <c r="G4305" s="39">
        <v>7946.79</v>
      </c>
      <c r="H4305" s="39">
        <f t="shared" si="419"/>
        <v>2</v>
      </c>
      <c r="I4305" s="39">
        <f t="shared" si="420"/>
        <v>0</v>
      </c>
      <c r="K4305" s="40"/>
      <c r="Q4305" s="40">
        <v>39357</v>
      </c>
      <c r="R4305" s="39">
        <v>7946.79</v>
      </c>
      <c r="S4305" s="39">
        <f t="shared" si="421"/>
        <v>10</v>
      </c>
      <c r="T4305" s="39">
        <f t="shared" si="422"/>
        <v>0</v>
      </c>
      <c r="U4305" s="39">
        <f t="shared" si="423"/>
        <v>0</v>
      </c>
      <c r="V4305" s="40"/>
    </row>
    <row r="4306" spans="2:22" x14ac:dyDescent="0.35">
      <c r="B4306" s="40">
        <v>39358</v>
      </c>
      <c r="C4306" s="39">
        <v>7955.3</v>
      </c>
      <c r="D4306" s="219">
        <f t="shared" si="424"/>
        <v>1.0702996665697048E-3</v>
      </c>
      <c r="F4306" s="40">
        <v>39358</v>
      </c>
      <c r="G4306" s="39">
        <v>7955.3</v>
      </c>
      <c r="H4306" s="39">
        <f t="shared" si="419"/>
        <v>3</v>
      </c>
      <c r="I4306" s="39">
        <f t="shared" si="420"/>
        <v>0</v>
      </c>
      <c r="K4306" s="40"/>
      <c r="Q4306" s="40">
        <v>39358</v>
      </c>
      <c r="R4306" s="39">
        <v>7955.3</v>
      </c>
      <c r="S4306" s="39">
        <f t="shared" si="421"/>
        <v>10</v>
      </c>
      <c r="T4306" s="39">
        <f t="shared" si="422"/>
        <v>0</v>
      </c>
      <c r="U4306" s="39">
        <f t="shared" si="423"/>
        <v>0</v>
      </c>
      <c r="V4306" s="40"/>
    </row>
    <row r="4307" spans="2:22" x14ac:dyDescent="0.35">
      <c r="B4307" s="40">
        <v>39359</v>
      </c>
      <c r="C4307" s="39">
        <v>7944.99</v>
      </c>
      <c r="D4307" s="219">
        <f t="shared" si="424"/>
        <v>-1.2968318747549608E-3</v>
      </c>
      <c r="F4307" s="40">
        <v>39359</v>
      </c>
      <c r="G4307" s="39">
        <v>7944.99</v>
      </c>
      <c r="H4307" s="39">
        <f t="shared" si="419"/>
        <v>4</v>
      </c>
      <c r="I4307" s="39">
        <f t="shared" si="420"/>
        <v>0</v>
      </c>
      <c r="K4307" s="40"/>
      <c r="Q4307" s="40">
        <v>39359</v>
      </c>
      <c r="R4307" s="39">
        <v>7944.99</v>
      </c>
      <c r="S4307" s="39">
        <f t="shared" si="421"/>
        <v>10</v>
      </c>
      <c r="T4307" s="39">
        <f t="shared" si="422"/>
        <v>0</v>
      </c>
      <c r="U4307" s="39">
        <f t="shared" si="423"/>
        <v>0</v>
      </c>
      <c r="V4307" s="40"/>
    </row>
    <row r="4308" spans="2:22" x14ac:dyDescent="0.35">
      <c r="B4308" s="40">
        <v>39360</v>
      </c>
      <c r="C4308" s="39">
        <v>8002.18</v>
      </c>
      <c r="D4308" s="219">
        <f t="shared" si="424"/>
        <v>7.1724632238082961E-3</v>
      </c>
      <c r="F4308" s="40">
        <v>39360</v>
      </c>
      <c r="G4308" s="39">
        <v>8002.18</v>
      </c>
      <c r="H4308" s="39">
        <f t="shared" si="419"/>
        <v>5</v>
      </c>
      <c r="I4308" s="39">
        <f t="shared" si="420"/>
        <v>8002.18</v>
      </c>
      <c r="K4308" s="40"/>
      <c r="Q4308" s="40">
        <v>39360</v>
      </c>
      <c r="R4308" s="39">
        <v>8002.18</v>
      </c>
      <c r="S4308" s="39">
        <f t="shared" si="421"/>
        <v>10</v>
      </c>
      <c r="T4308" s="39">
        <f t="shared" si="422"/>
        <v>0</v>
      </c>
      <c r="U4308" s="39">
        <f t="shared" si="423"/>
        <v>0</v>
      </c>
      <c r="V4308" s="40"/>
    </row>
    <row r="4309" spans="2:22" x14ac:dyDescent="0.35">
      <c r="B4309" s="40">
        <v>39363</v>
      </c>
      <c r="C4309" s="39">
        <v>7974.37</v>
      </c>
      <c r="D4309" s="219">
        <f t="shared" si="424"/>
        <v>-3.4813558731667449E-3</v>
      </c>
      <c r="F4309" s="40">
        <v>39363</v>
      </c>
      <c r="G4309" s="39">
        <v>7974.37</v>
      </c>
      <c r="H4309" s="39">
        <f t="shared" si="419"/>
        <v>1</v>
      </c>
      <c r="I4309" s="39">
        <f t="shared" si="420"/>
        <v>0</v>
      </c>
      <c r="K4309" s="40"/>
      <c r="Q4309" s="40">
        <v>39363</v>
      </c>
      <c r="R4309" s="39">
        <v>7974.37</v>
      </c>
      <c r="S4309" s="39">
        <f t="shared" si="421"/>
        <v>10</v>
      </c>
      <c r="T4309" s="39">
        <f t="shared" si="422"/>
        <v>0</v>
      </c>
      <c r="U4309" s="39">
        <f t="shared" si="423"/>
        <v>0</v>
      </c>
      <c r="V4309" s="40"/>
    </row>
    <row r="4310" spans="2:22" x14ac:dyDescent="0.35">
      <c r="B4310" s="40">
        <v>39364</v>
      </c>
      <c r="C4310" s="39">
        <v>7980.44</v>
      </c>
      <c r="D4310" s="219">
        <f t="shared" si="424"/>
        <v>7.6089910100598829E-4</v>
      </c>
      <c r="F4310" s="40">
        <v>39364</v>
      </c>
      <c r="G4310" s="39">
        <v>7980.44</v>
      </c>
      <c r="H4310" s="39">
        <f t="shared" si="419"/>
        <v>2</v>
      </c>
      <c r="I4310" s="39">
        <f t="shared" si="420"/>
        <v>0</v>
      </c>
      <c r="K4310" s="40"/>
      <c r="Q4310" s="40">
        <v>39364</v>
      </c>
      <c r="R4310" s="39">
        <v>7980.44</v>
      </c>
      <c r="S4310" s="39">
        <f t="shared" si="421"/>
        <v>10</v>
      </c>
      <c r="T4310" s="39">
        <f t="shared" si="422"/>
        <v>0</v>
      </c>
      <c r="U4310" s="39">
        <f t="shared" si="423"/>
        <v>0</v>
      </c>
      <c r="V4310" s="40"/>
    </row>
    <row r="4311" spans="2:22" x14ac:dyDescent="0.35">
      <c r="B4311" s="40">
        <v>39365</v>
      </c>
      <c r="C4311" s="39">
        <v>7986.57</v>
      </c>
      <c r="D4311" s="219">
        <f t="shared" si="424"/>
        <v>7.6783321375401047E-4</v>
      </c>
      <c r="F4311" s="40">
        <v>39365</v>
      </c>
      <c r="G4311" s="39">
        <v>7986.57</v>
      </c>
      <c r="H4311" s="39">
        <f t="shared" si="419"/>
        <v>3</v>
      </c>
      <c r="I4311" s="39">
        <f t="shared" si="420"/>
        <v>0</v>
      </c>
      <c r="K4311" s="40"/>
      <c r="Q4311" s="40">
        <v>39365</v>
      </c>
      <c r="R4311" s="39">
        <v>7986.57</v>
      </c>
      <c r="S4311" s="39">
        <f t="shared" si="421"/>
        <v>10</v>
      </c>
      <c r="T4311" s="39">
        <f t="shared" si="422"/>
        <v>0</v>
      </c>
      <c r="U4311" s="39">
        <f t="shared" si="423"/>
        <v>0</v>
      </c>
      <c r="V4311" s="40"/>
    </row>
    <row r="4312" spans="2:22" x14ac:dyDescent="0.35">
      <c r="B4312" s="40">
        <v>39366</v>
      </c>
      <c r="C4312" s="39">
        <v>8033.69</v>
      </c>
      <c r="D4312" s="219">
        <f t="shared" si="424"/>
        <v>5.8825681831236121E-3</v>
      </c>
      <c r="F4312" s="40">
        <v>39366</v>
      </c>
      <c r="G4312" s="39">
        <v>8033.69</v>
      </c>
      <c r="H4312" s="39">
        <f t="shared" si="419"/>
        <v>4</v>
      </c>
      <c r="I4312" s="39">
        <f t="shared" si="420"/>
        <v>0</v>
      </c>
      <c r="K4312" s="40"/>
      <c r="Q4312" s="40">
        <v>39366</v>
      </c>
      <c r="R4312" s="39">
        <v>8033.69</v>
      </c>
      <c r="S4312" s="39">
        <f t="shared" si="421"/>
        <v>10</v>
      </c>
      <c r="T4312" s="39">
        <f t="shared" si="422"/>
        <v>0</v>
      </c>
      <c r="U4312" s="39">
        <f t="shared" si="423"/>
        <v>0</v>
      </c>
      <c r="V4312" s="40"/>
    </row>
    <row r="4313" spans="2:22" x14ac:dyDescent="0.35">
      <c r="B4313" s="40">
        <v>39367</v>
      </c>
      <c r="C4313" s="39">
        <v>8041.26</v>
      </c>
      <c r="D4313" s="219">
        <f t="shared" si="424"/>
        <v>9.4183814687906064E-4</v>
      </c>
      <c r="F4313" s="40">
        <v>39367</v>
      </c>
      <c r="G4313" s="39">
        <v>8041.26</v>
      </c>
      <c r="H4313" s="39">
        <f t="shared" si="419"/>
        <v>5</v>
      </c>
      <c r="I4313" s="39">
        <f t="shared" si="420"/>
        <v>8041.26</v>
      </c>
      <c r="K4313" s="40"/>
      <c r="Q4313" s="40">
        <v>39367</v>
      </c>
      <c r="R4313" s="39">
        <v>8041.26</v>
      </c>
      <c r="S4313" s="39">
        <f t="shared" si="421"/>
        <v>10</v>
      </c>
      <c r="T4313" s="39">
        <f t="shared" si="422"/>
        <v>0</v>
      </c>
      <c r="U4313" s="39">
        <f t="shared" si="423"/>
        <v>0</v>
      </c>
      <c r="V4313" s="40"/>
    </row>
    <row r="4314" spans="2:22" x14ac:dyDescent="0.35">
      <c r="B4314" s="40">
        <v>39370</v>
      </c>
      <c r="C4314" s="39">
        <v>7969.47</v>
      </c>
      <c r="D4314" s="219">
        <f t="shared" si="424"/>
        <v>-8.9677961117555598E-3</v>
      </c>
      <c r="F4314" s="40">
        <v>39370</v>
      </c>
      <c r="G4314" s="39">
        <v>7969.47</v>
      </c>
      <c r="H4314" s="39">
        <f t="shared" si="419"/>
        <v>1</v>
      </c>
      <c r="I4314" s="39">
        <f t="shared" si="420"/>
        <v>0</v>
      </c>
      <c r="K4314" s="40"/>
      <c r="Q4314" s="40">
        <v>39370</v>
      </c>
      <c r="R4314" s="39">
        <v>7969.47</v>
      </c>
      <c r="S4314" s="39">
        <f t="shared" si="421"/>
        <v>10</v>
      </c>
      <c r="T4314" s="39">
        <f t="shared" si="422"/>
        <v>0</v>
      </c>
      <c r="U4314" s="39">
        <f t="shared" si="423"/>
        <v>0</v>
      </c>
      <c r="V4314" s="40"/>
    </row>
    <row r="4315" spans="2:22" x14ac:dyDescent="0.35">
      <c r="B4315" s="40">
        <v>39371</v>
      </c>
      <c r="C4315" s="39">
        <v>7962.64</v>
      </c>
      <c r="D4315" s="219">
        <f t="shared" si="424"/>
        <v>-8.5738805699963965E-4</v>
      </c>
      <c r="F4315" s="40">
        <v>39371</v>
      </c>
      <c r="G4315" s="39">
        <v>7962.64</v>
      </c>
      <c r="H4315" s="39">
        <f t="shared" si="419"/>
        <v>2</v>
      </c>
      <c r="I4315" s="39">
        <f t="shared" si="420"/>
        <v>0</v>
      </c>
      <c r="K4315" s="40"/>
      <c r="Q4315" s="40">
        <v>39371</v>
      </c>
      <c r="R4315" s="39">
        <v>7962.64</v>
      </c>
      <c r="S4315" s="39">
        <f t="shared" si="421"/>
        <v>10</v>
      </c>
      <c r="T4315" s="39">
        <f t="shared" si="422"/>
        <v>0</v>
      </c>
      <c r="U4315" s="39">
        <f t="shared" si="423"/>
        <v>0</v>
      </c>
      <c r="V4315" s="40"/>
    </row>
    <row r="4316" spans="2:22" x14ac:dyDescent="0.35">
      <c r="B4316" s="40">
        <v>39372</v>
      </c>
      <c r="C4316" s="39">
        <v>7985.41</v>
      </c>
      <c r="D4316" s="219">
        <f t="shared" si="424"/>
        <v>2.8555234617698051E-3</v>
      </c>
      <c r="F4316" s="40">
        <v>39372</v>
      </c>
      <c r="G4316" s="39">
        <v>7985.41</v>
      </c>
      <c r="H4316" s="39">
        <f t="shared" si="419"/>
        <v>3</v>
      </c>
      <c r="I4316" s="39">
        <f t="shared" si="420"/>
        <v>0</v>
      </c>
      <c r="K4316" s="40"/>
      <c r="Q4316" s="40">
        <v>39372</v>
      </c>
      <c r="R4316" s="39">
        <v>7985.41</v>
      </c>
      <c r="S4316" s="39">
        <f t="shared" si="421"/>
        <v>10</v>
      </c>
      <c r="T4316" s="39">
        <f t="shared" si="422"/>
        <v>0</v>
      </c>
      <c r="U4316" s="39">
        <f t="shared" si="423"/>
        <v>0</v>
      </c>
      <c r="V4316" s="40"/>
    </row>
    <row r="4317" spans="2:22" x14ac:dyDescent="0.35">
      <c r="B4317" s="40">
        <v>39373</v>
      </c>
      <c r="C4317" s="39">
        <v>7921.4</v>
      </c>
      <c r="D4317" s="219">
        <f t="shared" si="424"/>
        <v>-8.0481687415279463E-3</v>
      </c>
      <c r="F4317" s="40">
        <v>39373</v>
      </c>
      <c r="G4317" s="39">
        <v>7921.4</v>
      </c>
      <c r="H4317" s="39">
        <f t="shared" si="419"/>
        <v>4</v>
      </c>
      <c r="I4317" s="39">
        <f t="shared" si="420"/>
        <v>0</v>
      </c>
      <c r="K4317" s="40"/>
      <c r="Q4317" s="40">
        <v>39373</v>
      </c>
      <c r="R4317" s="39">
        <v>7921.4</v>
      </c>
      <c r="S4317" s="39">
        <f t="shared" si="421"/>
        <v>10</v>
      </c>
      <c r="T4317" s="39">
        <f t="shared" si="422"/>
        <v>0</v>
      </c>
      <c r="U4317" s="39">
        <f t="shared" si="423"/>
        <v>0</v>
      </c>
      <c r="V4317" s="40"/>
    </row>
    <row r="4318" spans="2:22" x14ac:dyDescent="0.35">
      <c r="B4318" s="40">
        <v>39374</v>
      </c>
      <c r="C4318" s="39">
        <v>7884.12</v>
      </c>
      <c r="D4318" s="219">
        <f t="shared" si="424"/>
        <v>-4.7173480067449767E-3</v>
      </c>
      <c r="F4318" s="40">
        <v>39374</v>
      </c>
      <c r="G4318" s="39">
        <v>7884.12</v>
      </c>
      <c r="H4318" s="39">
        <f t="shared" si="419"/>
        <v>5</v>
      </c>
      <c r="I4318" s="39">
        <f t="shared" si="420"/>
        <v>7884.12</v>
      </c>
      <c r="K4318" s="40"/>
      <c r="Q4318" s="40">
        <v>39374</v>
      </c>
      <c r="R4318" s="39">
        <v>7884.12</v>
      </c>
      <c r="S4318" s="39">
        <f t="shared" si="421"/>
        <v>10</v>
      </c>
      <c r="T4318" s="39">
        <f t="shared" si="422"/>
        <v>0</v>
      </c>
      <c r="U4318" s="39">
        <f t="shared" si="423"/>
        <v>0</v>
      </c>
      <c r="V4318" s="40"/>
    </row>
    <row r="4319" spans="2:22" x14ac:dyDescent="0.35">
      <c r="B4319" s="40">
        <v>39377</v>
      </c>
      <c r="C4319" s="39">
        <v>7794.94</v>
      </c>
      <c r="D4319" s="219">
        <f t="shared" si="424"/>
        <v>-1.1375804636498036E-2</v>
      </c>
      <c r="F4319" s="40">
        <v>39377</v>
      </c>
      <c r="G4319" s="39">
        <v>7794.94</v>
      </c>
      <c r="H4319" s="39">
        <f t="shared" si="419"/>
        <v>1</v>
      </c>
      <c r="I4319" s="39">
        <f t="shared" si="420"/>
        <v>0</v>
      </c>
      <c r="K4319" s="40"/>
      <c r="Q4319" s="40">
        <v>39377</v>
      </c>
      <c r="R4319" s="39">
        <v>7794.94</v>
      </c>
      <c r="S4319" s="39">
        <f t="shared" si="421"/>
        <v>10</v>
      </c>
      <c r="T4319" s="39">
        <f t="shared" si="422"/>
        <v>0</v>
      </c>
      <c r="U4319" s="39">
        <f t="shared" si="423"/>
        <v>0</v>
      </c>
      <c r="V4319" s="40"/>
    </row>
    <row r="4320" spans="2:22" x14ac:dyDescent="0.35">
      <c r="B4320" s="40">
        <v>39378</v>
      </c>
      <c r="C4320" s="39">
        <v>7842.79</v>
      </c>
      <c r="D4320" s="219">
        <f t="shared" si="424"/>
        <v>6.1198331651953495E-3</v>
      </c>
      <c r="F4320" s="40">
        <v>39378</v>
      </c>
      <c r="G4320" s="39">
        <v>7842.79</v>
      </c>
      <c r="H4320" s="39">
        <f t="shared" si="419"/>
        <v>2</v>
      </c>
      <c r="I4320" s="39">
        <f t="shared" si="420"/>
        <v>0</v>
      </c>
      <c r="K4320" s="40"/>
      <c r="Q4320" s="40">
        <v>39378</v>
      </c>
      <c r="R4320" s="39">
        <v>7842.79</v>
      </c>
      <c r="S4320" s="39">
        <f t="shared" si="421"/>
        <v>10</v>
      </c>
      <c r="T4320" s="39">
        <f t="shared" si="422"/>
        <v>0</v>
      </c>
      <c r="U4320" s="39">
        <f t="shared" si="423"/>
        <v>0</v>
      </c>
      <c r="V4320" s="40"/>
    </row>
    <row r="4321" spans="2:22" x14ac:dyDescent="0.35">
      <c r="B4321" s="40">
        <v>39379</v>
      </c>
      <c r="C4321" s="39">
        <v>7828.96</v>
      </c>
      <c r="D4321" s="219">
        <f t="shared" si="424"/>
        <v>-1.7649597001142645E-3</v>
      </c>
      <c r="F4321" s="40">
        <v>39379</v>
      </c>
      <c r="G4321" s="39">
        <v>7828.96</v>
      </c>
      <c r="H4321" s="39">
        <f t="shared" si="419"/>
        <v>3</v>
      </c>
      <c r="I4321" s="39">
        <f t="shared" si="420"/>
        <v>0</v>
      </c>
      <c r="K4321" s="40"/>
      <c r="Q4321" s="40">
        <v>39379</v>
      </c>
      <c r="R4321" s="39">
        <v>7828.96</v>
      </c>
      <c r="S4321" s="39">
        <f t="shared" si="421"/>
        <v>10</v>
      </c>
      <c r="T4321" s="39">
        <f t="shared" si="422"/>
        <v>0</v>
      </c>
      <c r="U4321" s="39">
        <f t="shared" si="423"/>
        <v>0</v>
      </c>
      <c r="V4321" s="40"/>
    </row>
    <row r="4322" spans="2:22" x14ac:dyDescent="0.35">
      <c r="B4322" s="40">
        <v>39380</v>
      </c>
      <c r="C4322" s="39">
        <v>7932.44</v>
      </c>
      <c r="D4322" s="219">
        <f t="shared" si="424"/>
        <v>1.3131001923503553E-2</v>
      </c>
      <c r="F4322" s="40">
        <v>39380</v>
      </c>
      <c r="G4322" s="39">
        <v>7932.44</v>
      </c>
      <c r="H4322" s="39">
        <f t="shared" si="419"/>
        <v>4</v>
      </c>
      <c r="I4322" s="39">
        <f t="shared" si="420"/>
        <v>0</v>
      </c>
      <c r="K4322" s="40"/>
      <c r="Q4322" s="40">
        <v>39380</v>
      </c>
      <c r="R4322" s="39">
        <v>7932.44</v>
      </c>
      <c r="S4322" s="39">
        <f t="shared" si="421"/>
        <v>10</v>
      </c>
      <c r="T4322" s="39">
        <f t="shared" si="422"/>
        <v>0</v>
      </c>
      <c r="U4322" s="39">
        <f t="shared" si="423"/>
        <v>0</v>
      </c>
      <c r="V4322" s="40"/>
    </row>
    <row r="4323" spans="2:22" x14ac:dyDescent="0.35">
      <c r="B4323" s="40">
        <v>39381</v>
      </c>
      <c r="C4323" s="39">
        <v>7949.17</v>
      </c>
      <c r="D4323" s="219">
        <f t="shared" si="424"/>
        <v>2.1068400733166158E-3</v>
      </c>
      <c r="F4323" s="40">
        <v>39381</v>
      </c>
      <c r="G4323" s="39">
        <v>7949.17</v>
      </c>
      <c r="H4323" s="39">
        <f t="shared" si="419"/>
        <v>5</v>
      </c>
      <c r="I4323" s="39">
        <f t="shared" si="420"/>
        <v>7949.17</v>
      </c>
      <c r="K4323" s="40"/>
      <c r="Q4323" s="40">
        <v>39381</v>
      </c>
      <c r="R4323" s="39">
        <v>7949.17</v>
      </c>
      <c r="S4323" s="39">
        <f t="shared" si="421"/>
        <v>10</v>
      </c>
      <c r="T4323" s="39">
        <f t="shared" si="422"/>
        <v>0</v>
      </c>
      <c r="U4323" s="39">
        <f t="shared" si="423"/>
        <v>0</v>
      </c>
      <c r="V4323" s="40"/>
    </row>
    <row r="4324" spans="2:22" x14ac:dyDescent="0.35">
      <c r="B4324" s="40">
        <v>39384</v>
      </c>
      <c r="C4324" s="39">
        <v>8009.67</v>
      </c>
      <c r="D4324" s="219">
        <f t="shared" si="424"/>
        <v>7.5820410295183369E-3</v>
      </c>
      <c r="F4324" s="40">
        <v>39384</v>
      </c>
      <c r="G4324" s="39">
        <v>8009.67</v>
      </c>
      <c r="H4324" s="39">
        <f t="shared" si="419"/>
        <v>1</v>
      </c>
      <c r="I4324" s="39">
        <f t="shared" si="420"/>
        <v>0</v>
      </c>
      <c r="K4324" s="40"/>
      <c r="Q4324" s="40">
        <v>39384</v>
      </c>
      <c r="R4324" s="39">
        <v>8009.67</v>
      </c>
      <c r="S4324" s="39">
        <f t="shared" si="421"/>
        <v>10</v>
      </c>
      <c r="T4324" s="39">
        <f t="shared" si="422"/>
        <v>0</v>
      </c>
      <c r="U4324" s="39">
        <f t="shared" si="423"/>
        <v>0</v>
      </c>
      <c r="V4324" s="40"/>
    </row>
    <row r="4325" spans="2:22" x14ac:dyDescent="0.35">
      <c r="B4325" s="40">
        <v>39385</v>
      </c>
      <c r="C4325" s="39">
        <v>7977.94</v>
      </c>
      <c r="D4325" s="219">
        <f t="shared" si="424"/>
        <v>-3.9693289566544096E-3</v>
      </c>
      <c r="F4325" s="40">
        <v>39385</v>
      </c>
      <c r="G4325" s="39">
        <v>7977.94</v>
      </c>
      <c r="H4325" s="39">
        <f t="shared" si="419"/>
        <v>2</v>
      </c>
      <c r="I4325" s="39">
        <f t="shared" si="420"/>
        <v>0</v>
      </c>
      <c r="K4325" s="40"/>
      <c r="Q4325" s="40">
        <v>39385</v>
      </c>
      <c r="R4325" s="39">
        <v>7977.94</v>
      </c>
      <c r="S4325" s="39">
        <f t="shared" si="421"/>
        <v>10</v>
      </c>
      <c r="T4325" s="39">
        <f t="shared" si="422"/>
        <v>0</v>
      </c>
      <c r="U4325" s="39">
        <f t="shared" si="423"/>
        <v>0</v>
      </c>
      <c r="V4325" s="40"/>
    </row>
    <row r="4326" spans="2:22" x14ac:dyDescent="0.35">
      <c r="B4326" s="40">
        <v>39386</v>
      </c>
      <c r="C4326" s="39">
        <v>8019.22</v>
      </c>
      <c r="D4326" s="219">
        <f t="shared" si="424"/>
        <v>5.1609275177537375E-3</v>
      </c>
      <c r="F4326" s="40">
        <v>39386</v>
      </c>
      <c r="G4326" s="39">
        <v>8019.22</v>
      </c>
      <c r="H4326" s="39">
        <f t="shared" si="419"/>
        <v>3</v>
      </c>
      <c r="I4326" s="39">
        <f t="shared" si="420"/>
        <v>0</v>
      </c>
      <c r="K4326" s="40"/>
      <c r="Q4326" s="40">
        <v>39386</v>
      </c>
      <c r="R4326" s="39">
        <v>8019.22</v>
      </c>
      <c r="S4326" s="39">
        <f t="shared" si="421"/>
        <v>10</v>
      </c>
      <c r="T4326" s="39">
        <f t="shared" si="422"/>
        <v>8019.22</v>
      </c>
      <c r="U4326" s="39">
        <f t="shared" si="423"/>
        <v>8019.22</v>
      </c>
      <c r="V4326" s="40"/>
    </row>
    <row r="4327" spans="2:22" x14ac:dyDescent="0.35">
      <c r="B4327" s="40">
        <v>39387</v>
      </c>
      <c r="C4327" s="39">
        <v>7880.85</v>
      </c>
      <c r="D4327" s="219">
        <f t="shared" si="424"/>
        <v>-1.7405394218057146E-2</v>
      </c>
      <c r="F4327" s="40">
        <v>39387</v>
      </c>
      <c r="G4327" s="39">
        <v>7880.85</v>
      </c>
      <c r="H4327" s="39">
        <f t="shared" si="419"/>
        <v>4</v>
      </c>
      <c r="I4327" s="39">
        <f t="shared" si="420"/>
        <v>0</v>
      </c>
      <c r="K4327" s="40"/>
      <c r="Q4327" s="40">
        <v>39387</v>
      </c>
      <c r="R4327" s="39">
        <v>7880.85</v>
      </c>
      <c r="S4327" s="39">
        <f t="shared" si="421"/>
        <v>11</v>
      </c>
      <c r="T4327" s="39">
        <f t="shared" si="422"/>
        <v>0</v>
      </c>
      <c r="U4327" s="39">
        <f t="shared" si="423"/>
        <v>0</v>
      </c>
      <c r="V4327" s="40"/>
    </row>
    <row r="4328" spans="2:22" x14ac:dyDescent="0.35">
      <c r="B4328" s="40">
        <v>39388</v>
      </c>
      <c r="C4328" s="39">
        <v>7849.49</v>
      </c>
      <c r="D4328" s="219">
        <f t="shared" si="424"/>
        <v>-3.98720454182691E-3</v>
      </c>
      <c r="F4328" s="40">
        <v>39388</v>
      </c>
      <c r="G4328" s="39">
        <v>7849.49</v>
      </c>
      <c r="H4328" s="39">
        <f t="shared" si="419"/>
        <v>5</v>
      </c>
      <c r="I4328" s="39">
        <f t="shared" si="420"/>
        <v>7849.49</v>
      </c>
      <c r="K4328" s="40"/>
      <c r="Q4328" s="40">
        <v>39388</v>
      </c>
      <c r="R4328" s="39">
        <v>7849.49</v>
      </c>
      <c r="S4328" s="39">
        <f t="shared" si="421"/>
        <v>11</v>
      </c>
      <c r="T4328" s="39">
        <f t="shared" si="422"/>
        <v>0</v>
      </c>
      <c r="U4328" s="39">
        <f t="shared" si="423"/>
        <v>0</v>
      </c>
      <c r="V4328" s="40"/>
    </row>
    <row r="4329" spans="2:22" x14ac:dyDescent="0.35">
      <c r="B4329" s="40">
        <v>39391</v>
      </c>
      <c r="C4329" s="39">
        <v>7807.55</v>
      </c>
      <c r="D4329" s="219">
        <f t="shared" si="424"/>
        <v>-5.3573472777153196E-3</v>
      </c>
      <c r="F4329" s="40">
        <v>39391</v>
      </c>
      <c r="G4329" s="39">
        <v>7807.55</v>
      </c>
      <c r="H4329" s="39">
        <f t="shared" si="419"/>
        <v>1</v>
      </c>
      <c r="I4329" s="39">
        <f t="shared" si="420"/>
        <v>0</v>
      </c>
      <c r="K4329" s="40"/>
      <c r="Q4329" s="40">
        <v>39391</v>
      </c>
      <c r="R4329" s="39">
        <v>7807.55</v>
      </c>
      <c r="S4329" s="39">
        <f t="shared" si="421"/>
        <v>11</v>
      </c>
      <c r="T4329" s="39">
        <f t="shared" si="422"/>
        <v>0</v>
      </c>
      <c r="U4329" s="39">
        <f t="shared" si="423"/>
        <v>0</v>
      </c>
      <c r="V4329" s="40"/>
    </row>
    <row r="4330" spans="2:22" x14ac:dyDescent="0.35">
      <c r="B4330" s="40">
        <v>39392</v>
      </c>
      <c r="C4330" s="39">
        <v>7827.19</v>
      </c>
      <c r="D4330" s="219">
        <f t="shared" si="424"/>
        <v>2.5123552205564359E-3</v>
      </c>
      <c r="F4330" s="40">
        <v>39392</v>
      </c>
      <c r="G4330" s="39">
        <v>7827.19</v>
      </c>
      <c r="H4330" s="39">
        <f t="shared" si="419"/>
        <v>2</v>
      </c>
      <c r="I4330" s="39">
        <f t="shared" si="420"/>
        <v>0</v>
      </c>
      <c r="K4330" s="40"/>
      <c r="Q4330" s="40">
        <v>39392</v>
      </c>
      <c r="R4330" s="39">
        <v>7827.19</v>
      </c>
      <c r="S4330" s="39">
        <f t="shared" si="421"/>
        <v>11</v>
      </c>
      <c r="T4330" s="39">
        <f t="shared" si="422"/>
        <v>0</v>
      </c>
      <c r="U4330" s="39">
        <f t="shared" si="423"/>
        <v>0</v>
      </c>
      <c r="V4330" s="40"/>
    </row>
    <row r="4331" spans="2:22" x14ac:dyDescent="0.35">
      <c r="B4331" s="40">
        <v>39393</v>
      </c>
      <c r="C4331" s="39">
        <v>7799.62</v>
      </c>
      <c r="D4331" s="219">
        <f t="shared" si="424"/>
        <v>-3.528554913699764E-3</v>
      </c>
      <c r="F4331" s="40">
        <v>39393</v>
      </c>
      <c r="G4331" s="39">
        <v>7799.62</v>
      </c>
      <c r="H4331" s="39">
        <f t="shared" si="419"/>
        <v>3</v>
      </c>
      <c r="I4331" s="39">
        <f t="shared" si="420"/>
        <v>0</v>
      </c>
      <c r="K4331" s="40"/>
      <c r="Q4331" s="40">
        <v>39393</v>
      </c>
      <c r="R4331" s="39">
        <v>7799.62</v>
      </c>
      <c r="S4331" s="39">
        <f t="shared" si="421"/>
        <v>11</v>
      </c>
      <c r="T4331" s="39">
        <f t="shared" si="422"/>
        <v>0</v>
      </c>
      <c r="U4331" s="39">
        <f t="shared" si="423"/>
        <v>0</v>
      </c>
      <c r="V4331" s="40"/>
    </row>
    <row r="4332" spans="2:22" x14ac:dyDescent="0.35">
      <c r="B4332" s="40">
        <v>39394</v>
      </c>
      <c r="C4332" s="39">
        <v>7819.47</v>
      </c>
      <c r="D4332" s="219">
        <f t="shared" si="424"/>
        <v>2.5417627642632446E-3</v>
      </c>
      <c r="F4332" s="40">
        <v>39394</v>
      </c>
      <c r="G4332" s="39">
        <v>7819.47</v>
      </c>
      <c r="H4332" s="39">
        <f t="shared" si="419"/>
        <v>4</v>
      </c>
      <c r="I4332" s="39">
        <f t="shared" si="420"/>
        <v>0</v>
      </c>
      <c r="K4332" s="40"/>
      <c r="Q4332" s="40">
        <v>39394</v>
      </c>
      <c r="R4332" s="39">
        <v>7819.47</v>
      </c>
      <c r="S4332" s="39">
        <f t="shared" si="421"/>
        <v>11</v>
      </c>
      <c r="T4332" s="39">
        <f t="shared" si="422"/>
        <v>0</v>
      </c>
      <c r="U4332" s="39">
        <f t="shared" si="423"/>
        <v>0</v>
      </c>
      <c r="V4332" s="40"/>
    </row>
    <row r="4333" spans="2:22" x14ac:dyDescent="0.35">
      <c r="B4333" s="40">
        <v>39395</v>
      </c>
      <c r="C4333" s="39">
        <v>7812.4</v>
      </c>
      <c r="D4333" s="219">
        <f t="shared" si="424"/>
        <v>-9.0456234373444285E-4</v>
      </c>
      <c r="F4333" s="40">
        <v>39395</v>
      </c>
      <c r="G4333" s="39">
        <v>7812.4</v>
      </c>
      <c r="H4333" s="39">
        <f t="shared" si="419"/>
        <v>5</v>
      </c>
      <c r="I4333" s="39">
        <f t="shared" si="420"/>
        <v>7812.4</v>
      </c>
      <c r="K4333" s="40"/>
      <c r="Q4333" s="40">
        <v>39395</v>
      </c>
      <c r="R4333" s="39">
        <v>7812.4</v>
      </c>
      <c r="S4333" s="39">
        <f t="shared" si="421"/>
        <v>11</v>
      </c>
      <c r="T4333" s="39">
        <f t="shared" si="422"/>
        <v>0</v>
      </c>
      <c r="U4333" s="39">
        <f t="shared" si="423"/>
        <v>0</v>
      </c>
      <c r="V4333" s="40"/>
    </row>
    <row r="4334" spans="2:22" x14ac:dyDescent="0.35">
      <c r="B4334" s="40">
        <v>39398</v>
      </c>
      <c r="C4334" s="39">
        <v>7806.84</v>
      </c>
      <c r="D4334" s="219">
        <f t="shared" si="424"/>
        <v>-7.119424805362175E-4</v>
      </c>
      <c r="F4334" s="40">
        <v>39398</v>
      </c>
      <c r="G4334" s="39">
        <v>7806.84</v>
      </c>
      <c r="H4334" s="39">
        <f t="shared" si="419"/>
        <v>1</v>
      </c>
      <c r="I4334" s="39">
        <f t="shared" si="420"/>
        <v>0</v>
      </c>
      <c r="K4334" s="40"/>
      <c r="Q4334" s="40">
        <v>39398</v>
      </c>
      <c r="R4334" s="39">
        <v>7806.84</v>
      </c>
      <c r="S4334" s="39">
        <f t="shared" si="421"/>
        <v>11</v>
      </c>
      <c r="T4334" s="39">
        <f t="shared" si="422"/>
        <v>0</v>
      </c>
      <c r="U4334" s="39">
        <f t="shared" si="423"/>
        <v>0</v>
      </c>
      <c r="V4334" s="40"/>
    </row>
    <row r="4335" spans="2:22" x14ac:dyDescent="0.35">
      <c r="B4335" s="40">
        <v>39399</v>
      </c>
      <c r="C4335" s="39">
        <v>7777.56</v>
      </c>
      <c r="D4335" s="219">
        <f t="shared" si="424"/>
        <v>-3.7576081789305396E-3</v>
      </c>
      <c r="F4335" s="40">
        <v>39399</v>
      </c>
      <c r="G4335" s="39">
        <v>7777.56</v>
      </c>
      <c r="H4335" s="39">
        <f t="shared" si="419"/>
        <v>2</v>
      </c>
      <c r="I4335" s="39">
        <f t="shared" si="420"/>
        <v>0</v>
      </c>
      <c r="K4335" s="40"/>
      <c r="Q4335" s="40">
        <v>39399</v>
      </c>
      <c r="R4335" s="39">
        <v>7777.56</v>
      </c>
      <c r="S4335" s="39">
        <f t="shared" si="421"/>
        <v>11</v>
      </c>
      <c r="T4335" s="39">
        <f t="shared" si="422"/>
        <v>0</v>
      </c>
      <c r="U4335" s="39">
        <f t="shared" si="423"/>
        <v>0</v>
      </c>
      <c r="V4335" s="40"/>
    </row>
    <row r="4336" spans="2:22" x14ac:dyDescent="0.35">
      <c r="B4336" s="40">
        <v>39400</v>
      </c>
      <c r="C4336" s="39">
        <v>7783.11</v>
      </c>
      <c r="D4336" s="219">
        <f t="shared" si="424"/>
        <v>7.1333692383963193E-4</v>
      </c>
      <c r="F4336" s="40">
        <v>39400</v>
      </c>
      <c r="G4336" s="39">
        <v>7783.11</v>
      </c>
      <c r="H4336" s="39">
        <f t="shared" si="419"/>
        <v>3</v>
      </c>
      <c r="I4336" s="39">
        <f t="shared" si="420"/>
        <v>0</v>
      </c>
      <c r="K4336" s="40"/>
      <c r="Q4336" s="40">
        <v>39400</v>
      </c>
      <c r="R4336" s="39">
        <v>7783.11</v>
      </c>
      <c r="S4336" s="39">
        <f t="shared" si="421"/>
        <v>11</v>
      </c>
      <c r="T4336" s="39">
        <f t="shared" si="422"/>
        <v>0</v>
      </c>
      <c r="U4336" s="39">
        <f t="shared" si="423"/>
        <v>0</v>
      </c>
      <c r="V4336" s="40"/>
    </row>
    <row r="4337" spans="2:22" x14ac:dyDescent="0.35">
      <c r="B4337" s="40">
        <v>39401</v>
      </c>
      <c r="C4337" s="39">
        <v>7667.03</v>
      </c>
      <c r="D4337" s="219">
        <f t="shared" si="424"/>
        <v>-1.5026683802516642E-2</v>
      </c>
      <c r="F4337" s="40">
        <v>39401</v>
      </c>
      <c r="G4337" s="39">
        <v>7667.03</v>
      </c>
      <c r="H4337" s="39">
        <f t="shared" si="419"/>
        <v>4</v>
      </c>
      <c r="I4337" s="39">
        <f t="shared" si="420"/>
        <v>0</v>
      </c>
      <c r="K4337" s="40"/>
      <c r="Q4337" s="40">
        <v>39401</v>
      </c>
      <c r="R4337" s="39">
        <v>7667.03</v>
      </c>
      <c r="S4337" s="39">
        <f t="shared" si="421"/>
        <v>11</v>
      </c>
      <c r="T4337" s="39">
        <f t="shared" si="422"/>
        <v>0</v>
      </c>
      <c r="U4337" s="39">
        <f t="shared" si="423"/>
        <v>0</v>
      </c>
      <c r="V4337" s="40"/>
    </row>
    <row r="4338" spans="2:22" x14ac:dyDescent="0.35">
      <c r="B4338" s="40">
        <v>39402</v>
      </c>
      <c r="C4338" s="39">
        <v>7612.26</v>
      </c>
      <c r="D4338" s="219">
        <f t="shared" si="424"/>
        <v>-7.1692119970252505E-3</v>
      </c>
      <c r="F4338" s="40">
        <v>39402</v>
      </c>
      <c r="G4338" s="39">
        <v>7612.26</v>
      </c>
      <c r="H4338" s="39">
        <f t="shared" si="419"/>
        <v>5</v>
      </c>
      <c r="I4338" s="39">
        <f t="shared" si="420"/>
        <v>7612.26</v>
      </c>
      <c r="K4338" s="40"/>
      <c r="Q4338" s="40">
        <v>39402</v>
      </c>
      <c r="R4338" s="39">
        <v>7612.26</v>
      </c>
      <c r="S4338" s="39">
        <f t="shared" si="421"/>
        <v>11</v>
      </c>
      <c r="T4338" s="39">
        <f t="shared" si="422"/>
        <v>0</v>
      </c>
      <c r="U4338" s="39">
        <f t="shared" si="423"/>
        <v>0</v>
      </c>
      <c r="V4338" s="40"/>
    </row>
    <row r="4339" spans="2:22" x14ac:dyDescent="0.35">
      <c r="B4339" s="40">
        <v>39405</v>
      </c>
      <c r="C4339" s="39">
        <v>7511.97</v>
      </c>
      <c r="D4339" s="219">
        <f t="shared" si="424"/>
        <v>-1.3262357157666479E-2</v>
      </c>
      <c r="F4339" s="40">
        <v>39405</v>
      </c>
      <c r="G4339" s="39">
        <v>7511.97</v>
      </c>
      <c r="H4339" s="39">
        <f t="shared" si="419"/>
        <v>1</v>
      </c>
      <c r="I4339" s="39">
        <f t="shared" si="420"/>
        <v>0</v>
      </c>
      <c r="K4339" s="40"/>
      <c r="Q4339" s="40">
        <v>39405</v>
      </c>
      <c r="R4339" s="39">
        <v>7511.97</v>
      </c>
      <c r="S4339" s="39">
        <f t="shared" si="421"/>
        <v>11</v>
      </c>
      <c r="T4339" s="39">
        <f t="shared" si="422"/>
        <v>0</v>
      </c>
      <c r="U4339" s="39">
        <f t="shared" si="423"/>
        <v>0</v>
      </c>
      <c r="V4339" s="40"/>
    </row>
    <row r="4340" spans="2:22" x14ac:dyDescent="0.35">
      <c r="B4340" s="40">
        <v>39406</v>
      </c>
      <c r="C4340" s="39">
        <v>7630.31</v>
      </c>
      <c r="D4340" s="219">
        <f t="shared" si="424"/>
        <v>1.563072527893767E-2</v>
      </c>
      <c r="F4340" s="40">
        <v>39406</v>
      </c>
      <c r="G4340" s="39">
        <v>7630.31</v>
      </c>
      <c r="H4340" s="39">
        <f t="shared" si="419"/>
        <v>2</v>
      </c>
      <c r="I4340" s="39">
        <f t="shared" si="420"/>
        <v>0</v>
      </c>
      <c r="K4340" s="40"/>
      <c r="Q4340" s="40">
        <v>39406</v>
      </c>
      <c r="R4340" s="39">
        <v>7630.31</v>
      </c>
      <c r="S4340" s="39">
        <f t="shared" si="421"/>
        <v>11</v>
      </c>
      <c r="T4340" s="39">
        <f t="shared" si="422"/>
        <v>0</v>
      </c>
      <c r="U4340" s="39">
        <f t="shared" si="423"/>
        <v>0</v>
      </c>
      <c r="V4340" s="40"/>
    </row>
    <row r="4341" spans="2:22" x14ac:dyDescent="0.35">
      <c r="B4341" s="40">
        <v>39407</v>
      </c>
      <c r="C4341" s="39">
        <v>7518.42</v>
      </c>
      <c r="D4341" s="219">
        <f t="shared" si="424"/>
        <v>-1.4772464063369798E-2</v>
      </c>
      <c r="F4341" s="40">
        <v>39407</v>
      </c>
      <c r="G4341" s="39">
        <v>7518.42</v>
      </c>
      <c r="H4341" s="39">
        <f t="shared" si="419"/>
        <v>3</v>
      </c>
      <c r="I4341" s="39">
        <f t="shared" si="420"/>
        <v>0</v>
      </c>
      <c r="K4341" s="40"/>
      <c r="Q4341" s="40">
        <v>39407</v>
      </c>
      <c r="R4341" s="39">
        <v>7518.42</v>
      </c>
      <c r="S4341" s="39">
        <f t="shared" si="421"/>
        <v>11</v>
      </c>
      <c r="T4341" s="39">
        <f t="shared" si="422"/>
        <v>0</v>
      </c>
      <c r="U4341" s="39">
        <f t="shared" si="423"/>
        <v>0</v>
      </c>
      <c r="V4341" s="40"/>
    </row>
    <row r="4342" spans="2:22" x14ac:dyDescent="0.35">
      <c r="B4342" s="40">
        <v>39408</v>
      </c>
      <c r="C4342" s="39">
        <v>7562.1</v>
      </c>
      <c r="D4342" s="219">
        <f t="shared" si="424"/>
        <v>5.7929198927841059E-3</v>
      </c>
      <c r="F4342" s="40">
        <v>39408</v>
      </c>
      <c r="G4342" s="39">
        <v>7562.1</v>
      </c>
      <c r="H4342" s="39">
        <f t="shared" si="419"/>
        <v>4</v>
      </c>
      <c r="I4342" s="39">
        <f t="shared" si="420"/>
        <v>0</v>
      </c>
      <c r="K4342" s="40"/>
      <c r="Q4342" s="40">
        <v>39408</v>
      </c>
      <c r="R4342" s="39">
        <v>7562.1</v>
      </c>
      <c r="S4342" s="39">
        <f t="shared" si="421"/>
        <v>11</v>
      </c>
      <c r="T4342" s="39">
        <f t="shared" si="422"/>
        <v>0</v>
      </c>
      <c r="U4342" s="39">
        <f t="shared" si="423"/>
        <v>0</v>
      </c>
      <c r="V4342" s="40"/>
    </row>
    <row r="4343" spans="2:22" x14ac:dyDescent="0.35">
      <c r="B4343" s="40">
        <v>39409</v>
      </c>
      <c r="C4343" s="39">
        <v>7608.96</v>
      </c>
      <c r="D4343" s="219">
        <f t="shared" si="424"/>
        <v>6.177570851872656E-3</v>
      </c>
      <c r="F4343" s="40">
        <v>39409</v>
      </c>
      <c r="G4343" s="39">
        <v>7608.96</v>
      </c>
      <c r="H4343" s="39">
        <f t="shared" ref="H4343:H4406" si="425">WEEKDAY(F4343,2)</f>
        <v>5</v>
      </c>
      <c r="I4343" s="39">
        <f t="shared" ref="I4343:I4406" si="426">IF(H4343&gt;H4344,G4343,0)</f>
        <v>7608.96</v>
      </c>
      <c r="K4343" s="40"/>
      <c r="Q4343" s="40">
        <v>39409</v>
      </c>
      <c r="R4343" s="39">
        <v>7608.96</v>
      </c>
      <c r="S4343" s="39">
        <f t="shared" ref="S4343:S4406" si="427">MONTH(Q4343)</f>
        <v>11</v>
      </c>
      <c r="T4343" s="39">
        <f t="shared" ref="T4343:T4406" si="428">IF(S4344&lt;&gt;S4343,R4343,0)</f>
        <v>0</v>
      </c>
      <c r="U4343" s="39">
        <f t="shared" ref="U4343:U4406" si="429">IF(S4344=S4343,0,R4343)</f>
        <v>0</v>
      </c>
      <c r="V4343" s="40"/>
    </row>
    <row r="4344" spans="2:22" x14ac:dyDescent="0.35">
      <c r="B4344" s="40">
        <v>39412</v>
      </c>
      <c r="C4344" s="39">
        <v>7567.36</v>
      </c>
      <c r="D4344" s="219">
        <f t="shared" ref="D4344:D4407" si="430">LN(C4344/C4343)</f>
        <v>-5.4822386705617602E-3</v>
      </c>
      <c r="F4344" s="40">
        <v>39412</v>
      </c>
      <c r="G4344" s="39">
        <v>7567.36</v>
      </c>
      <c r="H4344" s="39">
        <f t="shared" si="425"/>
        <v>1</v>
      </c>
      <c r="I4344" s="39">
        <f t="shared" si="426"/>
        <v>0</v>
      </c>
      <c r="K4344" s="40"/>
      <c r="Q4344" s="40">
        <v>39412</v>
      </c>
      <c r="R4344" s="39">
        <v>7567.36</v>
      </c>
      <c r="S4344" s="39">
        <f t="shared" si="427"/>
        <v>11</v>
      </c>
      <c r="T4344" s="39">
        <f t="shared" si="428"/>
        <v>0</v>
      </c>
      <c r="U4344" s="39">
        <f t="shared" si="429"/>
        <v>0</v>
      </c>
      <c r="V4344" s="40"/>
    </row>
    <row r="4345" spans="2:22" x14ac:dyDescent="0.35">
      <c r="B4345" s="40">
        <v>39413</v>
      </c>
      <c r="C4345" s="39">
        <v>7531.35</v>
      </c>
      <c r="D4345" s="219">
        <f t="shared" si="430"/>
        <v>-4.7699529663511415E-3</v>
      </c>
      <c r="F4345" s="40">
        <v>39413</v>
      </c>
      <c r="G4345" s="39">
        <v>7531.35</v>
      </c>
      <c r="H4345" s="39">
        <f t="shared" si="425"/>
        <v>2</v>
      </c>
      <c r="I4345" s="39">
        <f t="shared" si="426"/>
        <v>0</v>
      </c>
      <c r="K4345" s="40"/>
      <c r="Q4345" s="40">
        <v>39413</v>
      </c>
      <c r="R4345" s="39">
        <v>7531.35</v>
      </c>
      <c r="S4345" s="39">
        <f t="shared" si="427"/>
        <v>11</v>
      </c>
      <c r="T4345" s="39">
        <f t="shared" si="428"/>
        <v>0</v>
      </c>
      <c r="U4345" s="39">
        <f t="shared" si="429"/>
        <v>0</v>
      </c>
      <c r="V4345" s="40"/>
    </row>
    <row r="4346" spans="2:22" x14ac:dyDescent="0.35">
      <c r="B4346" s="40">
        <v>39414</v>
      </c>
      <c r="C4346" s="39">
        <v>7723.66</v>
      </c>
      <c r="D4346" s="219">
        <f t="shared" si="430"/>
        <v>2.5214036343153803E-2</v>
      </c>
      <c r="F4346" s="40">
        <v>39414</v>
      </c>
      <c r="G4346" s="39">
        <v>7723.66</v>
      </c>
      <c r="H4346" s="39">
        <f t="shared" si="425"/>
        <v>3</v>
      </c>
      <c r="I4346" s="39">
        <f t="shared" si="426"/>
        <v>0</v>
      </c>
      <c r="K4346" s="40"/>
      <c r="Q4346" s="40">
        <v>39414</v>
      </c>
      <c r="R4346" s="39">
        <v>7723.66</v>
      </c>
      <c r="S4346" s="39">
        <f t="shared" si="427"/>
        <v>11</v>
      </c>
      <c r="T4346" s="39">
        <f t="shared" si="428"/>
        <v>0</v>
      </c>
      <c r="U4346" s="39">
        <f t="shared" si="429"/>
        <v>0</v>
      </c>
      <c r="V4346" s="40"/>
    </row>
    <row r="4347" spans="2:22" x14ac:dyDescent="0.35">
      <c r="B4347" s="40">
        <v>39415</v>
      </c>
      <c r="C4347" s="39">
        <v>7765.19</v>
      </c>
      <c r="D4347" s="219">
        <f t="shared" si="430"/>
        <v>5.3625801171881989E-3</v>
      </c>
      <c r="F4347" s="40">
        <v>39415</v>
      </c>
      <c r="G4347" s="39">
        <v>7765.19</v>
      </c>
      <c r="H4347" s="39">
        <f t="shared" si="425"/>
        <v>4</v>
      </c>
      <c r="I4347" s="39">
        <f t="shared" si="426"/>
        <v>0</v>
      </c>
      <c r="K4347" s="40"/>
      <c r="Q4347" s="40">
        <v>39415</v>
      </c>
      <c r="R4347" s="39">
        <v>7765.19</v>
      </c>
      <c r="S4347" s="39">
        <f t="shared" si="427"/>
        <v>11</v>
      </c>
      <c r="T4347" s="39">
        <f t="shared" si="428"/>
        <v>0</v>
      </c>
      <c r="U4347" s="39">
        <f t="shared" si="429"/>
        <v>0</v>
      </c>
      <c r="V4347" s="40"/>
    </row>
    <row r="4348" spans="2:22" x14ac:dyDescent="0.35">
      <c r="B4348" s="40">
        <v>39416</v>
      </c>
      <c r="C4348" s="39">
        <v>7870.52</v>
      </c>
      <c r="D4348" s="219">
        <f t="shared" si="430"/>
        <v>1.3473208872709853E-2</v>
      </c>
      <c r="F4348" s="40">
        <v>39416</v>
      </c>
      <c r="G4348" s="39">
        <v>7870.52</v>
      </c>
      <c r="H4348" s="39">
        <f t="shared" si="425"/>
        <v>5</v>
      </c>
      <c r="I4348" s="39">
        <f t="shared" si="426"/>
        <v>7870.52</v>
      </c>
      <c r="K4348" s="40"/>
      <c r="Q4348" s="40">
        <v>39416</v>
      </c>
      <c r="R4348" s="39">
        <v>7870.52</v>
      </c>
      <c r="S4348" s="39">
        <f t="shared" si="427"/>
        <v>11</v>
      </c>
      <c r="T4348" s="39">
        <f t="shared" si="428"/>
        <v>7870.52</v>
      </c>
      <c r="U4348" s="39">
        <f t="shared" si="429"/>
        <v>7870.52</v>
      </c>
      <c r="V4348" s="40"/>
    </row>
    <row r="4349" spans="2:22" x14ac:dyDescent="0.35">
      <c r="B4349" s="40">
        <v>39419</v>
      </c>
      <c r="C4349" s="39">
        <v>7837.26</v>
      </c>
      <c r="D4349" s="219">
        <f t="shared" si="430"/>
        <v>-4.2348504635206455E-3</v>
      </c>
      <c r="F4349" s="40">
        <v>39419</v>
      </c>
      <c r="G4349" s="39">
        <v>7837.26</v>
      </c>
      <c r="H4349" s="39">
        <f t="shared" si="425"/>
        <v>1</v>
      </c>
      <c r="I4349" s="39">
        <f t="shared" si="426"/>
        <v>0</v>
      </c>
      <c r="K4349" s="40"/>
      <c r="Q4349" s="40">
        <v>39419</v>
      </c>
      <c r="R4349" s="39">
        <v>7837.26</v>
      </c>
      <c r="S4349" s="39">
        <f t="shared" si="427"/>
        <v>12</v>
      </c>
      <c r="T4349" s="39">
        <f t="shared" si="428"/>
        <v>0</v>
      </c>
      <c r="U4349" s="39">
        <f t="shared" si="429"/>
        <v>0</v>
      </c>
      <c r="V4349" s="40"/>
    </row>
    <row r="4350" spans="2:22" x14ac:dyDescent="0.35">
      <c r="B4350" s="40">
        <v>39420</v>
      </c>
      <c r="C4350" s="39">
        <v>7808.94</v>
      </c>
      <c r="D4350" s="219">
        <f t="shared" si="430"/>
        <v>-3.6200522717683929E-3</v>
      </c>
      <c r="F4350" s="40">
        <v>39420</v>
      </c>
      <c r="G4350" s="39">
        <v>7808.94</v>
      </c>
      <c r="H4350" s="39">
        <f t="shared" si="425"/>
        <v>2</v>
      </c>
      <c r="I4350" s="39">
        <f t="shared" si="426"/>
        <v>0</v>
      </c>
      <c r="K4350" s="40"/>
      <c r="Q4350" s="40">
        <v>39420</v>
      </c>
      <c r="R4350" s="39">
        <v>7808.94</v>
      </c>
      <c r="S4350" s="39">
        <f t="shared" si="427"/>
        <v>12</v>
      </c>
      <c r="T4350" s="39">
        <f t="shared" si="428"/>
        <v>0</v>
      </c>
      <c r="U4350" s="39">
        <f t="shared" si="429"/>
        <v>0</v>
      </c>
      <c r="V4350" s="40"/>
    </row>
    <row r="4351" spans="2:22" x14ac:dyDescent="0.35">
      <c r="B4351" s="40">
        <v>39421</v>
      </c>
      <c r="C4351" s="39">
        <v>7944.77</v>
      </c>
      <c r="D4351" s="219">
        <f t="shared" si="430"/>
        <v>1.7244619336266424E-2</v>
      </c>
      <c r="F4351" s="40">
        <v>39421</v>
      </c>
      <c r="G4351" s="39">
        <v>7944.77</v>
      </c>
      <c r="H4351" s="39">
        <f t="shared" si="425"/>
        <v>3</v>
      </c>
      <c r="I4351" s="39">
        <f t="shared" si="426"/>
        <v>0</v>
      </c>
      <c r="K4351" s="40"/>
      <c r="Q4351" s="40">
        <v>39421</v>
      </c>
      <c r="R4351" s="39">
        <v>7944.77</v>
      </c>
      <c r="S4351" s="39">
        <f t="shared" si="427"/>
        <v>12</v>
      </c>
      <c r="T4351" s="39">
        <f t="shared" si="428"/>
        <v>0</v>
      </c>
      <c r="U4351" s="39">
        <f t="shared" si="429"/>
        <v>0</v>
      </c>
      <c r="V4351" s="40"/>
    </row>
    <row r="4352" spans="2:22" x14ac:dyDescent="0.35">
      <c r="B4352" s="40">
        <v>39422</v>
      </c>
      <c r="C4352" s="39">
        <v>7940.58</v>
      </c>
      <c r="D4352" s="219">
        <f t="shared" si="430"/>
        <v>-5.2753009498308456E-4</v>
      </c>
      <c r="F4352" s="40">
        <v>39422</v>
      </c>
      <c r="G4352" s="39">
        <v>7940.58</v>
      </c>
      <c r="H4352" s="39">
        <f t="shared" si="425"/>
        <v>4</v>
      </c>
      <c r="I4352" s="39">
        <f t="shared" si="426"/>
        <v>0</v>
      </c>
      <c r="K4352" s="40"/>
      <c r="Q4352" s="40">
        <v>39422</v>
      </c>
      <c r="R4352" s="39">
        <v>7940.58</v>
      </c>
      <c r="S4352" s="39">
        <f t="shared" si="427"/>
        <v>12</v>
      </c>
      <c r="T4352" s="39">
        <f t="shared" si="428"/>
        <v>0</v>
      </c>
      <c r="U4352" s="39">
        <f t="shared" si="429"/>
        <v>0</v>
      </c>
      <c r="V4352" s="40"/>
    </row>
    <row r="4353" spans="2:22" x14ac:dyDescent="0.35">
      <c r="B4353" s="40">
        <v>39423</v>
      </c>
      <c r="C4353" s="39">
        <v>7994.07</v>
      </c>
      <c r="D4353" s="219">
        <f t="shared" si="430"/>
        <v>6.7136963680974049E-3</v>
      </c>
      <c r="F4353" s="40">
        <v>39423</v>
      </c>
      <c r="G4353" s="39">
        <v>7994.07</v>
      </c>
      <c r="H4353" s="39">
        <f t="shared" si="425"/>
        <v>5</v>
      </c>
      <c r="I4353" s="39">
        <f t="shared" si="426"/>
        <v>7994.07</v>
      </c>
      <c r="K4353" s="40"/>
      <c r="Q4353" s="40">
        <v>39423</v>
      </c>
      <c r="R4353" s="39">
        <v>7994.07</v>
      </c>
      <c r="S4353" s="39">
        <f t="shared" si="427"/>
        <v>12</v>
      </c>
      <c r="T4353" s="39">
        <f t="shared" si="428"/>
        <v>0</v>
      </c>
      <c r="U4353" s="39">
        <f t="shared" si="429"/>
        <v>0</v>
      </c>
      <c r="V4353" s="40"/>
    </row>
    <row r="4354" spans="2:22" x14ac:dyDescent="0.35">
      <c r="B4354" s="40">
        <v>39426</v>
      </c>
      <c r="C4354" s="39">
        <v>8033.36</v>
      </c>
      <c r="D4354" s="219">
        <f t="shared" si="430"/>
        <v>4.9028545068458863E-3</v>
      </c>
      <c r="F4354" s="40">
        <v>39426</v>
      </c>
      <c r="G4354" s="39">
        <v>8033.36</v>
      </c>
      <c r="H4354" s="39">
        <f t="shared" si="425"/>
        <v>1</v>
      </c>
      <c r="I4354" s="39">
        <f t="shared" si="426"/>
        <v>0</v>
      </c>
      <c r="K4354" s="40"/>
      <c r="Q4354" s="40">
        <v>39426</v>
      </c>
      <c r="R4354" s="39">
        <v>8033.36</v>
      </c>
      <c r="S4354" s="39">
        <f t="shared" si="427"/>
        <v>12</v>
      </c>
      <c r="T4354" s="39">
        <f t="shared" si="428"/>
        <v>0</v>
      </c>
      <c r="U4354" s="39">
        <f t="shared" si="429"/>
        <v>0</v>
      </c>
      <c r="V4354" s="40"/>
    </row>
    <row r="4355" spans="2:22" x14ac:dyDescent="0.35">
      <c r="B4355" s="40">
        <v>39427</v>
      </c>
      <c r="C4355" s="39">
        <v>8009.42</v>
      </c>
      <c r="D4355" s="219">
        <f t="shared" si="430"/>
        <v>-2.9845223546302374E-3</v>
      </c>
      <c r="F4355" s="40">
        <v>39427</v>
      </c>
      <c r="G4355" s="39">
        <v>8009.42</v>
      </c>
      <c r="H4355" s="39">
        <f t="shared" si="425"/>
        <v>2</v>
      </c>
      <c r="I4355" s="39">
        <f t="shared" si="426"/>
        <v>0</v>
      </c>
      <c r="K4355" s="40"/>
      <c r="Q4355" s="40">
        <v>39427</v>
      </c>
      <c r="R4355" s="39">
        <v>8009.42</v>
      </c>
      <c r="S4355" s="39">
        <f t="shared" si="427"/>
        <v>12</v>
      </c>
      <c r="T4355" s="39">
        <f t="shared" si="428"/>
        <v>0</v>
      </c>
      <c r="U4355" s="39">
        <f t="shared" si="429"/>
        <v>0</v>
      </c>
      <c r="V4355" s="40"/>
    </row>
    <row r="4356" spans="2:22" x14ac:dyDescent="0.35">
      <c r="B4356" s="40">
        <v>39428</v>
      </c>
      <c r="C4356" s="39">
        <v>8076.12</v>
      </c>
      <c r="D4356" s="219">
        <f t="shared" si="430"/>
        <v>8.2932102107755208E-3</v>
      </c>
      <c r="F4356" s="40">
        <v>39428</v>
      </c>
      <c r="G4356" s="39">
        <v>8076.12</v>
      </c>
      <c r="H4356" s="39">
        <f t="shared" si="425"/>
        <v>3</v>
      </c>
      <c r="I4356" s="39">
        <f t="shared" si="426"/>
        <v>0</v>
      </c>
      <c r="K4356" s="40"/>
      <c r="Q4356" s="40">
        <v>39428</v>
      </c>
      <c r="R4356" s="39">
        <v>8076.12</v>
      </c>
      <c r="S4356" s="39">
        <f t="shared" si="427"/>
        <v>12</v>
      </c>
      <c r="T4356" s="39">
        <f t="shared" si="428"/>
        <v>0</v>
      </c>
      <c r="U4356" s="39">
        <f t="shared" si="429"/>
        <v>0</v>
      </c>
      <c r="V4356" s="40"/>
    </row>
    <row r="4357" spans="2:22" x14ac:dyDescent="0.35">
      <c r="B4357" s="40">
        <v>39429</v>
      </c>
      <c r="C4357" s="39">
        <v>7928.31</v>
      </c>
      <c r="D4357" s="219">
        <f t="shared" si="430"/>
        <v>-1.8471661000727835E-2</v>
      </c>
      <c r="F4357" s="40">
        <v>39429</v>
      </c>
      <c r="G4357" s="39">
        <v>7928.31</v>
      </c>
      <c r="H4357" s="39">
        <f t="shared" si="425"/>
        <v>4</v>
      </c>
      <c r="I4357" s="39">
        <f t="shared" si="426"/>
        <v>0</v>
      </c>
      <c r="K4357" s="40"/>
      <c r="Q4357" s="40">
        <v>39429</v>
      </c>
      <c r="R4357" s="39">
        <v>7928.31</v>
      </c>
      <c r="S4357" s="39">
        <f t="shared" si="427"/>
        <v>12</v>
      </c>
      <c r="T4357" s="39">
        <f t="shared" si="428"/>
        <v>0</v>
      </c>
      <c r="U4357" s="39">
        <f t="shared" si="429"/>
        <v>0</v>
      </c>
      <c r="V4357" s="40"/>
    </row>
    <row r="4358" spans="2:22" x14ac:dyDescent="0.35">
      <c r="B4358" s="40">
        <v>39430</v>
      </c>
      <c r="C4358" s="39">
        <v>7948.36</v>
      </c>
      <c r="D4358" s="219">
        <f t="shared" si="430"/>
        <v>2.5257198970162014E-3</v>
      </c>
      <c r="F4358" s="40">
        <v>39430</v>
      </c>
      <c r="G4358" s="39">
        <v>7948.36</v>
      </c>
      <c r="H4358" s="39">
        <f t="shared" si="425"/>
        <v>5</v>
      </c>
      <c r="I4358" s="39">
        <f t="shared" si="426"/>
        <v>7948.36</v>
      </c>
      <c r="K4358" s="40"/>
      <c r="Q4358" s="40">
        <v>39430</v>
      </c>
      <c r="R4358" s="39">
        <v>7948.36</v>
      </c>
      <c r="S4358" s="39">
        <f t="shared" si="427"/>
        <v>12</v>
      </c>
      <c r="T4358" s="39">
        <f t="shared" si="428"/>
        <v>0</v>
      </c>
      <c r="U4358" s="39">
        <f t="shared" si="429"/>
        <v>0</v>
      </c>
      <c r="V4358" s="40"/>
    </row>
    <row r="4359" spans="2:22" x14ac:dyDescent="0.35">
      <c r="B4359" s="40">
        <v>39433</v>
      </c>
      <c r="C4359" s="39">
        <v>7825.44</v>
      </c>
      <c r="D4359" s="219">
        <f t="shared" si="430"/>
        <v>-1.5585653200181578E-2</v>
      </c>
      <c r="F4359" s="40">
        <v>39433</v>
      </c>
      <c r="G4359" s="39">
        <v>7825.44</v>
      </c>
      <c r="H4359" s="39">
        <f t="shared" si="425"/>
        <v>1</v>
      </c>
      <c r="I4359" s="39">
        <f t="shared" si="426"/>
        <v>0</v>
      </c>
      <c r="K4359" s="40"/>
      <c r="Q4359" s="40">
        <v>39433</v>
      </c>
      <c r="R4359" s="39">
        <v>7825.44</v>
      </c>
      <c r="S4359" s="39">
        <f t="shared" si="427"/>
        <v>12</v>
      </c>
      <c r="T4359" s="39">
        <f t="shared" si="428"/>
        <v>0</v>
      </c>
      <c r="U4359" s="39">
        <f t="shared" si="429"/>
        <v>0</v>
      </c>
      <c r="V4359" s="40"/>
    </row>
    <row r="4360" spans="2:22" x14ac:dyDescent="0.35">
      <c r="B4360" s="40">
        <v>39434</v>
      </c>
      <c r="C4360" s="39">
        <v>7850.74</v>
      </c>
      <c r="D4360" s="219">
        <f t="shared" si="430"/>
        <v>3.2278299900207167E-3</v>
      </c>
      <c r="F4360" s="40">
        <v>39434</v>
      </c>
      <c r="G4360" s="39">
        <v>7850.74</v>
      </c>
      <c r="H4360" s="39">
        <f t="shared" si="425"/>
        <v>2</v>
      </c>
      <c r="I4360" s="39">
        <f t="shared" si="426"/>
        <v>0</v>
      </c>
      <c r="K4360" s="40"/>
      <c r="Q4360" s="40">
        <v>39434</v>
      </c>
      <c r="R4360" s="39">
        <v>7850.74</v>
      </c>
      <c r="S4360" s="39">
        <f t="shared" si="427"/>
        <v>12</v>
      </c>
      <c r="T4360" s="39">
        <f t="shared" si="428"/>
        <v>0</v>
      </c>
      <c r="U4360" s="39">
        <f t="shared" si="429"/>
        <v>0</v>
      </c>
      <c r="V4360" s="40"/>
    </row>
    <row r="4361" spans="2:22" x14ac:dyDescent="0.35">
      <c r="B4361" s="40">
        <v>39435</v>
      </c>
      <c r="C4361" s="39">
        <v>7837.32</v>
      </c>
      <c r="D4361" s="219">
        <f t="shared" si="430"/>
        <v>-1.7108556792098139E-3</v>
      </c>
      <c r="F4361" s="40">
        <v>39435</v>
      </c>
      <c r="G4361" s="39">
        <v>7837.32</v>
      </c>
      <c r="H4361" s="39">
        <f t="shared" si="425"/>
        <v>3</v>
      </c>
      <c r="I4361" s="39">
        <f t="shared" si="426"/>
        <v>0</v>
      </c>
      <c r="K4361" s="40"/>
      <c r="Q4361" s="40">
        <v>39435</v>
      </c>
      <c r="R4361" s="39">
        <v>7837.32</v>
      </c>
      <c r="S4361" s="39">
        <f t="shared" si="427"/>
        <v>12</v>
      </c>
      <c r="T4361" s="39">
        <f t="shared" si="428"/>
        <v>0</v>
      </c>
      <c r="U4361" s="39">
        <f t="shared" si="429"/>
        <v>0</v>
      </c>
      <c r="V4361" s="40"/>
    </row>
    <row r="4362" spans="2:22" x14ac:dyDescent="0.35">
      <c r="B4362" s="40">
        <v>39436</v>
      </c>
      <c r="C4362" s="39">
        <v>7869.19</v>
      </c>
      <c r="D4362" s="219">
        <f t="shared" si="430"/>
        <v>4.0581954538309144E-3</v>
      </c>
      <c r="F4362" s="40">
        <v>39436</v>
      </c>
      <c r="G4362" s="39">
        <v>7869.19</v>
      </c>
      <c r="H4362" s="39">
        <f t="shared" si="425"/>
        <v>4</v>
      </c>
      <c r="I4362" s="39">
        <f t="shared" si="426"/>
        <v>0</v>
      </c>
      <c r="K4362" s="40"/>
      <c r="Q4362" s="40">
        <v>39436</v>
      </c>
      <c r="R4362" s="39">
        <v>7869.19</v>
      </c>
      <c r="S4362" s="39">
        <f t="shared" si="427"/>
        <v>12</v>
      </c>
      <c r="T4362" s="39">
        <f t="shared" si="428"/>
        <v>0</v>
      </c>
      <c r="U4362" s="39">
        <f t="shared" si="429"/>
        <v>0</v>
      </c>
      <c r="V4362" s="40"/>
    </row>
    <row r="4363" spans="2:22" x14ac:dyDescent="0.35">
      <c r="B4363" s="40">
        <v>39437</v>
      </c>
      <c r="C4363" s="39">
        <v>8002.67</v>
      </c>
      <c r="D4363" s="219">
        <f t="shared" si="430"/>
        <v>1.6820101355734939E-2</v>
      </c>
      <c r="F4363" s="40">
        <v>39437</v>
      </c>
      <c r="G4363" s="39">
        <v>8002.67</v>
      </c>
      <c r="H4363" s="39">
        <f t="shared" si="425"/>
        <v>5</v>
      </c>
      <c r="I4363" s="39">
        <f t="shared" si="426"/>
        <v>8002.67</v>
      </c>
      <c r="K4363" s="40"/>
      <c r="Q4363" s="40">
        <v>39437</v>
      </c>
      <c r="R4363" s="39">
        <v>8002.67</v>
      </c>
      <c r="S4363" s="39">
        <f t="shared" si="427"/>
        <v>12</v>
      </c>
      <c r="T4363" s="39">
        <f t="shared" si="428"/>
        <v>0</v>
      </c>
      <c r="U4363" s="39">
        <f t="shared" si="429"/>
        <v>0</v>
      </c>
      <c r="V4363" s="40"/>
    </row>
    <row r="4364" spans="2:22" x14ac:dyDescent="0.35">
      <c r="B4364" s="40">
        <v>39443</v>
      </c>
      <c r="C4364" s="39">
        <v>8038.6</v>
      </c>
      <c r="D4364" s="219">
        <f t="shared" si="430"/>
        <v>4.4797026776717194E-3</v>
      </c>
      <c r="F4364" s="40">
        <v>39443</v>
      </c>
      <c r="G4364" s="39">
        <v>8038.6</v>
      </c>
      <c r="H4364" s="39">
        <f t="shared" si="425"/>
        <v>4</v>
      </c>
      <c r="I4364" s="39">
        <f t="shared" si="426"/>
        <v>0</v>
      </c>
      <c r="K4364" s="40"/>
      <c r="Q4364" s="40">
        <v>39443</v>
      </c>
      <c r="R4364" s="39">
        <v>8038.6</v>
      </c>
      <c r="S4364" s="39">
        <f t="shared" si="427"/>
        <v>12</v>
      </c>
      <c r="T4364" s="39">
        <f t="shared" si="428"/>
        <v>0</v>
      </c>
      <c r="U4364" s="39">
        <f t="shared" si="429"/>
        <v>0</v>
      </c>
      <c r="V4364" s="40"/>
    </row>
    <row r="4365" spans="2:22" x14ac:dyDescent="0.35">
      <c r="B4365" s="40">
        <v>39444</v>
      </c>
      <c r="C4365" s="39">
        <v>8067.32</v>
      </c>
      <c r="D4365" s="219">
        <f t="shared" si="430"/>
        <v>3.5663942750494737E-3</v>
      </c>
      <c r="F4365" s="40">
        <v>39444</v>
      </c>
      <c r="G4365" s="39">
        <v>8067.32</v>
      </c>
      <c r="H4365" s="39">
        <f t="shared" si="425"/>
        <v>5</v>
      </c>
      <c r="I4365" s="39">
        <f t="shared" si="426"/>
        <v>8067.32</v>
      </c>
      <c r="K4365" s="40"/>
      <c r="Q4365" s="40">
        <v>39444</v>
      </c>
      <c r="R4365" s="39">
        <v>8067.32</v>
      </c>
      <c r="S4365" s="39">
        <f t="shared" si="427"/>
        <v>12</v>
      </c>
      <c r="T4365" s="39">
        <f t="shared" si="428"/>
        <v>8067.32</v>
      </c>
      <c r="U4365" s="39">
        <f t="shared" si="429"/>
        <v>8067.32</v>
      </c>
      <c r="V4365" s="40"/>
    </row>
    <row r="4366" spans="2:22" x14ac:dyDescent="0.35">
      <c r="B4366" s="40">
        <v>39449</v>
      </c>
      <c r="C4366" s="39">
        <v>7949.11</v>
      </c>
      <c r="D4366" s="219">
        <f t="shared" si="430"/>
        <v>-1.4761360236542552E-2</v>
      </c>
      <c r="F4366" s="40">
        <v>39449</v>
      </c>
      <c r="G4366" s="39">
        <v>7949.11</v>
      </c>
      <c r="H4366" s="39">
        <f t="shared" si="425"/>
        <v>3</v>
      </c>
      <c r="I4366" s="39">
        <f t="shared" si="426"/>
        <v>0</v>
      </c>
      <c r="K4366" s="40"/>
      <c r="Q4366" s="40">
        <v>39449</v>
      </c>
      <c r="R4366" s="39">
        <v>7949.11</v>
      </c>
      <c r="S4366" s="39">
        <f t="shared" si="427"/>
        <v>1</v>
      </c>
      <c r="T4366" s="39">
        <f t="shared" si="428"/>
        <v>0</v>
      </c>
      <c r="U4366" s="39">
        <f t="shared" si="429"/>
        <v>0</v>
      </c>
      <c r="V4366" s="40"/>
    </row>
    <row r="4367" spans="2:22" x14ac:dyDescent="0.35">
      <c r="B4367" s="40">
        <v>39450</v>
      </c>
      <c r="C4367" s="39">
        <v>7908.41</v>
      </c>
      <c r="D4367" s="219">
        <f t="shared" si="430"/>
        <v>-5.1332225178069004E-3</v>
      </c>
      <c r="F4367" s="40">
        <v>39450</v>
      </c>
      <c r="G4367" s="39">
        <v>7908.41</v>
      </c>
      <c r="H4367" s="39">
        <f t="shared" si="425"/>
        <v>4</v>
      </c>
      <c r="I4367" s="39">
        <f t="shared" si="426"/>
        <v>0</v>
      </c>
      <c r="K4367" s="40"/>
      <c r="Q4367" s="40">
        <v>39450</v>
      </c>
      <c r="R4367" s="39">
        <v>7908.41</v>
      </c>
      <c r="S4367" s="39">
        <f t="shared" si="427"/>
        <v>1</v>
      </c>
      <c r="T4367" s="39">
        <f t="shared" si="428"/>
        <v>0</v>
      </c>
      <c r="U4367" s="39">
        <f t="shared" si="429"/>
        <v>0</v>
      </c>
      <c r="V4367" s="40"/>
    </row>
    <row r="4368" spans="2:22" x14ac:dyDescent="0.35">
      <c r="B4368" s="40">
        <v>39451</v>
      </c>
      <c r="C4368" s="39">
        <v>7808.69</v>
      </c>
      <c r="D4368" s="219">
        <f t="shared" si="430"/>
        <v>-1.2689534088112586E-2</v>
      </c>
      <c r="F4368" s="40">
        <v>39451</v>
      </c>
      <c r="G4368" s="39">
        <v>7808.69</v>
      </c>
      <c r="H4368" s="39">
        <f t="shared" si="425"/>
        <v>5</v>
      </c>
      <c r="I4368" s="39">
        <f t="shared" si="426"/>
        <v>7808.69</v>
      </c>
      <c r="K4368" s="40"/>
      <c r="Q4368" s="40">
        <v>39451</v>
      </c>
      <c r="R4368" s="39">
        <v>7808.69</v>
      </c>
      <c r="S4368" s="39">
        <f t="shared" si="427"/>
        <v>1</v>
      </c>
      <c r="T4368" s="39">
        <f t="shared" si="428"/>
        <v>0</v>
      </c>
      <c r="U4368" s="39">
        <f t="shared" si="429"/>
        <v>0</v>
      </c>
      <c r="V4368" s="40"/>
    </row>
    <row r="4369" spans="2:22" x14ac:dyDescent="0.35">
      <c r="B4369" s="40">
        <v>39454</v>
      </c>
      <c r="C4369" s="39">
        <v>7817.17</v>
      </c>
      <c r="D4369" s="219">
        <f t="shared" si="430"/>
        <v>1.0853803672232192E-3</v>
      </c>
      <c r="F4369" s="40">
        <v>39454</v>
      </c>
      <c r="G4369" s="39">
        <v>7817.17</v>
      </c>
      <c r="H4369" s="39">
        <f t="shared" si="425"/>
        <v>1</v>
      </c>
      <c r="I4369" s="39">
        <f t="shared" si="426"/>
        <v>0</v>
      </c>
      <c r="K4369" s="40"/>
      <c r="Q4369" s="40">
        <v>39454</v>
      </c>
      <c r="R4369" s="39">
        <v>7817.17</v>
      </c>
      <c r="S4369" s="39">
        <f t="shared" si="427"/>
        <v>1</v>
      </c>
      <c r="T4369" s="39">
        <f t="shared" si="428"/>
        <v>0</v>
      </c>
      <c r="U4369" s="39">
        <f t="shared" si="429"/>
        <v>0</v>
      </c>
      <c r="V4369" s="40"/>
    </row>
    <row r="4370" spans="2:22" x14ac:dyDescent="0.35">
      <c r="B4370" s="40">
        <v>39455</v>
      </c>
      <c r="C4370" s="39">
        <v>7849.99</v>
      </c>
      <c r="D4370" s="219">
        <f t="shared" si="430"/>
        <v>4.1896614329796078E-3</v>
      </c>
      <c r="F4370" s="40">
        <v>39455</v>
      </c>
      <c r="G4370" s="39">
        <v>7849.99</v>
      </c>
      <c r="H4370" s="39">
        <f t="shared" si="425"/>
        <v>2</v>
      </c>
      <c r="I4370" s="39">
        <f t="shared" si="426"/>
        <v>0</v>
      </c>
      <c r="K4370" s="40"/>
      <c r="Q4370" s="40">
        <v>39455</v>
      </c>
      <c r="R4370" s="39">
        <v>7849.99</v>
      </c>
      <c r="S4370" s="39">
        <f t="shared" si="427"/>
        <v>1</v>
      </c>
      <c r="T4370" s="39">
        <f t="shared" si="428"/>
        <v>0</v>
      </c>
      <c r="U4370" s="39">
        <f t="shared" si="429"/>
        <v>0</v>
      </c>
      <c r="V4370" s="40"/>
    </row>
    <row r="4371" spans="2:22" x14ac:dyDescent="0.35">
      <c r="B4371" s="40">
        <v>39456</v>
      </c>
      <c r="C4371" s="39">
        <v>7782.71</v>
      </c>
      <c r="D4371" s="219">
        <f t="shared" si="430"/>
        <v>-8.6076513214907429E-3</v>
      </c>
      <c r="F4371" s="40">
        <v>39456</v>
      </c>
      <c r="G4371" s="39">
        <v>7782.71</v>
      </c>
      <c r="H4371" s="39">
        <f t="shared" si="425"/>
        <v>3</v>
      </c>
      <c r="I4371" s="39">
        <f t="shared" si="426"/>
        <v>0</v>
      </c>
      <c r="K4371" s="40"/>
      <c r="Q4371" s="40">
        <v>39456</v>
      </c>
      <c r="R4371" s="39">
        <v>7782.71</v>
      </c>
      <c r="S4371" s="39">
        <f t="shared" si="427"/>
        <v>1</v>
      </c>
      <c r="T4371" s="39">
        <f t="shared" si="428"/>
        <v>0</v>
      </c>
      <c r="U4371" s="39">
        <f t="shared" si="429"/>
        <v>0</v>
      </c>
      <c r="V4371" s="40"/>
    </row>
    <row r="4372" spans="2:22" x14ac:dyDescent="0.35">
      <c r="B4372" s="40">
        <v>39457</v>
      </c>
      <c r="C4372" s="39">
        <v>7713.09</v>
      </c>
      <c r="D4372" s="219">
        <f t="shared" si="430"/>
        <v>-8.9857210914448555E-3</v>
      </c>
      <c r="F4372" s="40">
        <v>39457</v>
      </c>
      <c r="G4372" s="39">
        <v>7713.09</v>
      </c>
      <c r="H4372" s="39">
        <f t="shared" si="425"/>
        <v>4</v>
      </c>
      <c r="I4372" s="39">
        <f t="shared" si="426"/>
        <v>0</v>
      </c>
      <c r="K4372" s="40"/>
      <c r="Q4372" s="40">
        <v>39457</v>
      </c>
      <c r="R4372" s="39">
        <v>7713.09</v>
      </c>
      <c r="S4372" s="39">
        <f t="shared" si="427"/>
        <v>1</v>
      </c>
      <c r="T4372" s="39">
        <f t="shared" si="428"/>
        <v>0</v>
      </c>
      <c r="U4372" s="39">
        <f t="shared" si="429"/>
        <v>0</v>
      </c>
      <c r="V4372" s="40"/>
    </row>
    <row r="4373" spans="2:22" x14ac:dyDescent="0.35">
      <c r="B4373" s="40">
        <v>39458</v>
      </c>
      <c r="C4373" s="39">
        <v>7717.95</v>
      </c>
      <c r="D4373" s="219">
        <f t="shared" si="430"/>
        <v>6.2989923695268345E-4</v>
      </c>
      <c r="F4373" s="40">
        <v>39458</v>
      </c>
      <c r="G4373" s="39">
        <v>7717.95</v>
      </c>
      <c r="H4373" s="39">
        <f t="shared" si="425"/>
        <v>5</v>
      </c>
      <c r="I4373" s="39">
        <f t="shared" si="426"/>
        <v>7717.95</v>
      </c>
      <c r="K4373" s="40"/>
      <c r="Q4373" s="40">
        <v>39458</v>
      </c>
      <c r="R4373" s="39">
        <v>7717.95</v>
      </c>
      <c r="S4373" s="39">
        <f t="shared" si="427"/>
        <v>1</v>
      </c>
      <c r="T4373" s="39">
        <f t="shared" si="428"/>
        <v>0</v>
      </c>
      <c r="U4373" s="39">
        <f t="shared" si="429"/>
        <v>0</v>
      </c>
      <c r="V4373" s="40"/>
    </row>
    <row r="4374" spans="2:22" x14ac:dyDescent="0.35">
      <c r="B4374" s="40">
        <v>39461</v>
      </c>
      <c r="C4374" s="39">
        <v>7732.02</v>
      </c>
      <c r="D4374" s="219">
        <f t="shared" si="430"/>
        <v>1.821363263438041E-3</v>
      </c>
      <c r="F4374" s="40">
        <v>39461</v>
      </c>
      <c r="G4374" s="39">
        <v>7732.02</v>
      </c>
      <c r="H4374" s="39">
        <f t="shared" si="425"/>
        <v>1</v>
      </c>
      <c r="I4374" s="39">
        <f t="shared" si="426"/>
        <v>0</v>
      </c>
      <c r="K4374" s="40"/>
      <c r="Q4374" s="40">
        <v>39461</v>
      </c>
      <c r="R4374" s="39">
        <v>7732.02</v>
      </c>
      <c r="S4374" s="39">
        <f t="shared" si="427"/>
        <v>1</v>
      </c>
      <c r="T4374" s="39">
        <f t="shared" si="428"/>
        <v>0</v>
      </c>
      <c r="U4374" s="39">
        <f t="shared" si="429"/>
        <v>0</v>
      </c>
      <c r="V4374" s="40"/>
    </row>
    <row r="4375" spans="2:22" x14ac:dyDescent="0.35">
      <c r="B4375" s="40">
        <v>39462</v>
      </c>
      <c r="C4375" s="39">
        <v>7566.38</v>
      </c>
      <c r="D4375" s="219">
        <f t="shared" si="430"/>
        <v>-2.1655398356590326E-2</v>
      </c>
      <c r="F4375" s="40">
        <v>39462</v>
      </c>
      <c r="G4375" s="39">
        <v>7566.38</v>
      </c>
      <c r="H4375" s="39">
        <f t="shared" si="425"/>
        <v>2</v>
      </c>
      <c r="I4375" s="39">
        <f t="shared" si="426"/>
        <v>0</v>
      </c>
      <c r="K4375" s="40"/>
      <c r="Q4375" s="40">
        <v>39462</v>
      </c>
      <c r="R4375" s="39">
        <v>7566.38</v>
      </c>
      <c r="S4375" s="39">
        <f t="shared" si="427"/>
        <v>1</v>
      </c>
      <c r="T4375" s="39">
        <f t="shared" si="428"/>
        <v>0</v>
      </c>
      <c r="U4375" s="39">
        <f t="shared" si="429"/>
        <v>0</v>
      </c>
      <c r="V4375" s="40"/>
    </row>
    <row r="4376" spans="2:22" x14ac:dyDescent="0.35">
      <c r="B4376" s="40">
        <v>39463</v>
      </c>
      <c r="C4376" s="39">
        <v>7471.57</v>
      </c>
      <c r="D4376" s="219">
        <f t="shared" si="430"/>
        <v>-1.2609598548310093E-2</v>
      </c>
      <c r="F4376" s="40">
        <v>39463</v>
      </c>
      <c r="G4376" s="39">
        <v>7471.57</v>
      </c>
      <c r="H4376" s="39">
        <f t="shared" si="425"/>
        <v>3</v>
      </c>
      <c r="I4376" s="39">
        <f t="shared" si="426"/>
        <v>0</v>
      </c>
      <c r="K4376" s="40"/>
      <c r="Q4376" s="40">
        <v>39463</v>
      </c>
      <c r="R4376" s="39">
        <v>7471.57</v>
      </c>
      <c r="S4376" s="39">
        <f t="shared" si="427"/>
        <v>1</v>
      </c>
      <c r="T4376" s="39">
        <f t="shared" si="428"/>
        <v>0</v>
      </c>
      <c r="U4376" s="39">
        <f t="shared" si="429"/>
        <v>0</v>
      </c>
      <c r="V4376" s="40"/>
    </row>
    <row r="4377" spans="2:22" x14ac:dyDescent="0.35">
      <c r="B4377" s="40">
        <v>39464</v>
      </c>
      <c r="C4377" s="39">
        <v>7413.53</v>
      </c>
      <c r="D4377" s="219">
        <f t="shared" si="430"/>
        <v>-7.798441951341409E-3</v>
      </c>
      <c r="F4377" s="40">
        <v>39464</v>
      </c>
      <c r="G4377" s="39">
        <v>7413.53</v>
      </c>
      <c r="H4377" s="39">
        <f t="shared" si="425"/>
        <v>4</v>
      </c>
      <c r="I4377" s="39">
        <f t="shared" si="426"/>
        <v>0</v>
      </c>
      <c r="K4377" s="40"/>
      <c r="Q4377" s="40">
        <v>39464</v>
      </c>
      <c r="R4377" s="39">
        <v>7413.53</v>
      </c>
      <c r="S4377" s="39">
        <f t="shared" si="427"/>
        <v>1</v>
      </c>
      <c r="T4377" s="39">
        <f t="shared" si="428"/>
        <v>0</v>
      </c>
      <c r="U4377" s="39">
        <f t="shared" si="429"/>
        <v>0</v>
      </c>
      <c r="V4377" s="40"/>
    </row>
    <row r="4378" spans="2:22" x14ac:dyDescent="0.35">
      <c r="B4378" s="40">
        <v>39465</v>
      </c>
      <c r="C4378" s="39">
        <v>7314.17</v>
      </c>
      <c r="D4378" s="219">
        <f t="shared" si="430"/>
        <v>-1.3493146586862239E-2</v>
      </c>
      <c r="F4378" s="40">
        <v>39465</v>
      </c>
      <c r="G4378" s="39">
        <v>7314.17</v>
      </c>
      <c r="H4378" s="39">
        <f t="shared" si="425"/>
        <v>5</v>
      </c>
      <c r="I4378" s="39">
        <f t="shared" si="426"/>
        <v>7314.17</v>
      </c>
      <c r="K4378" s="40"/>
      <c r="Q4378" s="40">
        <v>39465</v>
      </c>
      <c r="R4378" s="39">
        <v>7314.17</v>
      </c>
      <c r="S4378" s="39">
        <f t="shared" si="427"/>
        <v>1</v>
      </c>
      <c r="T4378" s="39">
        <f t="shared" si="428"/>
        <v>0</v>
      </c>
      <c r="U4378" s="39">
        <f t="shared" si="429"/>
        <v>0</v>
      </c>
      <c r="V4378" s="40"/>
    </row>
    <row r="4379" spans="2:22" x14ac:dyDescent="0.35">
      <c r="B4379" s="40">
        <v>39468</v>
      </c>
      <c r="C4379" s="39">
        <v>6790.19</v>
      </c>
      <c r="D4379" s="219">
        <f t="shared" si="430"/>
        <v>-7.4334639046448284E-2</v>
      </c>
      <c r="F4379" s="40">
        <v>39468</v>
      </c>
      <c r="G4379" s="39">
        <v>6790.19</v>
      </c>
      <c r="H4379" s="39">
        <f t="shared" si="425"/>
        <v>1</v>
      </c>
      <c r="I4379" s="39">
        <f t="shared" si="426"/>
        <v>0</v>
      </c>
      <c r="K4379" s="40"/>
      <c r="Q4379" s="40">
        <v>39468</v>
      </c>
      <c r="R4379" s="39">
        <v>6790.19</v>
      </c>
      <c r="S4379" s="39">
        <f t="shared" si="427"/>
        <v>1</v>
      </c>
      <c r="T4379" s="39">
        <f t="shared" si="428"/>
        <v>0</v>
      </c>
      <c r="U4379" s="39">
        <f t="shared" si="429"/>
        <v>0</v>
      </c>
      <c r="V4379" s="40"/>
    </row>
    <row r="4380" spans="2:22" x14ac:dyDescent="0.35">
      <c r="B4380" s="40">
        <v>39469</v>
      </c>
      <c r="C4380" s="39">
        <v>6769.47</v>
      </c>
      <c r="D4380" s="219">
        <f t="shared" si="430"/>
        <v>-3.0561262047725949E-3</v>
      </c>
      <c r="F4380" s="40">
        <v>39469</v>
      </c>
      <c r="G4380" s="39">
        <v>6769.47</v>
      </c>
      <c r="H4380" s="39">
        <f t="shared" si="425"/>
        <v>2</v>
      </c>
      <c r="I4380" s="39">
        <f t="shared" si="426"/>
        <v>0</v>
      </c>
      <c r="K4380" s="40"/>
      <c r="Q4380" s="40">
        <v>39469</v>
      </c>
      <c r="R4380" s="39">
        <v>6769.47</v>
      </c>
      <c r="S4380" s="39">
        <f t="shared" si="427"/>
        <v>1</v>
      </c>
      <c r="T4380" s="39">
        <f t="shared" si="428"/>
        <v>0</v>
      </c>
      <c r="U4380" s="39">
        <f t="shared" si="429"/>
        <v>0</v>
      </c>
      <c r="V4380" s="40"/>
    </row>
    <row r="4381" spans="2:22" x14ac:dyDescent="0.35">
      <c r="B4381" s="40">
        <v>39470</v>
      </c>
      <c r="C4381" s="39">
        <v>6439.21</v>
      </c>
      <c r="D4381" s="219">
        <f t="shared" si="430"/>
        <v>-5.0016935517155463E-2</v>
      </c>
      <c r="F4381" s="40">
        <v>39470</v>
      </c>
      <c r="G4381" s="39">
        <v>6439.21</v>
      </c>
      <c r="H4381" s="39">
        <f t="shared" si="425"/>
        <v>3</v>
      </c>
      <c r="I4381" s="39">
        <f t="shared" si="426"/>
        <v>0</v>
      </c>
      <c r="K4381" s="40"/>
      <c r="Q4381" s="40">
        <v>39470</v>
      </c>
      <c r="R4381" s="39">
        <v>6439.21</v>
      </c>
      <c r="S4381" s="39">
        <f t="shared" si="427"/>
        <v>1</v>
      </c>
      <c r="T4381" s="39">
        <f t="shared" si="428"/>
        <v>0</v>
      </c>
      <c r="U4381" s="39">
        <f t="shared" si="429"/>
        <v>0</v>
      </c>
      <c r="V4381" s="40"/>
    </row>
    <row r="4382" spans="2:22" x14ac:dyDescent="0.35">
      <c r="B4382" s="40">
        <v>39471</v>
      </c>
      <c r="C4382" s="39">
        <v>6821.07</v>
      </c>
      <c r="D4382" s="219">
        <f t="shared" si="430"/>
        <v>5.7610489260658287E-2</v>
      </c>
      <c r="F4382" s="40">
        <v>39471</v>
      </c>
      <c r="G4382" s="39">
        <v>6821.07</v>
      </c>
      <c r="H4382" s="39">
        <f t="shared" si="425"/>
        <v>4</v>
      </c>
      <c r="I4382" s="39">
        <f t="shared" si="426"/>
        <v>0</v>
      </c>
      <c r="K4382" s="40"/>
      <c r="Q4382" s="40">
        <v>39471</v>
      </c>
      <c r="R4382" s="39">
        <v>6821.07</v>
      </c>
      <c r="S4382" s="39">
        <f t="shared" si="427"/>
        <v>1</v>
      </c>
      <c r="T4382" s="39">
        <f t="shared" si="428"/>
        <v>0</v>
      </c>
      <c r="U4382" s="39">
        <f t="shared" si="429"/>
        <v>0</v>
      </c>
      <c r="V4382" s="40"/>
    </row>
    <row r="4383" spans="2:22" x14ac:dyDescent="0.35">
      <c r="B4383" s="40">
        <v>39472</v>
      </c>
      <c r="C4383" s="39">
        <v>6816.74</v>
      </c>
      <c r="D4383" s="219">
        <f t="shared" si="430"/>
        <v>-6.3499933574325429E-4</v>
      </c>
      <c r="F4383" s="40">
        <v>39472</v>
      </c>
      <c r="G4383" s="39">
        <v>6816.74</v>
      </c>
      <c r="H4383" s="39">
        <f t="shared" si="425"/>
        <v>5</v>
      </c>
      <c r="I4383" s="39">
        <f t="shared" si="426"/>
        <v>6816.74</v>
      </c>
      <c r="K4383" s="40"/>
      <c r="Q4383" s="40">
        <v>39472</v>
      </c>
      <c r="R4383" s="39">
        <v>6816.74</v>
      </c>
      <c r="S4383" s="39">
        <f t="shared" si="427"/>
        <v>1</v>
      </c>
      <c r="T4383" s="39">
        <f t="shared" si="428"/>
        <v>0</v>
      </c>
      <c r="U4383" s="39">
        <f t="shared" si="429"/>
        <v>0</v>
      </c>
      <c r="V4383" s="40"/>
    </row>
    <row r="4384" spans="2:22" x14ac:dyDescent="0.35">
      <c r="B4384" s="40">
        <v>39475</v>
      </c>
      <c r="C4384" s="39">
        <v>6818.85</v>
      </c>
      <c r="D4384" s="219">
        <f t="shared" si="430"/>
        <v>3.0948422720867766E-4</v>
      </c>
      <c r="F4384" s="40">
        <v>39475</v>
      </c>
      <c r="G4384" s="39">
        <v>6818.85</v>
      </c>
      <c r="H4384" s="39">
        <f t="shared" si="425"/>
        <v>1</v>
      </c>
      <c r="I4384" s="39">
        <f t="shared" si="426"/>
        <v>0</v>
      </c>
      <c r="K4384" s="40"/>
      <c r="Q4384" s="40">
        <v>39475</v>
      </c>
      <c r="R4384" s="39">
        <v>6818.85</v>
      </c>
      <c r="S4384" s="39">
        <f t="shared" si="427"/>
        <v>1</v>
      </c>
      <c r="T4384" s="39">
        <f t="shared" si="428"/>
        <v>0</v>
      </c>
      <c r="U4384" s="39">
        <f t="shared" si="429"/>
        <v>0</v>
      </c>
      <c r="V4384" s="40"/>
    </row>
    <row r="4385" spans="2:22" x14ac:dyDescent="0.35">
      <c r="B4385" s="40">
        <v>39476</v>
      </c>
      <c r="C4385" s="39">
        <v>6892.96</v>
      </c>
      <c r="D4385" s="219">
        <f t="shared" si="430"/>
        <v>1.0809764961884568E-2</v>
      </c>
      <c r="F4385" s="40">
        <v>39476</v>
      </c>
      <c r="G4385" s="39">
        <v>6892.96</v>
      </c>
      <c r="H4385" s="39">
        <f t="shared" si="425"/>
        <v>2</v>
      </c>
      <c r="I4385" s="39">
        <f t="shared" si="426"/>
        <v>0</v>
      </c>
      <c r="K4385" s="40"/>
      <c r="Q4385" s="40">
        <v>39476</v>
      </c>
      <c r="R4385" s="39">
        <v>6892.96</v>
      </c>
      <c r="S4385" s="39">
        <f t="shared" si="427"/>
        <v>1</v>
      </c>
      <c r="T4385" s="39">
        <f t="shared" si="428"/>
        <v>0</v>
      </c>
      <c r="U4385" s="39">
        <f t="shared" si="429"/>
        <v>0</v>
      </c>
      <c r="V4385" s="40"/>
    </row>
    <row r="4386" spans="2:22" x14ac:dyDescent="0.35">
      <c r="B4386" s="40">
        <v>39477</v>
      </c>
      <c r="C4386" s="39">
        <v>6875.35</v>
      </c>
      <c r="D4386" s="219">
        <f t="shared" si="430"/>
        <v>-2.5580495504179228E-3</v>
      </c>
      <c r="F4386" s="40">
        <v>39477</v>
      </c>
      <c r="G4386" s="39">
        <v>6875.35</v>
      </c>
      <c r="H4386" s="39">
        <f t="shared" si="425"/>
        <v>3</v>
      </c>
      <c r="I4386" s="39">
        <f t="shared" si="426"/>
        <v>0</v>
      </c>
      <c r="K4386" s="40"/>
      <c r="Q4386" s="40">
        <v>39477</v>
      </c>
      <c r="R4386" s="39">
        <v>6875.35</v>
      </c>
      <c r="S4386" s="39">
        <f t="shared" si="427"/>
        <v>1</v>
      </c>
      <c r="T4386" s="39">
        <f t="shared" si="428"/>
        <v>0</v>
      </c>
      <c r="U4386" s="39">
        <f t="shared" si="429"/>
        <v>0</v>
      </c>
      <c r="V4386" s="40"/>
    </row>
    <row r="4387" spans="2:22" x14ac:dyDescent="0.35">
      <c r="B4387" s="40">
        <v>39478</v>
      </c>
      <c r="C4387" s="39">
        <v>6851.75</v>
      </c>
      <c r="D4387" s="219">
        <f t="shared" si="430"/>
        <v>-3.4384572490727054E-3</v>
      </c>
      <c r="F4387" s="40">
        <v>39478</v>
      </c>
      <c r="G4387" s="39">
        <v>6851.75</v>
      </c>
      <c r="H4387" s="39">
        <f t="shared" si="425"/>
        <v>4</v>
      </c>
      <c r="I4387" s="39">
        <f t="shared" si="426"/>
        <v>0</v>
      </c>
      <c r="K4387" s="40"/>
      <c r="Q4387" s="40">
        <v>39478</v>
      </c>
      <c r="R4387" s="39">
        <v>6851.75</v>
      </c>
      <c r="S4387" s="39">
        <f t="shared" si="427"/>
        <v>1</v>
      </c>
      <c r="T4387" s="39">
        <f t="shared" si="428"/>
        <v>6851.75</v>
      </c>
      <c r="U4387" s="39">
        <f t="shared" si="429"/>
        <v>6851.75</v>
      </c>
      <c r="V4387" s="40"/>
    </row>
    <row r="4388" spans="2:22" x14ac:dyDescent="0.35">
      <c r="B4388" s="40">
        <v>39479</v>
      </c>
      <c r="C4388" s="39">
        <v>6968.67</v>
      </c>
      <c r="D4388" s="219">
        <f t="shared" si="430"/>
        <v>1.6920294675223151E-2</v>
      </c>
      <c r="F4388" s="40">
        <v>39479</v>
      </c>
      <c r="G4388" s="39">
        <v>6968.67</v>
      </c>
      <c r="H4388" s="39">
        <f t="shared" si="425"/>
        <v>5</v>
      </c>
      <c r="I4388" s="39">
        <f t="shared" si="426"/>
        <v>6968.67</v>
      </c>
      <c r="K4388" s="40"/>
      <c r="Q4388" s="40">
        <v>39479</v>
      </c>
      <c r="R4388" s="39">
        <v>6968.67</v>
      </c>
      <c r="S4388" s="39">
        <f t="shared" si="427"/>
        <v>2</v>
      </c>
      <c r="T4388" s="39">
        <f t="shared" si="428"/>
        <v>0</v>
      </c>
      <c r="U4388" s="39">
        <f t="shared" si="429"/>
        <v>0</v>
      </c>
      <c r="V4388" s="40"/>
    </row>
    <row r="4389" spans="2:22" x14ac:dyDescent="0.35">
      <c r="B4389" s="40">
        <v>39482</v>
      </c>
      <c r="C4389" s="39">
        <v>7000.49</v>
      </c>
      <c r="D4389" s="219">
        <f t="shared" si="430"/>
        <v>4.5557578315567823E-3</v>
      </c>
      <c r="F4389" s="40">
        <v>39482</v>
      </c>
      <c r="G4389" s="39">
        <v>7000.49</v>
      </c>
      <c r="H4389" s="39">
        <f t="shared" si="425"/>
        <v>1</v>
      </c>
      <c r="I4389" s="39">
        <f t="shared" si="426"/>
        <v>0</v>
      </c>
      <c r="K4389" s="40"/>
      <c r="Q4389" s="40">
        <v>39482</v>
      </c>
      <c r="R4389" s="39">
        <v>7000.49</v>
      </c>
      <c r="S4389" s="39">
        <f t="shared" si="427"/>
        <v>2</v>
      </c>
      <c r="T4389" s="39">
        <f t="shared" si="428"/>
        <v>0</v>
      </c>
      <c r="U4389" s="39">
        <f t="shared" si="429"/>
        <v>0</v>
      </c>
      <c r="V4389" s="40"/>
    </row>
    <row r="4390" spans="2:22" x14ac:dyDescent="0.35">
      <c r="B4390" s="40">
        <v>39483</v>
      </c>
      <c r="C4390" s="39">
        <v>6765.25</v>
      </c>
      <c r="D4390" s="219">
        <f t="shared" si="430"/>
        <v>-3.41809307504886E-2</v>
      </c>
      <c r="F4390" s="40">
        <v>39483</v>
      </c>
      <c r="G4390" s="39">
        <v>6765.25</v>
      </c>
      <c r="H4390" s="39">
        <f t="shared" si="425"/>
        <v>2</v>
      </c>
      <c r="I4390" s="39">
        <f t="shared" si="426"/>
        <v>0</v>
      </c>
      <c r="K4390" s="40"/>
      <c r="Q4390" s="40">
        <v>39483</v>
      </c>
      <c r="R4390" s="39">
        <v>6765.25</v>
      </c>
      <c r="S4390" s="39">
        <f t="shared" si="427"/>
        <v>2</v>
      </c>
      <c r="T4390" s="39">
        <f t="shared" si="428"/>
        <v>0</v>
      </c>
      <c r="U4390" s="39">
        <f t="shared" si="429"/>
        <v>0</v>
      </c>
      <c r="V4390" s="40"/>
    </row>
    <row r="4391" spans="2:22" x14ac:dyDescent="0.35">
      <c r="B4391" s="40">
        <v>39484</v>
      </c>
      <c r="C4391" s="39">
        <v>6847.51</v>
      </c>
      <c r="D4391" s="219">
        <f t="shared" si="430"/>
        <v>1.2085866686093464E-2</v>
      </c>
      <c r="F4391" s="40">
        <v>39484</v>
      </c>
      <c r="G4391" s="39">
        <v>6847.51</v>
      </c>
      <c r="H4391" s="39">
        <f t="shared" si="425"/>
        <v>3</v>
      </c>
      <c r="I4391" s="39">
        <f t="shared" si="426"/>
        <v>0</v>
      </c>
      <c r="K4391" s="40"/>
      <c r="Q4391" s="40">
        <v>39484</v>
      </c>
      <c r="R4391" s="39">
        <v>6847.51</v>
      </c>
      <c r="S4391" s="39">
        <f t="shared" si="427"/>
        <v>2</v>
      </c>
      <c r="T4391" s="39">
        <f t="shared" si="428"/>
        <v>0</v>
      </c>
      <c r="U4391" s="39">
        <f t="shared" si="429"/>
        <v>0</v>
      </c>
      <c r="V4391" s="40"/>
    </row>
    <row r="4392" spans="2:22" x14ac:dyDescent="0.35">
      <c r="B4392" s="40">
        <v>39485</v>
      </c>
      <c r="C4392" s="39">
        <v>6733.72</v>
      </c>
      <c r="D4392" s="219">
        <f t="shared" si="430"/>
        <v>-1.6757342708203518E-2</v>
      </c>
      <c r="F4392" s="40">
        <v>39485</v>
      </c>
      <c r="G4392" s="39">
        <v>6733.72</v>
      </c>
      <c r="H4392" s="39">
        <f t="shared" si="425"/>
        <v>4</v>
      </c>
      <c r="I4392" s="39">
        <f t="shared" si="426"/>
        <v>0</v>
      </c>
      <c r="K4392" s="40"/>
      <c r="Q4392" s="40">
        <v>39485</v>
      </c>
      <c r="R4392" s="39">
        <v>6733.72</v>
      </c>
      <c r="S4392" s="39">
        <f t="shared" si="427"/>
        <v>2</v>
      </c>
      <c r="T4392" s="39">
        <f t="shared" si="428"/>
        <v>0</v>
      </c>
      <c r="U4392" s="39">
        <f t="shared" si="429"/>
        <v>0</v>
      </c>
      <c r="V4392" s="40"/>
    </row>
    <row r="4393" spans="2:22" x14ac:dyDescent="0.35">
      <c r="B4393" s="40">
        <v>39486</v>
      </c>
      <c r="C4393" s="39">
        <v>6767.28</v>
      </c>
      <c r="D4393" s="219">
        <f t="shared" si="430"/>
        <v>4.9714938332993371E-3</v>
      </c>
      <c r="F4393" s="40">
        <v>39486</v>
      </c>
      <c r="G4393" s="39">
        <v>6767.28</v>
      </c>
      <c r="H4393" s="39">
        <f t="shared" si="425"/>
        <v>5</v>
      </c>
      <c r="I4393" s="39">
        <f t="shared" si="426"/>
        <v>6767.28</v>
      </c>
      <c r="K4393" s="40"/>
      <c r="Q4393" s="40">
        <v>39486</v>
      </c>
      <c r="R4393" s="39">
        <v>6767.28</v>
      </c>
      <c r="S4393" s="39">
        <f t="shared" si="427"/>
        <v>2</v>
      </c>
      <c r="T4393" s="39">
        <f t="shared" si="428"/>
        <v>0</v>
      </c>
      <c r="U4393" s="39">
        <f t="shared" si="429"/>
        <v>0</v>
      </c>
      <c r="V4393" s="40"/>
    </row>
    <row r="4394" spans="2:22" x14ac:dyDescent="0.35">
      <c r="B4394" s="40">
        <v>39489</v>
      </c>
      <c r="C4394" s="39">
        <v>6743.54</v>
      </c>
      <c r="D4394" s="219">
        <f t="shared" si="430"/>
        <v>-3.5142240710715799E-3</v>
      </c>
      <c r="F4394" s="40">
        <v>39489</v>
      </c>
      <c r="G4394" s="39">
        <v>6743.54</v>
      </c>
      <c r="H4394" s="39">
        <f t="shared" si="425"/>
        <v>1</v>
      </c>
      <c r="I4394" s="39">
        <f t="shared" si="426"/>
        <v>0</v>
      </c>
      <c r="K4394" s="40"/>
      <c r="Q4394" s="40">
        <v>39489</v>
      </c>
      <c r="R4394" s="39">
        <v>6743.54</v>
      </c>
      <c r="S4394" s="39">
        <f t="shared" si="427"/>
        <v>2</v>
      </c>
      <c r="T4394" s="39">
        <f t="shared" si="428"/>
        <v>0</v>
      </c>
      <c r="U4394" s="39">
        <f t="shared" si="429"/>
        <v>0</v>
      </c>
      <c r="V4394" s="40"/>
    </row>
    <row r="4395" spans="2:22" x14ac:dyDescent="0.35">
      <c r="B4395" s="40">
        <v>39490</v>
      </c>
      <c r="C4395" s="39">
        <v>6967.84</v>
      </c>
      <c r="D4395" s="219">
        <f t="shared" si="430"/>
        <v>3.2720267578997403E-2</v>
      </c>
      <c r="F4395" s="40">
        <v>39490</v>
      </c>
      <c r="G4395" s="39">
        <v>6967.84</v>
      </c>
      <c r="H4395" s="39">
        <f t="shared" si="425"/>
        <v>2</v>
      </c>
      <c r="I4395" s="39">
        <f t="shared" si="426"/>
        <v>0</v>
      </c>
      <c r="K4395" s="40"/>
      <c r="Q4395" s="40">
        <v>39490</v>
      </c>
      <c r="R4395" s="39">
        <v>6967.84</v>
      </c>
      <c r="S4395" s="39">
        <f t="shared" si="427"/>
        <v>2</v>
      </c>
      <c r="T4395" s="39">
        <f t="shared" si="428"/>
        <v>0</v>
      </c>
      <c r="U4395" s="39">
        <f t="shared" si="429"/>
        <v>0</v>
      </c>
      <c r="V4395" s="40"/>
    </row>
    <row r="4396" spans="2:22" x14ac:dyDescent="0.35">
      <c r="B4396" s="40">
        <v>39491</v>
      </c>
      <c r="C4396" s="39">
        <v>6973.67</v>
      </c>
      <c r="D4396" s="219">
        <f t="shared" si="430"/>
        <v>8.3635134785712726E-4</v>
      </c>
      <c r="F4396" s="40">
        <v>39491</v>
      </c>
      <c r="G4396" s="39">
        <v>6973.67</v>
      </c>
      <c r="H4396" s="39">
        <f t="shared" si="425"/>
        <v>3</v>
      </c>
      <c r="I4396" s="39">
        <f t="shared" si="426"/>
        <v>0</v>
      </c>
      <c r="K4396" s="40"/>
      <c r="Q4396" s="40">
        <v>39491</v>
      </c>
      <c r="R4396" s="39">
        <v>6973.67</v>
      </c>
      <c r="S4396" s="39">
        <f t="shared" si="427"/>
        <v>2</v>
      </c>
      <c r="T4396" s="39">
        <f t="shared" si="428"/>
        <v>0</v>
      </c>
      <c r="U4396" s="39">
        <f t="shared" si="429"/>
        <v>0</v>
      </c>
      <c r="V4396" s="40"/>
    </row>
    <row r="4397" spans="2:22" x14ac:dyDescent="0.35">
      <c r="B4397" s="40">
        <v>39492</v>
      </c>
      <c r="C4397" s="39">
        <v>6962.28</v>
      </c>
      <c r="D4397" s="219">
        <f t="shared" si="430"/>
        <v>-1.6346216133327556E-3</v>
      </c>
      <c r="F4397" s="40">
        <v>39492</v>
      </c>
      <c r="G4397" s="39">
        <v>6962.28</v>
      </c>
      <c r="H4397" s="39">
        <f t="shared" si="425"/>
        <v>4</v>
      </c>
      <c r="I4397" s="39">
        <f t="shared" si="426"/>
        <v>0</v>
      </c>
      <c r="K4397" s="40"/>
      <c r="Q4397" s="40">
        <v>39492</v>
      </c>
      <c r="R4397" s="39">
        <v>6962.28</v>
      </c>
      <c r="S4397" s="39">
        <f t="shared" si="427"/>
        <v>2</v>
      </c>
      <c r="T4397" s="39">
        <f t="shared" si="428"/>
        <v>0</v>
      </c>
      <c r="U4397" s="39">
        <f t="shared" si="429"/>
        <v>0</v>
      </c>
      <c r="V4397" s="40"/>
    </row>
    <row r="4398" spans="2:22" x14ac:dyDescent="0.35">
      <c r="B4398" s="40">
        <v>39493</v>
      </c>
      <c r="C4398" s="39">
        <v>6832.43</v>
      </c>
      <c r="D4398" s="219">
        <f t="shared" si="430"/>
        <v>-1.8826613292822127E-2</v>
      </c>
      <c r="F4398" s="40">
        <v>39493</v>
      </c>
      <c r="G4398" s="39">
        <v>6832.43</v>
      </c>
      <c r="H4398" s="39">
        <f t="shared" si="425"/>
        <v>5</v>
      </c>
      <c r="I4398" s="39">
        <f t="shared" si="426"/>
        <v>6832.43</v>
      </c>
      <c r="K4398" s="40"/>
      <c r="Q4398" s="40">
        <v>39493</v>
      </c>
      <c r="R4398" s="39">
        <v>6832.43</v>
      </c>
      <c r="S4398" s="39">
        <f t="shared" si="427"/>
        <v>2</v>
      </c>
      <c r="T4398" s="39">
        <f t="shared" si="428"/>
        <v>0</v>
      </c>
      <c r="U4398" s="39">
        <f t="shared" si="429"/>
        <v>0</v>
      </c>
      <c r="V4398" s="40"/>
    </row>
    <row r="4399" spans="2:22" x14ac:dyDescent="0.35">
      <c r="B4399" s="40">
        <v>39497</v>
      </c>
      <c r="C4399" s="39">
        <v>7002.29</v>
      </c>
      <c r="D4399" s="219">
        <f t="shared" si="430"/>
        <v>2.4556844797143075E-2</v>
      </c>
      <c r="F4399" s="40">
        <v>39497</v>
      </c>
      <c r="G4399" s="39">
        <v>7002.29</v>
      </c>
      <c r="H4399" s="39">
        <f t="shared" si="425"/>
        <v>2</v>
      </c>
      <c r="I4399" s="39">
        <f t="shared" si="426"/>
        <v>0</v>
      </c>
      <c r="K4399" s="40"/>
      <c r="Q4399" s="40">
        <v>39497</v>
      </c>
      <c r="R4399" s="39">
        <v>7002.29</v>
      </c>
      <c r="S4399" s="39">
        <f t="shared" si="427"/>
        <v>2</v>
      </c>
      <c r="T4399" s="39">
        <f t="shared" si="428"/>
        <v>0</v>
      </c>
      <c r="U4399" s="39">
        <f t="shared" si="429"/>
        <v>0</v>
      </c>
      <c r="V4399" s="40"/>
    </row>
    <row r="4400" spans="2:22" x14ac:dyDescent="0.35">
      <c r="B4400" s="40">
        <v>39498</v>
      </c>
      <c r="C4400" s="39">
        <v>6899.68</v>
      </c>
      <c r="D4400" s="219">
        <f t="shared" si="430"/>
        <v>-1.4762204696717436E-2</v>
      </c>
      <c r="F4400" s="40">
        <v>39498</v>
      </c>
      <c r="G4400" s="39">
        <v>6899.68</v>
      </c>
      <c r="H4400" s="39">
        <f t="shared" si="425"/>
        <v>3</v>
      </c>
      <c r="I4400" s="39">
        <f t="shared" si="426"/>
        <v>0</v>
      </c>
      <c r="K4400" s="40"/>
      <c r="Q4400" s="40">
        <v>39498</v>
      </c>
      <c r="R4400" s="39">
        <v>6899.68</v>
      </c>
      <c r="S4400" s="39">
        <f t="shared" si="427"/>
        <v>2</v>
      </c>
      <c r="T4400" s="39">
        <f t="shared" si="428"/>
        <v>0</v>
      </c>
      <c r="U4400" s="39">
        <f t="shared" si="429"/>
        <v>0</v>
      </c>
      <c r="V4400" s="40"/>
    </row>
    <row r="4401" spans="2:22" x14ac:dyDescent="0.35">
      <c r="B4401" s="40">
        <v>39499</v>
      </c>
      <c r="C4401" s="39">
        <v>6904.85</v>
      </c>
      <c r="D4401" s="219">
        <f t="shared" si="430"/>
        <v>7.4902952026863732E-4</v>
      </c>
      <c r="F4401" s="40">
        <v>39499</v>
      </c>
      <c r="G4401" s="39">
        <v>6904.85</v>
      </c>
      <c r="H4401" s="39">
        <f t="shared" si="425"/>
        <v>4</v>
      </c>
      <c r="I4401" s="39">
        <f t="shared" si="426"/>
        <v>0</v>
      </c>
      <c r="K4401" s="40"/>
      <c r="Q4401" s="40">
        <v>39499</v>
      </c>
      <c r="R4401" s="39">
        <v>6904.85</v>
      </c>
      <c r="S4401" s="39">
        <f t="shared" si="427"/>
        <v>2</v>
      </c>
      <c r="T4401" s="39">
        <f t="shared" si="428"/>
        <v>0</v>
      </c>
      <c r="U4401" s="39">
        <f t="shared" si="429"/>
        <v>0</v>
      </c>
      <c r="V4401" s="40"/>
    </row>
    <row r="4402" spans="2:22" x14ac:dyDescent="0.35">
      <c r="B4402" s="40">
        <v>39500</v>
      </c>
      <c r="C4402" s="39">
        <v>6806.29</v>
      </c>
      <c r="D4402" s="219">
        <f t="shared" si="430"/>
        <v>-1.437687860325474E-2</v>
      </c>
      <c r="F4402" s="40">
        <v>39500</v>
      </c>
      <c r="G4402" s="39">
        <v>6806.29</v>
      </c>
      <c r="H4402" s="39">
        <f t="shared" si="425"/>
        <v>5</v>
      </c>
      <c r="I4402" s="39">
        <f t="shared" si="426"/>
        <v>6806.29</v>
      </c>
      <c r="K4402" s="40"/>
      <c r="Q4402" s="40">
        <v>39500</v>
      </c>
      <c r="R4402" s="39">
        <v>6806.29</v>
      </c>
      <c r="S4402" s="39">
        <f t="shared" si="427"/>
        <v>2</v>
      </c>
      <c r="T4402" s="39">
        <f t="shared" si="428"/>
        <v>0</v>
      </c>
      <c r="U4402" s="39">
        <f t="shared" si="429"/>
        <v>0</v>
      </c>
      <c r="V4402" s="40"/>
    </row>
    <row r="4403" spans="2:22" x14ac:dyDescent="0.35">
      <c r="B4403" s="40">
        <v>39503</v>
      </c>
      <c r="C4403" s="39">
        <v>6882.56</v>
      </c>
      <c r="D4403" s="219">
        <f t="shared" si="430"/>
        <v>1.1143491125870972E-2</v>
      </c>
      <c r="F4403" s="40">
        <v>39503</v>
      </c>
      <c r="G4403" s="39">
        <v>6882.56</v>
      </c>
      <c r="H4403" s="39">
        <f t="shared" si="425"/>
        <v>1</v>
      </c>
      <c r="I4403" s="39">
        <f t="shared" si="426"/>
        <v>0</v>
      </c>
      <c r="K4403" s="40"/>
      <c r="Q4403" s="40">
        <v>39503</v>
      </c>
      <c r="R4403" s="39">
        <v>6882.56</v>
      </c>
      <c r="S4403" s="39">
        <f t="shared" si="427"/>
        <v>2</v>
      </c>
      <c r="T4403" s="39">
        <f t="shared" si="428"/>
        <v>0</v>
      </c>
      <c r="U4403" s="39">
        <f t="shared" si="429"/>
        <v>0</v>
      </c>
      <c r="V4403" s="40"/>
    </row>
    <row r="4404" spans="2:22" x14ac:dyDescent="0.35">
      <c r="B4404" s="40">
        <v>39504</v>
      </c>
      <c r="C4404" s="39">
        <v>6985.97</v>
      </c>
      <c r="D4404" s="219">
        <f t="shared" si="430"/>
        <v>1.4913176313461302E-2</v>
      </c>
      <c r="F4404" s="40">
        <v>39504</v>
      </c>
      <c r="G4404" s="39">
        <v>6985.97</v>
      </c>
      <c r="H4404" s="39">
        <f t="shared" si="425"/>
        <v>2</v>
      </c>
      <c r="I4404" s="39">
        <f t="shared" si="426"/>
        <v>0</v>
      </c>
      <c r="K4404" s="40"/>
      <c r="Q4404" s="40">
        <v>39504</v>
      </c>
      <c r="R4404" s="39">
        <v>6985.97</v>
      </c>
      <c r="S4404" s="39">
        <f t="shared" si="427"/>
        <v>2</v>
      </c>
      <c r="T4404" s="39">
        <f t="shared" si="428"/>
        <v>0</v>
      </c>
      <c r="U4404" s="39">
        <f t="shared" si="429"/>
        <v>0</v>
      </c>
      <c r="V4404" s="40"/>
    </row>
    <row r="4405" spans="2:22" x14ac:dyDescent="0.35">
      <c r="B4405" s="40">
        <v>39505</v>
      </c>
      <c r="C4405" s="39">
        <v>6997.85</v>
      </c>
      <c r="D4405" s="219">
        <f t="shared" si="430"/>
        <v>1.6991069476144074E-3</v>
      </c>
      <c r="F4405" s="40">
        <v>39505</v>
      </c>
      <c r="G4405" s="39">
        <v>6997.85</v>
      </c>
      <c r="H4405" s="39">
        <f t="shared" si="425"/>
        <v>3</v>
      </c>
      <c r="I4405" s="39">
        <f t="shared" si="426"/>
        <v>0</v>
      </c>
      <c r="K4405" s="40"/>
      <c r="Q4405" s="40">
        <v>39505</v>
      </c>
      <c r="R4405" s="39">
        <v>6997.85</v>
      </c>
      <c r="S4405" s="39">
        <f t="shared" si="427"/>
        <v>2</v>
      </c>
      <c r="T4405" s="39">
        <f t="shared" si="428"/>
        <v>0</v>
      </c>
      <c r="U4405" s="39">
        <f t="shared" si="429"/>
        <v>0</v>
      </c>
      <c r="V4405" s="40"/>
    </row>
    <row r="4406" spans="2:22" x14ac:dyDescent="0.35">
      <c r="B4406" s="40">
        <v>39506</v>
      </c>
      <c r="C4406" s="39">
        <v>6862.52</v>
      </c>
      <c r="D4406" s="219">
        <f t="shared" si="430"/>
        <v>-1.952823779894074E-2</v>
      </c>
      <c r="F4406" s="40">
        <v>39506</v>
      </c>
      <c r="G4406" s="39">
        <v>6862.52</v>
      </c>
      <c r="H4406" s="39">
        <f t="shared" si="425"/>
        <v>4</v>
      </c>
      <c r="I4406" s="39">
        <f t="shared" si="426"/>
        <v>0</v>
      </c>
      <c r="K4406" s="40"/>
      <c r="Q4406" s="40">
        <v>39506</v>
      </c>
      <c r="R4406" s="39">
        <v>6862.52</v>
      </c>
      <c r="S4406" s="39">
        <f t="shared" si="427"/>
        <v>2</v>
      </c>
      <c r="T4406" s="39">
        <f t="shared" si="428"/>
        <v>0</v>
      </c>
      <c r="U4406" s="39">
        <f t="shared" si="429"/>
        <v>0</v>
      </c>
      <c r="V4406" s="40"/>
    </row>
    <row r="4407" spans="2:22" x14ac:dyDescent="0.35">
      <c r="B4407" s="40">
        <v>39507</v>
      </c>
      <c r="C4407" s="39">
        <v>6748.13</v>
      </c>
      <c r="D4407" s="219">
        <f t="shared" si="430"/>
        <v>-1.680929175564936E-2</v>
      </c>
      <c r="F4407" s="40">
        <v>39507</v>
      </c>
      <c r="G4407" s="39">
        <v>6748.13</v>
      </c>
      <c r="H4407" s="39">
        <f t="shared" ref="H4407:H4470" si="431">WEEKDAY(F4407,2)</f>
        <v>5</v>
      </c>
      <c r="I4407" s="39">
        <f t="shared" ref="I4407:I4470" si="432">IF(H4407&gt;H4408,G4407,0)</f>
        <v>6748.13</v>
      </c>
      <c r="K4407" s="40"/>
      <c r="Q4407" s="40">
        <v>39507</v>
      </c>
      <c r="R4407" s="39">
        <v>6748.13</v>
      </c>
      <c r="S4407" s="39">
        <f t="shared" ref="S4407:S4470" si="433">MONTH(Q4407)</f>
        <v>2</v>
      </c>
      <c r="T4407" s="39">
        <f t="shared" ref="T4407:T4470" si="434">IF(S4408&lt;&gt;S4407,R4407,0)</f>
        <v>6748.13</v>
      </c>
      <c r="U4407" s="39">
        <f t="shared" ref="U4407:U4470" si="435">IF(S4408=S4407,0,R4407)</f>
        <v>6748.13</v>
      </c>
      <c r="V4407" s="40"/>
    </row>
    <row r="4408" spans="2:22" x14ac:dyDescent="0.35">
      <c r="B4408" s="40">
        <v>39510</v>
      </c>
      <c r="C4408" s="39">
        <v>6689.95</v>
      </c>
      <c r="D4408" s="219">
        <f t="shared" ref="D4408:D4471" si="436">LN(C4408/C4407)</f>
        <v>-8.6590291948993436E-3</v>
      </c>
      <c r="F4408" s="40">
        <v>39510</v>
      </c>
      <c r="G4408" s="39">
        <v>6689.95</v>
      </c>
      <c r="H4408" s="39">
        <f t="shared" si="431"/>
        <v>1</v>
      </c>
      <c r="I4408" s="39">
        <f t="shared" si="432"/>
        <v>0</v>
      </c>
      <c r="K4408" s="40"/>
      <c r="Q4408" s="40">
        <v>39510</v>
      </c>
      <c r="R4408" s="39">
        <v>6689.95</v>
      </c>
      <c r="S4408" s="39">
        <f t="shared" si="433"/>
        <v>3</v>
      </c>
      <c r="T4408" s="39">
        <f t="shared" si="434"/>
        <v>0</v>
      </c>
      <c r="U4408" s="39">
        <f t="shared" si="435"/>
        <v>0</v>
      </c>
      <c r="V4408" s="40"/>
    </row>
    <row r="4409" spans="2:22" x14ac:dyDescent="0.35">
      <c r="B4409" s="40">
        <v>39511</v>
      </c>
      <c r="C4409" s="39">
        <v>6545.04</v>
      </c>
      <c r="D4409" s="219">
        <f t="shared" si="436"/>
        <v>-2.1898889391941963E-2</v>
      </c>
      <c r="F4409" s="40">
        <v>39511</v>
      </c>
      <c r="G4409" s="39">
        <v>6545.04</v>
      </c>
      <c r="H4409" s="39">
        <f t="shared" si="431"/>
        <v>2</v>
      </c>
      <c r="I4409" s="39">
        <f t="shared" si="432"/>
        <v>0</v>
      </c>
      <c r="K4409" s="40"/>
      <c r="Q4409" s="40">
        <v>39511</v>
      </c>
      <c r="R4409" s="39">
        <v>6545.04</v>
      </c>
      <c r="S4409" s="39">
        <f t="shared" si="433"/>
        <v>3</v>
      </c>
      <c r="T4409" s="39">
        <f t="shared" si="434"/>
        <v>0</v>
      </c>
      <c r="U4409" s="39">
        <f t="shared" si="435"/>
        <v>0</v>
      </c>
      <c r="V4409" s="40"/>
    </row>
    <row r="4410" spans="2:22" x14ac:dyDescent="0.35">
      <c r="B4410" s="40">
        <v>39512</v>
      </c>
      <c r="C4410" s="39">
        <v>6683.71</v>
      </c>
      <c r="D4410" s="219">
        <f t="shared" si="436"/>
        <v>2.0965711719887134E-2</v>
      </c>
      <c r="F4410" s="40">
        <v>39512</v>
      </c>
      <c r="G4410" s="39">
        <v>6683.71</v>
      </c>
      <c r="H4410" s="39">
        <f t="shared" si="431"/>
        <v>3</v>
      </c>
      <c r="I4410" s="39">
        <f t="shared" si="432"/>
        <v>0</v>
      </c>
      <c r="K4410" s="40"/>
      <c r="Q4410" s="40">
        <v>39512</v>
      </c>
      <c r="R4410" s="39">
        <v>6683.71</v>
      </c>
      <c r="S4410" s="39">
        <f t="shared" si="433"/>
        <v>3</v>
      </c>
      <c r="T4410" s="39">
        <f t="shared" si="434"/>
        <v>0</v>
      </c>
      <c r="U4410" s="39">
        <f t="shared" si="435"/>
        <v>0</v>
      </c>
      <c r="V4410" s="40"/>
    </row>
    <row r="4411" spans="2:22" x14ac:dyDescent="0.35">
      <c r="B4411" s="40">
        <v>39513</v>
      </c>
      <c r="C4411" s="39">
        <v>6591.31</v>
      </c>
      <c r="D4411" s="219">
        <f t="shared" si="436"/>
        <v>-1.3921107800055477E-2</v>
      </c>
      <c r="F4411" s="40">
        <v>39513</v>
      </c>
      <c r="G4411" s="39">
        <v>6591.31</v>
      </c>
      <c r="H4411" s="39">
        <f t="shared" si="431"/>
        <v>4</v>
      </c>
      <c r="I4411" s="39">
        <f t="shared" si="432"/>
        <v>0</v>
      </c>
      <c r="K4411" s="40"/>
      <c r="Q4411" s="40">
        <v>39513</v>
      </c>
      <c r="R4411" s="39">
        <v>6591.31</v>
      </c>
      <c r="S4411" s="39">
        <f t="shared" si="433"/>
        <v>3</v>
      </c>
      <c r="T4411" s="39">
        <f t="shared" si="434"/>
        <v>0</v>
      </c>
      <c r="U4411" s="39">
        <f t="shared" si="435"/>
        <v>0</v>
      </c>
      <c r="V4411" s="40"/>
    </row>
    <row r="4412" spans="2:22" x14ac:dyDescent="0.35">
      <c r="B4412" s="40">
        <v>39514</v>
      </c>
      <c r="C4412" s="39">
        <v>6513.99</v>
      </c>
      <c r="D4412" s="219">
        <f t="shared" si="436"/>
        <v>-1.1799943100730148E-2</v>
      </c>
      <c r="F4412" s="40">
        <v>39514</v>
      </c>
      <c r="G4412" s="39">
        <v>6513.99</v>
      </c>
      <c r="H4412" s="39">
        <f t="shared" si="431"/>
        <v>5</v>
      </c>
      <c r="I4412" s="39">
        <f t="shared" si="432"/>
        <v>6513.99</v>
      </c>
      <c r="K4412" s="40"/>
      <c r="Q4412" s="40">
        <v>39514</v>
      </c>
      <c r="R4412" s="39">
        <v>6513.99</v>
      </c>
      <c r="S4412" s="39">
        <f t="shared" si="433"/>
        <v>3</v>
      </c>
      <c r="T4412" s="39">
        <f t="shared" si="434"/>
        <v>0</v>
      </c>
      <c r="U4412" s="39">
        <f t="shared" si="435"/>
        <v>0</v>
      </c>
      <c r="V4412" s="40"/>
    </row>
    <row r="4413" spans="2:22" x14ac:dyDescent="0.35">
      <c r="B4413" s="40">
        <v>39517</v>
      </c>
      <c r="C4413" s="39">
        <v>6448.08</v>
      </c>
      <c r="D4413" s="219">
        <f t="shared" si="436"/>
        <v>-1.0169759622560294E-2</v>
      </c>
      <c r="F4413" s="40">
        <v>39517</v>
      </c>
      <c r="G4413" s="39">
        <v>6448.08</v>
      </c>
      <c r="H4413" s="39">
        <f t="shared" si="431"/>
        <v>1</v>
      </c>
      <c r="I4413" s="39">
        <f t="shared" si="432"/>
        <v>0</v>
      </c>
      <c r="K4413" s="40"/>
      <c r="Q4413" s="40">
        <v>39517</v>
      </c>
      <c r="R4413" s="39">
        <v>6448.08</v>
      </c>
      <c r="S4413" s="39">
        <f t="shared" si="433"/>
        <v>3</v>
      </c>
      <c r="T4413" s="39">
        <f t="shared" si="434"/>
        <v>0</v>
      </c>
      <c r="U4413" s="39">
        <f t="shared" si="435"/>
        <v>0</v>
      </c>
      <c r="V4413" s="40"/>
    </row>
    <row r="4414" spans="2:22" x14ac:dyDescent="0.35">
      <c r="B4414" s="40">
        <v>39518</v>
      </c>
      <c r="C4414" s="39">
        <v>6524.57</v>
      </c>
      <c r="D4414" s="219">
        <f t="shared" si="436"/>
        <v>1.1792638578837238E-2</v>
      </c>
      <c r="F4414" s="40">
        <v>39518</v>
      </c>
      <c r="G4414" s="39">
        <v>6524.57</v>
      </c>
      <c r="H4414" s="39">
        <f t="shared" si="431"/>
        <v>2</v>
      </c>
      <c r="I4414" s="39">
        <f t="shared" si="432"/>
        <v>0</v>
      </c>
      <c r="K4414" s="40"/>
      <c r="Q4414" s="40">
        <v>39518</v>
      </c>
      <c r="R4414" s="39">
        <v>6524.57</v>
      </c>
      <c r="S4414" s="39">
        <f t="shared" si="433"/>
        <v>3</v>
      </c>
      <c r="T4414" s="39">
        <f t="shared" si="434"/>
        <v>0</v>
      </c>
      <c r="U4414" s="39">
        <f t="shared" si="435"/>
        <v>0</v>
      </c>
      <c r="V4414" s="40"/>
    </row>
    <row r="4415" spans="2:22" x14ac:dyDescent="0.35">
      <c r="B4415" s="40">
        <v>39519</v>
      </c>
      <c r="C4415" s="39">
        <v>6599.37</v>
      </c>
      <c r="D4415" s="219">
        <f t="shared" si="436"/>
        <v>1.1399139276760577E-2</v>
      </c>
      <c r="F4415" s="40">
        <v>39519</v>
      </c>
      <c r="G4415" s="39">
        <v>6599.37</v>
      </c>
      <c r="H4415" s="39">
        <f t="shared" si="431"/>
        <v>3</v>
      </c>
      <c r="I4415" s="39">
        <f t="shared" si="432"/>
        <v>0</v>
      </c>
      <c r="K4415" s="40"/>
      <c r="Q4415" s="40">
        <v>39519</v>
      </c>
      <c r="R4415" s="39">
        <v>6599.37</v>
      </c>
      <c r="S4415" s="39">
        <f t="shared" si="433"/>
        <v>3</v>
      </c>
      <c r="T4415" s="39">
        <f t="shared" si="434"/>
        <v>0</v>
      </c>
      <c r="U4415" s="39">
        <f t="shared" si="435"/>
        <v>0</v>
      </c>
      <c r="V4415" s="40"/>
    </row>
    <row r="4416" spans="2:22" x14ac:dyDescent="0.35">
      <c r="B4416" s="40">
        <v>39520</v>
      </c>
      <c r="C4416" s="39">
        <v>6500.56</v>
      </c>
      <c r="D4416" s="219">
        <f t="shared" si="436"/>
        <v>-1.5085862894134341E-2</v>
      </c>
      <c r="F4416" s="40">
        <v>39520</v>
      </c>
      <c r="G4416" s="39">
        <v>6500.56</v>
      </c>
      <c r="H4416" s="39">
        <f t="shared" si="431"/>
        <v>4</v>
      </c>
      <c r="I4416" s="39">
        <f t="shared" si="432"/>
        <v>0</v>
      </c>
      <c r="K4416" s="40"/>
      <c r="Q4416" s="40">
        <v>39520</v>
      </c>
      <c r="R4416" s="39">
        <v>6500.56</v>
      </c>
      <c r="S4416" s="39">
        <f t="shared" si="433"/>
        <v>3</v>
      </c>
      <c r="T4416" s="39">
        <f t="shared" si="434"/>
        <v>0</v>
      </c>
      <c r="U4416" s="39">
        <f t="shared" si="435"/>
        <v>0</v>
      </c>
      <c r="V4416" s="40"/>
    </row>
    <row r="4417" spans="2:22" x14ac:dyDescent="0.35">
      <c r="B4417" s="40">
        <v>39521</v>
      </c>
      <c r="C4417" s="39">
        <v>6451.9</v>
      </c>
      <c r="D4417" s="219">
        <f t="shared" si="436"/>
        <v>-7.513665963921101E-3</v>
      </c>
      <c r="F4417" s="40">
        <v>39521</v>
      </c>
      <c r="G4417" s="39">
        <v>6451.9</v>
      </c>
      <c r="H4417" s="39">
        <f t="shared" si="431"/>
        <v>5</v>
      </c>
      <c r="I4417" s="39">
        <f t="shared" si="432"/>
        <v>6451.9</v>
      </c>
      <c r="K4417" s="40"/>
      <c r="Q4417" s="40">
        <v>39521</v>
      </c>
      <c r="R4417" s="39">
        <v>6451.9</v>
      </c>
      <c r="S4417" s="39">
        <f t="shared" si="433"/>
        <v>3</v>
      </c>
      <c r="T4417" s="39">
        <f t="shared" si="434"/>
        <v>0</v>
      </c>
      <c r="U4417" s="39">
        <f t="shared" si="435"/>
        <v>0</v>
      </c>
      <c r="V4417" s="40"/>
    </row>
    <row r="4418" spans="2:22" x14ac:dyDescent="0.35">
      <c r="B4418" s="40">
        <v>39524</v>
      </c>
      <c r="C4418" s="39">
        <v>6182.3</v>
      </c>
      <c r="D4418" s="219">
        <f t="shared" si="436"/>
        <v>-4.2684290555843621E-2</v>
      </c>
      <c r="F4418" s="40">
        <v>39524</v>
      </c>
      <c r="G4418" s="39">
        <v>6182.3</v>
      </c>
      <c r="H4418" s="39">
        <f t="shared" si="431"/>
        <v>1</v>
      </c>
      <c r="I4418" s="39">
        <f t="shared" si="432"/>
        <v>0</v>
      </c>
      <c r="K4418" s="40"/>
      <c r="Q4418" s="40">
        <v>39524</v>
      </c>
      <c r="R4418" s="39">
        <v>6182.3</v>
      </c>
      <c r="S4418" s="39">
        <f t="shared" si="433"/>
        <v>3</v>
      </c>
      <c r="T4418" s="39">
        <f t="shared" si="434"/>
        <v>0</v>
      </c>
      <c r="U4418" s="39">
        <f t="shared" si="435"/>
        <v>0</v>
      </c>
      <c r="V4418" s="40"/>
    </row>
    <row r="4419" spans="2:22" x14ac:dyDescent="0.35">
      <c r="B4419" s="40">
        <v>39525</v>
      </c>
      <c r="C4419" s="39">
        <v>6393.39</v>
      </c>
      <c r="D4419" s="219">
        <f t="shared" si="436"/>
        <v>3.3574273630326029E-2</v>
      </c>
      <c r="F4419" s="40">
        <v>39525</v>
      </c>
      <c r="G4419" s="39">
        <v>6393.39</v>
      </c>
      <c r="H4419" s="39">
        <f t="shared" si="431"/>
        <v>2</v>
      </c>
      <c r="I4419" s="39">
        <f t="shared" si="432"/>
        <v>0</v>
      </c>
      <c r="K4419" s="40"/>
      <c r="Q4419" s="40">
        <v>39525</v>
      </c>
      <c r="R4419" s="39">
        <v>6393.39</v>
      </c>
      <c r="S4419" s="39">
        <f t="shared" si="433"/>
        <v>3</v>
      </c>
      <c r="T4419" s="39">
        <f t="shared" si="434"/>
        <v>0</v>
      </c>
      <c r="U4419" s="39">
        <f t="shared" si="435"/>
        <v>0</v>
      </c>
      <c r="V4419" s="40"/>
    </row>
    <row r="4420" spans="2:22" x14ac:dyDescent="0.35">
      <c r="B4420" s="40">
        <v>39526</v>
      </c>
      <c r="C4420" s="39">
        <v>6361.22</v>
      </c>
      <c r="D4420" s="219">
        <f t="shared" si="436"/>
        <v>-5.0444612917270541E-3</v>
      </c>
      <c r="F4420" s="40">
        <v>39526</v>
      </c>
      <c r="G4420" s="39">
        <v>6361.22</v>
      </c>
      <c r="H4420" s="39">
        <f t="shared" si="431"/>
        <v>3</v>
      </c>
      <c r="I4420" s="39">
        <f t="shared" si="432"/>
        <v>0</v>
      </c>
      <c r="K4420" s="40"/>
      <c r="Q4420" s="40">
        <v>39526</v>
      </c>
      <c r="R4420" s="39">
        <v>6361.22</v>
      </c>
      <c r="S4420" s="39">
        <f t="shared" si="433"/>
        <v>3</v>
      </c>
      <c r="T4420" s="39">
        <f t="shared" si="434"/>
        <v>0</v>
      </c>
      <c r="U4420" s="39">
        <f t="shared" si="435"/>
        <v>0</v>
      </c>
      <c r="V4420" s="40"/>
    </row>
    <row r="4421" spans="2:22" x14ac:dyDescent="0.35">
      <c r="B4421" s="40">
        <v>39527</v>
      </c>
      <c r="C4421" s="39">
        <v>6319.99</v>
      </c>
      <c r="D4421" s="219">
        <f t="shared" si="436"/>
        <v>-6.5025569765169745E-3</v>
      </c>
      <c r="F4421" s="40">
        <v>39527</v>
      </c>
      <c r="G4421" s="39">
        <v>6319.99</v>
      </c>
      <c r="H4421" s="39">
        <f t="shared" si="431"/>
        <v>4</v>
      </c>
      <c r="I4421" s="39">
        <f t="shared" si="432"/>
        <v>6319.99</v>
      </c>
      <c r="K4421" s="40"/>
      <c r="Q4421" s="40">
        <v>39527</v>
      </c>
      <c r="R4421" s="39">
        <v>6319.99</v>
      </c>
      <c r="S4421" s="39">
        <f t="shared" si="433"/>
        <v>3</v>
      </c>
      <c r="T4421" s="39">
        <f t="shared" si="434"/>
        <v>0</v>
      </c>
      <c r="U4421" s="39">
        <f t="shared" si="435"/>
        <v>0</v>
      </c>
      <c r="V4421" s="40"/>
    </row>
    <row r="4422" spans="2:22" x14ac:dyDescent="0.35">
      <c r="B4422" s="40">
        <v>39532</v>
      </c>
      <c r="C4422" s="39">
        <v>6524.71</v>
      </c>
      <c r="D4422" s="219">
        <f t="shared" si="436"/>
        <v>3.1878881897595919E-2</v>
      </c>
      <c r="F4422" s="40">
        <v>39532</v>
      </c>
      <c r="G4422" s="39">
        <v>6524.71</v>
      </c>
      <c r="H4422" s="39">
        <f t="shared" si="431"/>
        <v>2</v>
      </c>
      <c r="I4422" s="39">
        <f t="shared" si="432"/>
        <v>0</v>
      </c>
      <c r="K4422" s="40"/>
      <c r="Q4422" s="40">
        <v>39532</v>
      </c>
      <c r="R4422" s="39">
        <v>6524.71</v>
      </c>
      <c r="S4422" s="39">
        <f t="shared" si="433"/>
        <v>3</v>
      </c>
      <c r="T4422" s="39">
        <f t="shared" si="434"/>
        <v>0</v>
      </c>
      <c r="U4422" s="39">
        <f t="shared" si="435"/>
        <v>0</v>
      </c>
      <c r="V4422" s="40"/>
    </row>
    <row r="4423" spans="2:22" x14ac:dyDescent="0.35">
      <c r="B4423" s="40">
        <v>39533</v>
      </c>
      <c r="C4423" s="39">
        <v>6489.26</v>
      </c>
      <c r="D4423" s="219">
        <f t="shared" si="436"/>
        <v>-5.4480051332326841E-3</v>
      </c>
      <c r="F4423" s="40">
        <v>39533</v>
      </c>
      <c r="G4423" s="39">
        <v>6489.26</v>
      </c>
      <c r="H4423" s="39">
        <f t="shared" si="431"/>
        <v>3</v>
      </c>
      <c r="I4423" s="39">
        <f t="shared" si="432"/>
        <v>0</v>
      </c>
      <c r="K4423" s="40"/>
      <c r="Q4423" s="40">
        <v>39533</v>
      </c>
      <c r="R4423" s="39">
        <v>6489.26</v>
      </c>
      <c r="S4423" s="39">
        <f t="shared" si="433"/>
        <v>3</v>
      </c>
      <c r="T4423" s="39">
        <f t="shared" si="434"/>
        <v>0</v>
      </c>
      <c r="U4423" s="39">
        <f t="shared" si="435"/>
        <v>0</v>
      </c>
      <c r="V4423" s="40"/>
    </row>
    <row r="4424" spans="2:22" x14ac:dyDescent="0.35">
      <c r="B4424" s="40">
        <v>39534</v>
      </c>
      <c r="C4424" s="39">
        <v>6578.06</v>
      </c>
      <c r="D4424" s="219">
        <f t="shared" si="436"/>
        <v>1.3591366395339137E-2</v>
      </c>
      <c r="F4424" s="40">
        <v>39534</v>
      </c>
      <c r="G4424" s="39">
        <v>6578.06</v>
      </c>
      <c r="H4424" s="39">
        <f t="shared" si="431"/>
        <v>4</v>
      </c>
      <c r="I4424" s="39">
        <f t="shared" si="432"/>
        <v>0</v>
      </c>
      <c r="K4424" s="40"/>
      <c r="Q4424" s="40">
        <v>39534</v>
      </c>
      <c r="R4424" s="39">
        <v>6578.06</v>
      </c>
      <c r="S4424" s="39">
        <f t="shared" si="433"/>
        <v>3</v>
      </c>
      <c r="T4424" s="39">
        <f t="shared" si="434"/>
        <v>0</v>
      </c>
      <c r="U4424" s="39">
        <f t="shared" si="435"/>
        <v>0</v>
      </c>
      <c r="V4424" s="40"/>
    </row>
    <row r="4425" spans="2:22" x14ac:dyDescent="0.35">
      <c r="B4425" s="40">
        <v>39535</v>
      </c>
      <c r="C4425" s="39">
        <v>6559.9</v>
      </c>
      <c r="D4425" s="219">
        <f t="shared" si="436"/>
        <v>-2.7645101013663437E-3</v>
      </c>
      <c r="F4425" s="40">
        <v>39535</v>
      </c>
      <c r="G4425" s="39">
        <v>6559.9</v>
      </c>
      <c r="H4425" s="39">
        <f t="shared" si="431"/>
        <v>5</v>
      </c>
      <c r="I4425" s="39">
        <f t="shared" si="432"/>
        <v>6559.9</v>
      </c>
      <c r="K4425" s="40"/>
      <c r="Q4425" s="40">
        <v>39535</v>
      </c>
      <c r="R4425" s="39">
        <v>6559.9</v>
      </c>
      <c r="S4425" s="39">
        <f t="shared" si="433"/>
        <v>3</v>
      </c>
      <c r="T4425" s="39">
        <f t="shared" si="434"/>
        <v>0</v>
      </c>
      <c r="U4425" s="39">
        <f t="shared" si="435"/>
        <v>0</v>
      </c>
      <c r="V4425" s="40"/>
    </row>
    <row r="4426" spans="2:22" x14ac:dyDescent="0.35">
      <c r="B4426" s="40">
        <v>39538</v>
      </c>
      <c r="C4426" s="39">
        <v>6534.97</v>
      </c>
      <c r="D4426" s="219">
        <f t="shared" si="436"/>
        <v>-3.8076025373675092E-3</v>
      </c>
      <c r="F4426" s="40">
        <v>39538</v>
      </c>
      <c r="G4426" s="39">
        <v>6534.97</v>
      </c>
      <c r="H4426" s="39">
        <f t="shared" si="431"/>
        <v>1</v>
      </c>
      <c r="I4426" s="39">
        <f t="shared" si="432"/>
        <v>0</v>
      </c>
      <c r="K4426" s="40"/>
      <c r="Q4426" s="40">
        <v>39538</v>
      </c>
      <c r="R4426" s="39">
        <v>6534.97</v>
      </c>
      <c r="S4426" s="39">
        <f t="shared" si="433"/>
        <v>3</v>
      </c>
      <c r="T4426" s="39">
        <f t="shared" si="434"/>
        <v>6534.97</v>
      </c>
      <c r="U4426" s="39">
        <f t="shared" si="435"/>
        <v>6534.97</v>
      </c>
      <c r="V4426" s="40"/>
    </row>
    <row r="4427" spans="2:22" x14ac:dyDescent="0.35">
      <c r="B4427" s="40">
        <v>39539</v>
      </c>
      <c r="C4427" s="39">
        <v>6720.33</v>
      </c>
      <c r="D4427" s="219">
        <f t="shared" si="436"/>
        <v>2.7969504072197442E-2</v>
      </c>
      <c r="F4427" s="40">
        <v>39539</v>
      </c>
      <c r="G4427" s="39">
        <v>6720.33</v>
      </c>
      <c r="H4427" s="39">
        <f t="shared" si="431"/>
        <v>2</v>
      </c>
      <c r="I4427" s="39">
        <f t="shared" si="432"/>
        <v>0</v>
      </c>
      <c r="K4427" s="40"/>
      <c r="Q4427" s="40">
        <v>39539</v>
      </c>
      <c r="R4427" s="39">
        <v>6720.33</v>
      </c>
      <c r="S4427" s="39">
        <f t="shared" si="433"/>
        <v>4</v>
      </c>
      <c r="T4427" s="39">
        <f t="shared" si="434"/>
        <v>0</v>
      </c>
      <c r="U4427" s="39">
        <f t="shared" si="435"/>
        <v>0</v>
      </c>
      <c r="V4427" s="40"/>
    </row>
    <row r="4428" spans="2:22" x14ac:dyDescent="0.35">
      <c r="B4428" s="40">
        <v>39540</v>
      </c>
      <c r="C4428" s="39">
        <v>6777.44</v>
      </c>
      <c r="D4428" s="219">
        <f t="shared" si="436"/>
        <v>8.4621890574610586E-3</v>
      </c>
      <c r="F4428" s="40">
        <v>39540</v>
      </c>
      <c r="G4428" s="39">
        <v>6777.44</v>
      </c>
      <c r="H4428" s="39">
        <f t="shared" si="431"/>
        <v>3</v>
      </c>
      <c r="I4428" s="39">
        <f t="shared" si="432"/>
        <v>0</v>
      </c>
      <c r="K4428" s="40"/>
      <c r="Q4428" s="40">
        <v>39540</v>
      </c>
      <c r="R4428" s="39">
        <v>6777.44</v>
      </c>
      <c r="S4428" s="39">
        <f t="shared" si="433"/>
        <v>4</v>
      </c>
      <c r="T4428" s="39">
        <f t="shared" si="434"/>
        <v>0</v>
      </c>
      <c r="U4428" s="39">
        <f t="shared" si="435"/>
        <v>0</v>
      </c>
      <c r="V4428" s="40"/>
    </row>
    <row r="4429" spans="2:22" x14ac:dyDescent="0.35">
      <c r="B4429" s="40">
        <v>39541</v>
      </c>
      <c r="C4429" s="39">
        <v>6741.72</v>
      </c>
      <c r="D4429" s="219">
        <f t="shared" si="436"/>
        <v>-5.2843642832700426E-3</v>
      </c>
      <c r="F4429" s="40">
        <v>39541</v>
      </c>
      <c r="G4429" s="39">
        <v>6741.72</v>
      </c>
      <c r="H4429" s="39">
        <f t="shared" si="431"/>
        <v>4</v>
      </c>
      <c r="I4429" s="39">
        <f t="shared" si="432"/>
        <v>0</v>
      </c>
      <c r="K4429" s="40"/>
      <c r="Q4429" s="40">
        <v>39541</v>
      </c>
      <c r="R4429" s="39">
        <v>6741.72</v>
      </c>
      <c r="S4429" s="39">
        <f t="shared" si="433"/>
        <v>4</v>
      </c>
      <c r="T4429" s="39">
        <f t="shared" si="434"/>
        <v>0</v>
      </c>
      <c r="U4429" s="39">
        <f t="shared" si="435"/>
        <v>0</v>
      </c>
      <c r="V4429" s="40"/>
    </row>
    <row r="4430" spans="2:22" x14ac:dyDescent="0.35">
      <c r="B4430" s="40">
        <v>39542</v>
      </c>
      <c r="C4430" s="39">
        <v>6763.39</v>
      </c>
      <c r="D4430" s="219">
        <f t="shared" si="436"/>
        <v>3.2091583997062708E-3</v>
      </c>
      <c r="F4430" s="40">
        <v>39542</v>
      </c>
      <c r="G4430" s="39">
        <v>6763.39</v>
      </c>
      <c r="H4430" s="39">
        <f t="shared" si="431"/>
        <v>5</v>
      </c>
      <c r="I4430" s="39">
        <f t="shared" si="432"/>
        <v>6763.39</v>
      </c>
      <c r="K4430" s="40"/>
      <c r="Q4430" s="40">
        <v>39542</v>
      </c>
      <c r="R4430" s="39">
        <v>6763.39</v>
      </c>
      <c r="S4430" s="39">
        <f t="shared" si="433"/>
        <v>4</v>
      </c>
      <c r="T4430" s="39">
        <f t="shared" si="434"/>
        <v>0</v>
      </c>
      <c r="U4430" s="39">
        <f t="shared" si="435"/>
        <v>0</v>
      </c>
      <c r="V4430" s="40"/>
    </row>
    <row r="4431" spans="2:22" x14ac:dyDescent="0.35">
      <c r="B4431" s="40">
        <v>39545</v>
      </c>
      <c r="C4431" s="39">
        <v>6821.03</v>
      </c>
      <c r="D4431" s="219">
        <f t="shared" si="436"/>
        <v>8.4862431988987058E-3</v>
      </c>
      <c r="F4431" s="40">
        <v>39545</v>
      </c>
      <c r="G4431" s="39">
        <v>6821.03</v>
      </c>
      <c r="H4431" s="39">
        <f t="shared" si="431"/>
        <v>1</v>
      </c>
      <c r="I4431" s="39">
        <f t="shared" si="432"/>
        <v>0</v>
      </c>
      <c r="K4431" s="40"/>
      <c r="Q4431" s="40">
        <v>39545</v>
      </c>
      <c r="R4431" s="39">
        <v>6821.03</v>
      </c>
      <c r="S4431" s="39">
        <f t="shared" si="433"/>
        <v>4</v>
      </c>
      <c r="T4431" s="39">
        <f t="shared" si="434"/>
        <v>0</v>
      </c>
      <c r="U4431" s="39">
        <f t="shared" si="435"/>
        <v>0</v>
      </c>
      <c r="V4431" s="40"/>
    </row>
    <row r="4432" spans="2:22" x14ac:dyDescent="0.35">
      <c r="B4432" s="40">
        <v>39546</v>
      </c>
      <c r="C4432" s="39">
        <v>6771.98</v>
      </c>
      <c r="D4432" s="219">
        <f t="shared" si="436"/>
        <v>-7.2169759157384682E-3</v>
      </c>
      <c r="F4432" s="40">
        <v>39546</v>
      </c>
      <c r="G4432" s="39">
        <v>6771.98</v>
      </c>
      <c r="H4432" s="39">
        <f t="shared" si="431"/>
        <v>2</v>
      </c>
      <c r="I4432" s="39">
        <f t="shared" si="432"/>
        <v>0</v>
      </c>
      <c r="K4432" s="40"/>
      <c r="Q4432" s="40">
        <v>39546</v>
      </c>
      <c r="R4432" s="39">
        <v>6771.98</v>
      </c>
      <c r="S4432" s="39">
        <f t="shared" si="433"/>
        <v>4</v>
      </c>
      <c r="T4432" s="39">
        <f t="shared" si="434"/>
        <v>0</v>
      </c>
      <c r="U4432" s="39">
        <f t="shared" si="435"/>
        <v>0</v>
      </c>
      <c r="V4432" s="40"/>
    </row>
    <row r="4433" spans="2:22" x14ac:dyDescent="0.35">
      <c r="B4433" s="40">
        <v>39547</v>
      </c>
      <c r="C4433" s="39">
        <v>6721.36</v>
      </c>
      <c r="D4433" s="219">
        <f t="shared" si="436"/>
        <v>-7.5029959180798276E-3</v>
      </c>
      <c r="F4433" s="40">
        <v>39547</v>
      </c>
      <c r="G4433" s="39">
        <v>6721.36</v>
      </c>
      <c r="H4433" s="39">
        <f t="shared" si="431"/>
        <v>3</v>
      </c>
      <c r="I4433" s="39">
        <f t="shared" si="432"/>
        <v>0</v>
      </c>
      <c r="K4433" s="40"/>
      <c r="Q4433" s="40">
        <v>39547</v>
      </c>
      <c r="R4433" s="39">
        <v>6721.36</v>
      </c>
      <c r="S4433" s="39">
        <f t="shared" si="433"/>
        <v>4</v>
      </c>
      <c r="T4433" s="39">
        <f t="shared" si="434"/>
        <v>0</v>
      </c>
      <c r="U4433" s="39">
        <f t="shared" si="435"/>
        <v>0</v>
      </c>
      <c r="V4433" s="40"/>
    </row>
    <row r="4434" spans="2:22" x14ac:dyDescent="0.35">
      <c r="B4434" s="40">
        <v>39548</v>
      </c>
      <c r="C4434" s="39">
        <v>6704.32</v>
      </c>
      <c r="D4434" s="219">
        <f t="shared" si="436"/>
        <v>-2.5384202736664497E-3</v>
      </c>
      <c r="F4434" s="40">
        <v>39548</v>
      </c>
      <c r="G4434" s="39">
        <v>6704.32</v>
      </c>
      <c r="H4434" s="39">
        <f t="shared" si="431"/>
        <v>4</v>
      </c>
      <c r="I4434" s="39">
        <f t="shared" si="432"/>
        <v>0</v>
      </c>
      <c r="K4434" s="40"/>
      <c r="Q4434" s="40">
        <v>39548</v>
      </c>
      <c r="R4434" s="39">
        <v>6704.32</v>
      </c>
      <c r="S4434" s="39">
        <f t="shared" si="433"/>
        <v>4</v>
      </c>
      <c r="T4434" s="39">
        <f t="shared" si="434"/>
        <v>0</v>
      </c>
      <c r="U4434" s="39">
        <f t="shared" si="435"/>
        <v>0</v>
      </c>
      <c r="V4434" s="40"/>
    </row>
    <row r="4435" spans="2:22" x14ac:dyDescent="0.35">
      <c r="B4435" s="40">
        <v>39549</v>
      </c>
      <c r="C4435" s="39">
        <v>6603.57</v>
      </c>
      <c r="D4435" s="219">
        <f t="shared" si="436"/>
        <v>-1.5141682852811596E-2</v>
      </c>
      <c r="F4435" s="40">
        <v>39549</v>
      </c>
      <c r="G4435" s="39">
        <v>6603.57</v>
      </c>
      <c r="H4435" s="39">
        <f t="shared" si="431"/>
        <v>5</v>
      </c>
      <c r="I4435" s="39">
        <f t="shared" si="432"/>
        <v>6603.57</v>
      </c>
      <c r="K4435" s="40"/>
      <c r="Q4435" s="40">
        <v>39549</v>
      </c>
      <c r="R4435" s="39">
        <v>6603.57</v>
      </c>
      <c r="S4435" s="39">
        <f t="shared" si="433"/>
        <v>4</v>
      </c>
      <c r="T4435" s="39">
        <f t="shared" si="434"/>
        <v>0</v>
      </c>
      <c r="U4435" s="39">
        <f t="shared" si="435"/>
        <v>0</v>
      </c>
      <c r="V4435" s="40"/>
    </row>
    <row r="4436" spans="2:22" x14ac:dyDescent="0.35">
      <c r="B4436" s="40">
        <v>39552</v>
      </c>
      <c r="C4436" s="39">
        <v>6554.49</v>
      </c>
      <c r="D4436" s="219">
        <f t="shared" si="436"/>
        <v>-7.4601008995232284E-3</v>
      </c>
      <c r="F4436" s="40">
        <v>39552</v>
      </c>
      <c r="G4436" s="39">
        <v>6554.49</v>
      </c>
      <c r="H4436" s="39">
        <f t="shared" si="431"/>
        <v>1</v>
      </c>
      <c r="I4436" s="39">
        <f t="shared" si="432"/>
        <v>0</v>
      </c>
      <c r="K4436" s="40"/>
      <c r="Q4436" s="40">
        <v>39552</v>
      </c>
      <c r="R4436" s="39">
        <v>6554.49</v>
      </c>
      <c r="S4436" s="39">
        <f t="shared" si="433"/>
        <v>4</v>
      </c>
      <c r="T4436" s="39">
        <f t="shared" si="434"/>
        <v>0</v>
      </c>
      <c r="U4436" s="39">
        <f t="shared" si="435"/>
        <v>0</v>
      </c>
      <c r="V4436" s="40"/>
    </row>
    <row r="4437" spans="2:22" x14ac:dyDescent="0.35">
      <c r="B4437" s="40">
        <v>39553</v>
      </c>
      <c r="C4437" s="39">
        <v>6585.05</v>
      </c>
      <c r="D4437" s="219">
        <f t="shared" si="436"/>
        <v>4.6516171956688503E-3</v>
      </c>
      <c r="F4437" s="40">
        <v>39553</v>
      </c>
      <c r="G4437" s="39">
        <v>6585.05</v>
      </c>
      <c r="H4437" s="39">
        <f t="shared" si="431"/>
        <v>2</v>
      </c>
      <c r="I4437" s="39">
        <f t="shared" si="432"/>
        <v>0</v>
      </c>
      <c r="K4437" s="40"/>
      <c r="Q4437" s="40">
        <v>39553</v>
      </c>
      <c r="R4437" s="39">
        <v>6585.05</v>
      </c>
      <c r="S4437" s="39">
        <f t="shared" si="433"/>
        <v>4</v>
      </c>
      <c r="T4437" s="39">
        <f t="shared" si="434"/>
        <v>0</v>
      </c>
      <c r="U4437" s="39">
        <f t="shared" si="435"/>
        <v>0</v>
      </c>
      <c r="V4437" s="40"/>
    </row>
    <row r="4438" spans="2:22" x14ac:dyDescent="0.35">
      <c r="B4438" s="40">
        <v>39554</v>
      </c>
      <c r="C4438" s="39">
        <v>6702.84</v>
      </c>
      <c r="D4438" s="219">
        <f t="shared" si="436"/>
        <v>1.772938900108962E-2</v>
      </c>
      <c r="F4438" s="40">
        <v>39554</v>
      </c>
      <c r="G4438" s="39">
        <v>6702.84</v>
      </c>
      <c r="H4438" s="39">
        <f t="shared" si="431"/>
        <v>3</v>
      </c>
      <c r="I4438" s="39">
        <f t="shared" si="432"/>
        <v>0</v>
      </c>
      <c r="K4438" s="40"/>
      <c r="Q4438" s="40">
        <v>39554</v>
      </c>
      <c r="R4438" s="39">
        <v>6702.84</v>
      </c>
      <c r="S4438" s="39">
        <f t="shared" si="433"/>
        <v>4</v>
      </c>
      <c r="T4438" s="39">
        <f t="shared" si="434"/>
        <v>0</v>
      </c>
      <c r="U4438" s="39">
        <f t="shared" si="435"/>
        <v>0</v>
      </c>
      <c r="V4438" s="40"/>
    </row>
    <row r="4439" spans="2:22" x14ac:dyDescent="0.35">
      <c r="B4439" s="40">
        <v>39555</v>
      </c>
      <c r="C4439" s="39">
        <v>6681.81</v>
      </c>
      <c r="D4439" s="219">
        <f t="shared" si="436"/>
        <v>-3.1424082520590192E-3</v>
      </c>
      <c r="F4439" s="40">
        <v>39555</v>
      </c>
      <c r="G4439" s="39">
        <v>6681.81</v>
      </c>
      <c r="H4439" s="39">
        <f t="shared" si="431"/>
        <v>4</v>
      </c>
      <c r="I4439" s="39">
        <f t="shared" si="432"/>
        <v>0</v>
      </c>
      <c r="K4439" s="40"/>
      <c r="Q4439" s="40">
        <v>39555</v>
      </c>
      <c r="R4439" s="39">
        <v>6681.81</v>
      </c>
      <c r="S4439" s="39">
        <f t="shared" si="433"/>
        <v>4</v>
      </c>
      <c r="T4439" s="39">
        <f t="shared" si="434"/>
        <v>0</v>
      </c>
      <c r="U4439" s="39">
        <f t="shared" si="435"/>
        <v>0</v>
      </c>
      <c r="V4439" s="40"/>
    </row>
    <row r="4440" spans="2:22" x14ac:dyDescent="0.35">
      <c r="B4440" s="40">
        <v>39556</v>
      </c>
      <c r="C4440" s="39">
        <v>6843.08</v>
      </c>
      <c r="D4440" s="219">
        <f t="shared" si="436"/>
        <v>2.3849013751047265E-2</v>
      </c>
      <c r="F4440" s="40">
        <v>39556</v>
      </c>
      <c r="G4440" s="39">
        <v>6843.08</v>
      </c>
      <c r="H4440" s="39">
        <f t="shared" si="431"/>
        <v>5</v>
      </c>
      <c r="I4440" s="39">
        <f t="shared" si="432"/>
        <v>6843.08</v>
      </c>
      <c r="K4440" s="40"/>
      <c r="Q4440" s="40">
        <v>39556</v>
      </c>
      <c r="R4440" s="39">
        <v>6843.08</v>
      </c>
      <c r="S4440" s="39">
        <f t="shared" si="433"/>
        <v>4</v>
      </c>
      <c r="T4440" s="39">
        <f t="shared" si="434"/>
        <v>0</v>
      </c>
      <c r="U4440" s="39">
        <f t="shared" si="435"/>
        <v>0</v>
      </c>
      <c r="V4440" s="40"/>
    </row>
    <row r="4441" spans="2:22" x14ac:dyDescent="0.35">
      <c r="B4441" s="40">
        <v>39559</v>
      </c>
      <c r="C4441" s="39">
        <v>6786.55</v>
      </c>
      <c r="D4441" s="219">
        <f t="shared" si="436"/>
        <v>-8.29521038421396E-3</v>
      </c>
      <c r="F4441" s="40">
        <v>39559</v>
      </c>
      <c r="G4441" s="39">
        <v>6786.55</v>
      </c>
      <c r="H4441" s="39">
        <f t="shared" si="431"/>
        <v>1</v>
      </c>
      <c r="I4441" s="39">
        <f t="shared" si="432"/>
        <v>0</v>
      </c>
      <c r="K4441" s="40"/>
      <c r="Q4441" s="40">
        <v>39559</v>
      </c>
      <c r="R4441" s="39">
        <v>6786.55</v>
      </c>
      <c r="S4441" s="39">
        <f t="shared" si="433"/>
        <v>4</v>
      </c>
      <c r="T4441" s="39">
        <f t="shared" si="434"/>
        <v>0</v>
      </c>
      <c r="U4441" s="39">
        <f t="shared" si="435"/>
        <v>0</v>
      </c>
      <c r="V4441" s="40"/>
    </row>
    <row r="4442" spans="2:22" x14ac:dyDescent="0.35">
      <c r="B4442" s="40">
        <v>39560</v>
      </c>
      <c r="C4442" s="39">
        <v>6728.3</v>
      </c>
      <c r="D4442" s="219">
        <f t="shared" si="436"/>
        <v>-8.6202008460771438E-3</v>
      </c>
      <c r="F4442" s="40">
        <v>39560</v>
      </c>
      <c r="G4442" s="39">
        <v>6728.3</v>
      </c>
      <c r="H4442" s="39">
        <f t="shared" si="431"/>
        <v>2</v>
      </c>
      <c r="I4442" s="39">
        <f t="shared" si="432"/>
        <v>0</v>
      </c>
      <c r="K4442" s="40"/>
      <c r="Q4442" s="40">
        <v>39560</v>
      </c>
      <c r="R4442" s="39">
        <v>6728.3</v>
      </c>
      <c r="S4442" s="39">
        <f t="shared" si="433"/>
        <v>4</v>
      </c>
      <c r="T4442" s="39">
        <f t="shared" si="434"/>
        <v>0</v>
      </c>
      <c r="U4442" s="39">
        <f t="shared" si="435"/>
        <v>0</v>
      </c>
      <c r="V4442" s="40"/>
    </row>
    <row r="4443" spans="2:22" x14ac:dyDescent="0.35">
      <c r="B4443" s="40">
        <v>39561</v>
      </c>
      <c r="C4443" s="39">
        <v>6795.03</v>
      </c>
      <c r="D4443" s="219">
        <f t="shared" si="436"/>
        <v>9.8689511537673365E-3</v>
      </c>
      <c r="F4443" s="40">
        <v>39561</v>
      </c>
      <c r="G4443" s="39">
        <v>6795.03</v>
      </c>
      <c r="H4443" s="39">
        <f t="shared" si="431"/>
        <v>3</v>
      </c>
      <c r="I4443" s="39">
        <f t="shared" si="432"/>
        <v>0</v>
      </c>
      <c r="K4443" s="40"/>
      <c r="Q4443" s="40">
        <v>39561</v>
      </c>
      <c r="R4443" s="39">
        <v>6795.03</v>
      </c>
      <c r="S4443" s="39">
        <f t="shared" si="433"/>
        <v>4</v>
      </c>
      <c r="T4443" s="39">
        <f t="shared" si="434"/>
        <v>0</v>
      </c>
      <c r="U4443" s="39">
        <f t="shared" si="435"/>
        <v>0</v>
      </c>
      <c r="V4443" s="40"/>
    </row>
    <row r="4444" spans="2:22" x14ac:dyDescent="0.35">
      <c r="B4444" s="40">
        <v>39562</v>
      </c>
      <c r="C4444" s="39">
        <v>6821.32</v>
      </c>
      <c r="D4444" s="219">
        <f t="shared" si="436"/>
        <v>3.8615389099965424E-3</v>
      </c>
      <c r="F4444" s="40">
        <v>39562</v>
      </c>
      <c r="G4444" s="39">
        <v>6821.32</v>
      </c>
      <c r="H4444" s="39">
        <f t="shared" si="431"/>
        <v>4</v>
      </c>
      <c r="I4444" s="39">
        <f t="shared" si="432"/>
        <v>0</v>
      </c>
      <c r="K4444" s="40"/>
      <c r="Q4444" s="40">
        <v>39562</v>
      </c>
      <c r="R4444" s="39">
        <v>6821.32</v>
      </c>
      <c r="S4444" s="39">
        <f t="shared" si="433"/>
        <v>4</v>
      </c>
      <c r="T4444" s="39">
        <f t="shared" si="434"/>
        <v>0</v>
      </c>
      <c r="U4444" s="39">
        <f t="shared" si="435"/>
        <v>0</v>
      </c>
      <c r="V4444" s="40"/>
    </row>
    <row r="4445" spans="2:22" x14ac:dyDescent="0.35">
      <c r="B4445" s="40">
        <v>39563</v>
      </c>
      <c r="C4445" s="39">
        <v>6896.58</v>
      </c>
      <c r="D4445" s="219">
        <f t="shared" si="436"/>
        <v>1.0972635038762718E-2</v>
      </c>
      <c r="F4445" s="40">
        <v>39563</v>
      </c>
      <c r="G4445" s="39">
        <v>6896.58</v>
      </c>
      <c r="H4445" s="39">
        <f t="shared" si="431"/>
        <v>5</v>
      </c>
      <c r="I4445" s="39">
        <f t="shared" si="432"/>
        <v>6896.58</v>
      </c>
      <c r="K4445" s="40"/>
      <c r="Q4445" s="40">
        <v>39563</v>
      </c>
      <c r="R4445" s="39">
        <v>6896.58</v>
      </c>
      <c r="S4445" s="39">
        <f t="shared" si="433"/>
        <v>4</v>
      </c>
      <c r="T4445" s="39">
        <f t="shared" si="434"/>
        <v>0</v>
      </c>
      <c r="U4445" s="39">
        <f t="shared" si="435"/>
        <v>0</v>
      </c>
      <c r="V4445" s="40"/>
    </row>
    <row r="4446" spans="2:22" x14ac:dyDescent="0.35">
      <c r="B4446" s="40">
        <v>39566</v>
      </c>
      <c r="C4446" s="39">
        <v>6925.33</v>
      </c>
      <c r="D4446" s="219">
        <f t="shared" si="436"/>
        <v>4.1600678144587018E-3</v>
      </c>
      <c r="F4446" s="40">
        <v>39566</v>
      </c>
      <c r="G4446" s="39">
        <v>6925.33</v>
      </c>
      <c r="H4446" s="39">
        <f t="shared" si="431"/>
        <v>1</v>
      </c>
      <c r="I4446" s="39">
        <f t="shared" si="432"/>
        <v>0</v>
      </c>
      <c r="K4446" s="40"/>
      <c r="Q4446" s="40">
        <v>39566</v>
      </c>
      <c r="R4446" s="39">
        <v>6925.33</v>
      </c>
      <c r="S4446" s="39">
        <f t="shared" si="433"/>
        <v>4</v>
      </c>
      <c r="T4446" s="39">
        <f t="shared" si="434"/>
        <v>0</v>
      </c>
      <c r="U4446" s="39">
        <f t="shared" si="435"/>
        <v>0</v>
      </c>
      <c r="V4446" s="40"/>
    </row>
    <row r="4447" spans="2:22" x14ac:dyDescent="0.35">
      <c r="B4447" s="40">
        <v>39567</v>
      </c>
      <c r="C4447" s="39">
        <v>6885.34</v>
      </c>
      <c r="D4447" s="219">
        <f t="shared" si="436"/>
        <v>-5.7911906902350834E-3</v>
      </c>
      <c r="F4447" s="40">
        <v>39567</v>
      </c>
      <c r="G4447" s="39">
        <v>6885.34</v>
      </c>
      <c r="H4447" s="39">
        <f t="shared" si="431"/>
        <v>2</v>
      </c>
      <c r="I4447" s="39">
        <f t="shared" si="432"/>
        <v>0</v>
      </c>
      <c r="K4447" s="40"/>
      <c r="Q4447" s="40">
        <v>39567</v>
      </c>
      <c r="R4447" s="39">
        <v>6885.34</v>
      </c>
      <c r="S4447" s="39">
        <f t="shared" si="433"/>
        <v>4</v>
      </c>
      <c r="T4447" s="39">
        <f t="shared" si="434"/>
        <v>0</v>
      </c>
      <c r="U4447" s="39">
        <f t="shared" si="435"/>
        <v>0</v>
      </c>
      <c r="V4447" s="40"/>
    </row>
    <row r="4448" spans="2:22" x14ac:dyDescent="0.35">
      <c r="B4448" s="40">
        <v>39568</v>
      </c>
      <c r="C4448" s="39">
        <v>6948.82</v>
      </c>
      <c r="D4448" s="219">
        <f t="shared" si="436"/>
        <v>9.1773473116932361E-3</v>
      </c>
      <c r="F4448" s="40">
        <v>39568</v>
      </c>
      <c r="G4448" s="39">
        <v>6948.82</v>
      </c>
      <c r="H4448" s="39">
        <f t="shared" si="431"/>
        <v>3</v>
      </c>
      <c r="I4448" s="39">
        <f t="shared" si="432"/>
        <v>0</v>
      </c>
      <c r="K4448" s="40"/>
      <c r="Q4448" s="40">
        <v>39568</v>
      </c>
      <c r="R4448" s="39">
        <v>6948.82</v>
      </c>
      <c r="S4448" s="39">
        <f t="shared" si="433"/>
        <v>4</v>
      </c>
      <c r="T4448" s="39">
        <f t="shared" si="434"/>
        <v>6948.82</v>
      </c>
      <c r="U4448" s="39">
        <f t="shared" si="435"/>
        <v>6948.82</v>
      </c>
      <c r="V4448" s="40"/>
    </row>
    <row r="4449" spans="2:22" x14ac:dyDescent="0.35">
      <c r="B4449" s="40">
        <v>39570</v>
      </c>
      <c r="C4449" s="39">
        <v>7043.23</v>
      </c>
      <c r="D4449" s="219">
        <f t="shared" si="436"/>
        <v>1.3495010779392464E-2</v>
      </c>
      <c r="F4449" s="40">
        <v>39570</v>
      </c>
      <c r="G4449" s="39">
        <v>7043.23</v>
      </c>
      <c r="H4449" s="39">
        <f t="shared" si="431"/>
        <v>5</v>
      </c>
      <c r="I4449" s="39">
        <f t="shared" si="432"/>
        <v>7043.23</v>
      </c>
      <c r="K4449" s="40"/>
      <c r="Q4449" s="40">
        <v>39570</v>
      </c>
      <c r="R4449" s="39">
        <v>7043.23</v>
      </c>
      <c r="S4449" s="39">
        <f t="shared" si="433"/>
        <v>5</v>
      </c>
      <c r="T4449" s="39">
        <f t="shared" si="434"/>
        <v>0</v>
      </c>
      <c r="U4449" s="39">
        <f t="shared" si="435"/>
        <v>0</v>
      </c>
      <c r="V4449" s="40"/>
    </row>
    <row r="4450" spans="2:22" x14ac:dyDescent="0.35">
      <c r="B4450" s="40">
        <v>39573</v>
      </c>
      <c r="C4450" s="39">
        <v>7052.08</v>
      </c>
      <c r="D4450" s="219">
        <f t="shared" si="436"/>
        <v>1.2557370023001117E-3</v>
      </c>
      <c r="F4450" s="40">
        <v>39573</v>
      </c>
      <c r="G4450" s="39">
        <v>7052.08</v>
      </c>
      <c r="H4450" s="39">
        <f t="shared" si="431"/>
        <v>1</v>
      </c>
      <c r="I4450" s="39">
        <f t="shared" si="432"/>
        <v>0</v>
      </c>
      <c r="K4450" s="40"/>
      <c r="Q4450" s="40">
        <v>39573</v>
      </c>
      <c r="R4450" s="39">
        <v>7052.08</v>
      </c>
      <c r="S4450" s="39">
        <f t="shared" si="433"/>
        <v>5</v>
      </c>
      <c r="T4450" s="39">
        <f t="shared" si="434"/>
        <v>0</v>
      </c>
      <c r="U4450" s="39">
        <f t="shared" si="435"/>
        <v>0</v>
      </c>
      <c r="V4450" s="40"/>
    </row>
    <row r="4451" spans="2:22" x14ac:dyDescent="0.35">
      <c r="B4451" s="40">
        <v>39574</v>
      </c>
      <c r="C4451" s="39">
        <v>7017.1</v>
      </c>
      <c r="D4451" s="219">
        <f t="shared" si="436"/>
        <v>-4.9725814977009336E-3</v>
      </c>
      <c r="F4451" s="40">
        <v>39574</v>
      </c>
      <c r="G4451" s="39">
        <v>7017.1</v>
      </c>
      <c r="H4451" s="39">
        <f t="shared" si="431"/>
        <v>2</v>
      </c>
      <c r="I4451" s="39">
        <f t="shared" si="432"/>
        <v>0</v>
      </c>
      <c r="K4451" s="40"/>
      <c r="Q4451" s="40">
        <v>39574</v>
      </c>
      <c r="R4451" s="39">
        <v>7017.1</v>
      </c>
      <c r="S4451" s="39">
        <f t="shared" si="433"/>
        <v>5</v>
      </c>
      <c r="T4451" s="39">
        <f t="shared" si="434"/>
        <v>0</v>
      </c>
      <c r="U4451" s="39">
        <f t="shared" si="435"/>
        <v>0</v>
      </c>
      <c r="V4451" s="40"/>
    </row>
    <row r="4452" spans="2:22" x14ac:dyDescent="0.35">
      <c r="B4452" s="40">
        <v>39575</v>
      </c>
      <c r="C4452" s="39">
        <v>7076.25</v>
      </c>
      <c r="D4452" s="219">
        <f t="shared" si="436"/>
        <v>8.3940790956662393E-3</v>
      </c>
      <c r="F4452" s="40">
        <v>39575</v>
      </c>
      <c r="G4452" s="39">
        <v>7076.25</v>
      </c>
      <c r="H4452" s="39">
        <f t="shared" si="431"/>
        <v>3</v>
      </c>
      <c r="I4452" s="39">
        <f t="shared" si="432"/>
        <v>0</v>
      </c>
      <c r="K4452" s="40"/>
      <c r="Q4452" s="40">
        <v>39575</v>
      </c>
      <c r="R4452" s="39">
        <v>7076.25</v>
      </c>
      <c r="S4452" s="39">
        <f t="shared" si="433"/>
        <v>5</v>
      </c>
      <c r="T4452" s="39">
        <f t="shared" si="434"/>
        <v>0</v>
      </c>
      <c r="U4452" s="39">
        <f t="shared" si="435"/>
        <v>0</v>
      </c>
      <c r="V4452" s="40"/>
    </row>
    <row r="4453" spans="2:22" x14ac:dyDescent="0.35">
      <c r="B4453" s="40">
        <v>39576</v>
      </c>
      <c r="C4453" s="39">
        <v>7071.9</v>
      </c>
      <c r="D4453" s="219">
        <f t="shared" si="436"/>
        <v>-6.1492140485815291E-4</v>
      </c>
      <c r="F4453" s="40">
        <v>39576</v>
      </c>
      <c r="G4453" s="39">
        <v>7071.9</v>
      </c>
      <c r="H4453" s="39">
        <f t="shared" si="431"/>
        <v>4</v>
      </c>
      <c r="I4453" s="39">
        <f t="shared" si="432"/>
        <v>0</v>
      </c>
      <c r="K4453" s="40"/>
      <c r="Q4453" s="40">
        <v>39576</v>
      </c>
      <c r="R4453" s="39">
        <v>7071.9</v>
      </c>
      <c r="S4453" s="39">
        <f t="shared" si="433"/>
        <v>5</v>
      </c>
      <c r="T4453" s="39">
        <f t="shared" si="434"/>
        <v>0</v>
      </c>
      <c r="U4453" s="39">
        <f t="shared" si="435"/>
        <v>0</v>
      </c>
      <c r="V4453" s="40"/>
    </row>
    <row r="4454" spans="2:22" x14ac:dyDescent="0.35">
      <c r="B4454" s="40">
        <v>39577</v>
      </c>
      <c r="C4454" s="39">
        <v>7003.17</v>
      </c>
      <c r="D4454" s="219">
        <f t="shared" si="436"/>
        <v>-9.7662812745532256E-3</v>
      </c>
      <c r="F4454" s="40">
        <v>39577</v>
      </c>
      <c r="G4454" s="39">
        <v>7003.17</v>
      </c>
      <c r="H4454" s="39">
        <f t="shared" si="431"/>
        <v>5</v>
      </c>
      <c r="I4454" s="39">
        <f t="shared" si="432"/>
        <v>7003.17</v>
      </c>
      <c r="K4454" s="40"/>
      <c r="Q4454" s="40">
        <v>39577</v>
      </c>
      <c r="R4454" s="39">
        <v>7003.17</v>
      </c>
      <c r="S4454" s="39">
        <f t="shared" si="433"/>
        <v>5</v>
      </c>
      <c r="T4454" s="39">
        <f t="shared" si="434"/>
        <v>0</v>
      </c>
      <c r="U4454" s="39">
        <f t="shared" si="435"/>
        <v>0</v>
      </c>
      <c r="V4454" s="40"/>
    </row>
    <row r="4455" spans="2:22" x14ac:dyDescent="0.35">
      <c r="B4455" s="40">
        <v>39580</v>
      </c>
      <c r="C4455" s="39">
        <v>7035.95</v>
      </c>
      <c r="D4455" s="219">
        <f t="shared" si="436"/>
        <v>4.6698168503367977E-3</v>
      </c>
      <c r="F4455" s="40">
        <v>39580</v>
      </c>
      <c r="G4455" s="39">
        <v>7035.95</v>
      </c>
      <c r="H4455" s="39">
        <f t="shared" si="431"/>
        <v>1</v>
      </c>
      <c r="I4455" s="39">
        <f t="shared" si="432"/>
        <v>0</v>
      </c>
      <c r="K4455" s="40"/>
      <c r="Q4455" s="40">
        <v>39580</v>
      </c>
      <c r="R4455" s="39">
        <v>7035.95</v>
      </c>
      <c r="S4455" s="39">
        <f t="shared" si="433"/>
        <v>5</v>
      </c>
      <c r="T4455" s="39">
        <f t="shared" si="434"/>
        <v>0</v>
      </c>
      <c r="U4455" s="39">
        <f t="shared" si="435"/>
        <v>0</v>
      </c>
      <c r="V4455" s="40"/>
    </row>
    <row r="4456" spans="2:22" x14ac:dyDescent="0.35">
      <c r="B4456" s="40">
        <v>39581</v>
      </c>
      <c r="C4456" s="39">
        <v>7060.19</v>
      </c>
      <c r="D4456" s="219">
        <f t="shared" si="436"/>
        <v>3.4392427846694474E-3</v>
      </c>
      <c r="F4456" s="40">
        <v>39581</v>
      </c>
      <c r="G4456" s="39">
        <v>7060.19</v>
      </c>
      <c r="H4456" s="39">
        <f t="shared" si="431"/>
        <v>2</v>
      </c>
      <c r="I4456" s="39">
        <f t="shared" si="432"/>
        <v>0</v>
      </c>
      <c r="K4456" s="40"/>
      <c r="Q4456" s="40">
        <v>39581</v>
      </c>
      <c r="R4456" s="39">
        <v>7060.19</v>
      </c>
      <c r="S4456" s="39">
        <f t="shared" si="433"/>
        <v>5</v>
      </c>
      <c r="T4456" s="39">
        <f t="shared" si="434"/>
        <v>0</v>
      </c>
      <c r="U4456" s="39">
        <f t="shared" si="435"/>
        <v>0</v>
      </c>
      <c r="V4456" s="40"/>
    </row>
    <row r="4457" spans="2:22" x14ac:dyDescent="0.35">
      <c r="B4457" s="40">
        <v>39582</v>
      </c>
      <c r="C4457" s="39">
        <v>7083.24</v>
      </c>
      <c r="D4457" s="219">
        <f t="shared" si="436"/>
        <v>3.2594668205899731E-3</v>
      </c>
      <c r="F4457" s="40">
        <v>39582</v>
      </c>
      <c r="G4457" s="39">
        <v>7083.24</v>
      </c>
      <c r="H4457" s="39">
        <f t="shared" si="431"/>
        <v>3</v>
      </c>
      <c r="I4457" s="39">
        <f t="shared" si="432"/>
        <v>0</v>
      </c>
      <c r="K4457" s="40"/>
      <c r="Q4457" s="40">
        <v>39582</v>
      </c>
      <c r="R4457" s="39">
        <v>7083.24</v>
      </c>
      <c r="S4457" s="39">
        <f t="shared" si="433"/>
        <v>5</v>
      </c>
      <c r="T4457" s="39">
        <f t="shared" si="434"/>
        <v>0</v>
      </c>
      <c r="U4457" s="39">
        <f t="shared" si="435"/>
        <v>0</v>
      </c>
      <c r="V4457" s="40"/>
    </row>
    <row r="4458" spans="2:22" x14ac:dyDescent="0.35">
      <c r="B4458" s="40">
        <v>39583</v>
      </c>
      <c r="C4458" s="39">
        <v>7081.05</v>
      </c>
      <c r="D4458" s="219">
        <f t="shared" si="436"/>
        <v>-3.0922835065520327E-4</v>
      </c>
      <c r="F4458" s="40">
        <v>39583</v>
      </c>
      <c r="G4458" s="39">
        <v>7081.05</v>
      </c>
      <c r="H4458" s="39">
        <f t="shared" si="431"/>
        <v>4</v>
      </c>
      <c r="I4458" s="39">
        <f t="shared" si="432"/>
        <v>0</v>
      </c>
      <c r="K4458" s="40"/>
      <c r="Q4458" s="40">
        <v>39583</v>
      </c>
      <c r="R4458" s="39">
        <v>7081.05</v>
      </c>
      <c r="S4458" s="39">
        <f t="shared" si="433"/>
        <v>5</v>
      </c>
      <c r="T4458" s="39">
        <f t="shared" si="434"/>
        <v>0</v>
      </c>
      <c r="U4458" s="39">
        <f t="shared" si="435"/>
        <v>0</v>
      </c>
      <c r="V4458" s="40"/>
    </row>
    <row r="4459" spans="2:22" x14ac:dyDescent="0.35">
      <c r="B4459" s="40">
        <v>39584</v>
      </c>
      <c r="C4459" s="39">
        <v>7156.55</v>
      </c>
      <c r="D4459" s="219">
        <f t="shared" si="436"/>
        <v>1.0605819478953466E-2</v>
      </c>
      <c r="F4459" s="40">
        <v>39584</v>
      </c>
      <c r="G4459" s="39">
        <v>7156.55</v>
      </c>
      <c r="H4459" s="39">
        <f t="shared" si="431"/>
        <v>5</v>
      </c>
      <c r="I4459" s="39">
        <f t="shared" si="432"/>
        <v>7156.55</v>
      </c>
      <c r="K4459" s="40"/>
      <c r="Q4459" s="40">
        <v>39584</v>
      </c>
      <c r="R4459" s="39">
        <v>7156.55</v>
      </c>
      <c r="S4459" s="39">
        <f t="shared" si="433"/>
        <v>5</v>
      </c>
      <c r="T4459" s="39">
        <f t="shared" si="434"/>
        <v>0</v>
      </c>
      <c r="U4459" s="39">
        <f t="shared" si="435"/>
        <v>0</v>
      </c>
      <c r="V4459" s="40"/>
    </row>
    <row r="4460" spans="2:22" x14ac:dyDescent="0.35">
      <c r="B4460" s="40">
        <v>39587</v>
      </c>
      <c r="C4460" s="39">
        <v>7225.94</v>
      </c>
      <c r="D4460" s="219">
        <f t="shared" si="436"/>
        <v>9.6493080687422537E-3</v>
      </c>
      <c r="F4460" s="40">
        <v>39587</v>
      </c>
      <c r="G4460" s="39">
        <v>7225.94</v>
      </c>
      <c r="H4460" s="39">
        <f t="shared" si="431"/>
        <v>1</v>
      </c>
      <c r="I4460" s="39">
        <f t="shared" si="432"/>
        <v>0</v>
      </c>
      <c r="K4460" s="40"/>
      <c r="Q4460" s="40">
        <v>39587</v>
      </c>
      <c r="R4460" s="39">
        <v>7225.94</v>
      </c>
      <c r="S4460" s="39">
        <f t="shared" si="433"/>
        <v>5</v>
      </c>
      <c r="T4460" s="39">
        <f t="shared" si="434"/>
        <v>0</v>
      </c>
      <c r="U4460" s="39">
        <f t="shared" si="435"/>
        <v>0</v>
      </c>
      <c r="V4460" s="40"/>
    </row>
    <row r="4461" spans="2:22" x14ac:dyDescent="0.35">
      <c r="B4461" s="40">
        <v>39588</v>
      </c>
      <c r="C4461" s="39">
        <v>7118.5</v>
      </c>
      <c r="D4461" s="219">
        <f t="shared" si="436"/>
        <v>-1.4980300270294601E-2</v>
      </c>
      <c r="F4461" s="40">
        <v>39588</v>
      </c>
      <c r="G4461" s="39">
        <v>7118.5</v>
      </c>
      <c r="H4461" s="39">
        <f t="shared" si="431"/>
        <v>2</v>
      </c>
      <c r="I4461" s="39">
        <f t="shared" si="432"/>
        <v>0</v>
      </c>
      <c r="K4461" s="40"/>
      <c r="Q4461" s="40">
        <v>39588</v>
      </c>
      <c r="R4461" s="39">
        <v>7118.5</v>
      </c>
      <c r="S4461" s="39">
        <f t="shared" si="433"/>
        <v>5</v>
      </c>
      <c r="T4461" s="39">
        <f t="shared" si="434"/>
        <v>0</v>
      </c>
      <c r="U4461" s="39">
        <f t="shared" si="435"/>
        <v>0</v>
      </c>
      <c r="V4461" s="40"/>
    </row>
    <row r="4462" spans="2:22" x14ac:dyDescent="0.35">
      <c r="B4462" s="40">
        <v>39589</v>
      </c>
      <c r="C4462" s="39">
        <v>7040.83</v>
      </c>
      <c r="D4462" s="219">
        <f t="shared" si="436"/>
        <v>-1.0970968123830515E-2</v>
      </c>
      <c r="F4462" s="40">
        <v>39589</v>
      </c>
      <c r="G4462" s="39">
        <v>7040.83</v>
      </c>
      <c r="H4462" s="39">
        <f t="shared" si="431"/>
        <v>3</v>
      </c>
      <c r="I4462" s="39">
        <f t="shared" si="432"/>
        <v>0</v>
      </c>
      <c r="K4462" s="40"/>
      <c r="Q4462" s="40">
        <v>39589</v>
      </c>
      <c r="R4462" s="39">
        <v>7040.83</v>
      </c>
      <c r="S4462" s="39">
        <f t="shared" si="433"/>
        <v>5</v>
      </c>
      <c r="T4462" s="39">
        <f t="shared" si="434"/>
        <v>0</v>
      </c>
      <c r="U4462" s="39">
        <f t="shared" si="435"/>
        <v>0</v>
      </c>
      <c r="V4462" s="40"/>
    </row>
    <row r="4463" spans="2:22" x14ac:dyDescent="0.35">
      <c r="B4463" s="40">
        <v>39590</v>
      </c>
      <c r="C4463" s="39">
        <v>7070.33</v>
      </c>
      <c r="D4463" s="219">
        <f t="shared" si="436"/>
        <v>4.1810939675344634E-3</v>
      </c>
      <c r="F4463" s="40">
        <v>39590</v>
      </c>
      <c r="G4463" s="39">
        <v>7070.33</v>
      </c>
      <c r="H4463" s="39">
        <f t="shared" si="431"/>
        <v>4</v>
      </c>
      <c r="I4463" s="39">
        <f t="shared" si="432"/>
        <v>0</v>
      </c>
      <c r="K4463" s="40"/>
      <c r="Q4463" s="40">
        <v>39590</v>
      </c>
      <c r="R4463" s="39">
        <v>7070.33</v>
      </c>
      <c r="S4463" s="39">
        <f t="shared" si="433"/>
        <v>5</v>
      </c>
      <c r="T4463" s="39">
        <f t="shared" si="434"/>
        <v>0</v>
      </c>
      <c r="U4463" s="39">
        <f t="shared" si="435"/>
        <v>0</v>
      </c>
      <c r="V4463" s="40"/>
    </row>
    <row r="4464" spans="2:22" x14ac:dyDescent="0.35">
      <c r="B4464" s="40">
        <v>39591</v>
      </c>
      <c r="C4464" s="39">
        <v>6944.05</v>
      </c>
      <c r="D4464" s="219">
        <f t="shared" si="436"/>
        <v>-1.8021977122411981E-2</v>
      </c>
      <c r="F4464" s="40">
        <v>39591</v>
      </c>
      <c r="G4464" s="39">
        <v>6944.05</v>
      </c>
      <c r="H4464" s="39">
        <f t="shared" si="431"/>
        <v>5</v>
      </c>
      <c r="I4464" s="39">
        <f t="shared" si="432"/>
        <v>6944.05</v>
      </c>
      <c r="K4464" s="40"/>
      <c r="Q4464" s="40">
        <v>39591</v>
      </c>
      <c r="R4464" s="39">
        <v>6944.05</v>
      </c>
      <c r="S4464" s="39">
        <f t="shared" si="433"/>
        <v>5</v>
      </c>
      <c r="T4464" s="39">
        <f t="shared" si="434"/>
        <v>0</v>
      </c>
      <c r="U4464" s="39">
        <f t="shared" si="435"/>
        <v>0</v>
      </c>
      <c r="V4464" s="40"/>
    </row>
    <row r="4465" spans="2:22" x14ac:dyDescent="0.35">
      <c r="B4465" s="40">
        <v>39594</v>
      </c>
      <c r="C4465" s="39">
        <v>6953.84</v>
      </c>
      <c r="D4465" s="219">
        <f t="shared" si="436"/>
        <v>1.4088471874948874E-3</v>
      </c>
      <c r="F4465" s="40">
        <v>39594</v>
      </c>
      <c r="G4465" s="39">
        <v>6953.84</v>
      </c>
      <c r="H4465" s="39">
        <f t="shared" si="431"/>
        <v>1</v>
      </c>
      <c r="I4465" s="39">
        <f t="shared" si="432"/>
        <v>0</v>
      </c>
      <c r="K4465" s="40"/>
      <c r="Q4465" s="40">
        <v>39594</v>
      </c>
      <c r="R4465" s="39">
        <v>6953.84</v>
      </c>
      <c r="S4465" s="39">
        <f t="shared" si="433"/>
        <v>5</v>
      </c>
      <c r="T4465" s="39">
        <f t="shared" si="434"/>
        <v>0</v>
      </c>
      <c r="U4465" s="39">
        <f t="shared" si="435"/>
        <v>0</v>
      </c>
      <c r="V4465" s="40"/>
    </row>
    <row r="4466" spans="2:22" x14ac:dyDescent="0.35">
      <c r="B4466" s="40">
        <v>39595</v>
      </c>
      <c r="C4466" s="39">
        <v>6958.66</v>
      </c>
      <c r="D4466" s="219">
        <f t="shared" si="436"/>
        <v>6.9290209420961256E-4</v>
      </c>
      <c r="F4466" s="40">
        <v>39595</v>
      </c>
      <c r="G4466" s="39">
        <v>6958.66</v>
      </c>
      <c r="H4466" s="39">
        <f t="shared" si="431"/>
        <v>2</v>
      </c>
      <c r="I4466" s="39">
        <f t="shared" si="432"/>
        <v>0</v>
      </c>
      <c r="K4466" s="40"/>
      <c r="Q4466" s="40">
        <v>39595</v>
      </c>
      <c r="R4466" s="39">
        <v>6958.66</v>
      </c>
      <c r="S4466" s="39">
        <f t="shared" si="433"/>
        <v>5</v>
      </c>
      <c r="T4466" s="39">
        <f t="shared" si="434"/>
        <v>0</v>
      </c>
      <c r="U4466" s="39">
        <f t="shared" si="435"/>
        <v>0</v>
      </c>
      <c r="V4466" s="40"/>
    </row>
    <row r="4467" spans="2:22" x14ac:dyDescent="0.35">
      <c r="B4467" s="40">
        <v>39596</v>
      </c>
      <c r="C4467" s="39">
        <v>7033.84</v>
      </c>
      <c r="D4467" s="219">
        <f t="shared" si="436"/>
        <v>1.074586005933718E-2</v>
      </c>
      <c r="F4467" s="40">
        <v>39596</v>
      </c>
      <c r="G4467" s="39">
        <v>7033.84</v>
      </c>
      <c r="H4467" s="39">
        <f t="shared" si="431"/>
        <v>3</v>
      </c>
      <c r="I4467" s="39">
        <f t="shared" si="432"/>
        <v>0</v>
      </c>
      <c r="K4467" s="40"/>
      <c r="Q4467" s="40">
        <v>39596</v>
      </c>
      <c r="R4467" s="39">
        <v>7033.84</v>
      </c>
      <c r="S4467" s="39">
        <f t="shared" si="433"/>
        <v>5</v>
      </c>
      <c r="T4467" s="39">
        <f t="shared" si="434"/>
        <v>0</v>
      </c>
      <c r="U4467" s="39">
        <f t="shared" si="435"/>
        <v>0</v>
      </c>
      <c r="V4467" s="40"/>
    </row>
    <row r="4468" spans="2:22" x14ac:dyDescent="0.35">
      <c r="B4468" s="40">
        <v>39597</v>
      </c>
      <c r="C4468" s="39">
        <v>7055.03</v>
      </c>
      <c r="D4468" s="219">
        <f t="shared" si="436"/>
        <v>3.0080504650701742E-3</v>
      </c>
      <c r="F4468" s="40">
        <v>39597</v>
      </c>
      <c r="G4468" s="39">
        <v>7055.03</v>
      </c>
      <c r="H4468" s="39">
        <f t="shared" si="431"/>
        <v>4</v>
      </c>
      <c r="I4468" s="39">
        <f t="shared" si="432"/>
        <v>0</v>
      </c>
      <c r="K4468" s="40"/>
      <c r="Q4468" s="40">
        <v>39597</v>
      </c>
      <c r="R4468" s="39">
        <v>7055.03</v>
      </c>
      <c r="S4468" s="39">
        <f t="shared" si="433"/>
        <v>5</v>
      </c>
      <c r="T4468" s="39">
        <f t="shared" si="434"/>
        <v>0</v>
      </c>
      <c r="U4468" s="39">
        <f t="shared" si="435"/>
        <v>0</v>
      </c>
      <c r="V4468" s="40"/>
    </row>
    <row r="4469" spans="2:22" x14ac:dyDescent="0.35">
      <c r="B4469" s="40">
        <v>39598</v>
      </c>
      <c r="C4469" s="39">
        <v>7096.79</v>
      </c>
      <c r="D4469" s="219">
        <f t="shared" si="436"/>
        <v>5.9017315383949279E-3</v>
      </c>
      <c r="F4469" s="40">
        <v>39598</v>
      </c>
      <c r="G4469" s="39">
        <v>7096.79</v>
      </c>
      <c r="H4469" s="39">
        <f t="shared" si="431"/>
        <v>5</v>
      </c>
      <c r="I4469" s="39">
        <f t="shared" si="432"/>
        <v>7096.79</v>
      </c>
      <c r="K4469" s="40"/>
      <c r="Q4469" s="40">
        <v>39598</v>
      </c>
      <c r="R4469" s="39">
        <v>7096.79</v>
      </c>
      <c r="S4469" s="39">
        <f t="shared" si="433"/>
        <v>5</v>
      </c>
      <c r="T4469" s="39">
        <f t="shared" si="434"/>
        <v>7096.79</v>
      </c>
      <c r="U4469" s="39">
        <f t="shared" si="435"/>
        <v>7096.79</v>
      </c>
      <c r="V4469" s="40"/>
    </row>
    <row r="4470" spans="2:22" x14ac:dyDescent="0.35">
      <c r="B4470" s="40">
        <v>39601</v>
      </c>
      <c r="C4470" s="39">
        <v>7008.77</v>
      </c>
      <c r="D4470" s="219">
        <f t="shared" si="436"/>
        <v>-1.2480347109901086E-2</v>
      </c>
      <c r="F4470" s="40">
        <v>39601</v>
      </c>
      <c r="G4470" s="39">
        <v>7008.77</v>
      </c>
      <c r="H4470" s="39">
        <f t="shared" si="431"/>
        <v>1</v>
      </c>
      <c r="I4470" s="39">
        <f t="shared" si="432"/>
        <v>0</v>
      </c>
      <c r="K4470" s="40"/>
      <c r="Q4470" s="40">
        <v>39601</v>
      </c>
      <c r="R4470" s="39">
        <v>7008.77</v>
      </c>
      <c r="S4470" s="39">
        <f t="shared" si="433"/>
        <v>6</v>
      </c>
      <c r="T4470" s="39">
        <f t="shared" si="434"/>
        <v>0</v>
      </c>
      <c r="U4470" s="39">
        <f t="shared" si="435"/>
        <v>0</v>
      </c>
      <c r="V4470" s="40"/>
    </row>
    <row r="4471" spans="2:22" x14ac:dyDescent="0.35">
      <c r="B4471" s="40">
        <v>39602</v>
      </c>
      <c r="C4471" s="39">
        <v>7019.13</v>
      </c>
      <c r="D4471" s="219">
        <f t="shared" si="436"/>
        <v>1.4770567060688588E-3</v>
      </c>
      <c r="F4471" s="40">
        <v>39602</v>
      </c>
      <c r="G4471" s="39">
        <v>7019.13</v>
      </c>
      <c r="H4471" s="39">
        <f t="shared" ref="H4471:H4534" si="437">WEEKDAY(F4471,2)</f>
        <v>2</v>
      </c>
      <c r="I4471" s="39">
        <f t="shared" ref="I4471:I4534" si="438">IF(H4471&gt;H4472,G4471,0)</f>
        <v>0</v>
      </c>
      <c r="K4471" s="40"/>
      <c r="Q4471" s="40">
        <v>39602</v>
      </c>
      <c r="R4471" s="39">
        <v>7019.13</v>
      </c>
      <c r="S4471" s="39">
        <f t="shared" ref="S4471:S4534" si="439">MONTH(Q4471)</f>
        <v>6</v>
      </c>
      <c r="T4471" s="39">
        <f t="shared" ref="T4471:T4534" si="440">IF(S4472&lt;&gt;S4471,R4471,0)</f>
        <v>0</v>
      </c>
      <c r="U4471" s="39">
        <f t="shared" ref="U4471:U4534" si="441">IF(S4472=S4471,0,R4471)</f>
        <v>0</v>
      </c>
      <c r="V4471" s="40"/>
    </row>
    <row r="4472" spans="2:22" x14ac:dyDescent="0.35">
      <c r="B4472" s="40">
        <v>39603</v>
      </c>
      <c r="C4472" s="39">
        <v>6965.43</v>
      </c>
      <c r="D4472" s="219">
        <f t="shared" ref="D4472:D4535" si="442">LN(C4472/C4471)</f>
        <v>-7.6799361498097784E-3</v>
      </c>
      <c r="F4472" s="40">
        <v>39603</v>
      </c>
      <c r="G4472" s="39">
        <v>6965.43</v>
      </c>
      <c r="H4472" s="39">
        <f t="shared" si="437"/>
        <v>3</v>
      </c>
      <c r="I4472" s="39">
        <f t="shared" si="438"/>
        <v>0</v>
      </c>
      <c r="K4472" s="40"/>
      <c r="Q4472" s="40">
        <v>39603</v>
      </c>
      <c r="R4472" s="39">
        <v>6965.43</v>
      </c>
      <c r="S4472" s="39">
        <f t="shared" si="439"/>
        <v>6</v>
      </c>
      <c r="T4472" s="39">
        <f t="shared" si="440"/>
        <v>0</v>
      </c>
      <c r="U4472" s="39">
        <f t="shared" si="441"/>
        <v>0</v>
      </c>
      <c r="V4472" s="40"/>
    </row>
    <row r="4473" spans="2:22" x14ac:dyDescent="0.35">
      <c r="B4473" s="40">
        <v>39604</v>
      </c>
      <c r="C4473" s="39">
        <v>6941.83</v>
      </c>
      <c r="D4473" s="219">
        <f t="shared" si="442"/>
        <v>-3.3939140640710211E-3</v>
      </c>
      <c r="F4473" s="40">
        <v>39604</v>
      </c>
      <c r="G4473" s="39">
        <v>6941.83</v>
      </c>
      <c r="H4473" s="39">
        <f t="shared" si="437"/>
        <v>4</v>
      </c>
      <c r="I4473" s="39">
        <f t="shared" si="438"/>
        <v>0</v>
      </c>
      <c r="K4473" s="40"/>
      <c r="Q4473" s="40">
        <v>39604</v>
      </c>
      <c r="R4473" s="39">
        <v>6941.83</v>
      </c>
      <c r="S4473" s="39">
        <f t="shared" si="439"/>
        <v>6</v>
      </c>
      <c r="T4473" s="39">
        <f t="shared" si="440"/>
        <v>0</v>
      </c>
      <c r="U4473" s="39">
        <f t="shared" si="441"/>
        <v>0</v>
      </c>
      <c r="V4473" s="40"/>
    </row>
    <row r="4474" spans="2:22" x14ac:dyDescent="0.35">
      <c r="B4474" s="40">
        <v>39605</v>
      </c>
      <c r="C4474" s="39">
        <v>6803.81</v>
      </c>
      <c r="D4474" s="219">
        <f t="shared" si="442"/>
        <v>-2.0082679126183764E-2</v>
      </c>
      <c r="F4474" s="40">
        <v>39605</v>
      </c>
      <c r="G4474" s="39">
        <v>6803.81</v>
      </c>
      <c r="H4474" s="39">
        <f t="shared" si="437"/>
        <v>5</v>
      </c>
      <c r="I4474" s="39">
        <f t="shared" si="438"/>
        <v>6803.81</v>
      </c>
      <c r="K4474" s="40"/>
      <c r="Q4474" s="40">
        <v>39605</v>
      </c>
      <c r="R4474" s="39">
        <v>6803.81</v>
      </c>
      <c r="S4474" s="39">
        <f t="shared" si="439"/>
        <v>6</v>
      </c>
      <c r="T4474" s="39">
        <f t="shared" si="440"/>
        <v>0</v>
      </c>
      <c r="U4474" s="39">
        <f t="shared" si="441"/>
        <v>0</v>
      </c>
      <c r="V4474" s="40"/>
    </row>
    <row r="4475" spans="2:22" x14ac:dyDescent="0.35">
      <c r="B4475" s="40">
        <v>39608</v>
      </c>
      <c r="C4475" s="39">
        <v>6815.63</v>
      </c>
      <c r="D4475" s="219">
        <f t="shared" si="442"/>
        <v>1.7357546224589864E-3</v>
      </c>
      <c r="F4475" s="40">
        <v>39608</v>
      </c>
      <c r="G4475" s="39">
        <v>6815.63</v>
      </c>
      <c r="H4475" s="39">
        <f t="shared" si="437"/>
        <v>1</v>
      </c>
      <c r="I4475" s="39">
        <f t="shared" si="438"/>
        <v>0</v>
      </c>
      <c r="K4475" s="40"/>
      <c r="Q4475" s="40">
        <v>39608</v>
      </c>
      <c r="R4475" s="39">
        <v>6815.63</v>
      </c>
      <c r="S4475" s="39">
        <f t="shared" si="439"/>
        <v>6</v>
      </c>
      <c r="T4475" s="39">
        <f t="shared" si="440"/>
        <v>0</v>
      </c>
      <c r="U4475" s="39">
        <f t="shared" si="441"/>
        <v>0</v>
      </c>
      <c r="V4475" s="40"/>
    </row>
    <row r="4476" spans="2:22" x14ac:dyDescent="0.35">
      <c r="B4476" s="40">
        <v>39609</v>
      </c>
      <c r="C4476" s="39">
        <v>6771.1</v>
      </c>
      <c r="D4476" s="219">
        <f t="shared" si="442"/>
        <v>-6.5549487543466109E-3</v>
      </c>
      <c r="F4476" s="40">
        <v>39609</v>
      </c>
      <c r="G4476" s="39">
        <v>6771.1</v>
      </c>
      <c r="H4476" s="39">
        <f t="shared" si="437"/>
        <v>2</v>
      </c>
      <c r="I4476" s="39">
        <f t="shared" si="438"/>
        <v>0</v>
      </c>
      <c r="K4476" s="40"/>
      <c r="Q4476" s="40">
        <v>39609</v>
      </c>
      <c r="R4476" s="39">
        <v>6771.1</v>
      </c>
      <c r="S4476" s="39">
        <f t="shared" si="439"/>
        <v>6</v>
      </c>
      <c r="T4476" s="39">
        <f t="shared" si="440"/>
        <v>0</v>
      </c>
      <c r="U4476" s="39">
        <f t="shared" si="441"/>
        <v>0</v>
      </c>
      <c r="V4476" s="40"/>
    </row>
    <row r="4477" spans="2:22" x14ac:dyDescent="0.35">
      <c r="B4477" s="40">
        <v>39610</v>
      </c>
      <c r="C4477" s="39">
        <v>6650.26</v>
      </c>
      <c r="D4477" s="219">
        <f t="shared" si="442"/>
        <v>-1.8007603613850752E-2</v>
      </c>
      <c r="F4477" s="40">
        <v>39610</v>
      </c>
      <c r="G4477" s="39">
        <v>6650.26</v>
      </c>
      <c r="H4477" s="39">
        <f t="shared" si="437"/>
        <v>3</v>
      </c>
      <c r="I4477" s="39">
        <f t="shared" si="438"/>
        <v>0</v>
      </c>
      <c r="K4477" s="40"/>
      <c r="Q4477" s="40">
        <v>39610</v>
      </c>
      <c r="R4477" s="39">
        <v>6650.26</v>
      </c>
      <c r="S4477" s="39">
        <f t="shared" si="439"/>
        <v>6</v>
      </c>
      <c r="T4477" s="39">
        <f t="shared" si="440"/>
        <v>0</v>
      </c>
      <c r="U4477" s="39">
        <f t="shared" si="441"/>
        <v>0</v>
      </c>
      <c r="V4477" s="40"/>
    </row>
    <row r="4478" spans="2:22" x14ac:dyDescent="0.35">
      <c r="B4478" s="40">
        <v>39611</v>
      </c>
      <c r="C4478" s="39">
        <v>6714.52</v>
      </c>
      <c r="D4478" s="219">
        <f t="shared" si="442"/>
        <v>9.616394015171819E-3</v>
      </c>
      <c r="F4478" s="40">
        <v>39611</v>
      </c>
      <c r="G4478" s="39">
        <v>6714.52</v>
      </c>
      <c r="H4478" s="39">
        <f t="shared" si="437"/>
        <v>4</v>
      </c>
      <c r="I4478" s="39">
        <f t="shared" si="438"/>
        <v>0</v>
      </c>
      <c r="K4478" s="40"/>
      <c r="Q4478" s="40">
        <v>39611</v>
      </c>
      <c r="R4478" s="39">
        <v>6714.52</v>
      </c>
      <c r="S4478" s="39">
        <f t="shared" si="439"/>
        <v>6</v>
      </c>
      <c r="T4478" s="39">
        <f t="shared" si="440"/>
        <v>0</v>
      </c>
      <c r="U4478" s="39">
        <f t="shared" si="441"/>
        <v>0</v>
      </c>
      <c r="V4478" s="40"/>
    </row>
    <row r="4479" spans="2:22" x14ac:dyDescent="0.35">
      <c r="B4479" s="40">
        <v>39612</v>
      </c>
      <c r="C4479" s="39">
        <v>6765.32</v>
      </c>
      <c r="D4479" s="219">
        <f t="shared" si="442"/>
        <v>7.5372171322395055E-3</v>
      </c>
      <c r="F4479" s="40">
        <v>39612</v>
      </c>
      <c r="G4479" s="39">
        <v>6765.32</v>
      </c>
      <c r="H4479" s="39">
        <f t="shared" si="437"/>
        <v>5</v>
      </c>
      <c r="I4479" s="39">
        <f t="shared" si="438"/>
        <v>6765.32</v>
      </c>
      <c r="K4479" s="40"/>
      <c r="Q4479" s="40">
        <v>39612</v>
      </c>
      <c r="R4479" s="39">
        <v>6765.32</v>
      </c>
      <c r="S4479" s="39">
        <f t="shared" si="439"/>
        <v>6</v>
      </c>
      <c r="T4479" s="39">
        <f t="shared" si="440"/>
        <v>0</v>
      </c>
      <c r="U4479" s="39">
        <f t="shared" si="441"/>
        <v>0</v>
      </c>
      <c r="V4479" s="40"/>
    </row>
    <row r="4480" spans="2:22" x14ac:dyDescent="0.35">
      <c r="B4480" s="40">
        <v>39615</v>
      </c>
      <c r="C4480" s="39">
        <v>6729.88</v>
      </c>
      <c r="D4480" s="219">
        <f t="shared" si="442"/>
        <v>-5.2522499067811463E-3</v>
      </c>
      <c r="F4480" s="40">
        <v>39615</v>
      </c>
      <c r="G4480" s="39">
        <v>6729.88</v>
      </c>
      <c r="H4480" s="39">
        <f t="shared" si="437"/>
        <v>1</v>
      </c>
      <c r="I4480" s="39">
        <f t="shared" si="438"/>
        <v>0</v>
      </c>
      <c r="K4480" s="40"/>
      <c r="Q4480" s="40">
        <v>39615</v>
      </c>
      <c r="R4480" s="39">
        <v>6729.88</v>
      </c>
      <c r="S4480" s="39">
        <f t="shared" si="439"/>
        <v>6</v>
      </c>
      <c r="T4480" s="39">
        <f t="shared" si="440"/>
        <v>0</v>
      </c>
      <c r="U4480" s="39">
        <f t="shared" si="441"/>
        <v>0</v>
      </c>
      <c r="V4480" s="40"/>
    </row>
    <row r="4481" spans="2:22" x14ac:dyDescent="0.35">
      <c r="B4481" s="40">
        <v>39616</v>
      </c>
      <c r="C4481" s="39">
        <v>6796.16</v>
      </c>
      <c r="D4481" s="219">
        <f t="shared" si="442"/>
        <v>9.8004339048322411E-3</v>
      </c>
      <c r="F4481" s="40">
        <v>39616</v>
      </c>
      <c r="G4481" s="39">
        <v>6796.16</v>
      </c>
      <c r="H4481" s="39">
        <f t="shared" si="437"/>
        <v>2</v>
      </c>
      <c r="I4481" s="39">
        <f t="shared" si="438"/>
        <v>0</v>
      </c>
      <c r="K4481" s="40"/>
      <c r="Q4481" s="40">
        <v>39616</v>
      </c>
      <c r="R4481" s="39">
        <v>6796.16</v>
      </c>
      <c r="S4481" s="39">
        <f t="shared" si="439"/>
        <v>6</v>
      </c>
      <c r="T4481" s="39">
        <f t="shared" si="440"/>
        <v>0</v>
      </c>
      <c r="U4481" s="39">
        <f t="shared" si="441"/>
        <v>0</v>
      </c>
      <c r="V4481" s="40"/>
    </row>
    <row r="4482" spans="2:22" x14ac:dyDescent="0.35">
      <c r="B4482" s="40">
        <v>39617</v>
      </c>
      <c r="C4482" s="39">
        <v>6728.91</v>
      </c>
      <c r="D4482" s="219">
        <f t="shared" si="442"/>
        <v>-9.9445776208244366E-3</v>
      </c>
      <c r="F4482" s="40">
        <v>39617</v>
      </c>
      <c r="G4482" s="39">
        <v>6728.91</v>
      </c>
      <c r="H4482" s="39">
        <f t="shared" si="437"/>
        <v>3</v>
      </c>
      <c r="I4482" s="39">
        <f t="shared" si="438"/>
        <v>0</v>
      </c>
      <c r="K4482" s="40"/>
      <c r="Q4482" s="40">
        <v>39617</v>
      </c>
      <c r="R4482" s="39">
        <v>6728.91</v>
      </c>
      <c r="S4482" s="39">
        <f t="shared" si="439"/>
        <v>6</v>
      </c>
      <c r="T4482" s="39">
        <f t="shared" si="440"/>
        <v>0</v>
      </c>
      <c r="U4482" s="39">
        <f t="shared" si="441"/>
        <v>0</v>
      </c>
      <c r="V4482" s="40"/>
    </row>
    <row r="4483" spans="2:22" x14ac:dyDescent="0.35">
      <c r="B4483" s="40">
        <v>39618</v>
      </c>
      <c r="C4483" s="39">
        <v>6721.17</v>
      </c>
      <c r="D4483" s="219">
        <f t="shared" si="442"/>
        <v>-1.1509226494386955E-3</v>
      </c>
      <c r="F4483" s="40">
        <v>39618</v>
      </c>
      <c r="G4483" s="39">
        <v>6721.17</v>
      </c>
      <c r="H4483" s="39">
        <f t="shared" si="437"/>
        <v>4</v>
      </c>
      <c r="I4483" s="39">
        <f t="shared" si="438"/>
        <v>0</v>
      </c>
      <c r="K4483" s="40"/>
      <c r="Q4483" s="40">
        <v>39618</v>
      </c>
      <c r="R4483" s="39">
        <v>6721.17</v>
      </c>
      <c r="S4483" s="39">
        <f t="shared" si="439"/>
        <v>6</v>
      </c>
      <c r="T4483" s="39">
        <f t="shared" si="440"/>
        <v>0</v>
      </c>
      <c r="U4483" s="39">
        <f t="shared" si="441"/>
        <v>0</v>
      </c>
      <c r="V4483" s="40"/>
    </row>
    <row r="4484" spans="2:22" x14ac:dyDescent="0.35">
      <c r="B4484" s="40">
        <v>39619</v>
      </c>
      <c r="C4484" s="39">
        <v>6578.44</v>
      </c>
      <c r="D4484" s="219">
        <f t="shared" si="442"/>
        <v>-2.1464611361065249E-2</v>
      </c>
      <c r="F4484" s="40">
        <v>39619</v>
      </c>
      <c r="G4484" s="39">
        <v>6578.44</v>
      </c>
      <c r="H4484" s="39">
        <f t="shared" si="437"/>
        <v>5</v>
      </c>
      <c r="I4484" s="39">
        <f t="shared" si="438"/>
        <v>6578.44</v>
      </c>
      <c r="K4484" s="40"/>
      <c r="Q4484" s="40">
        <v>39619</v>
      </c>
      <c r="R4484" s="39">
        <v>6578.44</v>
      </c>
      <c r="S4484" s="39">
        <f t="shared" si="439"/>
        <v>6</v>
      </c>
      <c r="T4484" s="39">
        <f t="shared" si="440"/>
        <v>0</v>
      </c>
      <c r="U4484" s="39">
        <f t="shared" si="441"/>
        <v>0</v>
      </c>
      <c r="V4484" s="40"/>
    </row>
    <row r="4485" spans="2:22" x14ac:dyDescent="0.35">
      <c r="B4485" s="40">
        <v>39622</v>
      </c>
      <c r="C4485" s="39">
        <v>6589.46</v>
      </c>
      <c r="D4485" s="219">
        <f t="shared" si="442"/>
        <v>1.6737676581246518E-3</v>
      </c>
      <c r="F4485" s="40">
        <v>39622</v>
      </c>
      <c r="G4485" s="39">
        <v>6589.46</v>
      </c>
      <c r="H4485" s="39">
        <f t="shared" si="437"/>
        <v>1</v>
      </c>
      <c r="I4485" s="39">
        <f t="shared" si="438"/>
        <v>0</v>
      </c>
      <c r="K4485" s="40"/>
      <c r="Q4485" s="40">
        <v>39622</v>
      </c>
      <c r="R4485" s="39">
        <v>6589.46</v>
      </c>
      <c r="S4485" s="39">
        <f t="shared" si="439"/>
        <v>6</v>
      </c>
      <c r="T4485" s="39">
        <f t="shared" si="440"/>
        <v>0</v>
      </c>
      <c r="U4485" s="39">
        <f t="shared" si="441"/>
        <v>0</v>
      </c>
      <c r="V4485" s="40"/>
    </row>
    <row r="4486" spans="2:22" x14ac:dyDescent="0.35">
      <c r="B4486" s="40">
        <v>39623</v>
      </c>
      <c r="C4486" s="39">
        <v>6536.06</v>
      </c>
      <c r="D4486" s="219">
        <f t="shared" si="442"/>
        <v>-8.1368653779580191E-3</v>
      </c>
      <c r="F4486" s="40">
        <v>39623</v>
      </c>
      <c r="G4486" s="39">
        <v>6536.06</v>
      </c>
      <c r="H4486" s="39">
        <f t="shared" si="437"/>
        <v>2</v>
      </c>
      <c r="I4486" s="39">
        <f t="shared" si="438"/>
        <v>0</v>
      </c>
      <c r="K4486" s="40"/>
      <c r="Q4486" s="40">
        <v>39623</v>
      </c>
      <c r="R4486" s="39">
        <v>6536.06</v>
      </c>
      <c r="S4486" s="39">
        <f t="shared" si="439"/>
        <v>6</v>
      </c>
      <c r="T4486" s="39">
        <f t="shared" si="440"/>
        <v>0</v>
      </c>
      <c r="U4486" s="39">
        <f t="shared" si="441"/>
        <v>0</v>
      </c>
      <c r="V4486" s="40"/>
    </row>
    <row r="4487" spans="2:22" x14ac:dyDescent="0.35">
      <c r="B4487" s="40">
        <v>39624</v>
      </c>
      <c r="C4487" s="39">
        <v>6617.84</v>
      </c>
      <c r="D4487" s="219">
        <f t="shared" si="442"/>
        <v>1.2434495276672232E-2</v>
      </c>
      <c r="F4487" s="40">
        <v>39624</v>
      </c>
      <c r="G4487" s="39">
        <v>6617.84</v>
      </c>
      <c r="H4487" s="39">
        <f t="shared" si="437"/>
        <v>3</v>
      </c>
      <c r="I4487" s="39">
        <f t="shared" si="438"/>
        <v>0</v>
      </c>
      <c r="K4487" s="40"/>
      <c r="Q4487" s="40">
        <v>39624</v>
      </c>
      <c r="R4487" s="39">
        <v>6617.84</v>
      </c>
      <c r="S4487" s="39">
        <f t="shared" si="439"/>
        <v>6</v>
      </c>
      <c r="T4487" s="39">
        <f t="shared" si="440"/>
        <v>0</v>
      </c>
      <c r="U4487" s="39">
        <f t="shared" si="441"/>
        <v>0</v>
      </c>
      <c r="V4487" s="40"/>
    </row>
    <row r="4488" spans="2:22" x14ac:dyDescent="0.35">
      <c r="B4488" s="40">
        <v>39625</v>
      </c>
      <c r="C4488" s="39">
        <v>6459.6</v>
      </c>
      <c r="D4488" s="219">
        <f t="shared" si="442"/>
        <v>-2.4201636346024468E-2</v>
      </c>
      <c r="F4488" s="40">
        <v>39625</v>
      </c>
      <c r="G4488" s="39">
        <v>6459.6</v>
      </c>
      <c r="H4488" s="39">
        <f t="shared" si="437"/>
        <v>4</v>
      </c>
      <c r="I4488" s="39">
        <f t="shared" si="438"/>
        <v>0</v>
      </c>
      <c r="K4488" s="40"/>
      <c r="Q4488" s="40">
        <v>39625</v>
      </c>
      <c r="R4488" s="39">
        <v>6459.6</v>
      </c>
      <c r="S4488" s="39">
        <f t="shared" si="439"/>
        <v>6</v>
      </c>
      <c r="T4488" s="39">
        <f t="shared" si="440"/>
        <v>0</v>
      </c>
      <c r="U4488" s="39">
        <f t="shared" si="441"/>
        <v>0</v>
      </c>
      <c r="V4488" s="40"/>
    </row>
    <row r="4489" spans="2:22" x14ac:dyDescent="0.35">
      <c r="B4489" s="40">
        <v>39626</v>
      </c>
      <c r="C4489" s="39">
        <v>6421.91</v>
      </c>
      <c r="D4489" s="219">
        <f t="shared" si="442"/>
        <v>-5.8518151294095853E-3</v>
      </c>
      <c r="F4489" s="40">
        <v>39626</v>
      </c>
      <c r="G4489" s="39">
        <v>6421.91</v>
      </c>
      <c r="H4489" s="39">
        <f t="shared" si="437"/>
        <v>5</v>
      </c>
      <c r="I4489" s="39">
        <f t="shared" si="438"/>
        <v>6421.91</v>
      </c>
      <c r="K4489" s="40"/>
      <c r="Q4489" s="40">
        <v>39626</v>
      </c>
      <c r="R4489" s="39">
        <v>6421.91</v>
      </c>
      <c r="S4489" s="39">
        <f t="shared" si="439"/>
        <v>6</v>
      </c>
      <c r="T4489" s="39">
        <f t="shared" si="440"/>
        <v>0</v>
      </c>
      <c r="U4489" s="39">
        <f t="shared" si="441"/>
        <v>0</v>
      </c>
      <c r="V4489" s="40"/>
    </row>
    <row r="4490" spans="2:22" x14ac:dyDescent="0.35">
      <c r="B4490" s="40">
        <v>39629</v>
      </c>
      <c r="C4490" s="39">
        <v>6418.32</v>
      </c>
      <c r="D4490" s="219">
        <f t="shared" si="442"/>
        <v>-5.5918002925871865E-4</v>
      </c>
      <c r="F4490" s="40">
        <v>39629</v>
      </c>
      <c r="G4490" s="39">
        <v>6418.32</v>
      </c>
      <c r="H4490" s="39">
        <f t="shared" si="437"/>
        <v>1</v>
      </c>
      <c r="I4490" s="39">
        <f t="shared" si="438"/>
        <v>0</v>
      </c>
      <c r="K4490" s="40"/>
      <c r="Q4490" s="40">
        <v>39629</v>
      </c>
      <c r="R4490" s="39">
        <v>6418.32</v>
      </c>
      <c r="S4490" s="39">
        <f t="shared" si="439"/>
        <v>6</v>
      </c>
      <c r="T4490" s="39">
        <f t="shared" si="440"/>
        <v>6418.32</v>
      </c>
      <c r="U4490" s="39">
        <f t="shared" si="441"/>
        <v>6418.32</v>
      </c>
      <c r="V4490" s="40"/>
    </row>
    <row r="4491" spans="2:22" x14ac:dyDescent="0.35">
      <c r="B4491" s="40">
        <v>39630</v>
      </c>
      <c r="C4491" s="39">
        <v>6315.94</v>
      </c>
      <c r="D4491" s="219">
        <f t="shared" si="442"/>
        <v>-1.6079804549177238E-2</v>
      </c>
      <c r="F4491" s="40">
        <v>39630</v>
      </c>
      <c r="G4491" s="39">
        <v>6315.94</v>
      </c>
      <c r="H4491" s="39">
        <f t="shared" si="437"/>
        <v>2</v>
      </c>
      <c r="I4491" s="39">
        <f t="shared" si="438"/>
        <v>0</v>
      </c>
      <c r="K4491" s="40"/>
      <c r="Q4491" s="40">
        <v>39630</v>
      </c>
      <c r="R4491" s="39">
        <v>6315.94</v>
      </c>
      <c r="S4491" s="39">
        <f t="shared" si="439"/>
        <v>7</v>
      </c>
      <c r="T4491" s="39">
        <f t="shared" si="440"/>
        <v>0</v>
      </c>
      <c r="U4491" s="39">
        <f t="shared" si="441"/>
        <v>0</v>
      </c>
      <c r="V4491" s="40"/>
    </row>
    <row r="4492" spans="2:22" x14ac:dyDescent="0.35">
      <c r="B4492" s="40">
        <v>39631</v>
      </c>
      <c r="C4492" s="39">
        <v>6305.42</v>
      </c>
      <c r="D4492" s="219">
        <f t="shared" si="442"/>
        <v>-1.6670156680744911E-3</v>
      </c>
      <c r="F4492" s="40">
        <v>39631</v>
      </c>
      <c r="G4492" s="39">
        <v>6305.42</v>
      </c>
      <c r="H4492" s="39">
        <f t="shared" si="437"/>
        <v>3</v>
      </c>
      <c r="I4492" s="39">
        <f t="shared" si="438"/>
        <v>0</v>
      </c>
      <c r="K4492" s="40"/>
      <c r="Q4492" s="40">
        <v>39631</v>
      </c>
      <c r="R4492" s="39">
        <v>6305.42</v>
      </c>
      <c r="S4492" s="39">
        <f t="shared" si="439"/>
        <v>7</v>
      </c>
      <c r="T4492" s="39">
        <f t="shared" si="440"/>
        <v>0</v>
      </c>
      <c r="U4492" s="39">
        <f t="shared" si="441"/>
        <v>0</v>
      </c>
      <c r="V4492" s="40"/>
    </row>
    <row r="4493" spans="2:22" x14ac:dyDescent="0.35">
      <c r="B4493" s="40">
        <v>39632</v>
      </c>
      <c r="C4493" s="39">
        <v>6353.74</v>
      </c>
      <c r="D4493" s="219">
        <f t="shared" si="442"/>
        <v>7.6340349071852016E-3</v>
      </c>
      <c r="F4493" s="40">
        <v>39632</v>
      </c>
      <c r="G4493" s="39">
        <v>6353.74</v>
      </c>
      <c r="H4493" s="39">
        <f t="shared" si="437"/>
        <v>4</v>
      </c>
      <c r="I4493" s="39">
        <f t="shared" si="438"/>
        <v>0</v>
      </c>
      <c r="K4493" s="40"/>
      <c r="Q4493" s="40">
        <v>39632</v>
      </c>
      <c r="R4493" s="39">
        <v>6353.74</v>
      </c>
      <c r="S4493" s="39">
        <f t="shared" si="439"/>
        <v>7</v>
      </c>
      <c r="T4493" s="39">
        <f t="shared" si="440"/>
        <v>0</v>
      </c>
      <c r="U4493" s="39">
        <f t="shared" si="441"/>
        <v>0</v>
      </c>
      <c r="V4493" s="40"/>
    </row>
    <row r="4494" spans="2:22" x14ac:dyDescent="0.35">
      <c r="B4494" s="40">
        <v>39633</v>
      </c>
      <c r="C4494" s="39">
        <v>6272.21</v>
      </c>
      <c r="D4494" s="219">
        <f t="shared" si="442"/>
        <v>-1.2914851273590546E-2</v>
      </c>
      <c r="F4494" s="40">
        <v>39633</v>
      </c>
      <c r="G4494" s="39">
        <v>6272.21</v>
      </c>
      <c r="H4494" s="39">
        <f t="shared" si="437"/>
        <v>5</v>
      </c>
      <c r="I4494" s="39">
        <f t="shared" si="438"/>
        <v>6272.21</v>
      </c>
      <c r="K4494" s="40"/>
      <c r="Q4494" s="40">
        <v>39633</v>
      </c>
      <c r="R4494" s="39">
        <v>6272.21</v>
      </c>
      <c r="S4494" s="39">
        <f t="shared" si="439"/>
        <v>7</v>
      </c>
      <c r="T4494" s="39">
        <f t="shared" si="440"/>
        <v>0</v>
      </c>
      <c r="U4494" s="39">
        <f t="shared" si="441"/>
        <v>0</v>
      </c>
      <c r="V4494" s="40"/>
    </row>
    <row r="4495" spans="2:22" x14ac:dyDescent="0.35">
      <c r="B4495" s="40">
        <v>39636</v>
      </c>
      <c r="C4495" s="39">
        <v>6395.75</v>
      </c>
      <c r="D4495" s="219">
        <f t="shared" si="442"/>
        <v>1.9504942648013598E-2</v>
      </c>
      <c r="F4495" s="40">
        <v>39636</v>
      </c>
      <c r="G4495" s="39">
        <v>6395.75</v>
      </c>
      <c r="H4495" s="39">
        <f t="shared" si="437"/>
        <v>1</v>
      </c>
      <c r="I4495" s="39">
        <f t="shared" si="438"/>
        <v>0</v>
      </c>
      <c r="K4495" s="40"/>
      <c r="Q4495" s="40">
        <v>39636</v>
      </c>
      <c r="R4495" s="39">
        <v>6395.75</v>
      </c>
      <c r="S4495" s="39">
        <f t="shared" si="439"/>
        <v>7</v>
      </c>
      <c r="T4495" s="39">
        <f t="shared" si="440"/>
        <v>0</v>
      </c>
      <c r="U4495" s="39">
        <f t="shared" si="441"/>
        <v>0</v>
      </c>
      <c r="V4495" s="40"/>
    </row>
    <row r="4496" spans="2:22" x14ac:dyDescent="0.35">
      <c r="B4496" s="40">
        <v>39637</v>
      </c>
      <c r="C4496" s="39">
        <v>6304.41</v>
      </c>
      <c r="D4496" s="219">
        <f t="shared" si="442"/>
        <v>-1.4384318766702707E-2</v>
      </c>
      <c r="F4496" s="40">
        <v>39637</v>
      </c>
      <c r="G4496" s="39">
        <v>6304.41</v>
      </c>
      <c r="H4496" s="39">
        <f t="shared" si="437"/>
        <v>2</v>
      </c>
      <c r="I4496" s="39">
        <f t="shared" si="438"/>
        <v>0</v>
      </c>
      <c r="K4496" s="40"/>
      <c r="Q4496" s="40">
        <v>39637</v>
      </c>
      <c r="R4496" s="39">
        <v>6304.41</v>
      </c>
      <c r="S4496" s="39">
        <f t="shared" si="439"/>
        <v>7</v>
      </c>
      <c r="T4496" s="39">
        <f t="shared" si="440"/>
        <v>0</v>
      </c>
      <c r="U4496" s="39">
        <f t="shared" si="441"/>
        <v>0</v>
      </c>
      <c r="V4496" s="40"/>
    </row>
    <row r="4497" spans="2:22" x14ac:dyDescent="0.35">
      <c r="B4497" s="40">
        <v>39638</v>
      </c>
      <c r="C4497" s="39">
        <v>6386.46</v>
      </c>
      <c r="D4497" s="219">
        <f t="shared" si="442"/>
        <v>1.2930735757858587E-2</v>
      </c>
      <c r="F4497" s="40">
        <v>39638</v>
      </c>
      <c r="G4497" s="39">
        <v>6386.46</v>
      </c>
      <c r="H4497" s="39">
        <f t="shared" si="437"/>
        <v>3</v>
      </c>
      <c r="I4497" s="39">
        <f t="shared" si="438"/>
        <v>0</v>
      </c>
      <c r="K4497" s="40"/>
      <c r="Q4497" s="40">
        <v>39638</v>
      </c>
      <c r="R4497" s="39">
        <v>6386.46</v>
      </c>
      <c r="S4497" s="39">
        <f t="shared" si="439"/>
        <v>7</v>
      </c>
      <c r="T4497" s="39">
        <f t="shared" si="440"/>
        <v>0</v>
      </c>
      <c r="U4497" s="39">
        <f t="shared" si="441"/>
        <v>0</v>
      </c>
      <c r="V4497" s="40"/>
    </row>
    <row r="4498" spans="2:22" x14ac:dyDescent="0.35">
      <c r="B4498" s="40">
        <v>39639</v>
      </c>
      <c r="C4498" s="39">
        <v>6305</v>
      </c>
      <c r="D4498" s="219">
        <f t="shared" si="442"/>
        <v>-1.2837154852735885E-2</v>
      </c>
      <c r="F4498" s="40">
        <v>39639</v>
      </c>
      <c r="G4498" s="39">
        <v>6305</v>
      </c>
      <c r="H4498" s="39">
        <f t="shared" si="437"/>
        <v>4</v>
      </c>
      <c r="I4498" s="39">
        <f t="shared" si="438"/>
        <v>0</v>
      </c>
      <c r="K4498" s="40"/>
      <c r="Q4498" s="40">
        <v>39639</v>
      </c>
      <c r="R4498" s="39">
        <v>6305</v>
      </c>
      <c r="S4498" s="39">
        <f t="shared" si="439"/>
        <v>7</v>
      </c>
      <c r="T4498" s="39">
        <f t="shared" si="440"/>
        <v>0</v>
      </c>
      <c r="U4498" s="39">
        <f t="shared" si="441"/>
        <v>0</v>
      </c>
      <c r="V4498" s="40"/>
    </row>
    <row r="4499" spans="2:22" x14ac:dyDescent="0.35">
      <c r="B4499" s="40">
        <v>39640</v>
      </c>
      <c r="C4499" s="39">
        <v>6153.3</v>
      </c>
      <c r="D4499" s="219">
        <f t="shared" si="442"/>
        <v>-2.4354446143052266E-2</v>
      </c>
      <c r="F4499" s="40">
        <v>39640</v>
      </c>
      <c r="G4499" s="39">
        <v>6153.3</v>
      </c>
      <c r="H4499" s="39">
        <f t="shared" si="437"/>
        <v>5</v>
      </c>
      <c r="I4499" s="39">
        <f t="shared" si="438"/>
        <v>6153.3</v>
      </c>
      <c r="K4499" s="40"/>
      <c r="Q4499" s="40">
        <v>39640</v>
      </c>
      <c r="R4499" s="39">
        <v>6153.3</v>
      </c>
      <c r="S4499" s="39">
        <f t="shared" si="439"/>
        <v>7</v>
      </c>
      <c r="T4499" s="39">
        <f t="shared" si="440"/>
        <v>0</v>
      </c>
      <c r="U4499" s="39">
        <f t="shared" si="441"/>
        <v>0</v>
      </c>
      <c r="V4499" s="40"/>
    </row>
    <row r="4500" spans="2:22" x14ac:dyDescent="0.35">
      <c r="B4500" s="40">
        <v>39643</v>
      </c>
      <c r="C4500" s="39">
        <v>6200.25</v>
      </c>
      <c r="D4500" s="219">
        <f t="shared" si="442"/>
        <v>7.6010905449269556E-3</v>
      </c>
      <c r="F4500" s="40">
        <v>39643</v>
      </c>
      <c r="G4500" s="39">
        <v>6200.25</v>
      </c>
      <c r="H4500" s="39">
        <f t="shared" si="437"/>
        <v>1</v>
      </c>
      <c r="I4500" s="39">
        <f t="shared" si="438"/>
        <v>0</v>
      </c>
      <c r="K4500" s="40"/>
      <c r="Q4500" s="40">
        <v>39643</v>
      </c>
      <c r="R4500" s="39">
        <v>6200.25</v>
      </c>
      <c r="S4500" s="39">
        <f t="shared" si="439"/>
        <v>7</v>
      </c>
      <c r="T4500" s="39">
        <f t="shared" si="440"/>
        <v>0</v>
      </c>
      <c r="U4500" s="39">
        <f t="shared" si="441"/>
        <v>0</v>
      </c>
      <c r="V4500" s="40"/>
    </row>
    <row r="4501" spans="2:22" x14ac:dyDescent="0.35">
      <c r="B4501" s="40">
        <v>39644</v>
      </c>
      <c r="C4501" s="39">
        <v>6081.7</v>
      </c>
      <c r="D4501" s="219">
        <f t="shared" si="442"/>
        <v>-1.9305351659790786E-2</v>
      </c>
      <c r="F4501" s="40">
        <v>39644</v>
      </c>
      <c r="G4501" s="39">
        <v>6081.7</v>
      </c>
      <c r="H4501" s="39">
        <f t="shared" si="437"/>
        <v>2</v>
      </c>
      <c r="I4501" s="39">
        <f t="shared" si="438"/>
        <v>0</v>
      </c>
      <c r="K4501" s="40"/>
      <c r="Q4501" s="40">
        <v>39644</v>
      </c>
      <c r="R4501" s="39">
        <v>6081.7</v>
      </c>
      <c r="S4501" s="39">
        <f t="shared" si="439"/>
        <v>7</v>
      </c>
      <c r="T4501" s="39">
        <f t="shared" si="440"/>
        <v>0</v>
      </c>
      <c r="U4501" s="39">
        <f t="shared" si="441"/>
        <v>0</v>
      </c>
      <c r="V4501" s="40"/>
    </row>
    <row r="4502" spans="2:22" x14ac:dyDescent="0.35">
      <c r="B4502" s="40">
        <v>39645</v>
      </c>
      <c r="C4502" s="39">
        <v>6155.37</v>
      </c>
      <c r="D4502" s="219">
        <f t="shared" si="442"/>
        <v>1.2040609399368012E-2</v>
      </c>
      <c r="F4502" s="40">
        <v>39645</v>
      </c>
      <c r="G4502" s="39">
        <v>6155.37</v>
      </c>
      <c r="H4502" s="39">
        <f t="shared" si="437"/>
        <v>3</v>
      </c>
      <c r="I4502" s="39">
        <f t="shared" si="438"/>
        <v>0</v>
      </c>
      <c r="K4502" s="40"/>
      <c r="Q4502" s="40">
        <v>39645</v>
      </c>
      <c r="R4502" s="39">
        <v>6155.37</v>
      </c>
      <c r="S4502" s="39">
        <f t="shared" si="439"/>
        <v>7</v>
      </c>
      <c r="T4502" s="39">
        <f t="shared" si="440"/>
        <v>0</v>
      </c>
      <c r="U4502" s="39">
        <f t="shared" si="441"/>
        <v>0</v>
      </c>
      <c r="V4502" s="40"/>
    </row>
    <row r="4503" spans="2:22" x14ac:dyDescent="0.35">
      <c r="B4503" s="40">
        <v>39646</v>
      </c>
      <c r="C4503" s="39">
        <v>6271.27</v>
      </c>
      <c r="D4503" s="219">
        <f t="shared" si="442"/>
        <v>1.8654014409772175E-2</v>
      </c>
      <c r="F4503" s="40">
        <v>39646</v>
      </c>
      <c r="G4503" s="39">
        <v>6271.27</v>
      </c>
      <c r="H4503" s="39">
        <f t="shared" si="437"/>
        <v>4</v>
      </c>
      <c r="I4503" s="39">
        <f t="shared" si="438"/>
        <v>0</v>
      </c>
      <c r="K4503" s="40"/>
      <c r="Q4503" s="40">
        <v>39646</v>
      </c>
      <c r="R4503" s="39">
        <v>6271.27</v>
      </c>
      <c r="S4503" s="39">
        <f t="shared" si="439"/>
        <v>7</v>
      </c>
      <c r="T4503" s="39">
        <f t="shared" si="440"/>
        <v>0</v>
      </c>
      <c r="U4503" s="39">
        <f t="shared" si="441"/>
        <v>0</v>
      </c>
      <c r="V4503" s="40"/>
    </row>
    <row r="4504" spans="2:22" x14ac:dyDescent="0.35">
      <c r="B4504" s="40">
        <v>39647</v>
      </c>
      <c r="C4504" s="39">
        <v>6382.65</v>
      </c>
      <c r="D4504" s="219">
        <f t="shared" si="442"/>
        <v>1.7604485651864916E-2</v>
      </c>
      <c r="F4504" s="40">
        <v>39647</v>
      </c>
      <c r="G4504" s="39">
        <v>6382.65</v>
      </c>
      <c r="H4504" s="39">
        <f t="shared" si="437"/>
        <v>5</v>
      </c>
      <c r="I4504" s="39">
        <f t="shared" si="438"/>
        <v>6382.65</v>
      </c>
      <c r="K4504" s="40"/>
      <c r="Q4504" s="40">
        <v>39647</v>
      </c>
      <c r="R4504" s="39">
        <v>6382.65</v>
      </c>
      <c r="S4504" s="39">
        <f t="shared" si="439"/>
        <v>7</v>
      </c>
      <c r="T4504" s="39">
        <f t="shared" si="440"/>
        <v>0</v>
      </c>
      <c r="U4504" s="39">
        <f t="shared" si="441"/>
        <v>0</v>
      </c>
      <c r="V4504" s="40"/>
    </row>
    <row r="4505" spans="2:22" x14ac:dyDescent="0.35">
      <c r="B4505" s="40">
        <v>39650</v>
      </c>
      <c r="C4505" s="39">
        <v>6424.84</v>
      </c>
      <c r="D4505" s="219">
        <f t="shared" si="442"/>
        <v>6.5883561274983097E-3</v>
      </c>
      <c r="F4505" s="40">
        <v>39650</v>
      </c>
      <c r="G4505" s="39">
        <v>6424.84</v>
      </c>
      <c r="H4505" s="39">
        <f t="shared" si="437"/>
        <v>1</v>
      </c>
      <c r="I4505" s="39">
        <f t="shared" si="438"/>
        <v>0</v>
      </c>
      <c r="K4505" s="40"/>
      <c r="Q4505" s="40">
        <v>39650</v>
      </c>
      <c r="R4505" s="39">
        <v>6424.84</v>
      </c>
      <c r="S4505" s="39">
        <f t="shared" si="439"/>
        <v>7</v>
      </c>
      <c r="T4505" s="39">
        <f t="shared" si="440"/>
        <v>0</v>
      </c>
      <c r="U4505" s="39">
        <f t="shared" si="441"/>
        <v>0</v>
      </c>
      <c r="V4505" s="40"/>
    </row>
    <row r="4506" spans="2:22" x14ac:dyDescent="0.35">
      <c r="B4506" s="40">
        <v>39651</v>
      </c>
      <c r="C4506" s="39">
        <v>6442.79</v>
      </c>
      <c r="D4506" s="219">
        <f t="shared" si="442"/>
        <v>2.7899483655162089E-3</v>
      </c>
      <c r="F4506" s="40">
        <v>39651</v>
      </c>
      <c r="G4506" s="39">
        <v>6442.79</v>
      </c>
      <c r="H4506" s="39">
        <f t="shared" si="437"/>
        <v>2</v>
      </c>
      <c r="I4506" s="39">
        <f t="shared" si="438"/>
        <v>0</v>
      </c>
      <c r="K4506" s="40"/>
      <c r="Q4506" s="40">
        <v>39651</v>
      </c>
      <c r="R4506" s="39">
        <v>6442.79</v>
      </c>
      <c r="S4506" s="39">
        <f t="shared" si="439"/>
        <v>7</v>
      </c>
      <c r="T4506" s="39">
        <f t="shared" si="440"/>
        <v>0</v>
      </c>
      <c r="U4506" s="39">
        <f t="shared" si="441"/>
        <v>0</v>
      </c>
      <c r="V4506" s="40"/>
    </row>
    <row r="4507" spans="2:22" x14ac:dyDescent="0.35">
      <c r="B4507" s="40">
        <v>39652</v>
      </c>
      <c r="C4507" s="39">
        <v>6536.09</v>
      </c>
      <c r="D4507" s="219">
        <f t="shared" si="442"/>
        <v>1.4377451239752299E-2</v>
      </c>
      <c r="F4507" s="40">
        <v>39652</v>
      </c>
      <c r="G4507" s="39">
        <v>6536.09</v>
      </c>
      <c r="H4507" s="39">
        <f t="shared" si="437"/>
        <v>3</v>
      </c>
      <c r="I4507" s="39">
        <f t="shared" si="438"/>
        <v>0</v>
      </c>
      <c r="K4507" s="40"/>
      <c r="Q4507" s="40">
        <v>39652</v>
      </c>
      <c r="R4507" s="39">
        <v>6536.09</v>
      </c>
      <c r="S4507" s="39">
        <f t="shared" si="439"/>
        <v>7</v>
      </c>
      <c r="T4507" s="39">
        <f t="shared" si="440"/>
        <v>0</v>
      </c>
      <c r="U4507" s="39">
        <f t="shared" si="441"/>
        <v>0</v>
      </c>
      <c r="V4507" s="40"/>
    </row>
    <row r="4508" spans="2:22" x14ac:dyDescent="0.35">
      <c r="B4508" s="40">
        <v>39653</v>
      </c>
      <c r="C4508" s="39">
        <v>6440.7</v>
      </c>
      <c r="D4508" s="219">
        <f t="shared" si="442"/>
        <v>-1.470189749124679E-2</v>
      </c>
      <c r="F4508" s="40">
        <v>39653</v>
      </c>
      <c r="G4508" s="39">
        <v>6440.7</v>
      </c>
      <c r="H4508" s="39">
        <f t="shared" si="437"/>
        <v>4</v>
      </c>
      <c r="I4508" s="39">
        <f t="shared" si="438"/>
        <v>0</v>
      </c>
      <c r="K4508" s="40"/>
      <c r="Q4508" s="40">
        <v>39653</v>
      </c>
      <c r="R4508" s="39">
        <v>6440.7</v>
      </c>
      <c r="S4508" s="39">
        <f t="shared" si="439"/>
        <v>7</v>
      </c>
      <c r="T4508" s="39">
        <f t="shared" si="440"/>
        <v>0</v>
      </c>
      <c r="U4508" s="39">
        <f t="shared" si="441"/>
        <v>0</v>
      </c>
      <c r="V4508" s="40"/>
    </row>
    <row r="4509" spans="2:22" x14ac:dyDescent="0.35">
      <c r="B4509" s="40">
        <v>39654</v>
      </c>
      <c r="C4509" s="39">
        <v>6436.71</v>
      </c>
      <c r="D4509" s="219">
        <f t="shared" si="442"/>
        <v>-6.1968984876378743E-4</v>
      </c>
      <c r="F4509" s="40">
        <v>39654</v>
      </c>
      <c r="G4509" s="39">
        <v>6436.71</v>
      </c>
      <c r="H4509" s="39">
        <f t="shared" si="437"/>
        <v>5</v>
      </c>
      <c r="I4509" s="39">
        <f t="shared" si="438"/>
        <v>6436.71</v>
      </c>
      <c r="K4509" s="40"/>
      <c r="Q4509" s="40">
        <v>39654</v>
      </c>
      <c r="R4509" s="39">
        <v>6436.71</v>
      </c>
      <c r="S4509" s="39">
        <f t="shared" si="439"/>
        <v>7</v>
      </c>
      <c r="T4509" s="39">
        <f t="shared" si="440"/>
        <v>0</v>
      </c>
      <c r="U4509" s="39">
        <f t="shared" si="441"/>
        <v>0</v>
      </c>
      <c r="V4509" s="40"/>
    </row>
    <row r="4510" spans="2:22" x14ac:dyDescent="0.35">
      <c r="B4510" s="40">
        <v>39657</v>
      </c>
      <c r="C4510" s="39">
        <v>6351.15</v>
      </c>
      <c r="D4510" s="219">
        <f t="shared" si="442"/>
        <v>-1.3381641142976086E-2</v>
      </c>
      <c r="F4510" s="40">
        <v>39657</v>
      </c>
      <c r="G4510" s="39">
        <v>6351.15</v>
      </c>
      <c r="H4510" s="39">
        <f t="shared" si="437"/>
        <v>1</v>
      </c>
      <c r="I4510" s="39">
        <f t="shared" si="438"/>
        <v>0</v>
      </c>
      <c r="K4510" s="40"/>
      <c r="Q4510" s="40">
        <v>39657</v>
      </c>
      <c r="R4510" s="39">
        <v>6351.15</v>
      </c>
      <c r="S4510" s="39">
        <f t="shared" si="439"/>
        <v>7</v>
      </c>
      <c r="T4510" s="39">
        <f t="shared" si="440"/>
        <v>0</v>
      </c>
      <c r="U4510" s="39">
        <f t="shared" si="441"/>
        <v>0</v>
      </c>
      <c r="V4510" s="40"/>
    </row>
    <row r="4511" spans="2:22" x14ac:dyDescent="0.35">
      <c r="B4511" s="40">
        <v>39658</v>
      </c>
      <c r="C4511" s="39">
        <v>6398.8</v>
      </c>
      <c r="D4511" s="219">
        <f t="shared" si="442"/>
        <v>7.4745739155517065E-3</v>
      </c>
      <c r="F4511" s="40">
        <v>39658</v>
      </c>
      <c r="G4511" s="39">
        <v>6398.8</v>
      </c>
      <c r="H4511" s="39">
        <f t="shared" si="437"/>
        <v>2</v>
      </c>
      <c r="I4511" s="39">
        <f t="shared" si="438"/>
        <v>0</v>
      </c>
      <c r="K4511" s="40"/>
      <c r="Q4511" s="40">
        <v>39658</v>
      </c>
      <c r="R4511" s="39">
        <v>6398.8</v>
      </c>
      <c r="S4511" s="39">
        <f t="shared" si="439"/>
        <v>7</v>
      </c>
      <c r="T4511" s="39">
        <f t="shared" si="440"/>
        <v>0</v>
      </c>
      <c r="U4511" s="39">
        <f t="shared" si="441"/>
        <v>0</v>
      </c>
      <c r="V4511" s="40"/>
    </row>
    <row r="4512" spans="2:22" x14ac:dyDescent="0.35">
      <c r="B4512" s="40">
        <v>39659</v>
      </c>
      <c r="C4512" s="39">
        <v>6460.12</v>
      </c>
      <c r="D4512" s="219">
        <f t="shared" si="442"/>
        <v>9.537420688071065E-3</v>
      </c>
      <c r="F4512" s="40">
        <v>39659</v>
      </c>
      <c r="G4512" s="39">
        <v>6460.12</v>
      </c>
      <c r="H4512" s="39">
        <f t="shared" si="437"/>
        <v>3</v>
      </c>
      <c r="I4512" s="39">
        <f t="shared" si="438"/>
        <v>0</v>
      </c>
      <c r="K4512" s="40"/>
      <c r="Q4512" s="40">
        <v>39659</v>
      </c>
      <c r="R4512" s="39">
        <v>6460.12</v>
      </c>
      <c r="S4512" s="39">
        <f t="shared" si="439"/>
        <v>7</v>
      </c>
      <c r="T4512" s="39">
        <f t="shared" si="440"/>
        <v>0</v>
      </c>
      <c r="U4512" s="39">
        <f t="shared" si="441"/>
        <v>0</v>
      </c>
      <c r="V4512" s="40"/>
    </row>
    <row r="4513" spans="2:22" x14ac:dyDescent="0.35">
      <c r="B4513" s="40">
        <v>39660</v>
      </c>
      <c r="C4513" s="39">
        <v>6479.56</v>
      </c>
      <c r="D4513" s="219">
        <f t="shared" si="442"/>
        <v>3.0047133508476079E-3</v>
      </c>
      <c r="F4513" s="40">
        <v>39660</v>
      </c>
      <c r="G4513" s="39">
        <v>6479.56</v>
      </c>
      <c r="H4513" s="39">
        <f t="shared" si="437"/>
        <v>4</v>
      </c>
      <c r="I4513" s="39">
        <f t="shared" si="438"/>
        <v>0</v>
      </c>
      <c r="K4513" s="40"/>
      <c r="Q4513" s="40">
        <v>39660</v>
      </c>
      <c r="R4513" s="39">
        <v>6479.56</v>
      </c>
      <c r="S4513" s="39">
        <f t="shared" si="439"/>
        <v>7</v>
      </c>
      <c r="T4513" s="39">
        <f t="shared" si="440"/>
        <v>6479.56</v>
      </c>
      <c r="U4513" s="39">
        <f t="shared" si="441"/>
        <v>6479.56</v>
      </c>
      <c r="V4513" s="40"/>
    </row>
    <row r="4514" spans="2:22" x14ac:dyDescent="0.35">
      <c r="B4514" s="40">
        <v>39661</v>
      </c>
      <c r="C4514" s="39">
        <v>6396.46</v>
      </c>
      <c r="D4514" s="219">
        <f t="shared" si="442"/>
        <v>-1.2907894488661387E-2</v>
      </c>
      <c r="F4514" s="40">
        <v>39661</v>
      </c>
      <c r="G4514" s="39">
        <v>6396.46</v>
      </c>
      <c r="H4514" s="39">
        <f t="shared" si="437"/>
        <v>5</v>
      </c>
      <c r="I4514" s="39">
        <f t="shared" si="438"/>
        <v>6396.46</v>
      </c>
      <c r="K4514" s="40"/>
      <c r="Q4514" s="40">
        <v>39661</v>
      </c>
      <c r="R4514" s="39">
        <v>6396.46</v>
      </c>
      <c r="S4514" s="39">
        <f t="shared" si="439"/>
        <v>8</v>
      </c>
      <c r="T4514" s="39">
        <f t="shared" si="440"/>
        <v>0</v>
      </c>
      <c r="U4514" s="39">
        <f t="shared" si="441"/>
        <v>0</v>
      </c>
      <c r="V4514" s="40"/>
    </row>
    <row r="4515" spans="2:22" x14ac:dyDescent="0.35">
      <c r="B4515" s="40">
        <v>39664</v>
      </c>
      <c r="C4515" s="39">
        <v>6349.81</v>
      </c>
      <c r="D4515" s="219">
        <f t="shared" si="442"/>
        <v>-7.3198211384529737E-3</v>
      </c>
      <c r="F4515" s="40">
        <v>39664</v>
      </c>
      <c r="G4515" s="39">
        <v>6349.81</v>
      </c>
      <c r="H4515" s="39">
        <f t="shared" si="437"/>
        <v>1</v>
      </c>
      <c r="I4515" s="39">
        <f t="shared" si="438"/>
        <v>0</v>
      </c>
      <c r="K4515" s="40"/>
      <c r="Q4515" s="40">
        <v>39664</v>
      </c>
      <c r="R4515" s="39">
        <v>6349.81</v>
      </c>
      <c r="S4515" s="39">
        <f t="shared" si="439"/>
        <v>8</v>
      </c>
      <c r="T4515" s="39">
        <f t="shared" si="440"/>
        <v>0</v>
      </c>
      <c r="U4515" s="39">
        <f t="shared" si="441"/>
        <v>0</v>
      </c>
      <c r="V4515" s="40"/>
    </row>
    <row r="4516" spans="2:22" x14ac:dyDescent="0.35">
      <c r="B4516" s="40">
        <v>39665</v>
      </c>
      <c r="C4516" s="39">
        <v>6518.7</v>
      </c>
      <c r="D4516" s="219">
        <f t="shared" si="442"/>
        <v>2.6250078358254658E-2</v>
      </c>
      <c r="F4516" s="40">
        <v>39665</v>
      </c>
      <c r="G4516" s="39">
        <v>6518.7</v>
      </c>
      <c r="H4516" s="39">
        <f t="shared" si="437"/>
        <v>2</v>
      </c>
      <c r="I4516" s="39">
        <f t="shared" si="438"/>
        <v>0</v>
      </c>
      <c r="K4516" s="40"/>
      <c r="Q4516" s="40">
        <v>39665</v>
      </c>
      <c r="R4516" s="39">
        <v>6518.7</v>
      </c>
      <c r="S4516" s="39">
        <f t="shared" si="439"/>
        <v>8</v>
      </c>
      <c r="T4516" s="39">
        <f t="shared" si="440"/>
        <v>0</v>
      </c>
      <c r="U4516" s="39">
        <f t="shared" si="441"/>
        <v>0</v>
      </c>
      <c r="V4516" s="40"/>
    </row>
    <row r="4517" spans="2:22" x14ac:dyDescent="0.35">
      <c r="B4517" s="40">
        <v>39666</v>
      </c>
      <c r="C4517" s="39">
        <v>6561.39</v>
      </c>
      <c r="D4517" s="219">
        <f t="shared" si="442"/>
        <v>6.5275011989704276E-3</v>
      </c>
      <c r="F4517" s="40">
        <v>39666</v>
      </c>
      <c r="G4517" s="39">
        <v>6561.39</v>
      </c>
      <c r="H4517" s="39">
        <f t="shared" si="437"/>
        <v>3</v>
      </c>
      <c r="I4517" s="39">
        <f t="shared" si="438"/>
        <v>0</v>
      </c>
      <c r="K4517" s="40"/>
      <c r="Q4517" s="40">
        <v>39666</v>
      </c>
      <c r="R4517" s="39">
        <v>6561.39</v>
      </c>
      <c r="S4517" s="39">
        <f t="shared" si="439"/>
        <v>8</v>
      </c>
      <c r="T4517" s="39">
        <f t="shared" si="440"/>
        <v>0</v>
      </c>
      <c r="U4517" s="39">
        <f t="shared" si="441"/>
        <v>0</v>
      </c>
      <c r="V4517" s="40"/>
    </row>
    <row r="4518" spans="2:22" x14ac:dyDescent="0.35">
      <c r="B4518" s="40">
        <v>39667</v>
      </c>
      <c r="C4518" s="39">
        <v>6543.49</v>
      </c>
      <c r="D4518" s="219">
        <f t="shared" si="442"/>
        <v>-2.7318084762279924E-3</v>
      </c>
      <c r="F4518" s="40">
        <v>39667</v>
      </c>
      <c r="G4518" s="39">
        <v>6543.49</v>
      </c>
      <c r="H4518" s="39">
        <f t="shared" si="437"/>
        <v>4</v>
      </c>
      <c r="I4518" s="39">
        <f t="shared" si="438"/>
        <v>0</v>
      </c>
      <c r="K4518" s="40"/>
      <c r="Q4518" s="40">
        <v>39667</v>
      </c>
      <c r="R4518" s="39">
        <v>6543.49</v>
      </c>
      <c r="S4518" s="39">
        <f t="shared" si="439"/>
        <v>8</v>
      </c>
      <c r="T4518" s="39">
        <f t="shared" si="440"/>
        <v>0</v>
      </c>
      <c r="U4518" s="39">
        <f t="shared" si="441"/>
        <v>0</v>
      </c>
      <c r="V4518" s="40"/>
    </row>
    <row r="4519" spans="2:22" x14ac:dyDescent="0.35">
      <c r="B4519" s="40">
        <v>39668</v>
      </c>
      <c r="C4519" s="39">
        <v>6561.65</v>
      </c>
      <c r="D4519" s="219">
        <f t="shared" si="442"/>
        <v>2.7714334411802683E-3</v>
      </c>
      <c r="F4519" s="40">
        <v>39668</v>
      </c>
      <c r="G4519" s="39">
        <v>6561.65</v>
      </c>
      <c r="H4519" s="39">
        <f t="shared" si="437"/>
        <v>5</v>
      </c>
      <c r="I4519" s="39">
        <f t="shared" si="438"/>
        <v>6561.65</v>
      </c>
      <c r="K4519" s="40"/>
      <c r="Q4519" s="40">
        <v>39668</v>
      </c>
      <c r="R4519" s="39">
        <v>6561.65</v>
      </c>
      <c r="S4519" s="39">
        <f t="shared" si="439"/>
        <v>8</v>
      </c>
      <c r="T4519" s="39">
        <f t="shared" si="440"/>
        <v>0</v>
      </c>
      <c r="U4519" s="39">
        <f t="shared" si="441"/>
        <v>0</v>
      </c>
      <c r="V4519" s="40"/>
    </row>
    <row r="4520" spans="2:22" x14ac:dyDescent="0.35">
      <c r="B4520" s="40">
        <v>39671</v>
      </c>
      <c r="C4520" s="39">
        <v>6609.63</v>
      </c>
      <c r="D4520" s="219">
        <f t="shared" si="442"/>
        <v>7.2855807833552269E-3</v>
      </c>
      <c r="F4520" s="40">
        <v>39671</v>
      </c>
      <c r="G4520" s="39">
        <v>6609.63</v>
      </c>
      <c r="H4520" s="39">
        <f t="shared" si="437"/>
        <v>1</v>
      </c>
      <c r="I4520" s="39">
        <f t="shared" si="438"/>
        <v>0</v>
      </c>
      <c r="K4520" s="40"/>
      <c r="Q4520" s="40">
        <v>39671</v>
      </c>
      <c r="R4520" s="39">
        <v>6609.63</v>
      </c>
      <c r="S4520" s="39">
        <f t="shared" si="439"/>
        <v>8</v>
      </c>
      <c r="T4520" s="39">
        <f t="shared" si="440"/>
        <v>0</v>
      </c>
      <c r="U4520" s="39">
        <f t="shared" si="441"/>
        <v>0</v>
      </c>
      <c r="V4520" s="40"/>
    </row>
    <row r="4521" spans="2:22" x14ac:dyDescent="0.35">
      <c r="B4521" s="40">
        <v>39672</v>
      </c>
      <c r="C4521" s="39">
        <v>6585.87</v>
      </c>
      <c r="D4521" s="219">
        <f t="shared" si="442"/>
        <v>-3.6012315832450689E-3</v>
      </c>
      <c r="F4521" s="40">
        <v>39672</v>
      </c>
      <c r="G4521" s="39">
        <v>6585.87</v>
      </c>
      <c r="H4521" s="39">
        <f t="shared" si="437"/>
        <v>2</v>
      </c>
      <c r="I4521" s="39">
        <f t="shared" si="438"/>
        <v>0</v>
      </c>
      <c r="K4521" s="40"/>
      <c r="Q4521" s="40">
        <v>39672</v>
      </c>
      <c r="R4521" s="39">
        <v>6585.87</v>
      </c>
      <c r="S4521" s="39">
        <f t="shared" si="439"/>
        <v>8</v>
      </c>
      <c r="T4521" s="39">
        <f t="shared" si="440"/>
        <v>0</v>
      </c>
      <c r="U4521" s="39">
        <f t="shared" si="441"/>
        <v>0</v>
      </c>
      <c r="V4521" s="40"/>
    </row>
    <row r="4522" spans="2:22" x14ac:dyDescent="0.35">
      <c r="B4522" s="40">
        <v>39673</v>
      </c>
      <c r="C4522" s="39">
        <v>6422.19</v>
      </c>
      <c r="D4522" s="219">
        <f t="shared" si="442"/>
        <v>-2.5167263890907971E-2</v>
      </c>
      <c r="F4522" s="40">
        <v>39673</v>
      </c>
      <c r="G4522" s="39">
        <v>6422.19</v>
      </c>
      <c r="H4522" s="39">
        <f t="shared" si="437"/>
        <v>3</v>
      </c>
      <c r="I4522" s="39">
        <f t="shared" si="438"/>
        <v>0</v>
      </c>
      <c r="K4522" s="40"/>
      <c r="Q4522" s="40">
        <v>39673</v>
      </c>
      <c r="R4522" s="39">
        <v>6422.19</v>
      </c>
      <c r="S4522" s="39">
        <f t="shared" si="439"/>
        <v>8</v>
      </c>
      <c r="T4522" s="39">
        <f t="shared" si="440"/>
        <v>0</v>
      </c>
      <c r="U4522" s="39">
        <f t="shared" si="441"/>
        <v>0</v>
      </c>
      <c r="V4522" s="40"/>
    </row>
    <row r="4523" spans="2:22" x14ac:dyDescent="0.35">
      <c r="B4523" s="40">
        <v>39674</v>
      </c>
      <c r="C4523" s="39">
        <v>6442.21</v>
      </c>
      <c r="D4523" s="219">
        <f t="shared" si="442"/>
        <v>3.1124679210696483E-3</v>
      </c>
      <c r="F4523" s="40">
        <v>39674</v>
      </c>
      <c r="G4523" s="39">
        <v>6442.21</v>
      </c>
      <c r="H4523" s="39">
        <f t="shared" si="437"/>
        <v>4</v>
      </c>
      <c r="I4523" s="39">
        <f t="shared" si="438"/>
        <v>0</v>
      </c>
      <c r="K4523" s="40"/>
      <c r="Q4523" s="40">
        <v>39674</v>
      </c>
      <c r="R4523" s="39">
        <v>6442.21</v>
      </c>
      <c r="S4523" s="39">
        <f t="shared" si="439"/>
        <v>8</v>
      </c>
      <c r="T4523" s="39">
        <f t="shared" si="440"/>
        <v>0</v>
      </c>
      <c r="U4523" s="39">
        <f t="shared" si="441"/>
        <v>0</v>
      </c>
      <c r="V4523" s="40"/>
    </row>
    <row r="4524" spans="2:22" x14ac:dyDescent="0.35">
      <c r="B4524" s="40">
        <v>39675</v>
      </c>
      <c r="C4524" s="39">
        <v>6446.02</v>
      </c>
      <c r="D4524" s="219">
        <f t="shared" si="442"/>
        <v>5.9123713822393077E-4</v>
      </c>
      <c r="F4524" s="40">
        <v>39675</v>
      </c>
      <c r="G4524" s="39">
        <v>6446.02</v>
      </c>
      <c r="H4524" s="39">
        <f t="shared" si="437"/>
        <v>5</v>
      </c>
      <c r="I4524" s="39">
        <f t="shared" si="438"/>
        <v>6446.02</v>
      </c>
      <c r="K4524" s="40"/>
      <c r="Q4524" s="40">
        <v>39675</v>
      </c>
      <c r="R4524" s="39">
        <v>6446.02</v>
      </c>
      <c r="S4524" s="39">
        <f t="shared" si="439"/>
        <v>8</v>
      </c>
      <c r="T4524" s="39">
        <f t="shared" si="440"/>
        <v>0</v>
      </c>
      <c r="U4524" s="39">
        <f t="shared" si="441"/>
        <v>0</v>
      </c>
      <c r="V4524" s="40"/>
    </row>
    <row r="4525" spans="2:22" x14ac:dyDescent="0.35">
      <c r="B4525" s="40">
        <v>39678</v>
      </c>
      <c r="C4525" s="39">
        <v>6432.88</v>
      </c>
      <c r="D4525" s="219">
        <f t="shared" si="442"/>
        <v>-2.0405476491624297E-3</v>
      </c>
      <c r="F4525" s="40">
        <v>39678</v>
      </c>
      <c r="G4525" s="39">
        <v>6432.88</v>
      </c>
      <c r="H4525" s="39">
        <f t="shared" si="437"/>
        <v>1</v>
      </c>
      <c r="I4525" s="39">
        <f t="shared" si="438"/>
        <v>0</v>
      </c>
      <c r="K4525" s="40"/>
      <c r="Q4525" s="40">
        <v>39678</v>
      </c>
      <c r="R4525" s="39">
        <v>6432.88</v>
      </c>
      <c r="S4525" s="39">
        <f t="shared" si="439"/>
        <v>8</v>
      </c>
      <c r="T4525" s="39">
        <f t="shared" si="440"/>
        <v>0</v>
      </c>
      <c r="U4525" s="39">
        <f t="shared" si="441"/>
        <v>0</v>
      </c>
      <c r="V4525" s="40"/>
    </row>
    <row r="4526" spans="2:22" x14ac:dyDescent="0.35">
      <c r="B4526" s="40">
        <v>39679</v>
      </c>
      <c r="C4526" s="39">
        <v>6282.43</v>
      </c>
      <c r="D4526" s="219">
        <f t="shared" si="442"/>
        <v>-2.3665490126363185E-2</v>
      </c>
      <c r="F4526" s="40">
        <v>39679</v>
      </c>
      <c r="G4526" s="39">
        <v>6282.43</v>
      </c>
      <c r="H4526" s="39">
        <f t="shared" si="437"/>
        <v>2</v>
      </c>
      <c r="I4526" s="39">
        <f t="shared" si="438"/>
        <v>0</v>
      </c>
      <c r="K4526" s="40"/>
      <c r="Q4526" s="40">
        <v>39679</v>
      </c>
      <c r="R4526" s="39">
        <v>6282.43</v>
      </c>
      <c r="S4526" s="39">
        <f t="shared" si="439"/>
        <v>8</v>
      </c>
      <c r="T4526" s="39">
        <f t="shared" si="440"/>
        <v>0</v>
      </c>
      <c r="U4526" s="39">
        <f t="shared" si="441"/>
        <v>0</v>
      </c>
      <c r="V4526" s="40"/>
    </row>
    <row r="4527" spans="2:22" x14ac:dyDescent="0.35">
      <c r="B4527" s="40">
        <v>39680</v>
      </c>
      <c r="C4527" s="39">
        <v>6317.8</v>
      </c>
      <c r="D4527" s="219">
        <f t="shared" si="442"/>
        <v>5.6141979793780262E-3</v>
      </c>
      <c r="F4527" s="40">
        <v>39680</v>
      </c>
      <c r="G4527" s="39">
        <v>6317.8</v>
      </c>
      <c r="H4527" s="39">
        <f t="shared" si="437"/>
        <v>3</v>
      </c>
      <c r="I4527" s="39">
        <f t="shared" si="438"/>
        <v>0</v>
      </c>
      <c r="K4527" s="40"/>
      <c r="Q4527" s="40">
        <v>39680</v>
      </c>
      <c r="R4527" s="39">
        <v>6317.8</v>
      </c>
      <c r="S4527" s="39">
        <f t="shared" si="439"/>
        <v>8</v>
      </c>
      <c r="T4527" s="39">
        <f t="shared" si="440"/>
        <v>0</v>
      </c>
      <c r="U4527" s="39">
        <f t="shared" si="441"/>
        <v>0</v>
      </c>
      <c r="V4527" s="40"/>
    </row>
    <row r="4528" spans="2:22" x14ac:dyDescent="0.35">
      <c r="B4528" s="40">
        <v>39681</v>
      </c>
      <c r="C4528" s="39">
        <v>6236.96</v>
      </c>
      <c r="D4528" s="219">
        <f t="shared" si="442"/>
        <v>-1.2878162107960323E-2</v>
      </c>
      <c r="F4528" s="40">
        <v>39681</v>
      </c>
      <c r="G4528" s="39">
        <v>6236.96</v>
      </c>
      <c r="H4528" s="39">
        <f t="shared" si="437"/>
        <v>4</v>
      </c>
      <c r="I4528" s="39">
        <f t="shared" si="438"/>
        <v>0</v>
      </c>
      <c r="K4528" s="40"/>
      <c r="Q4528" s="40">
        <v>39681</v>
      </c>
      <c r="R4528" s="39">
        <v>6236.96</v>
      </c>
      <c r="S4528" s="39">
        <f t="shared" si="439"/>
        <v>8</v>
      </c>
      <c r="T4528" s="39">
        <f t="shared" si="440"/>
        <v>0</v>
      </c>
      <c r="U4528" s="39">
        <f t="shared" si="441"/>
        <v>0</v>
      </c>
      <c r="V4528" s="40"/>
    </row>
    <row r="4529" spans="2:22" x14ac:dyDescent="0.35">
      <c r="B4529" s="40">
        <v>39682</v>
      </c>
      <c r="C4529" s="39">
        <v>6342.42</v>
      </c>
      <c r="D4529" s="219">
        <f t="shared" si="442"/>
        <v>1.6767514905255694E-2</v>
      </c>
      <c r="F4529" s="40">
        <v>39682</v>
      </c>
      <c r="G4529" s="39">
        <v>6342.42</v>
      </c>
      <c r="H4529" s="39">
        <f t="shared" si="437"/>
        <v>5</v>
      </c>
      <c r="I4529" s="39">
        <f t="shared" si="438"/>
        <v>6342.42</v>
      </c>
      <c r="K4529" s="40"/>
      <c r="Q4529" s="40">
        <v>39682</v>
      </c>
      <c r="R4529" s="39">
        <v>6342.42</v>
      </c>
      <c r="S4529" s="39">
        <f t="shared" si="439"/>
        <v>8</v>
      </c>
      <c r="T4529" s="39">
        <f t="shared" si="440"/>
        <v>0</v>
      </c>
      <c r="U4529" s="39">
        <f t="shared" si="441"/>
        <v>0</v>
      </c>
      <c r="V4529" s="40"/>
    </row>
    <row r="4530" spans="2:22" x14ac:dyDescent="0.35">
      <c r="B4530" s="40">
        <v>39685</v>
      </c>
      <c r="C4530" s="39">
        <v>6296.95</v>
      </c>
      <c r="D4530" s="219">
        <f t="shared" si="442"/>
        <v>-7.1950099028742793E-3</v>
      </c>
      <c r="F4530" s="40">
        <v>39685</v>
      </c>
      <c r="G4530" s="39">
        <v>6296.95</v>
      </c>
      <c r="H4530" s="39">
        <f t="shared" si="437"/>
        <v>1</v>
      </c>
      <c r="I4530" s="39">
        <f t="shared" si="438"/>
        <v>0</v>
      </c>
      <c r="K4530" s="40"/>
      <c r="Q4530" s="40">
        <v>39685</v>
      </c>
      <c r="R4530" s="39">
        <v>6296.95</v>
      </c>
      <c r="S4530" s="39">
        <f t="shared" si="439"/>
        <v>8</v>
      </c>
      <c r="T4530" s="39">
        <f t="shared" si="440"/>
        <v>0</v>
      </c>
      <c r="U4530" s="39">
        <f t="shared" si="441"/>
        <v>0</v>
      </c>
      <c r="V4530" s="40"/>
    </row>
    <row r="4531" spans="2:22" x14ac:dyDescent="0.35">
      <c r="B4531" s="40">
        <v>39686</v>
      </c>
      <c r="C4531" s="39">
        <v>6340.52</v>
      </c>
      <c r="D4531" s="219">
        <f t="shared" si="442"/>
        <v>6.8953948271563105E-3</v>
      </c>
      <c r="F4531" s="40">
        <v>39686</v>
      </c>
      <c r="G4531" s="39">
        <v>6340.52</v>
      </c>
      <c r="H4531" s="39">
        <f t="shared" si="437"/>
        <v>2</v>
      </c>
      <c r="I4531" s="39">
        <f t="shared" si="438"/>
        <v>0</v>
      </c>
      <c r="K4531" s="40"/>
      <c r="Q4531" s="40">
        <v>39686</v>
      </c>
      <c r="R4531" s="39">
        <v>6340.52</v>
      </c>
      <c r="S4531" s="39">
        <f t="shared" si="439"/>
        <v>8</v>
      </c>
      <c r="T4531" s="39">
        <f t="shared" si="440"/>
        <v>0</v>
      </c>
      <c r="U4531" s="39">
        <f t="shared" si="441"/>
        <v>0</v>
      </c>
      <c r="V4531" s="40"/>
    </row>
    <row r="4532" spans="2:22" x14ac:dyDescent="0.35">
      <c r="B4532" s="40">
        <v>39687</v>
      </c>
      <c r="C4532" s="39">
        <v>6321.03</v>
      </c>
      <c r="D4532" s="219">
        <f t="shared" si="442"/>
        <v>-3.0786144498318089E-3</v>
      </c>
      <c r="F4532" s="40">
        <v>39687</v>
      </c>
      <c r="G4532" s="39">
        <v>6321.03</v>
      </c>
      <c r="H4532" s="39">
        <f t="shared" si="437"/>
        <v>3</v>
      </c>
      <c r="I4532" s="39">
        <f t="shared" si="438"/>
        <v>0</v>
      </c>
      <c r="K4532" s="40"/>
      <c r="Q4532" s="40">
        <v>39687</v>
      </c>
      <c r="R4532" s="39">
        <v>6321.03</v>
      </c>
      <c r="S4532" s="39">
        <f t="shared" si="439"/>
        <v>8</v>
      </c>
      <c r="T4532" s="39">
        <f t="shared" si="440"/>
        <v>0</v>
      </c>
      <c r="U4532" s="39">
        <f t="shared" si="441"/>
        <v>0</v>
      </c>
      <c r="V4532" s="40"/>
    </row>
    <row r="4533" spans="2:22" x14ac:dyDescent="0.35">
      <c r="B4533" s="40">
        <v>39688</v>
      </c>
      <c r="C4533" s="39">
        <v>6420.54</v>
      </c>
      <c r="D4533" s="219">
        <f t="shared" si="442"/>
        <v>1.5620056750794786E-2</v>
      </c>
      <c r="F4533" s="40">
        <v>39688</v>
      </c>
      <c r="G4533" s="39">
        <v>6420.54</v>
      </c>
      <c r="H4533" s="39">
        <f t="shared" si="437"/>
        <v>4</v>
      </c>
      <c r="I4533" s="39">
        <f t="shared" si="438"/>
        <v>0</v>
      </c>
      <c r="K4533" s="40"/>
      <c r="Q4533" s="40">
        <v>39688</v>
      </c>
      <c r="R4533" s="39">
        <v>6420.54</v>
      </c>
      <c r="S4533" s="39">
        <f t="shared" si="439"/>
        <v>8</v>
      </c>
      <c r="T4533" s="39">
        <f t="shared" si="440"/>
        <v>0</v>
      </c>
      <c r="U4533" s="39">
        <f t="shared" si="441"/>
        <v>0</v>
      </c>
      <c r="V4533" s="40"/>
    </row>
    <row r="4534" spans="2:22" x14ac:dyDescent="0.35">
      <c r="B4534" s="40">
        <v>39689</v>
      </c>
      <c r="C4534" s="39">
        <v>6422.3</v>
      </c>
      <c r="D4534" s="219">
        <f t="shared" si="442"/>
        <v>2.74082681247682E-4</v>
      </c>
      <c r="F4534" s="40">
        <v>39689</v>
      </c>
      <c r="G4534" s="39">
        <v>6422.3</v>
      </c>
      <c r="H4534" s="39">
        <f t="shared" si="437"/>
        <v>5</v>
      </c>
      <c r="I4534" s="39">
        <f t="shared" si="438"/>
        <v>6422.3</v>
      </c>
      <c r="K4534" s="40"/>
      <c r="Q4534" s="40">
        <v>39689</v>
      </c>
      <c r="R4534" s="39">
        <v>6422.3</v>
      </c>
      <c r="S4534" s="39">
        <f t="shared" si="439"/>
        <v>8</v>
      </c>
      <c r="T4534" s="39">
        <f t="shared" si="440"/>
        <v>6422.3</v>
      </c>
      <c r="U4534" s="39">
        <f t="shared" si="441"/>
        <v>6422.3</v>
      </c>
      <c r="V4534" s="40"/>
    </row>
    <row r="4535" spans="2:22" x14ac:dyDescent="0.35">
      <c r="B4535" s="40">
        <v>39692</v>
      </c>
      <c r="C4535" s="39">
        <v>6421.8</v>
      </c>
      <c r="D4535" s="219">
        <f t="shared" si="442"/>
        <v>-7.7856759173886104E-5</v>
      </c>
      <c r="F4535" s="40">
        <v>39692</v>
      </c>
      <c r="G4535" s="39">
        <v>6421.8</v>
      </c>
      <c r="H4535" s="39">
        <f t="shared" ref="H4535:H4598" si="443">WEEKDAY(F4535,2)</f>
        <v>1</v>
      </c>
      <c r="I4535" s="39">
        <f t="shared" ref="I4535:I4598" si="444">IF(H4535&gt;H4536,G4535,0)</f>
        <v>0</v>
      </c>
      <c r="K4535" s="40"/>
      <c r="Q4535" s="40">
        <v>39692</v>
      </c>
      <c r="R4535" s="39">
        <v>6421.8</v>
      </c>
      <c r="S4535" s="39">
        <f t="shared" ref="S4535:S4598" si="445">MONTH(Q4535)</f>
        <v>9</v>
      </c>
      <c r="T4535" s="39">
        <f t="shared" ref="T4535:T4598" si="446">IF(S4536&lt;&gt;S4535,R4535,0)</f>
        <v>0</v>
      </c>
      <c r="U4535" s="39">
        <f t="shared" ref="U4535:U4598" si="447">IF(S4536=S4535,0,R4535)</f>
        <v>0</v>
      </c>
      <c r="V4535" s="40"/>
    </row>
    <row r="4536" spans="2:22" x14ac:dyDescent="0.35">
      <c r="B4536" s="40">
        <v>39693</v>
      </c>
      <c r="C4536" s="39">
        <v>6518.47</v>
      </c>
      <c r="D4536" s="219">
        <f t="shared" ref="D4536:D4599" si="448">LN(C4536/C4535)</f>
        <v>1.4941233588056022E-2</v>
      </c>
      <c r="F4536" s="40">
        <v>39693</v>
      </c>
      <c r="G4536" s="39">
        <v>6518.47</v>
      </c>
      <c r="H4536" s="39">
        <f t="shared" si="443"/>
        <v>2</v>
      </c>
      <c r="I4536" s="39">
        <f t="shared" si="444"/>
        <v>0</v>
      </c>
      <c r="K4536" s="40"/>
      <c r="Q4536" s="40">
        <v>39693</v>
      </c>
      <c r="R4536" s="39">
        <v>6518.47</v>
      </c>
      <c r="S4536" s="39">
        <f t="shared" si="445"/>
        <v>9</v>
      </c>
      <c r="T4536" s="39">
        <f t="shared" si="446"/>
        <v>0</v>
      </c>
      <c r="U4536" s="39">
        <f t="shared" si="447"/>
        <v>0</v>
      </c>
      <c r="V4536" s="40"/>
    </row>
    <row r="4537" spans="2:22" x14ac:dyDescent="0.35">
      <c r="B4537" s="40">
        <v>39694</v>
      </c>
      <c r="C4537" s="39">
        <v>6467.49</v>
      </c>
      <c r="D4537" s="219">
        <f t="shared" si="448"/>
        <v>-7.8515969399531836E-3</v>
      </c>
      <c r="F4537" s="40">
        <v>39694</v>
      </c>
      <c r="G4537" s="39">
        <v>6467.49</v>
      </c>
      <c r="H4537" s="39">
        <f t="shared" si="443"/>
        <v>3</v>
      </c>
      <c r="I4537" s="39">
        <f t="shared" si="444"/>
        <v>0</v>
      </c>
      <c r="K4537" s="40"/>
      <c r="Q4537" s="40">
        <v>39694</v>
      </c>
      <c r="R4537" s="39">
        <v>6467.49</v>
      </c>
      <c r="S4537" s="39">
        <f t="shared" si="445"/>
        <v>9</v>
      </c>
      <c r="T4537" s="39">
        <f t="shared" si="446"/>
        <v>0</v>
      </c>
      <c r="U4537" s="39">
        <f t="shared" si="447"/>
        <v>0</v>
      </c>
      <c r="V4537" s="40"/>
    </row>
    <row r="4538" spans="2:22" x14ac:dyDescent="0.35">
      <c r="B4538" s="40">
        <v>39695</v>
      </c>
      <c r="C4538" s="39">
        <v>6279.57</v>
      </c>
      <c r="D4538" s="219">
        <f t="shared" si="448"/>
        <v>-2.948658208609219E-2</v>
      </c>
      <c r="F4538" s="40">
        <v>39695</v>
      </c>
      <c r="G4538" s="39">
        <v>6279.57</v>
      </c>
      <c r="H4538" s="39">
        <f t="shared" si="443"/>
        <v>4</v>
      </c>
      <c r="I4538" s="39">
        <f t="shared" si="444"/>
        <v>0</v>
      </c>
      <c r="K4538" s="40"/>
      <c r="Q4538" s="40">
        <v>39695</v>
      </c>
      <c r="R4538" s="39">
        <v>6279.57</v>
      </c>
      <c r="S4538" s="39">
        <f t="shared" si="445"/>
        <v>9</v>
      </c>
      <c r="T4538" s="39">
        <f t="shared" si="446"/>
        <v>0</v>
      </c>
      <c r="U4538" s="39">
        <f t="shared" si="447"/>
        <v>0</v>
      </c>
      <c r="V4538" s="40"/>
    </row>
    <row r="4539" spans="2:22" x14ac:dyDescent="0.35">
      <c r="B4539" s="40">
        <v>39696</v>
      </c>
      <c r="C4539" s="39">
        <v>6127.44</v>
      </c>
      <c r="D4539" s="219">
        <f t="shared" si="448"/>
        <v>-2.4524462347733877E-2</v>
      </c>
      <c r="F4539" s="40">
        <v>39696</v>
      </c>
      <c r="G4539" s="39">
        <v>6127.44</v>
      </c>
      <c r="H4539" s="39">
        <f t="shared" si="443"/>
        <v>5</v>
      </c>
      <c r="I4539" s="39">
        <f t="shared" si="444"/>
        <v>6127.44</v>
      </c>
      <c r="K4539" s="40"/>
      <c r="Q4539" s="40">
        <v>39696</v>
      </c>
      <c r="R4539" s="39">
        <v>6127.44</v>
      </c>
      <c r="S4539" s="39">
        <f t="shared" si="445"/>
        <v>9</v>
      </c>
      <c r="T4539" s="39">
        <f t="shared" si="446"/>
        <v>0</v>
      </c>
      <c r="U4539" s="39">
        <f t="shared" si="447"/>
        <v>0</v>
      </c>
      <c r="V4539" s="40"/>
    </row>
    <row r="4540" spans="2:22" x14ac:dyDescent="0.35">
      <c r="B4540" s="40">
        <v>39699</v>
      </c>
      <c r="C4540" s="39">
        <v>6263.74</v>
      </c>
      <c r="D4540" s="219">
        <f t="shared" si="448"/>
        <v>2.2000406352271115E-2</v>
      </c>
      <c r="F4540" s="40">
        <v>39699</v>
      </c>
      <c r="G4540" s="39">
        <v>6263.74</v>
      </c>
      <c r="H4540" s="39">
        <f t="shared" si="443"/>
        <v>1</v>
      </c>
      <c r="I4540" s="39">
        <f t="shared" si="444"/>
        <v>0</v>
      </c>
      <c r="K4540" s="40"/>
      <c r="Q4540" s="40">
        <v>39699</v>
      </c>
      <c r="R4540" s="39">
        <v>6263.74</v>
      </c>
      <c r="S4540" s="39">
        <f t="shared" si="445"/>
        <v>9</v>
      </c>
      <c r="T4540" s="39">
        <f t="shared" si="446"/>
        <v>0</v>
      </c>
      <c r="U4540" s="39">
        <f t="shared" si="447"/>
        <v>0</v>
      </c>
      <c r="V4540" s="40"/>
    </row>
    <row r="4541" spans="2:22" x14ac:dyDescent="0.35">
      <c r="B4541" s="40">
        <v>39700</v>
      </c>
      <c r="C4541" s="39">
        <v>6233.41</v>
      </c>
      <c r="D4541" s="219">
        <f t="shared" si="448"/>
        <v>-4.8539162207618322E-3</v>
      </c>
      <c r="F4541" s="40">
        <v>39700</v>
      </c>
      <c r="G4541" s="39">
        <v>6233.41</v>
      </c>
      <c r="H4541" s="39">
        <f t="shared" si="443"/>
        <v>2</v>
      </c>
      <c r="I4541" s="39">
        <f t="shared" si="444"/>
        <v>0</v>
      </c>
      <c r="K4541" s="40"/>
      <c r="Q4541" s="40">
        <v>39700</v>
      </c>
      <c r="R4541" s="39">
        <v>6233.41</v>
      </c>
      <c r="S4541" s="39">
        <f t="shared" si="445"/>
        <v>9</v>
      </c>
      <c r="T4541" s="39">
        <f t="shared" si="446"/>
        <v>0</v>
      </c>
      <c r="U4541" s="39">
        <f t="shared" si="447"/>
        <v>0</v>
      </c>
      <c r="V4541" s="40"/>
    </row>
    <row r="4542" spans="2:22" x14ac:dyDescent="0.35">
      <c r="B4542" s="40">
        <v>39701</v>
      </c>
      <c r="C4542" s="39">
        <v>6210.32</v>
      </c>
      <c r="D4542" s="219">
        <f t="shared" si="448"/>
        <v>-3.7111101736005121E-3</v>
      </c>
      <c r="F4542" s="40">
        <v>39701</v>
      </c>
      <c r="G4542" s="39">
        <v>6210.32</v>
      </c>
      <c r="H4542" s="39">
        <f t="shared" si="443"/>
        <v>3</v>
      </c>
      <c r="I4542" s="39">
        <f t="shared" si="444"/>
        <v>0</v>
      </c>
      <c r="K4542" s="40"/>
      <c r="Q4542" s="40">
        <v>39701</v>
      </c>
      <c r="R4542" s="39">
        <v>6210.32</v>
      </c>
      <c r="S4542" s="39">
        <f t="shared" si="445"/>
        <v>9</v>
      </c>
      <c r="T4542" s="39">
        <f t="shared" si="446"/>
        <v>0</v>
      </c>
      <c r="U4542" s="39">
        <f t="shared" si="447"/>
        <v>0</v>
      </c>
      <c r="V4542" s="40"/>
    </row>
    <row r="4543" spans="2:22" x14ac:dyDescent="0.35">
      <c r="B4543" s="40">
        <v>39702</v>
      </c>
      <c r="C4543" s="39">
        <v>6178.9</v>
      </c>
      <c r="D4543" s="219">
        <f t="shared" si="448"/>
        <v>-5.072162309070107E-3</v>
      </c>
      <c r="F4543" s="40">
        <v>39702</v>
      </c>
      <c r="G4543" s="39">
        <v>6178.9</v>
      </c>
      <c r="H4543" s="39">
        <f t="shared" si="443"/>
        <v>4</v>
      </c>
      <c r="I4543" s="39">
        <f t="shared" si="444"/>
        <v>0</v>
      </c>
      <c r="K4543" s="40"/>
      <c r="Q4543" s="40">
        <v>39702</v>
      </c>
      <c r="R4543" s="39">
        <v>6178.9</v>
      </c>
      <c r="S4543" s="39">
        <f t="shared" si="445"/>
        <v>9</v>
      </c>
      <c r="T4543" s="39">
        <f t="shared" si="446"/>
        <v>0</v>
      </c>
      <c r="U4543" s="39">
        <f t="shared" si="447"/>
        <v>0</v>
      </c>
      <c r="V4543" s="40"/>
    </row>
    <row r="4544" spans="2:22" x14ac:dyDescent="0.35">
      <c r="B4544" s="40">
        <v>39703</v>
      </c>
      <c r="C4544" s="39">
        <v>6234.89</v>
      </c>
      <c r="D4544" s="219">
        <f t="shared" si="448"/>
        <v>9.0206745353886703E-3</v>
      </c>
      <c r="F4544" s="40">
        <v>39703</v>
      </c>
      <c r="G4544" s="39">
        <v>6234.89</v>
      </c>
      <c r="H4544" s="39">
        <f t="shared" si="443"/>
        <v>5</v>
      </c>
      <c r="I4544" s="39">
        <f t="shared" si="444"/>
        <v>6234.89</v>
      </c>
      <c r="K4544" s="40"/>
      <c r="Q4544" s="40">
        <v>39703</v>
      </c>
      <c r="R4544" s="39">
        <v>6234.89</v>
      </c>
      <c r="S4544" s="39">
        <f t="shared" si="445"/>
        <v>9</v>
      </c>
      <c r="T4544" s="39">
        <f t="shared" si="446"/>
        <v>0</v>
      </c>
      <c r="U4544" s="39">
        <f t="shared" si="447"/>
        <v>0</v>
      </c>
      <c r="V4544" s="40"/>
    </row>
    <row r="4545" spans="2:22" x14ac:dyDescent="0.35">
      <c r="B4545" s="40">
        <v>39706</v>
      </c>
      <c r="C4545" s="39">
        <v>6064.16</v>
      </c>
      <c r="D4545" s="219">
        <f t="shared" si="448"/>
        <v>-2.7764903418490968E-2</v>
      </c>
      <c r="F4545" s="40">
        <v>39706</v>
      </c>
      <c r="G4545" s="39">
        <v>6064.16</v>
      </c>
      <c r="H4545" s="39">
        <f t="shared" si="443"/>
        <v>1</v>
      </c>
      <c r="I4545" s="39">
        <f t="shared" si="444"/>
        <v>0</v>
      </c>
      <c r="K4545" s="40"/>
      <c r="Q4545" s="40">
        <v>39706</v>
      </c>
      <c r="R4545" s="39">
        <v>6064.16</v>
      </c>
      <c r="S4545" s="39">
        <f t="shared" si="445"/>
        <v>9</v>
      </c>
      <c r="T4545" s="39">
        <f t="shared" si="446"/>
        <v>0</v>
      </c>
      <c r="U4545" s="39">
        <f t="shared" si="447"/>
        <v>0</v>
      </c>
      <c r="V4545" s="40"/>
    </row>
    <row r="4546" spans="2:22" x14ac:dyDescent="0.35">
      <c r="B4546" s="40">
        <v>39707</v>
      </c>
      <c r="C4546" s="39">
        <v>5965.17</v>
      </c>
      <c r="D4546" s="219">
        <f t="shared" si="448"/>
        <v>-1.6458478491598341E-2</v>
      </c>
      <c r="F4546" s="40">
        <v>39707</v>
      </c>
      <c r="G4546" s="39">
        <v>5965.17</v>
      </c>
      <c r="H4546" s="39">
        <f t="shared" si="443"/>
        <v>2</v>
      </c>
      <c r="I4546" s="39">
        <f t="shared" si="444"/>
        <v>0</v>
      </c>
      <c r="K4546" s="40"/>
      <c r="Q4546" s="40">
        <v>39707</v>
      </c>
      <c r="R4546" s="39">
        <v>5965.17</v>
      </c>
      <c r="S4546" s="39">
        <f t="shared" si="445"/>
        <v>9</v>
      </c>
      <c r="T4546" s="39">
        <f t="shared" si="446"/>
        <v>0</v>
      </c>
      <c r="U4546" s="39">
        <f t="shared" si="447"/>
        <v>0</v>
      </c>
      <c r="V4546" s="40"/>
    </row>
    <row r="4547" spans="2:22" x14ac:dyDescent="0.35">
      <c r="B4547" s="40">
        <v>39708</v>
      </c>
      <c r="C4547" s="39">
        <v>5860.98</v>
      </c>
      <c r="D4547" s="219">
        <f t="shared" si="448"/>
        <v>-1.7620729623157437E-2</v>
      </c>
      <c r="F4547" s="40">
        <v>39708</v>
      </c>
      <c r="G4547" s="39">
        <v>5860.98</v>
      </c>
      <c r="H4547" s="39">
        <f t="shared" si="443"/>
        <v>3</v>
      </c>
      <c r="I4547" s="39">
        <f t="shared" si="444"/>
        <v>0</v>
      </c>
      <c r="K4547" s="40"/>
      <c r="Q4547" s="40">
        <v>39708</v>
      </c>
      <c r="R4547" s="39">
        <v>5860.98</v>
      </c>
      <c r="S4547" s="39">
        <f t="shared" si="445"/>
        <v>9</v>
      </c>
      <c r="T4547" s="39">
        <f t="shared" si="446"/>
        <v>0</v>
      </c>
      <c r="U4547" s="39">
        <f t="shared" si="447"/>
        <v>0</v>
      </c>
      <c r="V4547" s="40"/>
    </row>
    <row r="4548" spans="2:22" x14ac:dyDescent="0.35">
      <c r="B4548" s="40">
        <v>39709</v>
      </c>
      <c r="C4548" s="39">
        <v>5863.42</v>
      </c>
      <c r="D4548" s="219">
        <f t="shared" si="448"/>
        <v>4.1622599625182284E-4</v>
      </c>
      <c r="F4548" s="40">
        <v>39709</v>
      </c>
      <c r="G4548" s="39">
        <v>5863.42</v>
      </c>
      <c r="H4548" s="39">
        <f t="shared" si="443"/>
        <v>4</v>
      </c>
      <c r="I4548" s="39">
        <f t="shared" si="444"/>
        <v>0</v>
      </c>
      <c r="K4548" s="40"/>
      <c r="Q4548" s="40">
        <v>39709</v>
      </c>
      <c r="R4548" s="39">
        <v>5863.42</v>
      </c>
      <c r="S4548" s="39">
        <f t="shared" si="445"/>
        <v>9</v>
      </c>
      <c r="T4548" s="39">
        <f t="shared" si="446"/>
        <v>0</v>
      </c>
      <c r="U4548" s="39">
        <f t="shared" si="447"/>
        <v>0</v>
      </c>
      <c r="V4548" s="40"/>
    </row>
    <row r="4549" spans="2:22" x14ac:dyDescent="0.35">
      <c r="B4549" s="40">
        <v>39710</v>
      </c>
      <c r="C4549" s="39">
        <v>6143.42</v>
      </c>
      <c r="D4549" s="219">
        <f t="shared" si="448"/>
        <v>4.6648539249888779E-2</v>
      </c>
      <c r="F4549" s="40">
        <v>39710</v>
      </c>
      <c r="G4549" s="39">
        <v>6143.42</v>
      </c>
      <c r="H4549" s="39">
        <f t="shared" si="443"/>
        <v>5</v>
      </c>
      <c r="I4549" s="39">
        <f t="shared" si="444"/>
        <v>6143.42</v>
      </c>
      <c r="K4549" s="40"/>
      <c r="Q4549" s="40">
        <v>39710</v>
      </c>
      <c r="R4549" s="39">
        <v>6143.42</v>
      </c>
      <c r="S4549" s="39">
        <f t="shared" si="445"/>
        <v>9</v>
      </c>
      <c r="T4549" s="39">
        <f t="shared" si="446"/>
        <v>0</v>
      </c>
      <c r="U4549" s="39">
        <f t="shared" si="447"/>
        <v>0</v>
      </c>
      <c r="V4549" s="40"/>
    </row>
    <row r="4550" spans="2:22" x14ac:dyDescent="0.35">
      <c r="B4550" s="40">
        <v>39713</v>
      </c>
      <c r="C4550" s="39">
        <v>6107.75</v>
      </c>
      <c r="D4550" s="219">
        <f t="shared" si="448"/>
        <v>-5.823133756875285E-3</v>
      </c>
      <c r="F4550" s="40">
        <v>39713</v>
      </c>
      <c r="G4550" s="39">
        <v>6107.75</v>
      </c>
      <c r="H4550" s="39">
        <f t="shared" si="443"/>
        <v>1</v>
      </c>
      <c r="I4550" s="39">
        <f t="shared" si="444"/>
        <v>0</v>
      </c>
      <c r="K4550" s="40"/>
      <c r="Q4550" s="40">
        <v>39713</v>
      </c>
      <c r="R4550" s="39">
        <v>6107.75</v>
      </c>
      <c r="S4550" s="39">
        <f t="shared" si="445"/>
        <v>9</v>
      </c>
      <c r="T4550" s="39">
        <f t="shared" si="446"/>
        <v>0</v>
      </c>
      <c r="U4550" s="39">
        <f t="shared" si="447"/>
        <v>0</v>
      </c>
      <c r="V4550" s="40"/>
    </row>
    <row r="4551" spans="2:22" x14ac:dyDescent="0.35">
      <c r="B4551" s="40">
        <v>39714</v>
      </c>
      <c r="C4551" s="39">
        <v>6068.53</v>
      </c>
      <c r="D4551" s="219">
        <f t="shared" si="448"/>
        <v>-6.442055477698801E-3</v>
      </c>
      <c r="F4551" s="40">
        <v>39714</v>
      </c>
      <c r="G4551" s="39">
        <v>6068.53</v>
      </c>
      <c r="H4551" s="39">
        <f t="shared" si="443"/>
        <v>2</v>
      </c>
      <c r="I4551" s="39">
        <f t="shared" si="444"/>
        <v>0</v>
      </c>
      <c r="K4551" s="40"/>
      <c r="Q4551" s="40">
        <v>39714</v>
      </c>
      <c r="R4551" s="39">
        <v>6068.53</v>
      </c>
      <c r="S4551" s="39">
        <f t="shared" si="445"/>
        <v>9</v>
      </c>
      <c r="T4551" s="39">
        <f t="shared" si="446"/>
        <v>0</v>
      </c>
      <c r="U4551" s="39">
        <f t="shared" si="447"/>
        <v>0</v>
      </c>
      <c r="V4551" s="40"/>
    </row>
    <row r="4552" spans="2:22" x14ac:dyDescent="0.35">
      <c r="B4552" s="40">
        <v>39715</v>
      </c>
      <c r="C4552" s="39">
        <v>6052.87</v>
      </c>
      <c r="D4552" s="219">
        <f t="shared" si="448"/>
        <v>-2.5838613877311651E-3</v>
      </c>
      <c r="F4552" s="40">
        <v>39715</v>
      </c>
      <c r="G4552" s="39">
        <v>6052.87</v>
      </c>
      <c r="H4552" s="39">
        <f t="shared" si="443"/>
        <v>3</v>
      </c>
      <c r="I4552" s="39">
        <f t="shared" si="444"/>
        <v>0</v>
      </c>
      <c r="K4552" s="40"/>
      <c r="Q4552" s="40">
        <v>39715</v>
      </c>
      <c r="R4552" s="39">
        <v>6052.87</v>
      </c>
      <c r="S4552" s="39">
        <f t="shared" si="445"/>
        <v>9</v>
      </c>
      <c r="T4552" s="39">
        <f t="shared" si="446"/>
        <v>0</v>
      </c>
      <c r="U4552" s="39">
        <f t="shared" si="447"/>
        <v>0</v>
      </c>
      <c r="V4552" s="40"/>
    </row>
    <row r="4553" spans="2:22" x14ac:dyDescent="0.35">
      <c r="B4553" s="40">
        <v>39716</v>
      </c>
      <c r="C4553" s="39">
        <v>6173.03</v>
      </c>
      <c r="D4553" s="219">
        <f t="shared" si="448"/>
        <v>1.9657263548252483E-2</v>
      </c>
      <c r="F4553" s="40">
        <v>39716</v>
      </c>
      <c r="G4553" s="39">
        <v>6173.03</v>
      </c>
      <c r="H4553" s="39">
        <f t="shared" si="443"/>
        <v>4</v>
      </c>
      <c r="I4553" s="39">
        <f t="shared" si="444"/>
        <v>0</v>
      </c>
      <c r="K4553" s="40"/>
      <c r="Q4553" s="40">
        <v>39716</v>
      </c>
      <c r="R4553" s="39">
        <v>6173.03</v>
      </c>
      <c r="S4553" s="39">
        <f t="shared" si="445"/>
        <v>9</v>
      </c>
      <c r="T4553" s="39">
        <f t="shared" si="446"/>
        <v>0</v>
      </c>
      <c r="U4553" s="39">
        <f t="shared" si="447"/>
        <v>0</v>
      </c>
      <c r="V4553" s="40"/>
    </row>
    <row r="4554" spans="2:22" x14ac:dyDescent="0.35">
      <c r="B4554" s="40">
        <v>39717</v>
      </c>
      <c r="C4554" s="39">
        <v>6063.5</v>
      </c>
      <c r="D4554" s="219">
        <f t="shared" si="448"/>
        <v>-1.7902612158883526E-2</v>
      </c>
      <c r="F4554" s="40">
        <v>39717</v>
      </c>
      <c r="G4554" s="39">
        <v>6063.5</v>
      </c>
      <c r="H4554" s="39">
        <f t="shared" si="443"/>
        <v>5</v>
      </c>
      <c r="I4554" s="39">
        <f t="shared" si="444"/>
        <v>6063.5</v>
      </c>
      <c r="K4554" s="40"/>
      <c r="Q4554" s="40">
        <v>39717</v>
      </c>
      <c r="R4554" s="39">
        <v>6063.5</v>
      </c>
      <c r="S4554" s="39">
        <f t="shared" si="445"/>
        <v>9</v>
      </c>
      <c r="T4554" s="39">
        <f t="shared" si="446"/>
        <v>0</v>
      </c>
      <c r="U4554" s="39">
        <f t="shared" si="447"/>
        <v>0</v>
      </c>
      <c r="V4554" s="40"/>
    </row>
    <row r="4555" spans="2:22" x14ac:dyDescent="0.35">
      <c r="B4555" s="40">
        <v>39720</v>
      </c>
      <c r="C4555" s="39">
        <v>5807.08</v>
      </c>
      <c r="D4555" s="219">
        <f t="shared" si="448"/>
        <v>-4.3209328343025356E-2</v>
      </c>
      <c r="F4555" s="40">
        <v>39720</v>
      </c>
      <c r="G4555" s="39">
        <v>5807.08</v>
      </c>
      <c r="H4555" s="39">
        <f t="shared" si="443"/>
        <v>1</v>
      </c>
      <c r="I4555" s="39">
        <f t="shared" si="444"/>
        <v>0</v>
      </c>
      <c r="K4555" s="40"/>
      <c r="Q4555" s="40">
        <v>39720</v>
      </c>
      <c r="R4555" s="39">
        <v>5807.08</v>
      </c>
      <c r="S4555" s="39">
        <f t="shared" si="445"/>
        <v>9</v>
      </c>
      <c r="T4555" s="39">
        <f t="shared" si="446"/>
        <v>0</v>
      </c>
      <c r="U4555" s="39">
        <f t="shared" si="447"/>
        <v>0</v>
      </c>
      <c r="V4555" s="40"/>
    </row>
    <row r="4556" spans="2:22" x14ac:dyDescent="0.35">
      <c r="B4556" s="40">
        <v>39721</v>
      </c>
      <c r="C4556" s="39">
        <v>5831.02</v>
      </c>
      <c r="D4556" s="219">
        <f t="shared" si="448"/>
        <v>4.1140794058585469E-3</v>
      </c>
      <c r="F4556" s="40">
        <v>39721</v>
      </c>
      <c r="G4556" s="39">
        <v>5831.02</v>
      </c>
      <c r="H4556" s="39">
        <f t="shared" si="443"/>
        <v>2</v>
      </c>
      <c r="I4556" s="39">
        <f t="shared" si="444"/>
        <v>0</v>
      </c>
      <c r="K4556" s="40"/>
      <c r="Q4556" s="40">
        <v>39721</v>
      </c>
      <c r="R4556" s="39">
        <v>5831.02</v>
      </c>
      <c r="S4556" s="39">
        <f t="shared" si="445"/>
        <v>9</v>
      </c>
      <c r="T4556" s="39">
        <f t="shared" si="446"/>
        <v>5831.02</v>
      </c>
      <c r="U4556" s="39">
        <f t="shared" si="447"/>
        <v>5831.02</v>
      </c>
      <c r="V4556" s="40"/>
    </row>
    <row r="4557" spans="2:22" x14ac:dyDescent="0.35">
      <c r="B4557" s="40">
        <v>39722</v>
      </c>
      <c r="C4557" s="39">
        <v>5806.33</v>
      </c>
      <c r="D4557" s="219">
        <f t="shared" si="448"/>
        <v>-4.243240436260955E-3</v>
      </c>
      <c r="F4557" s="40">
        <v>39722</v>
      </c>
      <c r="G4557" s="39">
        <v>5806.33</v>
      </c>
      <c r="H4557" s="39">
        <f t="shared" si="443"/>
        <v>3</v>
      </c>
      <c r="I4557" s="39">
        <f t="shared" si="444"/>
        <v>0</v>
      </c>
      <c r="K4557" s="40"/>
      <c r="Q4557" s="40">
        <v>39722</v>
      </c>
      <c r="R4557" s="39">
        <v>5806.33</v>
      </c>
      <c r="S4557" s="39">
        <f t="shared" si="445"/>
        <v>10</v>
      </c>
      <c r="T4557" s="39">
        <f t="shared" si="446"/>
        <v>0</v>
      </c>
      <c r="U4557" s="39">
        <f t="shared" si="447"/>
        <v>0</v>
      </c>
      <c r="V4557" s="40"/>
    </row>
    <row r="4558" spans="2:22" x14ac:dyDescent="0.35">
      <c r="B4558" s="40">
        <v>39723</v>
      </c>
      <c r="C4558" s="39">
        <v>5660.63</v>
      </c>
      <c r="D4558" s="219">
        <f t="shared" si="448"/>
        <v>-2.5413508299906778E-2</v>
      </c>
      <c r="F4558" s="40">
        <v>39723</v>
      </c>
      <c r="G4558" s="39">
        <v>5660.63</v>
      </c>
      <c r="H4558" s="39">
        <f t="shared" si="443"/>
        <v>4</v>
      </c>
      <c r="I4558" s="39">
        <f t="shared" si="444"/>
        <v>0</v>
      </c>
      <c r="K4558" s="40"/>
      <c r="Q4558" s="40">
        <v>39723</v>
      </c>
      <c r="R4558" s="39">
        <v>5660.63</v>
      </c>
      <c r="S4558" s="39">
        <f t="shared" si="445"/>
        <v>10</v>
      </c>
      <c r="T4558" s="39">
        <f t="shared" si="446"/>
        <v>0</v>
      </c>
      <c r="U4558" s="39">
        <f t="shared" si="447"/>
        <v>0</v>
      </c>
      <c r="V4558" s="40"/>
    </row>
    <row r="4559" spans="2:22" x14ac:dyDescent="0.35">
      <c r="B4559" s="40">
        <v>39724</v>
      </c>
      <c r="C4559" s="39">
        <v>5797.03</v>
      </c>
      <c r="D4559" s="219">
        <f t="shared" si="448"/>
        <v>2.3810523993394169E-2</v>
      </c>
      <c r="F4559" s="40">
        <v>39724</v>
      </c>
      <c r="G4559" s="39">
        <v>5797.03</v>
      </c>
      <c r="H4559" s="39">
        <f t="shared" si="443"/>
        <v>5</v>
      </c>
      <c r="I4559" s="39">
        <f t="shared" si="444"/>
        <v>5797.03</v>
      </c>
      <c r="K4559" s="40"/>
      <c r="Q4559" s="40">
        <v>39724</v>
      </c>
      <c r="R4559" s="39">
        <v>5797.03</v>
      </c>
      <c r="S4559" s="39">
        <f t="shared" si="445"/>
        <v>10</v>
      </c>
      <c r="T4559" s="39">
        <f t="shared" si="446"/>
        <v>0</v>
      </c>
      <c r="U4559" s="39">
        <f t="shared" si="447"/>
        <v>0</v>
      </c>
      <c r="V4559" s="40"/>
    </row>
    <row r="4560" spans="2:22" x14ac:dyDescent="0.35">
      <c r="B4560" s="40">
        <v>39727</v>
      </c>
      <c r="C4560" s="39">
        <v>5387.01</v>
      </c>
      <c r="D4560" s="219">
        <f t="shared" si="448"/>
        <v>-7.3355217417323107E-2</v>
      </c>
      <c r="F4560" s="40">
        <v>39727</v>
      </c>
      <c r="G4560" s="39">
        <v>5387.01</v>
      </c>
      <c r="H4560" s="39">
        <f t="shared" si="443"/>
        <v>1</v>
      </c>
      <c r="I4560" s="39">
        <f t="shared" si="444"/>
        <v>0</v>
      </c>
      <c r="K4560" s="40"/>
      <c r="Q4560" s="40">
        <v>39727</v>
      </c>
      <c r="R4560" s="39">
        <v>5387.01</v>
      </c>
      <c r="S4560" s="39">
        <f t="shared" si="445"/>
        <v>10</v>
      </c>
      <c r="T4560" s="39">
        <f t="shared" si="446"/>
        <v>0</v>
      </c>
      <c r="U4560" s="39">
        <f t="shared" si="447"/>
        <v>0</v>
      </c>
      <c r="V4560" s="40"/>
    </row>
    <row r="4561" spans="2:22" x14ac:dyDescent="0.35">
      <c r="B4561" s="40">
        <v>39728</v>
      </c>
      <c r="C4561" s="39">
        <v>5326.63</v>
      </c>
      <c r="D4561" s="219">
        <f t="shared" si="448"/>
        <v>-1.1271731975624869E-2</v>
      </c>
      <c r="F4561" s="40">
        <v>39728</v>
      </c>
      <c r="G4561" s="39">
        <v>5326.63</v>
      </c>
      <c r="H4561" s="39">
        <f t="shared" si="443"/>
        <v>2</v>
      </c>
      <c r="I4561" s="39">
        <f t="shared" si="444"/>
        <v>0</v>
      </c>
      <c r="K4561" s="40"/>
      <c r="Q4561" s="40">
        <v>39728</v>
      </c>
      <c r="R4561" s="39">
        <v>5326.63</v>
      </c>
      <c r="S4561" s="39">
        <f t="shared" si="445"/>
        <v>10</v>
      </c>
      <c r="T4561" s="39">
        <f t="shared" si="446"/>
        <v>0</v>
      </c>
      <c r="U4561" s="39">
        <f t="shared" si="447"/>
        <v>0</v>
      </c>
      <c r="V4561" s="40"/>
    </row>
    <row r="4562" spans="2:22" x14ac:dyDescent="0.35">
      <c r="B4562" s="40">
        <v>39729</v>
      </c>
      <c r="C4562" s="39">
        <v>5013.62</v>
      </c>
      <c r="D4562" s="219">
        <f t="shared" si="448"/>
        <v>-6.0560558971935893E-2</v>
      </c>
      <c r="F4562" s="40">
        <v>39729</v>
      </c>
      <c r="G4562" s="39">
        <v>5013.62</v>
      </c>
      <c r="H4562" s="39">
        <f t="shared" si="443"/>
        <v>3</v>
      </c>
      <c r="I4562" s="39">
        <f t="shared" si="444"/>
        <v>0</v>
      </c>
      <c r="K4562" s="40"/>
      <c r="Q4562" s="40">
        <v>39729</v>
      </c>
      <c r="R4562" s="39">
        <v>5013.62</v>
      </c>
      <c r="S4562" s="39">
        <f t="shared" si="445"/>
        <v>10</v>
      </c>
      <c r="T4562" s="39">
        <f t="shared" si="446"/>
        <v>0</v>
      </c>
      <c r="U4562" s="39">
        <f t="shared" si="447"/>
        <v>0</v>
      </c>
      <c r="V4562" s="40"/>
    </row>
    <row r="4563" spans="2:22" x14ac:dyDescent="0.35">
      <c r="B4563" s="40">
        <v>39730</v>
      </c>
      <c r="C4563" s="39">
        <v>4887</v>
      </c>
      <c r="D4563" s="219">
        <f t="shared" si="448"/>
        <v>-2.5579590781867563E-2</v>
      </c>
      <c r="F4563" s="40">
        <v>39730</v>
      </c>
      <c r="G4563" s="39">
        <v>4887</v>
      </c>
      <c r="H4563" s="39">
        <f t="shared" si="443"/>
        <v>4</v>
      </c>
      <c r="I4563" s="39">
        <f t="shared" si="444"/>
        <v>0</v>
      </c>
      <c r="K4563" s="40"/>
      <c r="Q4563" s="40">
        <v>39730</v>
      </c>
      <c r="R4563" s="39">
        <v>4887</v>
      </c>
      <c r="S4563" s="39">
        <f t="shared" si="445"/>
        <v>10</v>
      </c>
      <c r="T4563" s="39">
        <f t="shared" si="446"/>
        <v>0</v>
      </c>
      <c r="U4563" s="39">
        <f t="shared" si="447"/>
        <v>0</v>
      </c>
      <c r="V4563" s="40"/>
    </row>
    <row r="4564" spans="2:22" x14ac:dyDescent="0.35">
      <c r="B4564" s="40">
        <v>39731</v>
      </c>
      <c r="C4564" s="39">
        <v>4544.3100000000004</v>
      </c>
      <c r="D4564" s="219">
        <f t="shared" si="448"/>
        <v>-7.2702717365184827E-2</v>
      </c>
      <c r="F4564" s="40">
        <v>39731</v>
      </c>
      <c r="G4564" s="39">
        <v>4544.3100000000004</v>
      </c>
      <c r="H4564" s="39">
        <f t="shared" si="443"/>
        <v>5</v>
      </c>
      <c r="I4564" s="39">
        <f t="shared" si="444"/>
        <v>4544.3100000000004</v>
      </c>
      <c r="K4564" s="40"/>
      <c r="Q4564" s="40">
        <v>39731</v>
      </c>
      <c r="R4564" s="39">
        <v>4544.3100000000004</v>
      </c>
      <c r="S4564" s="39">
        <f t="shared" si="445"/>
        <v>10</v>
      </c>
      <c r="T4564" s="39">
        <f t="shared" si="446"/>
        <v>0</v>
      </c>
      <c r="U4564" s="39">
        <f t="shared" si="447"/>
        <v>0</v>
      </c>
      <c r="V4564" s="40"/>
    </row>
    <row r="4565" spans="2:22" x14ac:dyDescent="0.35">
      <c r="B4565" s="40">
        <v>39734</v>
      </c>
      <c r="C4565" s="39">
        <v>5062.45</v>
      </c>
      <c r="D4565" s="219">
        <f t="shared" si="448"/>
        <v>0.10797465491784128</v>
      </c>
      <c r="F4565" s="40">
        <v>39734</v>
      </c>
      <c r="G4565" s="39">
        <v>5062.45</v>
      </c>
      <c r="H4565" s="39">
        <f t="shared" si="443"/>
        <v>1</v>
      </c>
      <c r="I4565" s="39">
        <f t="shared" si="444"/>
        <v>0</v>
      </c>
      <c r="K4565" s="40"/>
      <c r="Q4565" s="40">
        <v>39734</v>
      </c>
      <c r="R4565" s="39">
        <v>5062.45</v>
      </c>
      <c r="S4565" s="39">
        <f t="shared" si="445"/>
        <v>10</v>
      </c>
      <c r="T4565" s="39">
        <f t="shared" si="446"/>
        <v>0</v>
      </c>
      <c r="U4565" s="39">
        <f t="shared" si="447"/>
        <v>0</v>
      </c>
      <c r="V4565" s="40"/>
    </row>
    <row r="4566" spans="2:22" x14ac:dyDescent="0.35">
      <c r="B4566" s="40">
        <v>39735</v>
      </c>
      <c r="C4566" s="39">
        <v>5199.1899999999996</v>
      </c>
      <c r="D4566" s="219">
        <f t="shared" si="448"/>
        <v>2.6652288382651577E-2</v>
      </c>
      <c r="F4566" s="40">
        <v>39735</v>
      </c>
      <c r="G4566" s="39">
        <v>5199.1899999999996</v>
      </c>
      <c r="H4566" s="39">
        <f t="shared" si="443"/>
        <v>2</v>
      </c>
      <c r="I4566" s="39">
        <f t="shared" si="444"/>
        <v>0</v>
      </c>
      <c r="K4566" s="40"/>
      <c r="Q4566" s="40">
        <v>39735</v>
      </c>
      <c r="R4566" s="39">
        <v>5199.1899999999996</v>
      </c>
      <c r="S4566" s="39">
        <f t="shared" si="445"/>
        <v>10</v>
      </c>
      <c r="T4566" s="39">
        <f t="shared" si="446"/>
        <v>0</v>
      </c>
      <c r="U4566" s="39">
        <f t="shared" si="447"/>
        <v>0</v>
      </c>
      <c r="V4566" s="40"/>
    </row>
    <row r="4567" spans="2:22" x14ac:dyDescent="0.35">
      <c r="B4567" s="40">
        <v>39736</v>
      </c>
      <c r="C4567" s="39">
        <v>4861.63</v>
      </c>
      <c r="D4567" s="219">
        <f t="shared" si="448"/>
        <v>-6.712907159539222E-2</v>
      </c>
      <c r="F4567" s="40">
        <v>39736</v>
      </c>
      <c r="G4567" s="39">
        <v>4861.63</v>
      </c>
      <c r="H4567" s="39">
        <f t="shared" si="443"/>
        <v>3</v>
      </c>
      <c r="I4567" s="39">
        <f t="shared" si="444"/>
        <v>0</v>
      </c>
      <c r="K4567" s="40"/>
      <c r="Q4567" s="40">
        <v>39736</v>
      </c>
      <c r="R4567" s="39">
        <v>4861.63</v>
      </c>
      <c r="S4567" s="39">
        <f t="shared" si="445"/>
        <v>10</v>
      </c>
      <c r="T4567" s="39">
        <f t="shared" si="446"/>
        <v>0</v>
      </c>
      <c r="U4567" s="39">
        <f t="shared" si="447"/>
        <v>0</v>
      </c>
      <c r="V4567" s="40"/>
    </row>
    <row r="4568" spans="2:22" x14ac:dyDescent="0.35">
      <c r="B4568" s="40">
        <v>39737</v>
      </c>
      <c r="C4568" s="39">
        <v>4622.8100000000004</v>
      </c>
      <c r="D4568" s="219">
        <f t="shared" si="448"/>
        <v>-5.0371027319984323E-2</v>
      </c>
      <c r="F4568" s="40">
        <v>39737</v>
      </c>
      <c r="G4568" s="39">
        <v>4622.8100000000004</v>
      </c>
      <c r="H4568" s="39">
        <f t="shared" si="443"/>
        <v>4</v>
      </c>
      <c r="I4568" s="39">
        <f t="shared" si="444"/>
        <v>0</v>
      </c>
      <c r="K4568" s="40"/>
      <c r="Q4568" s="40">
        <v>39737</v>
      </c>
      <c r="R4568" s="39">
        <v>4622.8100000000004</v>
      </c>
      <c r="S4568" s="39">
        <f t="shared" si="445"/>
        <v>10</v>
      </c>
      <c r="T4568" s="39">
        <f t="shared" si="446"/>
        <v>0</v>
      </c>
      <c r="U4568" s="39">
        <f t="shared" si="447"/>
        <v>0</v>
      </c>
      <c r="V4568" s="40"/>
    </row>
    <row r="4569" spans="2:22" x14ac:dyDescent="0.35">
      <c r="B4569" s="40">
        <v>39738</v>
      </c>
      <c r="C4569" s="39">
        <v>4781.33</v>
      </c>
      <c r="D4569" s="219">
        <f t="shared" si="448"/>
        <v>3.3716005170924837E-2</v>
      </c>
      <c r="F4569" s="40">
        <v>39738</v>
      </c>
      <c r="G4569" s="39">
        <v>4781.33</v>
      </c>
      <c r="H4569" s="39">
        <f t="shared" si="443"/>
        <v>5</v>
      </c>
      <c r="I4569" s="39">
        <f t="shared" si="444"/>
        <v>4781.33</v>
      </c>
      <c r="K4569" s="40"/>
      <c r="Q4569" s="40">
        <v>39738</v>
      </c>
      <c r="R4569" s="39">
        <v>4781.33</v>
      </c>
      <c r="S4569" s="39">
        <f t="shared" si="445"/>
        <v>10</v>
      </c>
      <c r="T4569" s="39">
        <f t="shared" si="446"/>
        <v>0</v>
      </c>
      <c r="U4569" s="39">
        <f t="shared" si="447"/>
        <v>0</v>
      </c>
      <c r="V4569" s="40"/>
    </row>
    <row r="4570" spans="2:22" x14ac:dyDescent="0.35">
      <c r="B4570" s="40">
        <v>39741</v>
      </c>
      <c r="C4570" s="39">
        <v>4835.01</v>
      </c>
      <c r="D4570" s="219">
        <f t="shared" si="448"/>
        <v>1.1164446676571821E-2</v>
      </c>
      <c r="F4570" s="40">
        <v>39741</v>
      </c>
      <c r="G4570" s="39">
        <v>4835.01</v>
      </c>
      <c r="H4570" s="39">
        <f t="shared" si="443"/>
        <v>1</v>
      </c>
      <c r="I4570" s="39">
        <f t="shared" si="444"/>
        <v>0</v>
      </c>
      <c r="K4570" s="40"/>
      <c r="Q4570" s="40">
        <v>39741</v>
      </c>
      <c r="R4570" s="39">
        <v>4835.01</v>
      </c>
      <c r="S4570" s="39">
        <f t="shared" si="445"/>
        <v>10</v>
      </c>
      <c r="T4570" s="39">
        <f t="shared" si="446"/>
        <v>0</v>
      </c>
      <c r="U4570" s="39">
        <f t="shared" si="447"/>
        <v>0</v>
      </c>
      <c r="V4570" s="40"/>
    </row>
    <row r="4571" spans="2:22" x14ac:dyDescent="0.35">
      <c r="B4571" s="40">
        <v>39742</v>
      </c>
      <c r="C4571" s="39">
        <v>4784.41</v>
      </c>
      <c r="D4571" s="219">
        <f t="shared" si="448"/>
        <v>-1.0520481838213781E-2</v>
      </c>
      <c r="F4571" s="40">
        <v>39742</v>
      </c>
      <c r="G4571" s="39">
        <v>4784.41</v>
      </c>
      <c r="H4571" s="39">
        <f t="shared" si="443"/>
        <v>2</v>
      </c>
      <c r="I4571" s="39">
        <f t="shared" si="444"/>
        <v>0</v>
      </c>
      <c r="K4571" s="40"/>
      <c r="Q4571" s="40">
        <v>39742</v>
      </c>
      <c r="R4571" s="39">
        <v>4784.41</v>
      </c>
      <c r="S4571" s="39">
        <f t="shared" si="445"/>
        <v>10</v>
      </c>
      <c r="T4571" s="39">
        <f t="shared" si="446"/>
        <v>0</v>
      </c>
      <c r="U4571" s="39">
        <f t="shared" si="447"/>
        <v>0</v>
      </c>
      <c r="V4571" s="40"/>
    </row>
    <row r="4572" spans="2:22" x14ac:dyDescent="0.35">
      <c r="B4572" s="40">
        <v>39743</v>
      </c>
      <c r="C4572" s="39">
        <v>4571.07</v>
      </c>
      <c r="D4572" s="219">
        <f t="shared" si="448"/>
        <v>-4.5615402149200242E-2</v>
      </c>
      <c r="F4572" s="40">
        <v>39743</v>
      </c>
      <c r="G4572" s="39">
        <v>4571.07</v>
      </c>
      <c r="H4572" s="39">
        <f t="shared" si="443"/>
        <v>3</v>
      </c>
      <c r="I4572" s="39">
        <f t="shared" si="444"/>
        <v>0</v>
      </c>
      <c r="K4572" s="40"/>
      <c r="Q4572" s="40">
        <v>39743</v>
      </c>
      <c r="R4572" s="39">
        <v>4571.07</v>
      </c>
      <c r="S4572" s="39">
        <f t="shared" si="445"/>
        <v>10</v>
      </c>
      <c r="T4572" s="39">
        <f t="shared" si="446"/>
        <v>0</v>
      </c>
      <c r="U4572" s="39">
        <f t="shared" si="447"/>
        <v>0</v>
      </c>
      <c r="V4572" s="40"/>
    </row>
    <row r="4573" spans="2:22" x14ac:dyDescent="0.35">
      <c r="B4573" s="40">
        <v>39744</v>
      </c>
      <c r="C4573" s="39">
        <v>4519.7</v>
      </c>
      <c r="D4573" s="219">
        <f t="shared" si="448"/>
        <v>-1.1301693208005274E-2</v>
      </c>
      <c r="F4573" s="40">
        <v>39744</v>
      </c>
      <c r="G4573" s="39">
        <v>4519.7</v>
      </c>
      <c r="H4573" s="39">
        <f t="shared" si="443"/>
        <v>4</v>
      </c>
      <c r="I4573" s="39">
        <f t="shared" si="444"/>
        <v>0</v>
      </c>
      <c r="K4573" s="40"/>
      <c r="Q4573" s="40">
        <v>39744</v>
      </c>
      <c r="R4573" s="39">
        <v>4519.7</v>
      </c>
      <c r="S4573" s="39">
        <f t="shared" si="445"/>
        <v>10</v>
      </c>
      <c r="T4573" s="39">
        <f t="shared" si="446"/>
        <v>0</v>
      </c>
      <c r="U4573" s="39">
        <f t="shared" si="447"/>
        <v>0</v>
      </c>
      <c r="V4573" s="40"/>
    </row>
    <row r="4574" spans="2:22" x14ac:dyDescent="0.35">
      <c r="B4574" s="40">
        <v>39745</v>
      </c>
      <c r="C4574" s="39">
        <v>4295.67</v>
      </c>
      <c r="D4574" s="219">
        <f t="shared" si="448"/>
        <v>-5.0838081346393442E-2</v>
      </c>
      <c r="F4574" s="40">
        <v>39745</v>
      </c>
      <c r="G4574" s="39">
        <v>4295.67</v>
      </c>
      <c r="H4574" s="39">
        <f t="shared" si="443"/>
        <v>5</v>
      </c>
      <c r="I4574" s="39">
        <f t="shared" si="444"/>
        <v>4295.67</v>
      </c>
      <c r="K4574" s="40"/>
      <c r="Q4574" s="40">
        <v>39745</v>
      </c>
      <c r="R4574" s="39">
        <v>4295.67</v>
      </c>
      <c r="S4574" s="39">
        <f t="shared" si="445"/>
        <v>10</v>
      </c>
      <c r="T4574" s="39">
        <f t="shared" si="446"/>
        <v>0</v>
      </c>
      <c r="U4574" s="39">
        <f t="shared" si="447"/>
        <v>0</v>
      </c>
      <c r="V4574" s="40"/>
    </row>
    <row r="4575" spans="2:22" x14ac:dyDescent="0.35">
      <c r="B4575" s="40">
        <v>39748</v>
      </c>
      <c r="C4575" s="39">
        <v>4334.6400000000003</v>
      </c>
      <c r="D4575" s="219">
        <f t="shared" si="448"/>
        <v>9.031023187747865E-3</v>
      </c>
      <c r="F4575" s="40">
        <v>39748</v>
      </c>
      <c r="G4575" s="39">
        <v>4334.6400000000003</v>
      </c>
      <c r="H4575" s="39">
        <f t="shared" si="443"/>
        <v>1</v>
      </c>
      <c r="I4575" s="39">
        <f t="shared" si="444"/>
        <v>0</v>
      </c>
      <c r="K4575" s="40"/>
      <c r="Q4575" s="40">
        <v>39748</v>
      </c>
      <c r="R4575" s="39">
        <v>4334.6400000000003</v>
      </c>
      <c r="S4575" s="39">
        <f t="shared" si="445"/>
        <v>10</v>
      </c>
      <c r="T4575" s="39">
        <f t="shared" si="446"/>
        <v>0</v>
      </c>
      <c r="U4575" s="39">
        <f t="shared" si="447"/>
        <v>0</v>
      </c>
      <c r="V4575" s="40"/>
    </row>
    <row r="4576" spans="2:22" x14ac:dyDescent="0.35">
      <c r="B4576" s="40">
        <v>39749</v>
      </c>
      <c r="C4576" s="39">
        <v>4823.45</v>
      </c>
      <c r="D4576" s="219">
        <f t="shared" si="448"/>
        <v>0.10685087785649861</v>
      </c>
      <c r="F4576" s="40">
        <v>39749</v>
      </c>
      <c r="G4576" s="39">
        <v>4823.45</v>
      </c>
      <c r="H4576" s="39">
        <f t="shared" si="443"/>
        <v>2</v>
      </c>
      <c r="I4576" s="39">
        <f t="shared" si="444"/>
        <v>0</v>
      </c>
      <c r="K4576" s="40"/>
      <c r="Q4576" s="40">
        <v>39749</v>
      </c>
      <c r="R4576" s="39">
        <v>4823.45</v>
      </c>
      <c r="S4576" s="39">
        <f t="shared" si="445"/>
        <v>10</v>
      </c>
      <c r="T4576" s="39">
        <f t="shared" si="446"/>
        <v>0</v>
      </c>
      <c r="U4576" s="39">
        <f t="shared" si="447"/>
        <v>0</v>
      </c>
      <c r="V4576" s="40"/>
    </row>
    <row r="4577" spans="2:22" x14ac:dyDescent="0.35">
      <c r="B4577" s="40">
        <v>39750</v>
      </c>
      <c r="C4577" s="39">
        <v>4808.6899999999996</v>
      </c>
      <c r="D4577" s="219">
        <f t="shared" si="448"/>
        <v>-3.0647419063571093E-3</v>
      </c>
      <c r="F4577" s="40">
        <v>39750</v>
      </c>
      <c r="G4577" s="39">
        <v>4808.6899999999996</v>
      </c>
      <c r="H4577" s="39">
        <f t="shared" si="443"/>
        <v>3</v>
      </c>
      <c r="I4577" s="39">
        <f t="shared" si="444"/>
        <v>0</v>
      </c>
      <c r="K4577" s="40"/>
      <c r="Q4577" s="40">
        <v>39750</v>
      </c>
      <c r="R4577" s="39">
        <v>4808.6899999999996</v>
      </c>
      <c r="S4577" s="39">
        <f t="shared" si="445"/>
        <v>10</v>
      </c>
      <c r="T4577" s="39">
        <f t="shared" si="446"/>
        <v>0</v>
      </c>
      <c r="U4577" s="39">
        <f t="shared" si="447"/>
        <v>0</v>
      </c>
      <c r="V4577" s="40"/>
    </row>
    <row r="4578" spans="2:22" x14ac:dyDescent="0.35">
      <c r="B4578" s="40">
        <v>39751</v>
      </c>
      <c r="C4578" s="39">
        <v>4869.3</v>
      </c>
      <c r="D4578" s="219">
        <f t="shared" si="448"/>
        <v>1.2525491845475292E-2</v>
      </c>
      <c r="F4578" s="40">
        <v>39751</v>
      </c>
      <c r="G4578" s="39">
        <v>4869.3</v>
      </c>
      <c r="H4578" s="39">
        <f t="shared" si="443"/>
        <v>4</v>
      </c>
      <c r="I4578" s="39">
        <f t="shared" si="444"/>
        <v>0</v>
      </c>
      <c r="K4578" s="40"/>
      <c r="Q4578" s="40">
        <v>39751</v>
      </c>
      <c r="R4578" s="39">
        <v>4869.3</v>
      </c>
      <c r="S4578" s="39">
        <f t="shared" si="445"/>
        <v>10</v>
      </c>
      <c r="T4578" s="39">
        <f t="shared" si="446"/>
        <v>0</v>
      </c>
      <c r="U4578" s="39">
        <f t="shared" si="447"/>
        <v>0</v>
      </c>
      <c r="V4578" s="40"/>
    </row>
    <row r="4579" spans="2:22" x14ac:dyDescent="0.35">
      <c r="B4579" s="40">
        <v>39752</v>
      </c>
      <c r="C4579" s="39">
        <v>4987.97</v>
      </c>
      <c r="D4579" s="219">
        <f t="shared" si="448"/>
        <v>2.407882376806262E-2</v>
      </c>
      <c r="F4579" s="40">
        <v>39752</v>
      </c>
      <c r="G4579" s="39">
        <v>4987.97</v>
      </c>
      <c r="H4579" s="39">
        <f t="shared" si="443"/>
        <v>5</v>
      </c>
      <c r="I4579" s="39">
        <f t="shared" si="444"/>
        <v>4987.97</v>
      </c>
      <c r="K4579" s="40"/>
      <c r="Q4579" s="40">
        <v>39752</v>
      </c>
      <c r="R4579" s="39">
        <v>4987.97</v>
      </c>
      <c r="S4579" s="39">
        <f t="shared" si="445"/>
        <v>10</v>
      </c>
      <c r="T4579" s="39">
        <f t="shared" si="446"/>
        <v>4987.97</v>
      </c>
      <c r="U4579" s="39">
        <f t="shared" si="447"/>
        <v>4987.97</v>
      </c>
      <c r="V4579" s="40"/>
    </row>
    <row r="4580" spans="2:22" x14ac:dyDescent="0.35">
      <c r="B4580" s="40">
        <v>39755</v>
      </c>
      <c r="C4580" s="39">
        <v>5026.84</v>
      </c>
      <c r="D4580" s="219">
        <f t="shared" si="448"/>
        <v>7.762542710744157E-3</v>
      </c>
      <c r="F4580" s="40">
        <v>39755</v>
      </c>
      <c r="G4580" s="39">
        <v>5026.84</v>
      </c>
      <c r="H4580" s="39">
        <f t="shared" si="443"/>
        <v>1</v>
      </c>
      <c r="I4580" s="39">
        <f t="shared" si="444"/>
        <v>0</v>
      </c>
      <c r="K4580" s="40"/>
      <c r="Q4580" s="40">
        <v>39755</v>
      </c>
      <c r="R4580" s="39">
        <v>5026.84</v>
      </c>
      <c r="S4580" s="39">
        <f t="shared" si="445"/>
        <v>11</v>
      </c>
      <c r="T4580" s="39">
        <f t="shared" si="446"/>
        <v>0</v>
      </c>
      <c r="U4580" s="39">
        <f t="shared" si="447"/>
        <v>0</v>
      </c>
      <c r="V4580" s="40"/>
    </row>
    <row r="4581" spans="2:22" x14ac:dyDescent="0.35">
      <c r="B4581" s="40">
        <v>39756</v>
      </c>
      <c r="C4581" s="39">
        <v>5278.04</v>
      </c>
      <c r="D4581" s="219">
        <f t="shared" si="448"/>
        <v>4.8763260604878497E-2</v>
      </c>
      <c r="F4581" s="40">
        <v>39756</v>
      </c>
      <c r="G4581" s="39">
        <v>5278.04</v>
      </c>
      <c r="H4581" s="39">
        <f t="shared" si="443"/>
        <v>2</v>
      </c>
      <c r="I4581" s="39">
        <f t="shared" si="444"/>
        <v>0</v>
      </c>
      <c r="K4581" s="40"/>
      <c r="Q4581" s="40">
        <v>39756</v>
      </c>
      <c r="R4581" s="39">
        <v>5278.04</v>
      </c>
      <c r="S4581" s="39">
        <f t="shared" si="445"/>
        <v>11</v>
      </c>
      <c r="T4581" s="39">
        <f t="shared" si="446"/>
        <v>0</v>
      </c>
      <c r="U4581" s="39">
        <f t="shared" si="447"/>
        <v>0</v>
      </c>
      <c r="V4581" s="40"/>
    </row>
    <row r="4582" spans="2:22" x14ac:dyDescent="0.35">
      <c r="B4582" s="40">
        <v>39757</v>
      </c>
      <c r="C4582" s="39">
        <v>5166.87</v>
      </c>
      <c r="D4582" s="219">
        <f t="shared" si="448"/>
        <v>-2.1287727359263358E-2</v>
      </c>
      <c r="F4582" s="40">
        <v>39757</v>
      </c>
      <c r="G4582" s="39">
        <v>5166.87</v>
      </c>
      <c r="H4582" s="39">
        <f t="shared" si="443"/>
        <v>3</v>
      </c>
      <c r="I4582" s="39">
        <f t="shared" si="444"/>
        <v>0</v>
      </c>
      <c r="K4582" s="40"/>
      <c r="Q4582" s="40">
        <v>39757</v>
      </c>
      <c r="R4582" s="39">
        <v>5166.87</v>
      </c>
      <c r="S4582" s="39">
        <f t="shared" si="445"/>
        <v>11</v>
      </c>
      <c r="T4582" s="39">
        <f t="shared" si="446"/>
        <v>0</v>
      </c>
      <c r="U4582" s="39">
        <f t="shared" si="447"/>
        <v>0</v>
      </c>
      <c r="V4582" s="40"/>
    </row>
    <row r="4583" spans="2:22" x14ac:dyDescent="0.35">
      <c r="B4583" s="40">
        <v>39758</v>
      </c>
      <c r="C4583" s="39">
        <v>4813.57</v>
      </c>
      <c r="D4583" s="219">
        <f t="shared" si="448"/>
        <v>-7.0828076758534267E-2</v>
      </c>
      <c r="F4583" s="40">
        <v>39758</v>
      </c>
      <c r="G4583" s="39">
        <v>4813.57</v>
      </c>
      <c r="H4583" s="39">
        <f t="shared" si="443"/>
        <v>4</v>
      </c>
      <c r="I4583" s="39">
        <f t="shared" si="444"/>
        <v>0</v>
      </c>
      <c r="K4583" s="40"/>
      <c r="Q4583" s="40">
        <v>39758</v>
      </c>
      <c r="R4583" s="39">
        <v>4813.57</v>
      </c>
      <c r="S4583" s="39">
        <f t="shared" si="445"/>
        <v>11</v>
      </c>
      <c r="T4583" s="39">
        <f t="shared" si="446"/>
        <v>0</v>
      </c>
      <c r="U4583" s="39">
        <f t="shared" si="447"/>
        <v>0</v>
      </c>
      <c r="V4583" s="40"/>
    </row>
    <row r="4584" spans="2:22" x14ac:dyDescent="0.35">
      <c r="B4584" s="40">
        <v>39759</v>
      </c>
      <c r="C4584" s="39">
        <v>4938.46</v>
      </c>
      <c r="D4584" s="219">
        <f t="shared" si="448"/>
        <v>2.5614529144965141E-2</v>
      </c>
      <c r="F4584" s="40">
        <v>39759</v>
      </c>
      <c r="G4584" s="39">
        <v>4938.46</v>
      </c>
      <c r="H4584" s="39">
        <f t="shared" si="443"/>
        <v>5</v>
      </c>
      <c r="I4584" s="39">
        <f t="shared" si="444"/>
        <v>4938.46</v>
      </c>
      <c r="K4584" s="40"/>
      <c r="Q4584" s="40">
        <v>39759</v>
      </c>
      <c r="R4584" s="39">
        <v>4938.46</v>
      </c>
      <c r="S4584" s="39">
        <f t="shared" si="445"/>
        <v>11</v>
      </c>
      <c r="T4584" s="39">
        <f t="shared" si="446"/>
        <v>0</v>
      </c>
      <c r="U4584" s="39">
        <f t="shared" si="447"/>
        <v>0</v>
      </c>
      <c r="V4584" s="40"/>
    </row>
    <row r="4585" spans="2:22" x14ac:dyDescent="0.35">
      <c r="B4585" s="40">
        <v>39762</v>
      </c>
      <c r="C4585" s="39">
        <v>5025.53</v>
      </c>
      <c r="D4585" s="219">
        <f t="shared" si="448"/>
        <v>1.7477379312257332E-2</v>
      </c>
      <c r="F4585" s="40">
        <v>39762</v>
      </c>
      <c r="G4585" s="39">
        <v>5025.53</v>
      </c>
      <c r="H4585" s="39">
        <f t="shared" si="443"/>
        <v>1</v>
      </c>
      <c r="I4585" s="39">
        <f t="shared" si="444"/>
        <v>0</v>
      </c>
      <c r="K4585" s="40"/>
      <c r="Q4585" s="40">
        <v>39762</v>
      </c>
      <c r="R4585" s="39">
        <v>5025.53</v>
      </c>
      <c r="S4585" s="39">
        <f t="shared" si="445"/>
        <v>11</v>
      </c>
      <c r="T4585" s="39">
        <f t="shared" si="446"/>
        <v>0</v>
      </c>
      <c r="U4585" s="39">
        <f t="shared" si="447"/>
        <v>0</v>
      </c>
      <c r="V4585" s="40"/>
    </row>
    <row r="4586" spans="2:22" x14ac:dyDescent="0.35">
      <c r="B4586" s="40">
        <v>39763</v>
      </c>
      <c r="C4586" s="39">
        <v>4761.58</v>
      </c>
      <c r="D4586" s="219">
        <f t="shared" si="448"/>
        <v>-5.3951375081165216E-2</v>
      </c>
      <c r="F4586" s="40">
        <v>39763</v>
      </c>
      <c r="G4586" s="39">
        <v>4761.58</v>
      </c>
      <c r="H4586" s="39">
        <f t="shared" si="443"/>
        <v>2</v>
      </c>
      <c r="I4586" s="39">
        <f t="shared" si="444"/>
        <v>0</v>
      </c>
      <c r="K4586" s="40"/>
      <c r="Q4586" s="40">
        <v>39763</v>
      </c>
      <c r="R4586" s="39">
        <v>4761.58</v>
      </c>
      <c r="S4586" s="39">
        <f t="shared" si="445"/>
        <v>11</v>
      </c>
      <c r="T4586" s="39">
        <f t="shared" si="446"/>
        <v>0</v>
      </c>
      <c r="U4586" s="39">
        <f t="shared" si="447"/>
        <v>0</v>
      </c>
      <c r="V4586" s="40"/>
    </row>
    <row r="4587" spans="2:22" x14ac:dyDescent="0.35">
      <c r="B4587" s="40">
        <v>39764</v>
      </c>
      <c r="C4587" s="39">
        <v>4620.8</v>
      </c>
      <c r="D4587" s="219">
        <f t="shared" si="448"/>
        <v>-3.001169566262718E-2</v>
      </c>
      <c r="F4587" s="40">
        <v>39764</v>
      </c>
      <c r="G4587" s="39">
        <v>4620.8</v>
      </c>
      <c r="H4587" s="39">
        <f t="shared" si="443"/>
        <v>3</v>
      </c>
      <c r="I4587" s="39">
        <f t="shared" si="444"/>
        <v>0</v>
      </c>
      <c r="K4587" s="40"/>
      <c r="Q4587" s="40">
        <v>39764</v>
      </c>
      <c r="R4587" s="39">
        <v>4620.8</v>
      </c>
      <c r="S4587" s="39">
        <f t="shared" si="445"/>
        <v>11</v>
      </c>
      <c r="T4587" s="39">
        <f t="shared" si="446"/>
        <v>0</v>
      </c>
      <c r="U4587" s="39">
        <f t="shared" si="447"/>
        <v>0</v>
      </c>
      <c r="V4587" s="40"/>
    </row>
    <row r="4588" spans="2:22" x14ac:dyDescent="0.35">
      <c r="B4588" s="40">
        <v>39765</v>
      </c>
      <c r="C4588" s="39">
        <v>4649.5200000000004</v>
      </c>
      <c r="D4588" s="219">
        <f t="shared" si="448"/>
        <v>6.196138188347875E-3</v>
      </c>
      <c r="F4588" s="40">
        <v>39765</v>
      </c>
      <c r="G4588" s="39">
        <v>4649.5200000000004</v>
      </c>
      <c r="H4588" s="39">
        <f t="shared" si="443"/>
        <v>4</v>
      </c>
      <c r="I4588" s="39">
        <f t="shared" si="444"/>
        <v>0</v>
      </c>
      <c r="K4588" s="40"/>
      <c r="Q4588" s="40">
        <v>39765</v>
      </c>
      <c r="R4588" s="39">
        <v>4649.5200000000004</v>
      </c>
      <c r="S4588" s="39">
        <f t="shared" si="445"/>
        <v>11</v>
      </c>
      <c r="T4588" s="39">
        <f t="shared" si="446"/>
        <v>0</v>
      </c>
      <c r="U4588" s="39">
        <f t="shared" si="447"/>
        <v>0</v>
      </c>
      <c r="V4588" s="40"/>
    </row>
    <row r="4589" spans="2:22" x14ac:dyDescent="0.35">
      <c r="B4589" s="40">
        <v>39766</v>
      </c>
      <c r="C4589" s="39">
        <v>4710.24</v>
      </c>
      <c r="D4589" s="219">
        <f t="shared" si="448"/>
        <v>1.2974873679492856E-2</v>
      </c>
      <c r="F4589" s="40">
        <v>39766</v>
      </c>
      <c r="G4589" s="39">
        <v>4710.24</v>
      </c>
      <c r="H4589" s="39">
        <f t="shared" si="443"/>
        <v>5</v>
      </c>
      <c r="I4589" s="39">
        <f t="shared" si="444"/>
        <v>4710.24</v>
      </c>
      <c r="K4589" s="40"/>
      <c r="Q4589" s="40">
        <v>39766</v>
      </c>
      <c r="R4589" s="39">
        <v>4710.24</v>
      </c>
      <c r="S4589" s="39">
        <f t="shared" si="445"/>
        <v>11</v>
      </c>
      <c r="T4589" s="39">
        <f t="shared" si="446"/>
        <v>0</v>
      </c>
      <c r="U4589" s="39">
        <f t="shared" si="447"/>
        <v>0</v>
      </c>
      <c r="V4589" s="40"/>
    </row>
    <row r="4590" spans="2:22" x14ac:dyDescent="0.35">
      <c r="B4590" s="40">
        <v>39769</v>
      </c>
      <c r="C4590" s="39">
        <v>4557.2700000000004</v>
      </c>
      <c r="D4590" s="219">
        <f t="shared" si="448"/>
        <v>-3.3015102111339012E-2</v>
      </c>
      <c r="F4590" s="40">
        <v>39769</v>
      </c>
      <c r="G4590" s="39">
        <v>4557.2700000000004</v>
      </c>
      <c r="H4590" s="39">
        <f t="shared" si="443"/>
        <v>1</v>
      </c>
      <c r="I4590" s="39">
        <f t="shared" si="444"/>
        <v>0</v>
      </c>
      <c r="K4590" s="40"/>
      <c r="Q4590" s="40">
        <v>39769</v>
      </c>
      <c r="R4590" s="39">
        <v>4557.2700000000004</v>
      </c>
      <c r="S4590" s="39">
        <f t="shared" si="445"/>
        <v>11</v>
      </c>
      <c r="T4590" s="39">
        <f t="shared" si="446"/>
        <v>0</v>
      </c>
      <c r="U4590" s="39">
        <f t="shared" si="447"/>
        <v>0</v>
      </c>
      <c r="V4590" s="40"/>
    </row>
    <row r="4591" spans="2:22" x14ac:dyDescent="0.35">
      <c r="B4591" s="40">
        <v>39770</v>
      </c>
      <c r="C4591" s="39">
        <v>4579.47</v>
      </c>
      <c r="D4591" s="219">
        <f t="shared" si="448"/>
        <v>4.8595108731227599E-3</v>
      </c>
      <c r="F4591" s="40">
        <v>39770</v>
      </c>
      <c r="G4591" s="39">
        <v>4579.47</v>
      </c>
      <c r="H4591" s="39">
        <f t="shared" si="443"/>
        <v>2</v>
      </c>
      <c r="I4591" s="39">
        <f t="shared" si="444"/>
        <v>0</v>
      </c>
      <c r="K4591" s="40"/>
      <c r="Q4591" s="40">
        <v>39770</v>
      </c>
      <c r="R4591" s="39">
        <v>4579.47</v>
      </c>
      <c r="S4591" s="39">
        <f t="shared" si="445"/>
        <v>11</v>
      </c>
      <c r="T4591" s="39">
        <f t="shared" si="446"/>
        <v>0</v>
      </c>
      <c r="U4591" s="39">
        <f t="shared" si="447"/>
        <v>0</v>
      </c>
      <c r="V4591" s="40"/>
    </row>
    <row r="4592" spans="2:22" x14ac:dyDescent="0.35">
      <c r="B4592" s="40">
        <v>39771</v>
      </c>
      <c r="C4592" s="39">
        <v>4354.09</v>
      </c>
      <c r="D4592" s="219">
        <f t="shared" si="448"/>
        <v>-5.0467637659538642E-2</v>
      </c>
      <c r="F4592" s="40">
        <v>39771</v>
      </c>
      <c r="G4592" s="39">
        <v>4354.09</v>
      </c>
      <c r="H4592" s="39">
        <f t="shared" si="443"/>
        <v>3</v>
      </c>
      <c r="I4592" s="39">
        <f t="shared" si="444"/>
        <v>0</v>
      </c>
      <c r="K4592" s="40"/>
      <c r="Q4592" s="40">
        <v>39771</v>
      </c>
      <c r="R4592" s="39">
        <v>4354.09</v>
      </c>
      <c r="S4592" s="39">
        <f t="shared" si="445"/>
        <v>11</v>
      </c>
      <c r="T4592" s="39">
        <f t="shared" si="446"/>
        <v>0</v>
      </c>
      <c r="U4592" s="39">
        <f t="shared" si="447"/>
        <v>0</v>
      </c>
      <c r="V4592" s="40"/>
    </row>
    <row r="4593" spans="2:22" x14ac:dyDescent="0.35">
      <c r="B4593" s="40">
        <v>39772</v>
      </c>
      <c r="C4593" s="39">
        <v>4220.2</v>
      </c>
      <c r="D4593" s="219">
        <f t="shared" si="448"/>
        <v>-3.1233112956581884E-2</v>
      </c>
      <c r="F4593" s="40">
        <v>39772</v>
      </c>
      <c r="G4593" s="39">
        <v>4220.2</v>
      </c>
      <c r="H4593" s="39">
        <f t="shared" si="443"/>
        <v>4</v>
      </c>
      <c r="I4593" s="39">
        <f t="shared" si="444"/>
        <v>0</v>
      </c>
      <c r="K4593" s="40"/>
      <c r="Q4593" s="40">
        <v>39772</v>
      </c>
      <c r="R4593" s="39">
        <v>4220.2</v>
      </c>
      <c r="S4593" s="39">
        <f t="shared" si="445"/>
        <v>11</v>
      </c>
      <c r="T4593" s="39">
        <f t="shared" si="446"/>
        <v>0</v>
      </c>
      <c r="U4593" s="39">
        <f t="shared" si="447"/>
        <v>0</v>
      </c>
      <c r="V4593" s="40"/>
    </row>
    <row r="4594" spans="2:22" x14ac:dyDescent="0.35">
      <c r="B4594" s="40">
        <v>39773</v>
      </c>
      <c r="C4594" s="39">
        <v>4127.41</v>
      </c>
      <c r="D4594" s="219">
        <f t="shared" si="448"/>
        <v>-2.2232428682091833E-2</v>
      </c>
      <c r="F4594" s="40">
        <v>39773</v>
      </c>
      <c r="G4594" s="39">
        <v>4127.41</v>
      </c>
      <c r="H4594" s="39">
        <f t="shared" si="443"/>
        <v>5</v>
      </c>
      <c r="I4594" s="39">
        <f t="shared" si="444"/>
        <v>4127.41</v>
      </c>
      <c r="K4594" s="40"/>
      <c r="Q4594" s="40">
        <v>39773</v>
      </c>
      <c r="R4594" s="39">
        <v>4127.41</v>
      </c>
      <c r="S4594" s="39">
        <f t="shared" si="445"/>
        <v>11</v>
      </c>
      <c r="T4594" s="39">
        <f t="shared" si="446"/>
        <v>0</v>
      </c>
      <c r="U4594" s="39">
        <f t="shared" si="447"/>
        <v>0</v>
      </c>
      <c r="V4594" s="40"/>
    </row>
    <row r="4595" spans="2:22" x14ac:dyDescent="0.35">
      <c r="B4595" s="40">
        <v>39776</v>
      </c>
      <c r="C4595" s="39">
        <v>4554.33</v>
      </c>
      <c r="D4595" s="219">
        <f t="shared" si="448"/>
        <v>9.842833717656449E-2</v>
      </c>
      <c r="F4595" s="40">
        <v>39776</v>
      </c>
      <c r="G4595" s="39">
        <v>4554.33</v>
      </c>
      <c r="H4595" s="39">
        <f t="shared" si="443"/>
        <v>1</v>
      </c>
      <c r="I4595" s="39">
        <f t="shared" si="444"/>
        <v>0</v>
      </c>
      <c r="K4595" s="40"/>
      <c r="Q4595" s="40">
        <v>39776</v>
      </c>
      <c r="R4595" s="39">
        <v>4554.33</v>
      </c>
      <c r="S4595" s="39">
        <f t="shared" si="445"/>
        <v>11</v>
      </c>
      <c r="T4595" s="39">
        <f t="shared" si="446"/>
        <v>0</v>
      </c>
      <c r="U4595" s="39">
        <f t="shared" si="447"/>
        <v>0</v>
      </c>
      <c r="V4595" s="40"/>
    </row>
    <row r="4596" spans="2:22" x14ac:dyDescent="0.35">
      <c r="B4596" s="40">
        <v>39777</v>
      </c>
      <c r="C4596" s="39">
        <v>4560.42</v>
      </c>
      <c r="D4596" s="219">
        <f t="shared" si="448"/>
        <v>1.3362957637314931E-3</v>
      </c>
      <c r="F4596" s="40">
        <v>39777</v>
      </c>
      <c r="G4596" s="39">
        <v>4560.42</v>
      </c>
      <c r="H4596" s="39">
        <f t="shared" si="443"/>
        <v>2</v>
      </c>
      <c r="I4596" s="39">
        <f t="shared" si="444"/>
        <v>0</v>
      </c>
      <c r="K4596" s="40"/>
      <c r="Q4596" s="40">
        <v>39777</v>
      </c>
      <c r="R4596" s="39">
        <v>4560.42</v>
      </c>
      <c r="S4596" s="39">
        <f t="shared" si="445"/>
        <v>11</v>
      </c>
      <c r="T4596" s="39">
        <f t="shared" si="446"/>
        <v>0</v>
      </c>
      <c r="U4596" s="39">
        <f t="shared" si="447"/>
        <v>0</v>
      </c>
      <c r="V4596" s="40"/>
    </row>
    <row r="4597" spans="2:22" x14ac:dyDescent="0.35">
      <c r="B4597" s="40">
        <v>39778</v>
      </c>
      <c r="C4597" s="39">
        <v>4560.5</v>
      </c>
      <c r="D4597" s="219">
        <f t="shared" si="448"/>
        <v>1.7542090052785157E-5</v>
      </c>
      <c r="F4597" s="40">
        <v>39778</v>
      </c>
      <c r="G4597" s="39">
        <v>4560.5</v>
      </c>
      <c r="H4597" s="39">
        <f t="shared" si="443"/>
        <v>3</v>
      </c>
      <c r="I4597" s="39">
        <f t="shared" si="444"/>
        <v>0</v>
      </c>
      <c r="K4597" s="40"/>
      <c r="Q4597" s="40">
        <v>39778</v>
      </c>
      <c r="R4597" s="39">
        <v>4560.5</v>
      </c>
      <c r="S4597" s="39">
        <f t="shared" si="445"/>
        <v>11</v>
      </c>
      <c r="T4597" s="39">
        <f t="shared" si="446"/>
        <v>0</v>
      </c>
      <c r="U4597" s="39">
        <f t="shared" si="447"/>
        <v>0</v>
      </c>
      <c r="V4597" s="40"/>
    </row>
    <row r="4598" spans="2:22" x14ac:dyDescent="0.35">
      <c r="B4598" s="40">
        <v>39779</v>
      </c>
      <c r="C4598" s="39">
        <v>4665.2700000000004</v>
      </c>
      <c r="D4598" s="219">
        <f t="shared" si="448"/>
        <v>2.2713443799879881E-2</v>
      </c>
      <c r="F4598" s="40">
        <v>39779</v>
      </c>
      <c r="G4598" s="39">
        <v>4665.2700000000004</v>
      </c>
      <c r="H4598" s="39">
        <f t="shared" si="443"/>
        <v>4</v>
      </c>
      <c r="I4598" s="39">
        <f t="shared" si="444"/>
        <v>0</v>
      </c>
      <c r="K4598" s="40"/>
      <c r="Q4598" s="40">
        <v>39779</v>
      </c>
      <c r="R4598" s="39">
        <v>4665.2700000000004</v>
      </c>
      <c r="S4598" s="39">
        <f t="shared" si="445"/>
        <v>11</v>
      </c>
      <c r="T4598" s="39">
        <f t="shared" si="446"/>
        <v>0</v>
      </c>
      <c r="U4598" s="39">
        <f t="shared" si="447"/>
        <v>0</v>
      </c>
      <c r="V4598" s="40"/>
    </row>
    <row r="4599" spans="2:22" x14ac:dyDescent="0.35">
      <c r="B4599" s="40">
        <v>39780</v>
      </c>
      <c r="C4599" s="39">
        <v>4669.4399999999996</v>
      </c>
      <c r="D4599" s="219">
        <f t="shared" si="448"/>
        <v>8.9343970565462349E-4</v>
      </c>
      <c r="F4599" s="40">
        <v>39780</v>
      </c>
      <c r="G4599" s="39">
        <v>4669.4399999999996</v>
      </c>
      <c r="H4599" s="39">
        <f t="shared" ref="H4599:H4662" si="449">WEEKDAY(F4599,2)</f>
        <v>5</v>
      </c>
      <c r="I4599" s="39">
        <f t="shared" ref="I4599:I4662" si="450">IF(H4599&gt;H4600,G4599,0)</f>
        <v>4669.4399999999996</v>
      </c>
      <c r="K4599" s="40"/>
      <c r="Q4599" s="40">
        <v>39780</v>
      </c>
      <c r="R4599" s="39">
        <v>4669.4399999999996</v>
      </c>
      <c r="S4599" s="39">
        <f t="shared" ref="S4599:S4662" si="451">MONTH(Q4599)</f>
        <v>11</v>
      </c>
      <c r="T4599" s="39">
        <f t="shared" ref="T4599:T4662" si="452">IF(S4600&lt;&gt;S4599,R4599,0)</f>
        <v>4669.4399999999996</v>
      </c>
      <c r="U4599" s="39">
        <f t="shared" ref="U4599:U4662" si="453">IF(S4600=S4599,0,R4599)</f>
        <v>4669.4399999999996</v>
      </c>
      <c r="V4599" s="40"/>
    </row>
    <row r="4600" spans="2:22" x14ac:dyDescent="0.35">
      <c r="B4600" s="40">
        <v>39783</v>
      </c>
      <c r="C4600" s="39">
        <v>4394.79</v>
      </c>
      <c r="D4600" s="219">
        <f t="shared" ref="D4600:D4663" si="454">LN(C4600/C4599)</f>
        <v>-6.0619401718011827E-2</v>
      </c>
      <c r="F4600" s="40">
        <v>39783</v>
      </c>
      <c r="G4600" s="39">
        <v>4394.79</v>
      </c>
      <c r="H4600" s="39">
        <f t="shared" si="449"/>
        <v>1</v>
      </c>
      <c r="I4600" s="39">
        <f t="shared" si="450"/>
        <v>0</v>
      </c>
      <c r="K4600" s="40"/>
      <c r="Q4600" s="40">
        <v>39783</v>
      </c>
      <c r="R4600" s="39">
        <v>4394.79</v>
      </c>
      <c r="S4600" s="39">
        <f t="shared" si="451"/>
        <v>12</v>
      </c>
      <c r="T4600" s="39">
        <f t="shared" si="452"/>
        <v>0</v>
      </c>
      <c r="U4600" s="39">
        <f t="shared" si="453"/>
        <v>0</v>
      </c>
      <c r="V4600" s="40"/>
    </row>
    <row r="4601" spans="2:22" x14ac:dyDescent="0.35">
      <c r="B4601" s="40">
        <v>39784</v>
      </c>
      <c r="C4601" s="39">
        <v>4531.79</v>
      </c>
      <c r="D4601" s="219">
        <f t="shared" si="454"/>
        <v>3.0697256508574029E-2</v>
      </c>
      <c r="F4601" s="40">
        <v>39784</v>
      </c>
      <c r="G4601" s="39">
        <v>4531.79</v>
      </c>
      <c r="H4601" s="39">
        <f t="shared" si="449"/>
        <v>2</v>
      </c>
      <c r="I4601" s="39">
        <f t="shared" si="450"/>
        <v>0</v>
      </c>
      <c r="K4601" s="40"/>
      <c r="Q4601" s="40">
        <v>39784</v>
      </c>
      <c r="R4601" s="39">
        <v>4531.79</v>
      </c>
      <c r="S4601" s="39">
        <f t="shared" si="451"/>
        <v>12</v>
      </c>
      <c r="T4601" s="39">
        <f t="shared" si="452"/>
        <v>0</v>
      </c>
      <c r="U4601" s="39">
        <f t="shared" si="453"/>
        <v>0</v>
      </c>
      <c r="V4601" s="40"/>
    </row>
    <row r="4602" spans="2:22" x14ac:dyDescent="0.35">
      <c r="B4602" s="40">
        <v>39785</v>
      </c>
      <c r="C4602" s="39">
        <v>4567.24</v>
      </c>
      <c r="D4602" s="219">
        <f t="shared" si="454"/>
        <v>7.7920787966311439E-3</v>
      </c>
      <c r="F4602" s="40">
        <v>39785</v>
      </c>
      <c r="G4602" s="39">
        <v>4567.24</v>
      </c>
      <c r="H4602" s="39">
        <f t="shared" si="449"/>
        <v>3</v>
      </c>
      <c r="I4602" s="39">
        <f t="shared" si="450"/>
        <v>0</v>
      </c>
      <c r="K4602" s="40"/>
      <c r="Q4602" s="40">
        <v>39785</v>
      </c>
      <c r="R4602" s="39">
        <v>4567.24</v>
      </c>
      <c r="S4602" s="39">
        <f t="shared" si="451"/>
        <v>12</v>
      </c>
      <c r="T4602" s="39">
        <f t="shared" si="452"/>
        <v>0</v>
      </c>
      <c r="U4602" s="39">
        <f t="shared" si="453"/>
        <v>0</v>
      </c>
      <c r="V4602" s="40"/>
    </row>
    <row r="4603" spans="2:22" x14ac:dyDescent="0.35">
      <c r="B4603" s="40">
        <v>39786</v>
      </c>
      <c r="C4603" s="39">
        <v>4564.2299999999996</v>
      </c>
      <c r="D4603" s="219">
        <f t="shared" si="454"/>
        <v>-6.5925860984434963E-4</v>
      </c>
      <c r="F4603" s="40">
        <v>39786</v>
      </c>
      <c r="G4603" s="39">
        <v>4564.2299999999996</v>
      </c>
      <c r="H4603" s="39">
        <f t="shared" si="449"/>
        <v>4</v>
      </c>
      <c r="I4603" s="39">
        <f t="shared" si="450"/>
        <v>0</v>
      </c>
      <c r="K4603" s="40"/>
      <c r="Q4603" s="40">
        <v>39786</v>
      </c>
      <c r="R4603" s="39">
        <v>4564.2299999999996</v>
      </c>
      <c r="S4603" s="39">
        <f t="shared" si="451"/>
        <v>12</v>
      </c>
      <c r="T4603" s="39">
        <f t="shared" si="452"/>
        <v>0</v>
      </c>
      <c r="U4603" s="39">
        <f t="shared" si="453"/>
        <v>0</v>
      </c>
      <c r="V4603" s="40"/>
    </row>
    <row r="4604" spans="2:22" x14ac:dyDescent="0.35">
      <c r="B4604" s="40">
        <v>39787</v>
      </c>
      <c r="C4604" s="39">
        <v>4381.47</v>
      </c>
      <c r="D4604" s="219">
        <f t="shared" si="454"/>
        <v>-4.086554060084762E-2</v>
      </c>
      <c r="F4604" s="40">
        <v>39787</v>
      </c>
      <c r="G4604" s="39">
        <v>4381.47</v>
      </c>
      <c r="H4604" s="39">
        <f t="shared" si="449"/>
        <v>5</v>
      </c>
      <c r="I4604" s="39">
        <f t="shared" si="450"/>
        <v>4381.47</v>
      </c>
      <c r="K4604" s="40"/>
      <c r="Q4604" s="40">
        <v>39787</v>
      </c>
      <c r="R4604" s="39">
        <v>4381.47</v>
      </c>
      <c r="S4604" s="39">
        <f t="shared" si="451"/>
        <v>12</v>
      </c>
      <c r="T4604" s="39">
        <f t="shared" si="452"/>
        <v>0</v>
      </c>
      <c r="U4604" s="39">
        <f t="shared" si="453"/>
        <v>0</v>
      </c>
      <c r="V4604" s="40"/>
    </row>
    <row r="4605" spans="2:22" x14ac:dyDescent="0.35">
      <c r="B4605" s="40">
        <v>39790</v>
      </c>
      <c r="C4605" s="39">
        <v>4715.88</v>
      </c>
      <c r="D4605" s="219">
        <f t="shared" si="454"/>
        <v>7.3551252538654674E-2</v>
      </c>
      <c r="F4605" s="40">
        <v>39790</v>
      </c>
      <c r="G4605" s="39">
        <v>4715.88</v>
      </c>
      <c r="H4605" s="39">
        <f t="shared" si="449"/>
        <v>1</v>
      </c>
      <c r="I4605" s="39">
        <f t="shared" si="450"/>
        <v>0</v>
      </c>
      <c r="K4605" s="40"/>
      <c r="Q4605" s="40">
        <v>39790</v>
      </c>
      <c r="R4605" s="39">
        <v>4715.88</v>
      </c>
      <c r="S4605" s="39">
        <f t="shared" si="451"/>
        <v>12</v>
      </c>
      <c r="T4605" s="39">
        <f t="shared" si="452"/>
        <v>0</v>
      </c>
      <c r="U4605" s="39">
        <f t="shared" si="453"/>
        <v>0</v>
      </c>
      <c r="V4605" s="40"/>
    </row>
    <row r="4606" spans="2:22" x14ac:dyDescent="0.35">
      <c r="B4606" s="40">
        <v>39791</v>
      </c>
      <c r="C4606" s="39">
        <v>4779.1099999999997</v>
      </c>
      <c r="D4606" s="219">
        <f t="shared" si="454"/>
        <v>1.3318799640008929E-2</v>
      </c>
      <c r="F4606" s="40">
        <v>39791</v>
      </c>
      <c r="G4606" s="39">
        <v>4779.1099999999997</v>
      </c>
      <c r="H4606" s="39">
        <f t="shared" si="449"/>
        <v>2</v>
      </c>
      <c r="I4606" s="39">
        <f t="shared" si="450"/>
        <v>0</v>
      </c>
      <c r="K4606" s="40"/>
      <c r="Q4606" s="40">
        <v>39791</v>
      </c>
      <c r="R4606" s="39">
        <v>4779.1099999999997</v>
      </c>
      <c r="S4606" s="39">
        <f t="shared" si="451"/>
        <v>12</v>
      </c>
      <c r="T4606" s="39">
        <f t="shared" si="452"/>
        <v>0</v>
      </c>
      <c r="U4606" s="39">
        <f t="shared" si="453"/>
        <v>0</v>
      </c>
      <c r="V4606" s="40"/>
    </row>
    <row r="4607" spans="2:22" x14ac:dyDescent="0.35">
      <c r="B4607" s="40">
        <v>39792</v>
      </c>
      <c r="C4607" s="39">
        <v>4804.88</v>
      </c>
      <c r="D4607" s="219">
        <f t="shared" si="454"/>
        <v>5.3777314261930645E-3</v>
      </c>
      <c r="F4607" s="40">
        <v>39792</v>
      </c>
      <c r="G4607" s="39">
        <v>4804.88</v>
      </c>
      <c r="H4607" s="39">
        <f t="shared" si="449"/>
        <v>3</v>
      </c>
      <c r="I4607" s="39">
        <f t="shared" si="450"/>
        <v>0</v>
      </c>
      <c r="K4607" s="40"/>
      <c r="Q4607" s="40">
        <v>39792</v>
      </c>
      <c r="R4607" s="39">
        <v>4804.88</v>
      </c>
      <c r="S4607" s="39">
        <f t="shared" si="451"/>
        <v>12</v>
      </c>
      <c r="T4607" s="39">
        <f t="shared" si="452"/>
        <v>0</v>
      </c>
      <c r="U4607" s="39">
        <f t="shared" si="453"/>
        <v>0</v>
      </c>
      <c r="V4607" s="40"/>
    </row>
    <row r="4608" spans="2:22" x14ac:dyDescent="0.35">
      <c r="B4608" s="40">
        <v>39793</v>
      </c>
      <c r="C4608" s="39">
        <v>4767.2</v>
      </c>
      <c r="D4608" s="219">
        <f t="shared" si="454"/>
        <v>-7.8729376743367566E-3</v>
      </c>
      <c r="F4608" s="40">
        <v>39793</v>
      </c>
      <c r="G4608" s="39">
        <v>4767.2</v>
      </c>
      <c r="H4608" s="39">
        <f t="shared" si="449"/>
        <v>4</v>
      </c>
      <c r="I4608" s="39">
        <f t="shared" si="450"/>
        <v>0</v>
      </c>
      <c r="K4608" s="40"/>
      <c r="Q4608" s="40">
        <v>39793</v>
      </c>
      <c r="R4608" s="39">
        <v>4767.2</v>
      </c>
      <c r="S4608" s="39">
        <f t="shared" si="451"/>
        <v>12</v>
      </c>
      <c r="T4608" s="39">
        <f t="shared" si="452"/>
        <v>0</v>
      </c>
      <c r="U4608" s="39">
        <f t="shared" si="453"/>
        <v>0</v>
      </c>
      <c r="V4608" s="40"/>
    </row>
    <row r="4609" spans="2:22" x14ac:dyDescent="0.35">
      <c r="B4609" s="40">
        <v>39794</v>
      </c>
      <c r="C4609" s="39">
        <v>4663.37</v>
      </c>
      <c r="D4609" s="219">
        <f t="shared" si="454"/>
        <v>-2.2020767713149633E-2</v>
      </c>
      <c r="F4609" s="40">
        <v>39794</v>
      </c>
      <c r="G4609" s="39">
        <v>4663.37</v>
      </c>
      <c r="H4609" s="39">
        <f t="shared" si="449"/>
        <v>5</v>
      </c>
      <c r="I4609" s="39">
        <f t="shared" si="450"/>
        <v>4663.37</v>
      </c>
      <c r="K4609" s="40"/>
      <c r="Q4609" s="40">
        <v>39794</v>
      </c>
      <c r="R4609" s="39">
        <v>4663.37</v>
      </c>
      <c r="S4609" s="39">
        <f t="shared" si="451"/>
        <v>12</v>
      </c>
      <c r="T4609" s="39">
        <f t="shared" si="452"/>
        <v>0</v>
      </c>
      <c r="U4609" s="39">
        <f t="shared" si="453"/>
        <v>0</v>
      </c>
      <c r="V4609" s="40"/>
    </row>
    <row r="4610" spans="2:22" x14ac:dyDescent="0.35">
      <c r="B4610" s="40">
        <v>39797</v>
      </c>
      <c r="C4610" s="39">
        <v>4654.82</v>
      </c>
      <c r="D4610" s="219">
        <f t="shared" si="454"/>
        <v>-1.8351208549007379E-3</v>
      </c>
      <c r="F4610" s="40">
        <v>39797</v>
      </c>
      <c r="G4610" s="39">
        <v>4654.82</v>
      </c>
      <c r="H4610" s="39">
        <f t="shared" si="449"/>
        <v>1</v>
      </c>
      <c r="I4610" s="39">
        <f t="shared" si="450"/>
        <v>0</v>
      </c>
      <c r="K4610" s="40"/>
      <c r="Q4610" s="40">
        <v>39797</v>
      </c>
      <c r="R4610" s="39">
        <v>4654.82</v>
      </c>
      <c r="S4610" s="39">
        <f t="shared" si="451"/>
        <v>12</v>
      </c>
      <c r="T4610" s="39">
        <f t="shared" si="452"/>
        <v>0</v>
      </c>
      <c r="U4610" s="39">
        <f t="shared" si="453"/>
        <v>0</v>
      </c>
      <c r="V4610" s="40"/>
    </row>
    <row r="4611" spans="2:22" x14ac:dyDescent="0.35">
      <c r="B4611" s="40">
        <v>39798</v>
      </c>
      <c r="C4611" s="39">
        <v>4729.91</v>
      </c>
      <c r="D4611" s="219">
        <f t="shared" si="454"/>
        <v>1.6002932956091238E-2</v>
      </c>
      <c r="F4611" s="40">
        <v>39798</v>
      </c>
      <c r="G4611" s="39">
        <v>4729.91</v>
      </c>
      <c r="H4611" s="39">
        <f t="shared" si="449"/>
        <v>2</v>
      </c>
      <c r="I4611" s="39">
        <f t="shared" si="450"/>
        <v>0</v>
      </c>
      <c r="K4611" s="40"/>
      <c r="Q4611" s="40">
        <v>39798</v>
      </c>
      <c r="R4611" s="39">
        <v>4729.91</v>
      </c>
      <c r="S4611" s="39">
        <f t="shared" si="451"/>
        <v>12</v>
      </c>
      <c r="T4611" s="39">
        <f t="shared" si="452"/>
        <v>0</v>
      </c>
      <c r="U4611" s="39">
        <f t="shared" si="453"/>
        <v>0</v>
      </c>
      <c r="V4611" s="40"/>
    </row>
    <row r="4612" spans="2:22" x14ac:dyDescent="0.35">
      <c r="B4612" s="40">
        <v>39799</v>
      </c>
      <c r="C4612" s="39">
        <v>4708.38</v>
      </c>
      <c r="D4612" s="219">
        <f t="shared" si="454"/>
        <v>-4.5622750189718139E-3</v>
      </c>
      <c r="F4612" s="40">
        <v>39799</v>
      </c>
      <c r="G4612" s="39">
        <v>4708.38</v>
      </c>
      <c r="H4612" s="39">
        <f t="shared" si="449"/>
        <v>3</v>
      </c>
      <c r="I4612" s="39">
        <f t="shared" si="450"/>
        <v>0</v>
      </c>
      <c r="K4612" s="40"/>
      <c r="Q4612" s="40">
        <v>39799</v>
      </c>
      <c r="R4612" s="39">
        <v>4708.38</v>
      </c>
      <c r="S4612" s="39">
        <f t="shared" si="451"/>
        <v>12</v>
      </c>
      <c r="T4612" s="39">
        <f t="shared" si="452"/>
        <v>0</v>
      </c>
      <c r="U4612" s="39">
        <f t="shared" si="453"/>
        <v>0</v>
      </c>
      <c r="V4612" s="40"/>
    </row>
    <row r="4613" spans="2:22" x14ac:dyDescent="0.35">
      <c r="B4613" s="40">
        <v>39800</v>
      </c>
      <c r="C4613" s="39">
        <v>4756.3999999999996</v>
      </c>
      <c r="D4613" s="219">
        <f t="shared" si="454"/>
        <v>1.014717976158541E-2</v>
      </c>
      <c r="F4613" s="40">
        <v>39800</v>
      </c>
      <c r="G4613" s="39">
        <v>4756.3999999999996</v>
      </c>
      <c r="H4613" s="39">
        <f t="shared" si="449"/>
        <v>4</v>
      </c>
      <c r="I4613" s="39">
        <f t="shared" si="450"/>
        <v>0</v>
      </c>
      <c r="K4613" s="40"/>
      <c r="Q4613" s="40">
        <v>39800</v>
      </c>
      <c r="R4613" s="39">
        <v>4756.3999999999996</v>
      </c>
      <c r="S4613" s="39">
        <f t="shared" si="451"/>
        <v>12</v>
      </c>
      <c r="T4613" s="39">
        <f t="shared" si="452"/>
        <v>0</v>
      </c>
      <c r="U4613" s="39">
        <f t="shared" si="453"/>
        <v>0</v>
      </c>
      <c r="V4613" s="40"/>
    </row>
    <row r="4614" spans="2:22" x14ac:dyDescent="0.35">
      <c r="B4614" s="40">
        <v>39801</v>
      </c>
      <c r="C4614" s="39">
        <v>4696.7</v>
      </c>
      <c r="D4614" s="219">
        <f t="shared" si="454"/>
        <v>-1.2630945131913264E-2</v>
      </c>
      <c r="F4614" s="40">
        <v>39801</v>
      </c>
      <c r="G4614" s="39">
        <v>4696.7</v>
      </c>
      <c r="H4614" s="39">
        <f t="shared" si="449"/>
        <v>5</v>
      </c>
      <c r="I4614" s="39">
        <f t="shared" si="450"/>
        <v>4696.7</v>
      </c>
      <c r="K4614" s="40"/>
      <c r="Q4614" s="40">
        <v>39801</v>
      </c>
      <c r="R4614" s="39">
        <v>4696.7</v>
      </c>
      <c r="S4614" s="39">
        <f t="shared" si="451"/>
        <v>12</v>
      </c>
      <c r="T4614" s="39">
        <f t="shared" si="452"/>
        <v>0</v>
      </c>
      <c r="U4614" s="39">
        <f t="shared" si="453"/>
        <v>0</v>
      </c>
      <c r="V4614" s="40"/>
    </row>
    <row r="4615" spans="2:22" x14ac:dyDescent="0.35">
      <c r="B4615" s="40">
        <v>39804</v>
      </c>
      <c r="C4615" s="39">
        <v>4639.0200000000004</v>
      </c>
      <c r="D4615" s="219">
        <f t="shared" si="454"/>
        <v>-1.235699741507873E-2</v>
      </c>
      <c r="F4615" s="40">
        <v>39804</v>
      </c>
      <c r="G4615" s="39">
        <v>4639.0200000000004</v>
      </c>
      <c r="H4615" s="39">
        <f t="shared" si="449"/>
        <v>1</v>
      </c>
      <c r="I4615" s="39">
        <f t="shared" si="450"/>
        <v>0</v>
      </c>
      <c r="K4615" s="40"/>
      <c r="Q4615" s="40">
        <v>39804</v>
      </c>
      <c r="R4615" s="39">
        <v>4639.0200000000004</v>
      </c>
      <c r="S4615" s="39">
        <f t="shared" si="451"/>
        <v>12</v>
      </c>
      <c r="T4615" s="39">
        <f t="shared" si="452"/>
        <v>0</v>
      </c>
      <c r="U4615" s="39">
        <f t="shared" si="453"/>
        <v>0</v>
      </c>
      <c r="V4615" s="40"/>
    </row>
    <row r="4616" spans="2:22" x14ac:dyDescent="0.35">
      <c r="B4616" s="40">
        <v>39805</v>
      </c>
      <c r="C4616" s="39">
        <v>4629.38</v>
      </c>
      <c r="D4616" s="219">
        <f t="shared" si="454"/>
        <v>-2.0801871900580698E-3</v>
      </c>
      <c r="F4616" s="40">
        <v>39805</v>
      </c>
      <c r="G4616" s="39">
        <v>4629.38</v>
      </c>
      <c r="H4616" s="39">
        <f t="shared" si="449"/>
        <v>2</v>
      </c>
      <c r="I4616" s="39">
        <f t="shared" si="450"/>
        <v>0</v>
      </c>
      <c r="K4616" s="40"/>
      <c r="Q4616" s="40">
        <v>39805</v>
      </c>
      <c r="R4616" s="39">
        <v>4629.38</v>
      </c>
      <c r="S4616" s="39">
        <f t="shared" si="451"/>
        <v>12</v>
      </c>
      <c r="T4616" s="39">
        <f t="shared" si="452"/>
        <v>0</v>
      </c>
      <c r="U4616" s="39">
        <f t="shared" si="453"/>
        <v>0</v>
      </c>
      <c r="V4616" s="40"/>
    </row>
    <row r="4617" spans="2:22" x14ac:dyDescent="0.35">
      <c r="B4617" s="40">
        <v>39806</v>
      </c>
      <c r="C4617" s="39">
        <v>4629.38</v>
      </c>
      <c r="D4617" s="219">
        <f t="shared" si="454"/>
        <v>0</v>
      </c>
      <c r="F4617" s="40">
        <v>39806</v>
      </c>
      <c r="G4617" s="39">
        <v>4629.38</v>
      </c>
      <c r="H4617" s="39">
        <f t="shared" si="449"/>
        <v>3</v>
      </c>
      <c r="I4617" s="39">
        <f t="shared" si="450"/>
        <v>0</v>
      </c>
      <c r="K4617" s="40"/>
      <c r="Q4617" s="40">
        <v>39806</v>
      </c>
      <c r="R4617" s="39">
        <v>4629.38</v>
      </c>
      <c r="S4617" s="39">
        <f t="shared" si="451"/>
        <v>12</v>
      </c>
      <c r="T4617" s="39">
        <f t="shared" si="452"/>
        <v>0</v>
      </c>
      <c r="U4617" s="39">
        <f t="shared" si="453"/>
        <v>0</v>
      </c>
      <c r="V4617" s="40"/>
    </row>
    <row r="4618" spans="2:22" x14ac:dyDescent="0.35">
      <c r="B4618" s="40">
        <v>39808</v>
      </c>
      <c r="C4618" s="39">
        <v>4629.38</v>
      </c>
      <c r="D4618" s="219">
        <f t="shared" si="454"/>
        <v>0</v>
      </c>
      <c r="F4618" s="40">
        <v>39808</v>
      </c>
      <c r="G4618" s="39">
        <v>4629.38</v>
      </c>
      <c r="H4618" s="39">
        <f t="shared" si="449"/>
        <v>5</v>
      </c>
      <c r="I4618" s="39">
        <f t="shared" si="450"/>
        <v>4629.38</v>
      </c>
      <c r="K4618" s="40"/>
      <c r="Q4618" s="40">
        <v>39808</v>
      </c>
      <c r="R4618" s="39">
        <v>4629.38</v>
      </c>
      <c r="S4618" s="39">
        <f t="shared" si="451"/>
        <v>12</v>
      </c>
      <c r="T4618" s="39">
        <f t="shared" si="452"/>
        <v>0</v>
      </c>
      <c r="U4618" s="39">
        <f t="shared" si="453"/>
        <v>0</v>
      </c>
      <c r="V4618" s="40"/>
    </row>
    <row r="4619" spans="2:22" x14ac:dyDescent="0.35">
      <c r="B4619" s="40">
        <v>39811</v>
      </c>
      <c r="C4619" s="39">
        <v>4704.8599999999997</v>
      </c>
      <c r="D4619" s="219">
        <f t="shared" si="454"/>
        <v>1.6173067171229249E-2</v>
      </c>
      <c r="F4619" s="40">
        <v>39811</v>
      </c>
      <c r="G4619" s="39">
        <v>4704.8599999999997</v>
      </c>
      <c r="H4619" s="39">
        <f t="shared" si="449"/>
        <v>1</v>
      </c>
      <c r="I4619" s="39">
        <f t="shared" si="450"/>
        <v>0</v>
      </c>
      <c r="K4619" s="40"/>
      <c r="Q4619" s="40">
        <v>39811</v>
      </c>
      <c r="R4619" s="39">
        <v>4704.8599999999997</v>
      </c>
      <c r="S4619" s="39">
        <f t="shared" si="451"/>
        <v>12</v>
      </c>
      <c r="T4619" s="39">
        <f t="shared" si="452"/>
        <v>0</v>
      </c>
      <c r="U4619" s="39">
        <f t="shared" si="453"/>
        <v>0</v>
      </c>
      <c r="V4619" s="40"/>
    </row>
    <row r="4620" spans="2:22" x14ac:dyDescent="0.35">
      <c r="B4620" s="40">
        <v>39812</v>
      </c>
      <c r="C4620" s="39">
        <v>4810.2</v>
      </c>
      <c r="D4620" s="219">
        <f t="shared" si="454"/>
        <v>2.2142646279358136E-2</v>
      </c>
      <c r="F4620" s="40">
        <v>39812</v>
      </c>
      <c r="G4620" s="39">
        <v>4810.2</v>
      </c>
      <c r="H4620" s="39">
        <f t="shared" si="449"/>
        <v>2</v>
      </c>
      <c r="I4620" s="39">
        <f t="shared" si="450"/>
        <v>0</v>
      </c>
      <c r="K4620" s="40"/>
      <c r="Q4620" s="40">
        <v>39812</v>
      </c>
      <c r="R4620" s="39">
        <v>4810.2</v>
      </c>
      <c r="S4620" s="39">
        <f t="shared" si="451"/>
        <v>12</v>
      </c>
      <c r="T4620" s="39">
        <f t="shared" si="452"/>
        <v>4810.2</v>
      </c>
      <c r="U4620" s="39">
        <f t="shared" si="453"/>
        <v>4810.2</v>
      </c>
      <c r="V4620" s="40"/>
    </row>
    <row r="4621" spans="2:22" x14ac:dyDescent="0.35">
      <c r="B4621" s="40">
        <v>39815</v>
      </c>
      <c r="C4621" s="39">
        <v>4973.07</v>
      </c>
      <c r="D4621" s="219">
        <f t="shared" si="454"/>
        <v>3.3298692349167873E-2</v>
      </c>
      <c r="F4621" s="40">
        <v>39815</v>
      </c>
      <c r="G4621" s="39">
        <v>4973.07</v>
      </c>
      <c r="H4621" s="39">
        <f t="shared" si="449"/>
        <v>5</v>
      </c>
      <c r="I4621" s="39">
        <f t="shared" si="450"/>
        <v>4973.07</v>
      </c>
      <c r="K4621" s="40"/>
      <c r="Q4621" s="40">
        <v>39815</v>
      </c>
      <c r="R4621" s="39">
        <v>4973.07</v>
      </c>
      <c r="S4621" s="39">
        <f t="shared" si="451"/>
        <v>1</v>
      </c>
      <c r="T4621" s="39">
        <f t="shared" si="452"/>
        <v>0</v>
      </c>
      <c r="U4621" s="39">
        <f t="shared" si="453"/>
        <v>0</v>
      </c>
      <c r="V4621" s="40"/>
    </row>
    <row r="4622" spans="2:22" x14ac:dyDescent="0.35">
      <c r="B4622" s="40">
        <v>39818</v>
      </c>
      <c r="C4622" s="39">
        <v>4983.99</v>
      </c>
      <c r="D4622" s="219">
        <f t="shared" si="454"/>
        <v>2.1934194186016068E-3</v>
      </c>
      <c r="F4622" s="40">
        <v>39818</v>
      </c>
      <c r="G4622" s="39">
        <v>4983.99</v>
      </c>
      <c r="H4622" s="39">
        <f t="shared" si="449"/>
        <v>1</v>
      </c>
      <c r="I4622" s="39">
        <f t="shared" si="450"/>
        <v>0</v>
      </c>
      <c r="K4622" s="40"/>
      <c r="Q4622" s="40">
        <v>39818</v>
      </c>
      <c r="R4622" s="39">
        <v>4983.99</v>
      </c>
      <c r="S4622" s="39">
        <f t="shared" si="451"/>
        <v>1</v>
      </c>
      <c r="T4622" s="39">
        <f t="shared" si="452"/>
        <v>0</v>
      </c>
      <c r="U4622" s="39">
        <f t="shared" si="453"/>
        <v>0</v>
      </c>
      <c r="V4622" s="40"/>
    </row>
    <row r="4623" spans="2:22" x14ac:dyDescent="0.35">
      <c r="B4623" s="40">
        <v>39819</v>
      </c>
      <c r="C4623" s="39">
        <v>5026.3100000000004</v>
      </c>
      <c r="D4623" s="219">
        <f t="shared" si="454"/>
        <v>8.4553414245267106E-3</v>
      </c>
      <c r="F4623" s="40">
        <v>39819</v>
      </c>
      <c r="G4623" s="39">
        <v>5026.3100000000004</v>
      </c>
      <c r="H4623" s="39">
        <f t="shared" si="449"/>
        <v>2</v>
      </c>
      <c r="I4623" s="39">
        <f t="shared" si="450"/>
        <v>0</v>
      </c>
      <c r="K4623" s="40"/>
      <c r="Q4623" s="40">
        <v>39819</v>
      </c>
      <c r="R4623" s="39">
        <v>5026.3100000000004</v>
      </c>
      <c r="S4623" s="39">
        <f t="shared" si="451"/>
        <v>1</v>
      </c>
      <c r="T4623" s="39">
        <f t="shared" si="452"/>
        <v>0</v>
      </c>
      <c r="U4623" s="39">
        <f t="shared" si="453"/>
        <v>0</v>
      </c>
      <c r="V4623" s="40"/>
    </row>
    <row r="4624" spans="2:22" x14ac:dyDescent="0.35">
      <c r="B4624" s="40">
        <v>39820</v>
      </c>
      <c r="C4624" s="39">
        <v>4937.47</v>
      </c>
      <c r="D4624" s="219">
        <f t="shared" si="454"/>
        <v>-1.7833062227705501E-2</v>
      </c>
      <c r="F4624" s="40">
        <v>39820</v>
      </c>
      <c r="G4624" s="39">
        <v>4937.47</v>
      </c>
      <c r="H4624" s="39">
        <f t="shared" si="449"/>
        <v>3</v>
      </c>
      <c r="I4624" s="39">
        <f t="shared" si="450"/>
        <v>0</v>
      </c>
      <c r="K4624" s="40"/>
      <c r="Q4624" s="40">
        <v>39820</v>
      </c>
      <c r="R4624" s="39">
        <v>4937.47</v>
      </c>
      <c r="S4624" s="39">
        <f t="shared" si="451"/>
        <v>1</v>
      </c>
      <c r="T4624" s="39">
        <f t="shared" si="452"/>
        <v>0</v>
      </c>
      <c r="U4624" s="39">
        <f t="shared" si="453"/>
        <v>0</v>
      </c>
      <c r="V4624" s="40"/>
    </row>
    <row r="4625" spans="2:22" x14ac:dyDescent="0.35">
      <c r="B4625" s="40">
        <v>39821</v>
      </c>
      <c r="C4625" s="39">
        <v>4879.91</v>
      </c>
      <c r="D4625" s="219">
        <f t="shared" si="454"/>
        <v>-1.172627718737689E-2</v>
      </c>
      <c r="F4625" s="40">
        <v>39821</v>
      </c>
      <c r="G4625" s="39">
        <v>4879.91</v>
      </c>
      <c r="H4625" s="39">
        <f t="shared" si="449"/>
        <v>4</v>
      </c>
      <c r="I4625" s="39">
        <f t="shared" si="450"/>
        <v>0</v>
      </c>
      <c r="K4625" s="40"/>
      <c r="Q4625" s="40">
        <v>39821</v>
      </c>
      <c r="R4625" s="39">
        <v>4879.91</v>
      </c>
      <c r="S4625" s="39">
        <f t="shared" si="451"/>
        <v>1</v>
      </c>
      <c r="T4625" s="39">
        <f t="shared" si="452"/>
        <v>0</v>
      </c>
      <c r="U4625" s="39">
        <f t="shared" si="453"/>
        <v>0</v>
      </c>
      <c r="V4625" s="40"/>
    </row>
    <row r="4626" spans="2:22" x14ac:dyDescent="0.35">
      <c r="B4626" s="40">
        <v>39822</v>
      </c>
      <c r="C4626" s="39">
        <v>4783.8900000000003</v>
      </c>
      <c r="D4626" s="219">
        <f t="shared" si="454"/>
        <v>-1.9872753999094033E-2</v>
      </c>
      <c r="F4626" s="40">
        <v>39822</v>
      </c>
      <c r="G4626" s="39">
        <v>4783.8900000000003</v>
      </c>
      <c r="H4626" s="39">
        <f t="shared" si="449"/>
        <v>5</v>
      </c>
      <c r="I4626" s="39">
        <f t="shared" si="450"/>
        <v>4783.8900000000003</v>
      </c>
      <c r="K4626" s="40"/>
      <c r="Q4626" s="40">
        <v>39822</v>
      </c>
      <c r="R4626" s="39">
        <v>4783.8900000000003</v>
      </c>
      <c r="S4626" s="39">
        <f t="shared" si="451"/>
        <v>1</v>
      </c>
      <c r="T4626" s="39">
        <f t="shared" si="452"/>
        <v>0</v>
      </c>
      <c r="U4626" s="39">
        <f t="shared" si="453"/>
        <v>0</v>
      </c>
      <c r="V4626" s="40"/>
    </row>
    <row r="4627" spans="2:22" x14ac:dyDescent="0.35">
      <c r="B4627" s="40">
        <v>39825</v>
      </c>
      <c r="C4627" s="39">
        <v>4719.62</v>
      </c>
      <c r="D4627" s="219">
        <f t="shared" si="454"/>
        <v>-1.3525735191037093E-2</v>
      </c>
      <c r="F4627" s="40">
        <v>39825</v>
      </c>
      <c r="G4627" s="39">
        <v>4719.62</v>
      </c>
      <c r="H4627" s="39">
        <f t="shared" si="449"/>
        <v>1</v>
      </c>
      <c r="I4627" s="39">
        <f t="shared" si="450"/>
        <v>0</v>
      </c>
      <c r="K4627" s="40"/>
      <c r="Q4627" s="40">
        <v>39825</v>
      </c>
      <c r="R4627" s="39">
        <v>4719.62</v>
      </c>
      <c r="S4627" s="39">
        <f t="shared" si="451"/>
        <v>1</v>
      </c>
      <c r="T4627" s="39">
        <f t="shared" si="452"/>
        <v>0</v>
      </c>
      <c r="U4627" s="39">
        <f t="shared" si="453"/>
        <v>0</v>
      </c>
      <c r="V4627" s="40"/>
    </row>
    <row r="4628" spans="2:22" x14ac:dyDescent="0.35">
      <c r="B4628" s="40">
        <v>39826</v>
      </c>
      <c r="C4628" s="39">
        <v>4636.9399999999996</v>
      </c>
      <c r="D4628" s="219">
        <f t="shared" si="454"/>
        <v>-1.7673621956772058E-2</v>
      </c>
      <c r="F4628" s="40">
        <v>39826</v>
      </c>
      <c r="G4628" s="39">
        <v>4636.9399999999996</v>
      </c>
      <c r="H4628" s="39">
        <f t="shared" si="449"/>
        <v>2</v>
      </c>
      <c r="I4628" s="39">
        <f t="shared" si="450"/>
        <v>0</v>
      </c>
      <c r="K4628" s="40"/>
      <c r="Q4628" s="40">
        <v>39826</v>
      </c>
      <c r="R4628" s="39">
        <v>4636.9399999999996</v>
      </c>
      <c r="S4628" s="39">
        <f t="shared" si="451"/>
        <v>1</v>
      </c>
      <c r="T4628" s="39">
        <f t="shared" si="452"/>
        <v>0</v>
      </c>
      <c r="U4628" s="39">
        <f t="shared" si="453"/>
        <v>0</v>
      </c>
      <c r="V4628" s="40"/>
    </row>
    <row r="4629" spans="2:22" x14ac:dyDescent="0.35">
      <c r="B4629" s="40">
        <v>39827</v>
      </c>
      <c r="C4629" s="39">
        <v>4422.3500000000004</v>
      </c>
      <c r="D4629" s="219">
        <f t="shared" si="454"/>
        <v>-4.7383436916037122E-2</v>
      </c>
      <c r="F4629" s="40">
        <v>39827</v>
      </c>
      <c r="G4629" s="39">
        <v>4422.3500000000004</v>
      </c>
      <c r="H4629" s="39">
        <f t="shared" si="449"/>
        <v>3</v>
      </c>
      <c r="I4629" s="39">
        <f t="shared" si="450"/>
        <v>0</v>
      </c>
      <c r="K4629" s="40"/>
      <c r="Q4629" s="40">
        <v>39827</v>
      </c>
      <c r="R4629" s="39">
        <v>4422.3500000000004</v>
      </c>
      <c r="S4629" s="39">
        <f t="shared" si="451"/>
        <v>1</v>
      </c>
      <c r="T4629" s="39">
        <f t="shared" si="452"/>
        <v>0</v>
      </c>
      <c r="U4629" s="39">
        <f t="shared" si="453"/>
        <v>0</v>
      </c>
      <c r="V4629" s="40"/>
    </row>
    <row r="4630" spans="2:22" x14ac:dyDescent="0.35">
      <c r="B4630" s="40">
        <v>39828</v>
      </c>
      <c r="C4630" s="39">
        <v>4336.7299999999996</v>
      </c>
      <c r="D4630" s="219">
        <f t="shared" si="454"/>
        <v>-1.9550621108779392E-2</v>
      </c>
      <c r="F4630" s="40">
        <v>39828</v>
      </c>
      <c r="G4630" s="39">
        <v>4336.7299999999996</v>
      </c>
      <c r="H4630" s="39">
        <f t="shared" si="449"/>
        <v>4</v>
      </c>
      <c r="I4630" s="39">
        <f t="shared" si="450"/>
        <v>0</v>
      </c>
      <c r="K4630" s="40"/>
      <c r="Q4630" s="40">
        <v>39828</v>
      </c>
      <c r="R4630" s="39">
        <v>4336.7299999999996</v>
      </c>
      <c r="S4630" s="39">
        <f t="shared" si="451"/>
        <v>1</v>
      </c>
      <c r="T4630" s="39">
        <f t="shared" si="452"/>
        <v>0</v>
      </c>
      <c r="U4630" s="39">
        <f t="shared" si="453"/>
        <v>0</v>
      </c>
      <c r="V4630" s="40"/>
    </row>
    <row r="4631" spans="2:22" x14ac:dyDescent="0.35">
      <c r="B4631" s="40">
        <v>39829</v>
      </c>
      <c r="C4631" s="39">
        <v>4366.28</v>
      </c>
      <c r="D4631" s="219">
        <f t="shared" si="454"/>
        <v>6.7907800996087056E-3</v>
      </c>
      <c r="F4631" s="40">
        <v>39829</v>
      </c>
      <c r="G4631" s="39">
        <v>4366.28</v>
      </c>
      <c r="H4631" s="39">
        <f t="shared" si="449"/>
        <v>5</v>
      </c>
      <c r="I4631" s="39">
        <f t="shared" si="450"/>
        <v>4366.28</v>
      </c>
      <c r="K4631" s="40"/>
      <c r="Q4631" s="40">
        <v>39829</v>
      </c>
      <c r="R4631" s="39">
        <v>4366.28</v>
      </c>
      <c r="S4631" s="39">
        <f t="shared" si="451"/>
        <v>1</v>
      </c>
      <c r="T4631" s="39">
        <f t="shared" si="452"/>
        <v>0</v>
      </c>
      <c r="U4631" s="39">
        <f t="shared" si="453"/>
        <v>0</v>
      </c>
      <c r="V4631" s="40"/>
    </row>
    <row r="4632" spans="2:22" x14ac:dyDescent="0.35">
      <c r="B4632" s="40">
        <v>39832</v>
      </c>
      <c r="C4632" s="39">
        <v>4316.1400000000003</v>
      </c>
      <c r="D4632" s="219">
        <f t="shared" si="454"/>
        <v>-1.154990368804472E-2</v>
      </c>
      <c r="F4632" s="40">
        <v>39832</v>
      </c>
      <c r="G4632" s="39">
        <v>4316.1400000000003</v>
      </c>
      <c r="H4632" s="39">
        <f t="shared" si="449"/>
        <v>1</v>
      </c>
      <c r="I4632" s="39">
        <f t="shared" si="450"/>
        <v>0</v>
      </c>
      <c r="K4632" s="40"/>
      <c r="Q4632" s="40">
        <v>39832</v>
      </c>
      <c r="R4632" s="39">
        <v>4316.1400000000003</v>
      </c>
      <c r="S4632" s="39">
        <f t="shared" si="451"/>
        <v>1</v>
      </c>
      <c r="T4632" s="39">
        <f t="shared" si="452"/>
        <v>0</v>
      </c>
      <c r="U4632" s="39">
        <f t="shared" si="453"/>
        <v>0</v>
      </c>
      <c r="V4632" s="40"/>
    </row>
    <row r="4633" spans="2:22" x14ac:dyDescent="0.35">
      <c r="B4633" s="40">
        <v>39833</v>
      </c>
      <c r="C4633" s="39">
        <v>4239.8500000000004</v>
      </c>
      <c r="D4633" s="219">
        <f t="shared" si="454"/>
        <v>-1.7833593052299423E-2</v>
      </c>
      <c r="F4633" s="40">
        <v>39833</v>
      </c>
      <c r="G4633" s="39">
        <v>4239.8500000000004</v>
      </c>
      <c r="H4633" s="39">
        <f t="shared" si="449"/>
        <v>2</v>
      </c>
      <c r="I4633" s="39">
        <f t="shared" si="450"/>
        <v>0</v>
      </c>
      <c r="K4633" s="40"/>
      <c r="Q4633" s="40">
        <v>39833</v>
      </c>
      <c r="R4633" s="39">
        <v>4239.8500000000004</v>
      </c>
      <c r="S4633" s="39">
        <f t="shared" si="451"/>
        <v>1</v>
      </c>
      <c r="T4633" s="39">
        <f t="shared" si="452"/>
        <v>0</v>
      </c>
      <c r="U4633" s="39">
        <f t="shared" si="453"/>
        <v>0</v>
      </c>
      <c r="V4633" s="40"/>
    </row>
    <row r="4634" spans="2:22" x14ac:dyDescent="0.35">
      <c r="B4634" s="40">
        <v>39834</v>
      </c>
      <c r="C4634" s="39">
        <v>4261.1499999999996</v>
      </c>
      <c r="D4634" s="219">
        <f t="shared" si="454"/>
        <v>5.0111856425708824E-3</v>
      </c>
      <c r="F4634" s="40">
        <v>39834</v>
      </c>
      <c r="G4634" s="39">
        <v>4261.1499999999996</v>
      </c>
      <c r="H4634" s="39">
        <f t="shared" si="449"/>
        <v>3</v>
      </c>
      <c r="I4634" s="39">
        <f t="shared" si="450"/>
        <v>0</v>
      </c>
      <c r="K4634" s="40"/>
      <c r="Q4634" s="40">
        <v>39834</v>
      </c>
      <c r="R4634" s="39">
        <v>4261.1499999999996</v>
      </c>
      <c r="S4634" s="39">
        <f t="shared" si="451"/>
        <v>1</v>
      </c>
      <c r="T4634" s="39">
        <f t="shared" si="452"/>
        <v>0</v>
      </c>
      <c r="U4634" s="39">
        <f t="shared" si="453"/>
        <v>0</v>
      </c>
      <c r="V4634" s="40"/>
    </row>
    <row r="4635" spans="2:22" x14ac:dyDescent="0.35">
      <c r="B4635" s="40">
        <v>39835</v>
      </c>
      <c r="C4635" s="39">
        <v>4219.42</v>
      </c>
      <c r="D4635" s="219">
        <f t="shared" si="454"/>
        <v>-9.8413990583733034E-3</v>
      </c>
      <c r="F4635" s="40">
        <v>39835</v>
      </c>
      <c r="G4635" s="39">
        <v>4219.42</v>
      </c>
      <c r="H4635" s="39">
        <f t="shared" si="449"/>
        <v>4</v>
      </c>
      <c r="I4635" s="39">
        <f t="shared" si="450"/>
        <v>0</v>
      </c>
      <c r="K4635" s="40"/>
      <c r="Q4635" s="40">
        <v>39835</v>
      </c>
      <c r="R4635" s="39">
        <v>4219.42</v>
      </c>
      <c r="S4635" s="39">
        <f t="shared" si="451"/>
        <v>1</v>
      </c>
      <c r="T4635" s="39">
        <f t="shared" si="452"/>
        <v>0</v>
      </c>
      <c r="U4635" s="39">
        <f t="shared" si="453"/>
        <v>0</v>
      </c>
      <c r="V4635" s="40"/>
    </row>
    <row r="4636" spans="2:22" x14ac:dyDescent="0.35">
      <c r="B4636" s="40">
        <v>39836</v>
      </c>
      <c r="C4636" s="39">
        <v>4178.9399999999996</v>
      </c>
      <c r="D4636" s="219">
        <f t="shared" si="454"/>
        <v>-9.6400519828664117E-3</v>
      </c>
      <c r="F4636" s="40">
        <v>39836</v>
      </c>
      <c r="G4636" s="39">
        <v>4178.9399999999996</v>
      </c>
      <c r="H4636" s="39">
        <f t="shared" si="449"/>
        <v>5</v>
      </c>
      <c r="I4636" s="39">
        <f t="shared" si="450"/>
        <v>4178.9399999999996</v>
      </c>
      <c r="K4636" s="40"/>
      <c r="Q4636" s="40">
        <v>39836</v>
      </c>
      <c r="R4636" s="39">
        <v>4178.9399999999996</v>
      </c>
      <c r="S4636" s="39">
        <f t="shared" si="451"/>
        <v>1</v>
      </c>
      <c r="T4636" s="39">
        <f t="shared" si="452"/>
        <v>0</v>
      </c>
      <c r="U4636" s="39">
        <f t="shared" si="453"/>
        <v>0</v>
      </c>
      <c r="V4636" s="40"/>
    </row>
    <row r="4637" spans="2:22" x14ac:dyDescent="0.35">
      <c r="B4637" s="40">
        <v>39839</v>
      </c>
      <c r="C4637" s="39">
        <v>4326.87</v>
      </c>
      <c r="D4637" s="219">
        <f t="shared" si="454"/>
        <v>3.4786791020176268E-2</v>
      </c>
      <c r="F4637" s="40">
        <v>39839</v>
      </c>
      <c r="G4637" s="39">
        <v>4326.87</v>
      </c>
      <c r="H4637" s="39">
        <f t="shared" si="449"/>
        <v>1</v>
      </c>
      <c r="I4637" s="39">
        <f t="shared" si="450"/>
        <v>0</v>
      </c>
      <c r="K4637" s="40"/>
      <c r="Q4637" s="40">
        <v>39839</v>
      </c>
      <c r="R4637" s="39">
        <v>4326.87</v>
      </c>
      <c r="S4637" s="39">
        <f t="shared" si="451"/>
        <v>1</v>
      </c>
      <c r="T4637" s="39">
        <f t="shared" si="452"/>
        <v>0</v>
      </c>
      <c r="U4637" s="39">
        <f t="shared" si="453"/>
        <v>0</v>
      </c>
      <c r="V4637" s="40"/>
    </row>
    <row r="4638" spans="2:22" x14ac:dyDescent="0.35">
      <c r="B4638" s="40">
        <v>39840</v>
      </c>
      <c r="C4638" s="39">
        <v>4323.42</v>
      </c>
      <c r="D4638" s="219">
        <f t="shared" si="454"/>
        <v>-7.9766116116932611E-4</v>
      </c>
      <c r="F4638" s="40">
        <v>39840</v>
      </c>
      <c r="G4638" s="39">
        <v>4323.42</v>
      </c>
      <c r="H4638" s="39">
        <f t="shared" si="449"/>
        <v>2</v>
      </c>
      <c r="I4638" s="39">
        <f t="shared" si="450"/>
        <v>0</v>
      </c>
      <c r="K4638" s="40"/>
      <c r="Q4638" s="40">
        <v>39840</v>
      </c>
      <c r="R4638" s="39">
        <v>4323.42</v>
      </c>
      <c r="S4638" s="39">
        <f t="shared" si="451"/>
        <v>1</v>
      </c>
      <c r="T4638" s="39">
        <f t="shared" si="452"/>
        <v>0</v>
      </c>
      <c r="U4638" s="39">
        <f t="shared" si="453"/>
        <v>0</v>
      </c>
      <c r="V4638" s="40"/>
    </row>
    <row r="4639" spans="2:22" x14ac:dyDescent="0.35">
      <c r="B4639" s="40">
        <v>39841</v>
      </c>
      <c r="C4639" s="39">
        <v>4518.72</v>
      </c>
      <c r="D4639" s="219">
        <f t="shared" si="454"/>
        <v>4.418201217882943E-2</v>
      </c>
      <c r="F4639" s="40">
        <v>39841</v>
      </c>
      <c r="G4639" s="39">
        <v>4518.72</v>
      </c>
      <c r="H4639" s="39">
        <f t="shared" si="449"/>
        <v>3</v>
      </c>
      <c r="I4639" s="39">
        <f t="shared" si="450"/>
        <v>0</v>
      </c>
      <c r="K4639" s="40"/>
      <c r="Q4639" s="40">
        <v>39841</v>
      </c>
      <c r="R4639" s="39">
        <v>4518.72</v>
      </c>
      <c r="S4639" s="39">
        <f t="shared" si="451"/>
        <v>1</v>
      </c>
      <c r="T4639" s="39">
        <f t="shared" si="452"/>
        <v>0</v>
      </c>
      <c r="U4639" s="39">
        <f t="shared" si="453"/>
        <v>0</v>
      </c>
      <c r="V4639" s="40"/>
    </row>
    <row r="4640" spans="2:22" x14ac:dyDescent="0.35">
      <c r="B4640" s="40">
        <v>39842</v>
      </c>
      <c r="C4640" s="39">
        <v>4428.1099999999997</v>
      </c>
      <c r="D4640" s="219">
        <f t="shared" si="454"/>
        <v>-2.0255911445829229E-2</v>
      </c>
      <c r="F4640" s="40">
        <v>39842</v>
      </c>
      <c r="G4640" s="39">
        <v>4428.1099999999997</v>
      </c>
      <c r="H4640" s="39">
        <f t="shared" si="449"/>
        <v>4</v>
      </c>
      <c r="I4640" s="39">
        <f t="shared" si="450"/>
        <v>0</v>
      </c>
      <c r="K4640" s="40"/>
      <c r="Q4640" s="40">
        <v>39842</v>
      </c>
      <c r="R4640" s="39">
        <v>4428.1099999999997</v>
      </c>
      <c r="S4640" s="39">
        <f t="shared" si="451"/>
        <v>1</v>
      </c>
      <c r="T4640" s="39">
        <f t="shared" si="452"/>
        <v>0</v>
      </c>
      <c r="U4640" s="39">
        <f t="shared" si="453"/>
        <v>0</v>
      </c>
      <c r="V4640" s="40"/>
    </row>
    <row r="4641" spans="2:22" x14ac:dyDescent="0.35">
      <c r="B4641" s="40">
        <v>39843</v>
      </c>
      <c r="C4641" s="39">
        <v>4338.3500000000004</v>
      </c>
      <c r="D4641" s="219">
        <f t="shared" si="454"/>
        <v>-2.0478764960790208E-2</v>
      </c>
      <c r="F4641" s="40">
        <v>39843</v>
      </c>
      <c r="G4641" s="39">
        <v>4338.3500000000004</v>
      </c>
      <c r="H4641" s="39">
        <f t="shared" si="449"/>
        <v>5</v>
      </c>
      <c r="I4641" s="39">
        <f t="shared" si="450"/>
        <v>4338.3500000000004</v>
      </c>
      <c r="K4641" s="40"/>
      <c r="Q4641" s="40">
        <v>39843</v>
      </c>
      <c r="R4641" s="39">
        <v>4338.3500000000004</v>
      </c>
      <c r="S4641" s="39">
        <f t="shared" si="451"/>
        <v>1</v>
      </c>
      <c r="T4641" s="39">
        <f t="shared" si="452"/>
        <v>4338.3500000000004</v>
      </c>
      <c r="U4641" s="39">
        <f t="shared" si="453"/>
        <v>4338.3500000000004</v>
      </c>
      <c r="V4641" s="40"/>
    </row>
    <row r="4642" spans="2:22" x14ac:dyDescent="0.35">
      <c r="B4642" s="40">
        <v>39846</v>
      </c>
      <c r="C4642" s="39">
        <v>4271.04</v>
      </c>
      <c r="D4642" s="219">
        <f t="shared" si="454"/>
        <v>-1.5636734188481095E-2</v>
      </c>
      <c r="F4642" s="40">
        <v>39846</v>
      </c>
      <c r="G4642" s="39">
        <v>4271.04</v>
      </c>
      <c r="H4642" s="39">
        <f t="shared" si="449"/>
        <v>1</v>
      </c>
      <c r="I4642" s="39">
        <f t="shared" si="450"/>
        <v>0</v>
      </c>
      <c r="K4642" s="40"/>
      <c r="Q4642" s="40">
        <v>39846</v>
      </c>
      <c r="R4642" s="39">
        <v>4271.04</v>
      </c>
      <c r="S4642" s="39">
        <f t="shared" si="451"/>
        <v>2</v>
      </c>
      <c r="T4642" s="39">
        <f t="shared" si="452"/>
        <v>0</v>
      </c>
      <c r="U4642" s="39">
        <f t="shared" si="453"/>
        <v>0</v>
      </c>
      <c r="V4642" s="40"/>
    </row>
    <row r="4643" spans="2:22" x14ac:dyDescent="0.35">
      <c r="B4643" s="40">
        <v>39847</v>
      </c>
      <c r="C4643" s="39">
        <v>4374.96</v>
      </c>
      <c r="D4643" s="219">
        <f t="shared" si="454"/>
        <v>2.4040019606989125E-2</v>
      </c>
      <c r="F4643" s="40">
        <v>39847</v>
      </c>
      <c r="G4643" s="39">
        <v>4374.96</v>
      </c>
      <c r="H4643" s="39">
        <f t="shared" si="449"/>
        <v>2</v>
      </c>
      <c r="I4643" s="39">
        <f t="shared" si="450"/>
        <v>0</v>
      </c>
      <c r="K4643" s="40"/>
      <c r="Q4643" s="40">
        <v>39847</v>
      </c>
      <c r="R4643" s="39">
        <v>4374.96</v>
      </c>
      <c r="S4643" s="39">
        <f t="shared" si="451"/>
        <v>2</v>
      </c>
      <c r="T4643" s="39">
        <f t="shared" si="452"/>
        <v>0</v>
      </c>
      <c r="U4643" s="39">
        <f t="shared" si="453"/>
        <v>0</v>
      </c>
      <c r="V4643" s="40"/>
    </row>
    <row r="4644" spans="2:22" x14ac:dyDescent="0.35">
      <c r="B4644" s="40">
        <v>39848</v>
      </c>
      <c r="C4644" s="39">
        <v>4492.79</v>
      </c>
      <c r="D4644" s="219">
        <f t="shared" si="454"/>
        <v>2.6576512712708639E-2</v>
      </c>
      <c r="F4644" s="40">
        <v>39848</v>
      </c>
      <c r="G4644" s="39">
        <v>4492.79</v>
      </c>
      <c r="H4644" s="39">
        <f t="shared" si="449"/>
        <v>3</v>
      </c>
      <c r="I4644" s="39">
        <f t="shared" si="450"/>
        <v>0</v>
      </c>
      <c r="K4644" s="40"/>
      <c r="Q4644" s="40">
        <v>39848</v>
      </c>
      <c r="R4644" s="39">
        <v>4492.79</v>
      </c>
      <c r="S4644" s="39">
        <f t="shared" si="451"/>
        <v>2</v>
      </c>
      <c r="T4644" s="39">
        <f t="shared" si="452"/>
        <v>0</v>
      </c>
      <c r="U4644" s="39">
        <f t="shared" si="453"/>
        <v>0</v>
      </c>
      <c r="V4644" s="40"/>
    </row>
    <row r="4645" spans="2:22" x14ac:dyDescent="0.35">
      <c r="B4645" s="40">
        <v>39849</v>
      </c>
      <c r="C4645" s="39">
        <v>4510.49</v>
      </c>
      <c r="D4645" s="219">
        <f t="shared" si="454"/>
        <v>3.9319054396436742E-3</v>
      </c>
      <c r="F4645" s="40">
        <v>39849</v>
      </c>
      <c r="G4645" s="39">
        <v>4510.49</v>
      </c>
      <c r="H4645" s="39">
        <f t="shared" si="449"/>
        <v>4</v>
      </c>
      <c r="I4645" s="39">
        <f t="shared" si="450"/>
        <v>0</v>
      </c>
      <c r="K4645" s="40"/>
      <c r="Q4645" s="40">
        <v>39849</v>
      </c>
      <c r="R4645" s="39">
        <v>4510.49</v>
      </c>
      <c r="S4645" s="39">
        <f t="shared" si="451"/>
        <v>2</v>
      </c>
      <c r="T4645" s="39">
        <f t="shared" si="452"/>
        <v>0</v>
      </c>
      <c r="U4645" s="39">
        <f t="shared" si="453"/>
        <v>0</v>
      </c>
      <c r="V4645" s="40"/>
    </row>
    <row r="4646" spans="2:22" x14ac:dyDescent="0.35">
      <c r="B4646" s="40">
        <v>39850</v>
      </c>
      <c r="C4646" s="39">
        <v>4644.63</v>
      </c>
      <c r="D4646" s="219">
        <f t="shared" si="454"/>
        <v>2.9305918486544159E-2</v>
      </c>
      <c r="F4646" s="40">
        <v>39850</v>
      </c>
      <c r="G4646" s="39">
        <v>4644.63</v>
      </c>
      <c r="H4646" s="39">
        <f t="shared" si="449"/>
        <v>5</v>
      </c>
      <c r="I4646" s="39">
        <f t="shared" si="450"/>
        <v>4644.63</v>
      </c>
      <c r="K4646" s="40"/>
      <c r="Q4646" s="40">
        <v>39850</v>
      </c>
      <c r="R4646" s="39">
        <v>4644.63</v>
      </c>
      <c r="S4646" s="39">
        <f t="shared" si="451"/>
        <v>2</v>
      </c>
      <c r="T4646" s="39">
        <f t="shared" si="452"/>
        <v>0</v>
      </c>
      <c r="U4646" s="39">
        <f t="shared" si="453"/>
        <v>0</v>
      </c>
      <c r="V4646" s="40"/>
    </row>
    <row r="4647" spans="2:22" x14ac:dyDescent="0.35">
      <c r="B4647" s="40">
        <v>39853</v>
      </c>
      <c r="C4647" s="39">
        <v>4666.82</v>
      </c>
      <c r="D4647" s="219">
        <f t="shared" si="454"/>
        <v>4.766184000686703E-3</v>
      </c>
      <c r="F4647" s="40">
        <v>39853</v>
      </c>
      <c r="G4647" s="39">
        <v>4666.82</v>
      </c>
      <c r="H4647" s="39">
        <f t="shared" si="449"/>
        <v>1</v>
      </c>
      <c r="I4647" s="39">
        <f t="shared" si="450"/>
        <v>0</v>
      </c>
      <c r="K4647" s="40"/>
      <c r="Q4647" s="40">
        <v>39853</v>
      </c>
      <c r="R4647" s="39">
        <v>4666.82</v>
      </c>
      <c r="S4647" s="39">
        <f t="shared" si="451"/>
        <v>2</v>
      </c>
      <c r="T4647" s="39">
        <f t="shared" si="452"/>
        <v>0</v>
      </c>
      <c r="U4647" s="39">
        <f t="shared" si="453"/>
        <v>0</v>
      </c>
      <c r="V4647" s="40"/>
    </row>
    <row r="4648" spans="2:22" x14ac:dyDescent="0.35">
      <c r="B4648" s="40">
        <v>39854</v>
      </c>
      <c r="C4648" s="39">
        <v>4505.54</v>
      </c>
      <c r="D4648" s="219">
        <f t="shared" si="454"/>
        <v>-3.5170146858722835E-2</v>
      </c>
      <c r="F4648" s="40">
        <v>39854</v>
      </c>
      <c r="G4648" s="39">
        <v>4505.54</v>
      </c>
      <c r="H4648" s="39">
        <f t="shared" si="449"/>
        <v>2</v>
      </c>
      <c r="I4648" s="39">
        <f t="shared" si="450"/>
        <v>0</v>
      </c>
      <c r="K4648" s="40"/>
      <c r="Q4648" s="40">
        <v>39854</v>
      </c>
      <c r="R4648" s="39">
        <v>4505.54</v>
      </c>
      <c r="S4648" s="39">
        <f t="shared" si="451"/>
        <v>2</v>
      </c>
      <c r="T4648" s="39">
        <f t="shared" si="452"/>
        <v>0</v>
      </c>
      <c r="U4648" s="39">
        <f t="shared" si="453"/>
        <v>0</v>
      </c>
      <c r="V4648" s="40"/>
    </row>
    <row r="4649" spans="2:22" x14ac:dyDescent="0.35">
      <c r="B4649" s="40">
        <v>39855</v>
      </c>
      <c r="C4649" s="39">
        <v>4530.09</v>
      </c>
      <c r="D4649" s="219">
        <f t="shared" si="454"/>
        <v>5.4340561557553631E-3</v>
      </c>
      <c r="F4649" s="40">
        <v>39855</v>
      </c>
      <c r="G4649" s="39">
        <v>4530.09</v>
      </c>
      <c r="H4649" s="39">
        <f t="shared" si="449"/>
        <v>3</v>
      </c>
      <c r="I4649" s="39">
        <f t="shared" si="450"/>
        <v>0</v>
      </c>
      <c r="K4649" s="40"/>
      <c r="Q4649" s="40">
        <v>39855</v>
      </c>
      <c r="R4649" s="39">
        <v>4530.09</v>
      </c>
      <c r="S4649" s="39">
        <f t="shared" si="451"/>
        <v>2</v>
      </c>
      <c r="T4649" s="39">
        <f t="shared" si="452"/>
        <v>0</v>
      </c>
      <c r="U4649" s="39">
        <f t="shared" si="453"/>
        <v>0</v>
      </c>
      <c r="V4649" s="40"/>
    </row>
    <row r="4650" spans="2:22" x14ac:dyDescent="0.35">
      <c r="B4650" s="40">
        <v>39856</v>
      </c>
      <c r="C4650" s="39">
        <v>4407.5600000000004</v>
      </c>
      <c r="D4650" s="219">
        <f t="shared" si="454"/>
        <v>-2.7420558490636883E-2</v>
      </c>
      <c r="F4650" s="40">
        <v>39856</v>
      </c>
      <c r="G4650" s="39">
        <v>4407.5600000000004</v>
      </c>
      <c r="H4650" s="39">
        <f t="shared" si="449"/>
        <v>4</v>
      </c>
      <c r="I4650" s="39">
        <f t="shared" si="450"/>
        <v>0</v>
      </c>
      <c r="K4650" s="40"/>
      <c r="Q4650" s="40">
        <v>39856</v>
      </c>
      <c r="R4650" s="39">
        <v>4407.5600000000004</v>
      </c>
      <c r="S4650" s="39">
        <f t="shared" si="451"/>
        <v>2</v>
      </c>
      <c r="T4650" s="39">
        <f t="shared" si="452"/>
        <v>0</v>
      </c>
      <c r="U4650" s="39">
        <f t="shared" si="453"/>
        <v>0</v>
      </c>
      <c r="V4650" s="40"/>
    </row>
    <row r="4651" spans="2:22" x14ac:dyDescent="0.35">
      <c r="B4651" s="40">
        <v>39857</v>
      </c>
      <c r="C4651" s="39">
        <v>4413.3900000000003</v>
      </c>
      <c r="D4651" s="219">
        <f t="shared" si="454"/>
        <v>1.3218532808584962E-3</v>
      </c>
      <c r="F4651" s="40">
        <v>39857</v>
      </c>
      <c r="G4651" s="39">
        <v>4413.3900000000003</v>
      </c>
      <c r="H4651" s="39">
        <f t="shared" si="449"/>
        <v>5</v>
      </c>
      <c r="I4651" s="39">
        <f t="shared" si="450"/>
        <v>4413.3900000000003</v>
      </c>
      <c r="K4651" s="40"/>
      <c r="Q4651" s="40">
        <v>39857</v>
      </c>
      <c r="R4651" s="39">
        <v>4413.3900000000003</v>
      </c>
      <c r="S4651" s="39">
        <f t="shared" si="451"/>
        <v>2</v>
      </c>
      <c r="T4651" s="39">
        <f t="shared" si="452"/>
        <v>0</v>
      </c>
      <c r="U4651" s="39">
        <f t="shared" si="453"/>
        <v>0</v>
      </c>
      <c r="V4651" s="40"/>
    </row>
    <row r="4652" spans="2:22" x14ac:dyDescent="0.35">
      <c r="B4652" s="40">
        <v>39861</v>
      </c>
      <c r="C4652" s="39">
        <v>4216.6000000000004</v>
      </c>
      <c r="D4652" s="219">
        <f t="shared" si="454"/>
        <v>-4.5613985533720043E-2</v>
      </c>
      <c r="F4652" s="40">
        <v>39861</v>
      </c>
      <c r="G4652" s="39">
        <v>4216.6000000000004</v>
      </c>
      <c r="H4652" s="39">
        <f t="shared" si="449"/>
        <v>2</v>
      </c>
      <c r="I4652" s="39">
        <f t="shared" si="450"/>
        <v>0</v>
      </c>
      <c r="K4652" s="40"/>
      <c r="Q4652" s="40">
        <v>39861</v>
      </c>
      <c r="R4652" s="39">
        <v>4216.6000000000004</v>
      </c>
      <c r="S4652" s="39">
        <f t="shared" si="451"/>
        <v>2</v>
      </c>
      <c r="T4652" s="39">
        <f t="shared" si="452"/>
        <v>0</v>
      </c>
      <c r="U4652" s="39">
        <f t="shared" si="453"/>
        <v>0</v>
      </c>
      <c r="V4652" s="40"/>
    </row>
    <row r="4653" spans="2:22" x14ac:dyDescent="0.35">
      <c r="B4653" s="40">
        <v>39862</v>
      </c>
      <c r="C4653" s="39">
        <v>4204.96</v>
      </c>
      <c r="D4653" s="219">
        <f t="shared" si="454"/>
        <v>-2.7643352092253321E-3</v>
      </c>
      <c r="F4653" s="40">
        <v>39862</v>
      </c>
      <c r="G4653" s="39">
        <v>4204.96</v>
      </c>
      <c r="H4653" s="39">
        <f t="shared" si="449"/>
        <v>3</v>
      </c>
      <c r="I4653" s="39">
        <f t="shared" si="450"/>
        <v>0</v>
      </c>
      <c r="K4653" s="40"/>
      <c r="Q4653" s="40">
        <v>39862</v>
      </c>
      <c r="R4653" s="39">
        <v>4204.96</v>
      </c>
      <c r="S4653" s="39">
        <f t="shared" si="451"/>
        <v>2</v>
      </c>
      <c r="T4653" s="39">
        <f t="shared" si="452"/>
        <v>0</v>
      </c>
      <c r="U4653" s="39">
        <f t="shared" si="453"/>
        <v>0</v>
      </c>
      <c r="V4653" s="40"/>
    </row>
    <row r="4654" spans="2:22" x14ac:dyDescent="0.35">
      <c r="B4654" s="40">
        <v>39863</v>
      </c>
      <c r="C4654" s="39">
        <v>4215.21</v>
      </c>
      <c r="D4654" s="219">
        <f t="shared" si="454"/>
        <v>2.434631382267247E-3</v>
      </c>
      <c r="F4654" s="40">
        <v>39863</v>
      </c>
      <c r="G4654" s="39">
        <v>4215.21</v>
      </c>
      <c r="H4654" s="39">
        <f t="shared" si="449"/>
        <v>4</v>
      </c>
      <c r="I4654" s="39">
        <f t="shared" si="450"/>
        <v>0</v>
      </c>
      <c r="K4654" s="40"/>
      <c r="Q4654" s="40">
        <v>39863</v>
      </c>
      <c r="R4654" s="39">
        <v>4215.21</v>
      </c>
      <c r="S4654" s="39">
        <f t="shared" si="451"/>
        <v>2</v>
      </c>
      <c r="T4654" s="39">
        <f t="shared" si="452"/>
        <v>0</v>
      </c>
      <c r="U4654" s="39">
        <f t="shared" si="453"/>
        <v>0</v>
      </c>
      <c r="V4654" s="40"/>
    </row>
    <row r="4655" spans="2:22" x14ac:dyDescent="0.35">
      <c r="B4655" s="40">
        <v>39864</v>
      </c>
      <c r="C4655" s="39">
        <v>4014.66</v>
      </c>
      <c r="D4655" s="219">
        <f t="shared" si="454"/>
        <v>-4.8746750904680121E-2</v>
      </c>
      <c r="F4655" s="40">
        <v>39864</v>
      </c>
      <c r="G4655" s="39">
        <v>4014.66</v>
      </c>
      <c r="H4655" s="39">
        <f t="shared" si="449"/>
        <v>5</v>
      </c>
      <c r="I4655" s="39">
        <f t="shared" si="450"/>
        <v>4014.66</v>
      </c>
      <c r="K4655" s="40"/>
      <c r="Q4655" s="40">
        <v>39864</v>
      </c>
      <c r="R4655" s="39">
        <v>4014.66</v>
      </c>
      <c r="S4655" s="39">
        <f t="shared" si="451"/>
        <v>2</v>
      </c>
      <c r="T4655" s="39">
        <f t="shared" si="452"/>
        <v>0</v>
      </c>
      <c r="U4655" s="39">
        <f t="shared" si="453"/>
        <v>0</v>
      </c>
      <c r="V4655" s="40"/>
    </row>
    <row r="4656" spans="2:22" x14ac:dyDescent="0.35">
      <c r="B4656" s="40">
        <v>39867</v>
      </c>
      <c r="C4656" s="39">
        <v>3936.45</v>
      </c>
      <c r="D4656" s="219">
        <f t="shared" si="454"/>
        <v>-1.9673359448910847E-2</v>
      </c>
      <c r="F4656" s="40">
        <v>39867</v>
      </c>
      <c r="G4656" s="39">
        <v>3936.45</v>
      </c>
      <c r="H4656" s="39">
        <f t="shared" si="449"/>
        <v>1</v>
      </c>
      <c r="I4656" s="39">
        <f t="shared" si="450"/>
        <v>0</v>
      </c>
      <c r="K4656" s="40"/>
      <c r="Q4656" s="40">
        <v>39867</v>
      </c>
      <c r="R4656" s="39">
        <v>3936.45</v>
      </c>
      <c r="S4656" s="39">
        <f t="shared" si="451"/>
        <v>2</v>
      </c>
      <c r="T4656" s="39">
        <f t="shared" si="452"/>
        <v>0</v>
      </c>
      <c r="U4656" s="39">
        <f t="shared" si="453"/>
        <v>0</v>
      </c>
      <c r="V4656" s="40"/>
    </row>
    <row r="4657" spans="2:22" x14ac:dyDescent="0.35">
      <c r="B4657" s="40">
        <v>39868</v>
      </c>
      <c r="C4657" s="39">
        <v>3895.75</v>
      </c>
      <c r="D4657" s="219">
        <f t="shared" si="454"/>
        <v>-1.0393086579620145E-2</v>
      </c>
      <c r="F4657" s="40">
        <v>39868</v>
      </c>
      <c r="G4657" s="39">
        <v>3895.75</v>
      </c>
      <c r="H4657" s="39">
        <f t="shared" si="449"/>
        <v>2</v>
      </c>
      <c r="I4657" s="39">
        <f t="shared" si="450"/>
        <v>0</v>
      </c>
      <c r="K4657" s="40"/>
      <c r="Q4657" s="40">
        <v>39868</v>
      </c>
      <c r="R4657" s="39">
        <v>3895.75</v>
      </c>
      <c r="S4657" s="39">
        <f t="shared" si="451"/>
        <v>2</v>
      </c>
      <c r="T4657" s="39">
        <f t="shared" si="452"/>
        <v>0</v>
      </c>
      <c r="U4657" s="39">
        <f t="shared" si="453"/>
        <v>0</v>
      </c>
      <c r="V4657" s="40"/>
    </row>
    <row r="4658" spans="2:22" x14ac:dyDescent="0.35">
      <c r="B4658" s="40">
        <v>39869</v>
      </c>
      <c r="C4658" s="39">
        <v>3846.21</v>
      </c>
      <c r="D4658" s="219">
        <f t="shared" si="454"/>
        <v>-1.2797967483556492E-2</v>
      </c>
      <c r="F4658" s="40">
        <v>39869</v>
      </c>
      <c r="G4658" s="39">
        <v>3846.21</v>
      </c>
      <c r="H4658" s="39">
        <f t="shared" si="449"/>
        <v>3</v>
      </c>
      <c r="I4658" s="39">
        <f t="shared" si="450"/>
        <v>0</v>
      </c>
      <c r="K4658" s="40"/>
      <c r="Q4658" s="40">
        <v>39869</v>
      </c>
      <c r="R4658" s="39">
        <v>3846.21</v>
      </c>
      <c r="S4658" s="39">
        <f t="shared" si="451"/>
        <v>2</v>
      </c>
      <c r="T4658" s="39">
        <f t="shared" si="452"/>
        <v>0</v>
      </c>
      <c r="U4658" s="39">
        <f t="shared" si="453"/>
        <v>0</v>
      </c>
      <c r="V4658" s="40"/>
    </row>
    <row r="4659" spans="2:22" x14ac:dyDescent="0.35">
      <c r="B4659" s="40">
        <v>39870</v>
      </c>
      <c r="C4659" s="39">
        <v>3942.62</v>
      </c>
      <c r="D4659" s="219">
        <f t="shared" si="454"/>
        <v>2.475722907144565E-2</v>
      </c>
      <c r="F4659" s="40">
        <v>39870</v>
      </c>
      <c r="G4659" s="39">
        <v>3942.62</v>
      </c>
      <c r="H4659" s="39">
        <f t="shared" si="449"/>
        <v>4</v>
      </c>
      <c r="I4659" s="39">
        <f t="shared" si="450"/>
        <v>0</v>
      </c>
      <c r="K4659" s="40"/>
      <c r="Q4659" s="40">
        <v>39870</v>
      </c>
      <c r="R4659" s="39">
        <v>3942.62</v>
      </c>
      <c r="S4659" s="39">
        <f t="shared" si="451"/>
        <v>2</v>
      </c>
      <c r="T4659" s="39">
        <f t="shared" si="452"/>
        <v>0</v>
      </c>
      <c r="U4659" s="39">
        <f t="shared" si="453"/>
        <v>0</v>
      </c>
      <c r="V4659" s="40"/>
    </row>
    <row r="4660" spans="2:22" x14ac:dyDescent="0.35">
      <c r="B4660" s="40">
        <v>39871</v>
      </c>
      <c r="C4660" s="39">
        <v>3843.74</v>
      </c>
      <c r="D4660" s="219">
        <f t="shared" si="454"/>
        <v>-2.5399625988185671E-2</v>
      </c>
      <c r="F4660" s="40">
        <v>39871</v>
      </c>
      <c r="G4660" s="39">
        <v>3843.74</v>
      </c>
      <c r="H4660" s="39">
        <f t="shared" si="449"/>
        <v>5</v>
      </c>
      <c r="I4660" s="39">
        <f t="shared" si="450"/>
        <v>3843.74</v>
      </c>
      <c r="K4660" s="40"/>
      <c r="Q4660" s="40">
        <v>39871</v>
      </c>
      <c r="R4660" s="39">
        <v>3843.74</v>
      </c>
      <c r="S4660" s="39">
        <f t="shared" si="451"/>
        <v>2</v>
      </c>
      <c r="T4660" s="39">
        <f t="shared" si="452"/>
        <v>3843.74</v>
      </c>
      <c r="U4660" s="39">
        <f t="shared" si="453"/>
        <v>3843.74</v>
      </c>
      <c r="V4660" s="40"/>
    </row>
    <row r="4661" spans="2:22" x14ac:dyDescent="0.35">
      <c r="B4661" s="40">
        <v>39874</v>
      </c>
      <c r="C4661" s="39">
        <v>3710.07</v>
      </c>
      <c r="D4661" s="219">
        <f t="shared" si="454"/>
        <v>-3.5395106577415271E-2</v>
      </c>
      <c r="F4661" s="40">
        <v>39874</v>
      </c>
      <c r="G4661" s="39">
        <v>3710.07</v>
      </c>
      <c r="H4661" s="39">
        <f t="shared" si="449"/>
        <v>1</v>
      </c>
      <c r="I4661" s="39">
        <f t="shared" si="450"/>
        <v>0</v>
      </c>
      <c r="K4661" s="40"/>
      <c r="Q4661" s="40">
        <v>39874</v>
      </c>
      <c r="R4661" s="39">
        <v>3710.07</v>
      </c>
      <c r="S4661" s="39">
        <f t="shared" si="451"/>
        <v>3</v>
      </c>
      <c r="T4661" s="39">
        <f t="shared" si="452"/>
        <v>0</v>
      </c>
      <c r="U4661" s="39">
        <f t="shared" si="453"/>
        <v>0</v>
      </c>
      <c r="V4661" s="40"/>
    </row>
    <row r="4662" spans="2:22" x14ac:dyDescent="0.35">
      <c r="B4662" s="40">
        <v>39875</v>
      </c>
      <c r="C4662" s="39">
        <v>3690.72</v>
      </c>
      <c r="D4662" s="219">
        <f t="shared" si="454"/>
        <v>-5.229183396031757E-3</v>
      </c>
      <c r="F4662" s="40">
        <v>39875</v>
      </c>
      <c r="G4662" s="39">
        <v>3690.72</v>
      </c>
      <c r="H4662" s="39">
        <f t="shared" si="449"/>
        <v>2</v>
      </c>
      <c r="I4662" s="39">
        <f t="shared" si="450"/>
        <v>0</v>
      </c>
      <c r="K4662" s="40"/>
      <c r="Q4662" s="40">
        <v>39875</v>
      </c>
      <c r="R4662" s="39">
        <v>3690.72</v>
      </c>
      <c r="S4662" s="39">
        <f t="shared" si="451"/>
        <v>3</v>
      </c>
      <c r="T4662" s="39">
        <f t="shared" si="452"/>
        <v>0</v>
      </c>
      <c r="U4662" s="39">
        <f t="shared" si="453"/>
        <v>0</v>
      </c>
      <c r="V4662" s="40"/>
    </row>
    <row r="4663" spans="2:22" x14ac:dyDescent="0.35">
      <c r="B4663" s="40">
        <v>39876</v>
      </c>
      <c r="C4663" s="39">
        <v>3890.94</v>
      </c>
      <c r="D4663" s="219">
        <f t="shared" si="454"/>
        <v>5.2829212713218214E-2</v>
      </c>
      <c r="F4663" s="40">
        <v>39876</v>
      </c>
      <c r="G4663" s="39">
        <v>3890.94</v>
      </c>
      <c r="H4663" s="39">
        <f t="shared" ref="H4663:H4726" si="455">WEEKDAY(F4663,2)</f>
        <v>3</v>
      </c>
      <c r="I4663" s="39">
        <f t="shared" ref="I4663:I4726" si="456">IF(H4663&gt;H4664,G4663,0)</f>
        <v>0</v>
      </c>
      <c r="K4663" s="40"/>
      <c r="Q4663" s="40">
        <v>39876</v>
      </c>
      <c r="R4663" s="39">
        <v>3890.94</v>
      </c>
      <c r="S4663" s="39">
        <f t="shared" ref="S4663:S4726" si="457">MONTH(Q4663)</f>
        <v>3</v>
      </c>
      <c r="T4663" s="39">
        <f t="shared" ref="T4663:T4726" si="458">IF(S4664&lt;&gt;S4663,R4663,0)</f>
        <v>0</v>
      </c>
      <c r="U4663" s="39">
        <f t="shared" ref="U4663:U4726" si="459">IF(S4664=S4663,0,R4663)</f>
        <v>0</v>
      </c>
      <c r="V4663" s="40"/>
    </row>
    <row r="4664" spans="2:22" x14ac:dyDescent="0.35">
      <c r="B4664" s="40">
        <v>39877</v>
      </c>
      <c r="C4664" s="39">
        <v>3695.49</v>
      </c>
      <c r="D4664" s="219">
        <f t="shared" ref="D4664:D4727" si="460">LN(C4664/C4663)</f>
        <v>-5.1537616437694465E-2</v>
      </c>
      <c r="F4664" s="40">
        <v>39877</v>
      </c>
      <c r="G4664" s="39">
        <v>3695.49</v>
      </c>
      <c r="H4664" s="39">
        <f t="shared" si="455"/>
        <v>4</v>
      </c>
      <c r="I4664" s="39">
        <f t="shared" si="456"/>
        <v>0</v>
      </c>
      <c r="K4664" s="40"/>
      <c r="Q4664" s="40">
        <v>39877</v>
      </c>
      <c r="R4664" s="39">
        <v>3695.49</v>
      </c>
      <c r="S4664" s="39">
        <f t="shared" si="457"/>
        <v>3</v>
      </c>
      <c r="T4664" s="39">
        <f t="shared" si="458"/>
        <v>0</v>
      </c>
      <c r="U4664" s="39">
        <f t="shared" si="459"/>
        <v>0</v>
      </c>
      <c r="V4664" s="40"/>
    </row>
    <row r="4665" spans="2:22" x14ac:dyDescent="0.35">
      <c r="B4665" s="40">
        <v>39878</v>
      </c>
      <c r="C4665" s="39">
        <v>3666.41</v>
      </c>
      <c r="D4665" s="219">
        <f t="shared" si="460"/>
        <v>-7.9001755652203902E-3</v>
      </c>
      <c r="F4665" s="40">
        <v>39878</v>
      </c>
      <c r="G4665" s="39">
        <v>3666.41</v>
      </c>
      <c r="H4665" s="39">
        <f t="shared" si="455"/>
        <v>5</v>
      </c>
      <c r="I4665" s="39">
        <f t="shared" si="456"/>
        <v>3666.41</v>
      </c>
      <c r="K4665" s="40"/>
      <c r="Q4665" s="40">
        <v>39878</v>
      </c>
      <c r="R4665" s="39">
        <v>3666.41</v>
      </c>
      <c r="S4665" s="39">
        <f t="shared" si="457"/>
        <v>3</v>
      </c>
      <c r="T4665" s="39">
        <f t="shared" si="458"/>
        <v>0</v>
      </c>
      <c r="U4665" s="39">
        <f t="shared" si="459"/>
        <v>0</v>
      </c>
      <c r="V4665" s="40"/>
    </row>
    <row r="4666" spans="2:22" x14ac:dyDescent="0.35">
      <c r="B4666" s="40">
        <v>39881</v>
      </c>
      <c r="C4666" s="39">
        <v>3692.03</v>
      </c>
      <c r="D4666" s="219">
        <f t="shared" si="460"/>
        <v>6.9634606045859589E-3</v>
      </c>
      <c r="F4666" s="40">
        <v>39881</v>
      </c>
      <c r="G4666" s="39">
        <v>3692.03</v>
      </c>
      <c r="H4666" s="39">
        <f t="shared" si="455"/>
        <v>1</v>
      </c>
      <c r="I4666" s="39">
        <f t="shared" si="456"/>
        <v>0</v>
      </c>
      <c r="K4666" s="40"/>
      <c r="Q4666" s="40">
        <v>39881</v>
      </c>
      <c r="R4666" s="39">
        <v>3692.03</v>
      </c>
      <c r="S4666" s="39">
        <f t="shared" si="457"/>
        <v>3</v>
      </c>
      <c r="T4666" s="39">
        <f t="shared" si="458"/>
        <v>0</v>
      </c>
      <c r="U4666" s="39">
        <f t="shared" si="459"/>
        <v>0</v>
      </c>
      <c r="V4666" s="40"/>
    </row>
    <row r="4667" spans="2:22" x14ac:dyDescent="0.35">
      <c r="B4667" s="40">
        <v>39882</v>
      </c>
      <c r="C4667" s="39">
        <v>3886.98</v>
      </c>
      <c r="D4667" s="219">
        <f t="shared" si="460"/>
        <v>5.1456064215800332E-2</v>
      </c>
      <c r="F4667" s="40">
        <v>39882</v>
      </c>
      <c r="G4667" s="39">
        <v>3886.98</v>
      </c>
      <c r="H4667" s="39">
        <f t="shared" si="455"/>
        <v>2</v>
      </c>
      <c r="I4667" s="39">
        <f t="shared" si="456"/>
        <v>0</v>
      </c>
      <c r="K4667" s="40"/>
      <c r="Q4667" s="40">
        <v>39882</v>
      </c>
      <c r="R4667" s="39">
        <v>3886.98</v>
      </c>
      <c r="S4667" s="39">
        <f t="shared" si="457"/>
        <v>3</v>
      </c>
      <c r="T4667" s="39">
        <f t="shared" si="458"/>
        <v>0</v>
      </c>
      <c r="U4667" s="39">
        <f t="shared" si="459"/>
        <v>0</v>
      </c>
      <c r="V4667" s="40"/>
    </row>
    <row r="4668" spans="2:22" x14ac:dyDescent="0.35">
      <c r="B4668" s="40">
        <v>39883</v>
      </c>
      <c r="C4668" s="39">
        <v>3914.1</v>
      </c>
      <c r="D4668" s="219">
        <f t="shared" si="460"/>
        <v>6.9529114571421306E-3</v>
      </c>
      <c r="F4668" s="40">
        <v>39883</v>
      </c>
      <c r="G4668" s="39">
        <v>3914.1</v>
      </c>
      <c r="H4668" s="39">
        <f t="shared" si="455"/>
        <v>3</v>
      </c>
      <c r="I4668" s="39">
        <f t="shared" si="456"/>
        <v>0</v>
      </c>
      <c r="K4668" s="40"/>
      <c r="Q4668" s="40">
        <v>39883</v>
      </c>
      <c r="R4668" s="39">
        <v>3914.1</v>
      </c>
      <c r="S4668" s="39">
        <f t="shared" si="457"/>
        <v>3</v>
      </c>
      <c r="T4668" s="39">
        <f t="shared" si="458"/>
        <v>0</v>
      </c>
      <c r="U4668" s="39">
        <f t="shared" si="459"/>
        <v>0</v>
      </c>
      <c r="V4668" s="40"/>
    </row>
    <row r="4669" spans="2:22" x14ac:dyDescent="0.35">
      <c r="B4669" s="40">
        <v>39884</v>
      </c>
      <c r="C4669" s="39">
        <v>3956.22</v>
      </c>
      <c r="D4669" s="219">
        <f t="shared" si="460"/>
        <v>1.0703605985534995E-2</v>
      </c>
      <c r="F4669" s="40">
        <v>39884</v>
      </c>
      <c r="G4669" s="39">
        <v>3956.22</v>
      </c>
      <c r="H4669" s="39">
        <f t="shared" si="455"/>
        <v>4</v>
      </c>
      <c r="I4669" s="39">
        <f t="shared" si="456"/>
        <v>0</v>
      </c>
      <c r="K4669" s="40"/>
      <c r="Q4669" s="40">
        <v>39884</v>
      </c>
      <c r="R4669" s="39">
        <v>3956.22</v>
      </c>
      <c r="S4669" s="39">
        <f t="shared" si="457"/>
        <v>3</v>
      </c>
      <c r="T4669" s="39">
        <f t="shared" si="458"/>
        <v>0</v>
      </c>
      <c r="U4669" s="39">
        <f t="shared" si="459"/>
        <v>0</v>
      </c>
      <c r="V4669" s="40"/>
    </row>
    <row r="4670" spans="2:22" x14ac:dyDescent="0.35">
      <c r="B4670" s="40">
        <v>39885</v>
      </c>
      <c r="C4670" s="39">
        <v>3953.6</v>
      </c>
      <c r="D4670" s="219">
        <f t="shared" si="460"/>
        <v>-6.6246769100145638E-4</v>
      </c>
      <c r="F4670" s="40">
        <v>39885</v>
      </c>
      <c r="G4670" s="39">
        <v>3953.6</v>
      </c>
      <c r="H4670" s="39">
        <f t="shared" si="455"/>
        <v>5</v>
      </c>
      <c r="I4670" s="39">
        <f t="shared" si="456"/>
        <v>3953.6</v>
      </c>
      <c r="K4670" s="40"/>
      <c r="Q4670" s="40">
        <v>39885</v>
      </c>
      <c r="R4670" s="39">
        <v>3953.6</v>
      </c>
      <c r="S4670" s="39">
        <f t="shared" si="457"/>
        <v>3</v>
      </c>
      <c r="T4670" s="39">
        <f t="shared" si="458"/>
        <v>0</v>
      </c>
      <c r="U4670" s="39">
        <f t="shared" si="459"/>
        <v>0</v>
      </c>
      <c r="V4670" s="40"/>
    </row>
    <row r="4671" spans="2:22" x14ac:dyDescent="0.35">
      <c r="B4671" s="40">
        <v>39888</v>
      </c>
      <c r="C4671" s="39">
        <v>4044.54</v>
      </c>
      <c r="D4671" s="219">
        <f t="shared" si="460"/>
        <v>2.2741267148795104E-2</v>
      </c>
      <c r="F4671" s="40">
        <v>39888</v>
      </c>
      <c r="G4671" s="39">
        <v>4044.54</v>
      </c>
      <c r="H4671" s="39">
        <f t="shared" si="455"/>
        <v>1</v>
      </c>
      <c r="I4671" s="39">
        <f t="shared" si="456"/>
        <v>0</v>
      </c>
      <c r="K4671" s="40"/>
      <c r="Q4671" s="40">
        <v>39888</v>
      </c>
      <c r="R4671" s="39">
        <v>4044.54</v>
      </c>
      <c r="S4671" s="39">
        <f t="shared" si="457"/>
        <v>3</v>
      </c>
      <c r="T4671" s="39">
        <f t="shared" si="458"/>
        <v>0</v>
      </c>
      <c r="U4671" s="39">
        <f t="shared" si="459"/>
        <v>0</v>
      </c>
      <c r="V4671" s="40"/>
    </row>
    <row r="4672" spans="2:22" x14ac:dyDescent="0.35">
      <c r="B4672" s="40">
        <v>39889</v>
      </c>
      <c r="C4672" s="39">
        <v>3987.77</v>
      </c>
      <c r="D4672" s="219">
        <f t="shared" si="460"/>
        <v>-1.4135645983621402E-2</v>
      </c>
      <c r="F4672" s="40">
        <v>39889</v>
      </c>
      <c r="G4672" s="39">
        <v>3987.77</v>
      </c>
      <c r="H4672" s="39">
        <f t="shared" si="455"/>
        <v>2</v>
      </c>
      <c r="I4672" s="39">
        <f t="shared" si="456"/>
        <v>0</v>
      </c>
      <c r="K4672" s="40"/>
      <c r="Q4672" s="40">
        <v>39889</v>
      </c>
      <c r="R4672" s="39">
        <v>3987.77</v>
      </c>
      <c r="S4672" s="39">
        <f t="shared" si="457"/>
        <v>3</v>
      </c>
      <c r="T4672" s="39">
        <f t="shared" si="458"/>
        <v>0</v>
      </c>
      <c r="U4672" s="39">
        <f t="shared" si="459"/>
        <v>0</v>
      </c>
      <c r="V4672" s="40"/>
    </row>
    <row r="4673" spans="2:22" x14ac:dyDescent="0.35">
      <c r="B4673" s="40">
        <v>39890</v>
      </c>
      <c r="C4673" s="39">
        <v>3996.32</v>
      </c>
      <c r="D4673" s="219">
        <f t="shared" si="460"/>
        <v>2.1417602427666548E-3</v>
      </c>
      <c r="F4673" s="40">
        <v>39890</v>
      </c>
      <c r="G4673" s="39">
        <v>3996.32</v>
      </c>
      <c r="H4673" s="39">
        <f t="shared" si="455"/>
        <v>3</v>
      </c>
      <c r="I4673" s="39">
        <f t="shared" si="456"/>
        <v>0</v>
      </c>
      <c r="K4673" s="40"/>
      <c r="Q4673" s="40">
        <v>39890</v>
      </c>
      <c r="R4673" s="39">
        <v>3996.32</v>
      </c>
      <c r="S4673" s="39">
        <f t="shared" si="457"/>
        <v>3</v>
      </c>
      <c r="T4673" s="39">
        <f t="shared" si="458"/>
        <v>0</v>
      </c>
      <c r="U4673" s="39">
        <f t="shared" si="459"/>
        <v>0</v>
      </c>
      <c r="V4673" s="40"/>
    </row>
    <row r="4674" spans="2:22" x14ac:dyDescent="0.35">
      <c r="B4674" s="40">
        <v>39891</v>
      </c>
      <c r="C4674" s="39">
        <v>4043.46</v>
      </c>
      <c r="D4674" s="219">
        <f t="shared" si="460"/>
        <v>1.1726823424727594E-2</v>
      </c>
      <c r="F4674" s="40">
        <v>39891</v>
      </c>
      <c r="G4674" s="39">
        <v>4043.46</v>
      </c>
      <c r="H4674" s="39">
        <f t="shared" si="455"/>
        <v>4</v>
      </c>
      <c r="I4674" s="39">
        <f t="shared" si="456"/>
        <v>0</v>
      </c>
      <c r="K4674" s="40"/>
      <c r="Q4674" s="40">
        <v>39891</v>
      </c>
      <c r="R4674" s="39">
        <v>4043.46</v>
      </c>
      <c r="S4674" s="39">
        <f t="shared" si="457"/>
        <v>3</v>
      </c>
      <c r="T4674" s="39">
        <f t="shared" si="458"/>
        <v>0</v>
      </c>
      <c r="U4674" s="39">
        <f t="shared" si="459"/>
        <v>0</v>
      </c>
      <c r="V4674" s="40"/>
    </row>
    <row r="4675" spans="2:22" x14ac:dyDescent="0.35">
      <c r="B4675" s="40">
        <v>39892</v>
      </c>
      <c r="C4675" s="39">
        <v>4068.74</v>
      </c>
      <c r="D4675" s="219">
        <f t="shared" si="460"/>
        <v>6.2326081295492565E-3</v>
      </c>
      <c r="F4675" s="40">
        <v>39892</v>
      </c>
      <c r="G4675" s="39">
        <v>4068.74</v>
      </c>
      <c r="H4675" s="39">
        <f t="shared" si="455"/>
        <v>5</v>
      </c>
      <c r="I4675" s="39">
        <f t="shared" si="456"/>
        <v>4068.74</v>
      </c>
      <c r="K4675" s="40"/>
      <c r="Q4675" s="40">
        <v>39892</v>
      </c>
      <c r="R4675" s="39">
        <v>4068.74</v>
      </c>
      <c r="S4675" s="39">
        <f t="shared" si="457"/>
        <v>3</v>
      </c>
      <c r="T4675" s="39">
        <f t="shared" si="458"/>
        <v>0</v>
      </c>
      <c r="U4675" s="39">
        <f t="shared" si="459"/>
        <v>0</v>
      </c>
      <c r="V4675" s="40"/>
    </row>
    <row r="4676" spans="2:22" x14ac:dyDescent="0.35">
      <c r="B4676" s="40">
        <v>39895</v>
      </c>
      <c r="C4676" s="39">
        <v>4176.37</v>
      </c>
      <c r="D4676" s="219">
        <f t="shared" si="460"/>
        <v>2.6109078973595157E-2</v>
      </c>
      <c r="F4676" s="40">
        <v>39895</v>
      </c>
      <c r="G4676" s="39">
        <v>4176.37</v>
      </c>
      <c r="H4676" s="39">
        <f t="shared" si="455"/>
        <v>1</v>
      </c>
      <c r="I4676" s="39">
        <f t="shared" si="456"/>
        <v>0</v>
      </c>
      <c r="K4676" s="40"/>
      <c r="Q4676" s="40">
        <v>39895</v>
      </c>
      <c r="R4676" s="39">
        <v>4176.37</v>
      </c>
      <c r="S4676" s="39">
        <f t="shared" si="457"/>
        <v>3</v>
      </c>
      <c r="T4676" s="39">
        <f t="shared" si="458"/>
        <v>0</v>
      </c>
      <c r="U4676" s="39">
        <f t="shared" si="459"/>
        <v>0</v>
      </c>
      <c r="V4676" s="40"/>
    </row>
    <row r="4677" spans="2:22" x14ac:dyDescent="0.35">
      <c r="B4677" s="40">
        <v>39896</v>
      </c>
      <c r="C4677" s="39">
        <v>4187.3599999999997</v>
      </c>
      <c r="D4677" s="219">
        <f t="shared" si="460"/>
        <v>2.6280155684534666E-3</v>
      </c>
      <c r="F4677" s="40">
        <v>39896</v>
      </c>
      <c r="G4677" s="39">
        <v>4187.3599999999997</v>
      </c>
      <c r="H4677" s="39">
        <f t="shared" si="455"/>
        <v>2</v>
      </c>
      <c r="I4677" s="39">
        <f t="shared" si="456"/>
        <v>0</v>
      </c>
      <c r="K4677" s="40"/>
      <c r="Q4677" s="40">
        <v>39896</v>
      </c>
      <c r="R4677" s="39">
        <v>4187.3599999999997</v>
      </c>
      <c r="S4677" s="39">
        <f t="shared" si="457"/>
        <v>3</v>
      </c>
      <c r="T4677" s="39">
        <f t="shared" si="458"/>
        <v>0</v>
      </c>
      <c r="U4677" s="39">
        <f t="shared" si="459"/>
        <v>0</v>
      </c>
      <c r="V4677" s="40"/>
    </row>
    <row r="4678" spans="2:22" x14ac:dyDescent="0.35">
      <c r="B4678" s="40">
        <v>39897</v>
      </c>
      <c r="C4678" s="39">
        <v>4223.29</v>
      </c>
      <c r="D4678" s="219">
        <f t="shared" si="460"/>
        <v>8.543981398050687E-3</v>
      </c>
      <c r="F4678" s="40">
        <v>39897</v>
      </c>
      <c r="G4678" s="39">
        <v>4223.29</v>
      </c>
      <c r="H4678" s="39">
        <f t="shared" si="455"/>
        <v>3</v>
      </c>
      <c r="I4678" s="39">
        <f t="shared" si="456"/>
        <v>0</v>
      </c>
      <c r="K4678" s="40"/>
      <c r="Q4678" s="40">
        <v>39897</v>
      </c>
      <c r="R4678" s="39">
        <v>4223.29</v>
      </c>
      <c r="S4678" s="39">
        <f t="shared" si="457"/>
        <v>3</v>
      </c>
      <c r="T4678" s="39">
        <f t="shared" si="458"/>
        <v>0</v>
      </c>
      <c r="U4678" s="39">
        <f t="shared" si="459"/>
        <v>0</v>
      </c>
      <c r="V4678" s="40"/>
    </row>
    <row r="4679" spans="2:22" x14ac:dyDescent="0.35">
      <c r="B4679" s="40">
        <v>39898</v>
      </c>
      <c r="C4679" s="39">
        <v>4259.37</v>
      </c>
      <c r="D4679" s="219">
        <f t="shared" si="460"/>
        <v>8.5068168664018898E-3</v>
      </c>
      <c r="F4679" s="40">
        <v>39898</v>
      </c>
      <c r="G4679" s="39">
        <v>4259.37</v>
      </c>
      <c r="H4679" s="39">
        <f t="shared" si="455"/>
        <v>4</v>
      </c>
      <c r="I4679" s="39">
        <f t="shared" si="456"/>
        <v>0</v>
      </c>
      <c r="K4679" s="40"/>
      <c r="Q4679" s="40">
        <v>39898</v>
      </c>
      <c r="R4679" s="39">
        <v>4259.37</v>
      </c>
      <c r="S4679" s="39">
        <f t="shared" si="457"/>
        <v>3</v>
      </c>
      <c r="T4679" s="39">
        <f t="shared" si="458"/>
        <v>0</v>
      </c>
      <c r="U4679" s="39">
        <f t="shared" si="459"/>
        <v>0</v>
      </c>
      <c r="V4679" s="40"/>
    </row>
    <row r="4680" spans="2:22" x14ac:dyDescent="0.35">
      <c r="B4680" s="40">
        <v>39899</v>
      </c>
      <c r="C4680" s="39">
        <v>4203.55</v>
      </c>
      <c r="D4680" s="219">
        <f t="shared" si="460"/>
        <v>-1.31918556489253E-2</v>
      </c>
      <c r="F4680" s="40">
        <v>39899</v>
      </c>
      <c r="G4680" s="39">
        <v>4203.55</v>
      </c>
      <c r="H4680" s="39">
        <f t="shared" si="455"/>
        <v>5</v>
      </c>
      <c r="I4680" s="39">
        <f t="shared" si="456"/>
        <v>4203.55</v>
      </c>
      <c r="K4680" s="40"/>
      <c r="Q4680" s="40">
        <v>39899</v>
      </c>
      <c r="R4680" s="39">
        <v>4203.55</v>
      </c>
      <c r="S4680" s="39">
        <f t="shared" si="457"/>
        <v>3</v>
      </c>
      <c r="T4680" s="39">
        <f t="shared" si="458"/>
        <v>0</v>
      </c>
      <c r="U4680" s="39">
        <f t="shared" si="459"/>
        <v>0</v>
      </c>
      <c r="V4680" s="40"/>
    </row>
    <row r="4681" spans="2:22" x14ac:dyDescent="0.35">
      <c r="B4681" s="40">
        <v>39902</v>
      </c>
      <c r="C4681" s="39">
        <v>3989.23</v>
      </c>
      <c r="D4681" s="219">
        <f t="shared" si="460"/>
        <v>-5.2331176549879954E-2</v>
      </c>
      <c r="F4681" s="40">
        <v>39902</v>
      </c>
      <c r="G4681" s="39">
        <v>3989.23</v>
      </c>
      <c r="H4681" s="39">
        <f t="shared" si="455"/>
        <v>1</v>
      </c>
      <c r="I4681" s="39">
        <f t="shared" si="456"/>
        <v>0</v>
      </c>
      <c r="K4681" s="40"/>
      <c r="Q4681" s="40">
        <v>39902</v>
      </c>
      <c r="R4681" s="39">
        <v>3989.23</v>
      </c>
      <c r="S4681" s="39">
        <f t="shared" si="457"/>
        <v>3</v>
      </c>
      <c r="T4681" s="39">
        <f t="shared" si="458"/>
        <v>0</v>
      </c>
      <c r="U4681" s="39">
        <f t="shared" si="459"/>
        <v>0</v>
      </c>
      <c r="V4681" s="40"/>
    </row>
    <row r="4682" spans="2:22" x14ac:dyDescent="0.35">
      <c r="B4682" s="40">
        <v>39903</v>
      </c>
      <c r="C4682" s="39">
        <v>4084.76</v>
      </c>
      <c r="D4682" s="219">
        <f t="shared" si="460"/>
        <v>2.3664745233918354E-2</v>
      </c>
      <c r="F4682" s="40">
        <v>39903</v>
      </c>
      <c r="G4682" s="39">
        <v>4084.76</v>
      </c>
      <c r="H4682" s="39">
        <f t="shared" si="455"/>
        <v>2</v>
      </c>
      <c r="I4682" s="39">
        <f t="shared" si="456"/>
        <v>0</v>
      </c>
      <c r="K4682" s="40"/>
      <c r="Q4682" s="40">
        <v>39903</v>
      </c>
      <c r="R4682" s="39">
        <v>4084.76</v>
      </c>
      <c r="S4682" s="39">
        <f t="shared" si="457"/>
        <v>3</v>
      </c>
      <c r="T4682" s="39">
        <f t="shared" si="458"/>
        <v>4084.76</v>
      </c>
      <c r="U4682" s="39">
        <f t="shared" si="459"/>
        <v>4084.76</v>
      </c>
      <c r="V4682" s="40"/>
    </row>
    <row r="4683" spans="2:22" x14ac:dyDescent="0.35">
      <c r="B4683" s="40">
        <v>39904</v>
      </c>
      <c r="C4683" s="39">
        <v>4131.07</v>
      </c>
      <c r="D4683" s="219">
        <f t="shared" si="460"/>
        <v>1.1273478264646704E-2</v>
      </c>
      <c r="F4683" s="40">
        <v>39904</v>
      </c>
      <c r="G4683" s="39">
        <v>4131.07</v>
      </c>
      <c r="H4683" s="39">
        <f t="shared" si="455"/>
        <v>3</v>
      </c>
      <c r="I4683" s="39">
        <f t="shared" si="456"/>
        <v>0</v>
      </c>
      <c r="K4683" s="40"/>
      <c r="Q4683" s="40">
        <v>39904</v>
      </c>
      <c r="R4683" s="39">
        <v>4131.07</v>
      </c>
      <c r="S4683" s="39">
        <f t="shared" si="457"/>
        <v>4</v>
      </c>
      <c r="T4683" s="39">
        <f t="shared" si="458"/>
        <v>0</v>
      </c>
      <c r="U4683" s="39">
        <f t="shared" si="459"/>
        <v>0</v>
      </c>
      <c r="V4683" s="40"/>
    </row>
    <row r="4684" spans="2:22" x14ac:dyDescent="0.35">
      <c r="B4684" s="40">
        <v>39905</v>
      </c>
      <c r="C4684" s="39">
        <v>4381.92</v>
      </c>
      <c r="D4684" s="219">
        <f t="shared" si="460"/>
        <v>5.8950531182056884E-2</v>
      </c>
      <c r="F4684" s="40">
        <v>39905</v>
      </c>
      <c r="G4684" s="39">
        <v>4381.92</v>
      </c>
      <c r="H4684" s="39">
        <f t="shared" si="455"/>
        <v>4</v>
      </c>
      <c r="I4684" s="39">
        <f t="shared" si="456"/>
        <v>0</v>
      </c>
      <c r="K4684" s="40"/>
      <c r="Q4684" s="40">
        <v>39905</v>
      </c>
      <c r="R4684" s="39">
        <v>4381.92</v>
      </c>
      <c r="S4684" s="39">
        <f t="shared" si="457"/>
        <v>4</v>
      </c>
      <c r="T4684" s="39">
        <f t="shared" si="458"/>
        <v>0</v>
      </c>
      <c r="U4684" s="39">
        <f t="shared" si="459"/>
        <v>0</v>
      </c>
      <c r="V4684" s="40"/>
    </row>
    <row r="4685" spans="2:22" x14ac:dyDescent="0.35">
      <c r="B4685" s="40">
        <v>39906</v>
      </c>
      <c r="C4685" s="39">
        <v>4384.99</v>
      </c>
      <c r="D4685" s="219">
        <f t="shared" si="460"/>
        <v>7.003608170923208E-4</v>
      </c>
      <c r="F4685" s="40">
        <v>39906</v>
      </c>
      <c r="G4685" s="39">
        <v>4384.99</v>
      </c>
      <c r="H4685" s="39">
        <f t="shared" si="455"/>
        <v>5</v>
      </c>
      <c r="I4685" s="39">
        <f t="shared" si="456"/>
        <v>4384.99</v>
      </c>
      <c r="K4685" s="40"/>
      <c r="Q4685" s="40">
        <v>39906</v>
      </c>
      <c r="R4685" s="39">
        <v>4384.99</v>
      </c>
      <c r="S4685" s="39">
        <f t="shared" si="457"/>
        <v>4</v>
      </c>
      <c r="T4685" s="39">
        <f t="shared" si="458"/>
        <v>0</v>
      </c>
      <c r="U4685" s="39">
        <f t="shared" si="459"/>
        <v>0</v>
      </c>
      <c r="V4685" s="40"/>
    </row>
    <row r="4686" spans="2:22" x14ac:dyDescent="0.35">
      <c r="B4686" s="40">
        <v>39909</v>
      </c>
      <c r="C4686" s="39">
        <v>4349.8100000000004</v>
      </c>
      <c r="D4686" s="219">
        <f t="shared" si="460"/>
        <v>-8.0551793340809998E-3</v>
      </c>
      <c r="F4686" s="40">
        <v>39909</v>
      </c>
      <c r="G4686" s="39">
        <v>4349.8100000000004</v>
      </c>
      <c r="H4686" s="39">
        <f t="shared" si="455"/>
        <v>1</v>
      </c>
      <c r="I4686" s="39">
        <f t="shared" si="456"/>
        <v>0</v>
      </c>
      <c r="K4686" s="40"/>
      <c r="Q4686" s="40">
        <v>39909</v>
      </c>
      <c r="R4686" s="39">
        <v>4349.8100000000004</v>
      </c>
      <c r="S4686" s="39">
        <f t="shared" si="457"/>
        <v>4</v>
      </c>
      <c r="T4686" s="39">
        <f t="shared" si="458"/>
        <v>0</v>
      </c>
      <c r="U4686" s="39">
        <f t="shared" si="459"/>
        <v>0</v>
      </c>
      <c r="V4686" s="40"/>
    </row>
    <row r="4687" spans="2:22" x14ac:dyDescent="0.35">
      <c r="B4687" s="40">
        <v>39910</v>
      </c>
      <c r="C4687" s="39">
        <v>4322.5</v>
      </c>
      <c r="D4687" s="219">
        <f t="shared" si="460"/>
        <v>-6.2982274104461042E-3</v>
      </c>
      <c r="F4687" s="40">
        <v>39910</v>
      </c>
      <c r="G4687" s="39">
        <v>4322.5</v>
      </c>
      <c r="H4687" s="39">
        <f t="shared" si="455"/>
        <v>2</v>
      </c>
      <c r="I4687" s="39">
        <f t="shared" si="456"/>
        <v>0</v>
      </c>
      <c r="K4687" s="40"/>
      <c r="Q4687" s="40">
        <v>39910</v>
      </c>
      <c r="R4687" s="39">
        <v>4322.5</v>
      </c>
      <c r="S4687" s="39">
        <f t="shared" si="457"/>
        <v>4</v>
      </c>
      <c r="T4687" s="39">
        <f t="shared" si="458"/>
        <v>0</v>
      </c>
      <c r="U4687" s="39">
        <f t="shared" si="459"/>
        <v>0</v>
      </c>
      <c r="V4687" s="40"/>
    </row>
    <row r="4688" spans="2:22" x14ac:dyDescent="0.35">
      <c r="B4688" s="40">
        <v>39911</v>
      </c>
      <c r="C4688" s="39">
        <v>4357.92</v>
      </c>
      <c r="D4688" s="219">
        <f t="shared" si="460"/>
        <v>8.1609407341111054E-3</v>
      </c>
      <c r="F4688" s="40">
        <v>39911</v>
      </c>
      <c r="G4688" s="39">
        <v>4357.92</v>
      </c>
      <c r="H4688" s="39">
        <f t="shared" si="455"/>
        <v>3</v>
      </c>
      <c r="I4688" s="39">
        <f t="shared" si="456"/>
        <v>0</v>
      </c>
      <c r="K4688" s="40"/>
      <c r="Q4688" s="40">
        <v>39911</v>
      </c>
      <c r="R4688" s="39">
        <v>4357.92</v>
      </c>
      <c r="S4688" s="39">
        <f t="shared" si="457"/>
        <v>4</v>
      </c>
      <c r="T4688" s="39">
        <f t="shared" si="458"/>
        <v>0</v>
      </c>
      <c r="U4688" s="39">
        <f t="shared" si="459"/>
        <v>0</v>
      </c>
      <c r="V4688" s="40"/>
    </row>
    <row r="4689" spans="2:22" x14ac:dyDescent="0.35">
      <c r="B4689" s="40">
        <v>39912</v>
      </c>
      <c r="C4689" s="39">
        <v>4491.12</v>
      </c>
      <c r="D4689" s="219">
        <f t="shared" si="460"/>
        <v>3.0107234546085916E-2</v>
      </c>
      <c r="F4689" s="40">
        <v>39912</v>
      </c>
      <c r="G4689" s="39">
        <v>4491.12</v>
      </c>
      <c r="H4689" s="39">
        <f t="shared" si="455"/>
        <v>4</v>
      </c>
      <c r="I4689" s="39">
        <f t="shared" si="456"/>
        <v>4491.12</v>
      </c>
      <c r="K4689" s="40"/>
      <c r="Q4689" s="40">
        <v>39912</v>
      </c>
      <c r="R4689" s="39">
        <v>4491.12</v>
      </c>
      <c r="S4689" s="39">
        <f t="shared" si="457"/>
        <v>4</v>
      </c>
      <c r="T4689" s="39">
        <f t="shared" si="458"/>
        <v>0</v>
      </c>
      <c r="U4689" s="39">
        <f t="shared" si="459"/>
        <v>0</v>
      </c>
      <c r="V4689" s="40"/>
    </row>
    <row r="4690" spans="2:22" x14ac:dyDescent="0.35">
      <c r="B4690" s="40">
        <v>39916</v>
      </c>
      <c r="C4690" s="39">
        <v>4491.12</v>
      </c>
      <c r="D4690" s="219">
        <f t="shared" si="460"/>
        <v>0</v>
      </c>
      <c r="F4690" s="40">
        <v>39916</v>
      </c>
      <c r="G4690" s="39">
        <v>4491.12</v>
      </c>
      <c r="H4690" s="39">
        <f t="shared" si="455"/>
        <v>1</v>
      </c>
      <c r="I4690" s="39">
        <f t="shared" si="456"/>
        <v>0</v>
      </c>
      <c r="K4690" s="40"/>
      <c r="Q4690" s="40">
        <v>39916</v>
      </c>
      <c r="R4690" s="39">
        <v>4491.12</v>
      </c>
      <c r="S4690" s="39">
        <f t="shared" si="457"/>
        <v>4</v>
      </c>
      <c r="T4690" s="39">
        <f t="shared" si="458"/>
        <v>0</v>
      </c>
      <c r="U4690" s="39">
        <f t="shared" si="459"/>
        <v>0</v>
      </c>
      <c r="V4690" s="40"/>
    </row>
    <row r="4691" spans="2:22" x14ac:dyDescent="0.35">
      <c r="B4691" s="40">
        <v>39917</v>
      </c>
      <c r="C4691" s="39">
        <v>4557.01</v>
      </c>
      <c r="D4691" s="219">
        <f t="shared" si="460"/>
        <v>1.4564592849989731E-2</v>
      </c>
      <c r="F4691" s="40">
        <v>39917</v>
      </c>
      <c r="G4691" s="39">
        <v>4557.01</v>
      </c>
      <c r="H4691" s="39">
        <f t="shared" si="455"/>
        <v>2</v>
      </c>
      <c r="I4691" s="39">
        <f t="shared" si="456"/>
        <v>0</v>
      </c>
      <c r="K4691" s="40"/>
      <c r="Q4691" s="40">
        <v>39917</v>
      </c>
      <c r="R4691" s="39">
        <v>4557.01</v>
      </c>
      <c r="S4691" s="39">
        <f t="shared" si="457"/>
        <v>4</v>
      </c>
      <c r="T4691" s="39">
        <f t="shared" si="458"/>
        <v>0</v>
      </c>
      <c r="U4691" s="39">
        <f t="shared" si="459"/>
        <v>0</v>
      </c>
      <c r="V4691" s="40"/>
    </row>
    <row r="4692" spans="2:22" x14ac:dyDescent="0.35">
      <c r="B4692" s="40">
        <v>39918</v>
      </c>
      <c r="C4692" s="39">
        <v>4549.79</v>
      </c>
      <c r="D4692" s="219">
        <f t="shared" si="460"/>
        <v>-1.5856286539117318E-3</v>
      </c>
      <c r="F4692" s="40">
        <v>39918</v>
      </c>
      <c r="G4692" s="39">
        <v>4549.79</v>
      </c>
      <c r="H4692" s="39">
        <f t="shared" si="455"/>
        <v>3</v>
      </c>
      <c r="I4692" s="39">
        <f t="shared" si="456"/>
        <v>0</v>
      </c>
      <c r="K4692" s="40"/>
      <c r="Q4692" s="40">
        <v>39918</v>
      </c>
      <c r="R4692" s="39">
        <v>4549.79</v>
      </c>
      <c r="S4692" s="39">
        <f t="shared" si="457"/>
        <v>4</v>
      </c>
      <c r="T4692" s="39">
        <f t="shared" si="458"/>
        <v>0</v>
      </c>
      <c r="U4692" s="39">
        <f t="shared" si="459"/>
        <v>0</v>
      </c>
      <c r="V4692" s="40"/>
    </row>
    <row r="4693" spans="2:22" x14ac:dyDescent="0.35">
      <c r="B4693" s="40">
        <v>39919</v>
      </c>
      <c r="C4693" s="39">
        <v>4609.46</v>
      </c>
      <c r="D4693" s="219">
        <f t="shared" si="460"/>
        <v>1.3029635436503224E-2</v>
      </c>
      <c r="F4693" s="40">
        <v>39919</v>
      </c>
      <c r="G4693" s="39">
        <v>4609.46</v>
      </c>
      <c r="H4693" s="39">
        <f t="shared" si="455"/>
        <v>4</v>
      </c>
      <c r="I4693" s="39">
        <f t="shared" si="456"/>
        <v>0</v>
      </c>
      <c r="K4693" s="40"/>
      <c r="Q4693" s="40">
        <v>39919</v>
      </c>
      <c r="R4693" s="39">
        <v>4609.46</v>
      </c>
      <c r="S4693" s="39">
        <f t="shared" si="457"/>
        <v>4</v>
      </c>
      <c r="T4693" s="39">
        <f t="shared" si="458"/>
        <v>0</v>
      </c>
      <c r="U4693" s="39">
        <f t="shared" si="459"/>
        <v>0</v>
      </c>
      <c r="V4693" s="40"/>
    </row>
    <row r="4694" spans="2:22" x14ac:dyDescent="0.35">
      <c r="B4694" s="40">
        <v>39920</v>
      </c>
      <c r="C4694" s="39">
        <v>4676.84</v>
      </c>
      <c r="D4694" s="219">
        <f t="shared" si="460"/>
        <v>1.4511954706836252E-2</v>
      </c>
      <c r="F4694" s="40">
        <v>39920</v>
      </c>
      <c r="G4694" s="39">
        <v>4676.84</v>
      </c>
      <c r="H4694" s="39">
        <f t="shared" si="455"/>
        <v>5</v>
      </c>
      <c r="I4694" s="39">
        <f t="shared" si="456"/>
        <v>4676.84</v>
      </c>
      <c r="K4694" s="40"/>
      <c r="Q4694" s="40">
        <v>39920</v>
      </c>
      <c r="R4694" s="39">
        <v>4676.84</v>
      </c>
      <c r="S4694" s="39">
        <f t="shared" si="457"/>
        <v>4</v>
      </c>
      <c r="T4694" s="39">
        <f t="shared" si="458"/>
        <v>0</v>
      </c>
      <c r="U4694" s="39">
        <f t="shared" si="459"/>
        <v>0</v>
      </c>
      <c r="V4694" s="40"/>
    </row>
    <row r="4695" spans="2:22" x14ac:dyDescent="0.35">
      <c r="B4695" s="40">
        <v>39923</v>
      </c>
      <c r="C4695" s="39">
        <v>4486.3</v>
      </c>
      <c r="D4695" s="219">
        <f t="shared" si="460"/>
        <v>-4.1594359611565691E-2</v>
      </c>
      <c r="F4695" s="40">
        <v>39923</v>
      </c>
      <c r="G4695" s="39">
        <v>4486.3</v>
      </c>
      <c r="H4695" s="39">
        <f t="shared" si="455"/>
        <v>1</v>
      </c>
      <c r="I4695" s="39">
        <f t="shared" si="456"/>
        <v>0</v>
      </c>
      <c r="K4695" s="40"/>
      <c r="Q4695" s="40">
        <v>39923</v>
      </c>
      <c r="R4695" s="39">
        <v>4486.3</v>
      </c>
      <c r="S4695" s="39">
        <f t="shared" si="457"/>
        <v>4</v>
      </c>
      <c r="T4695" s="39">
        <f t="shared" si="458"/>
        <v>0</v>
      </c>
      <c r="U4695" s="39">
        <f t="shared" si="459"/>
        <v>0</v>
      </c>
      <c r="V4695" s="40"/>
    </row>
    <row r="4696" spans="2:22" x14ac:dyDescent="0.35">
      <c r="B4696" s="40">
        <v>39924</v>
      </c>
      <c r="C4696" s="39">
        <v>4501.63</v>
      </c>
      <c r="D4696" s="219">
        <f t="shared" si="460"/>
        <v>3.4112448285072068E-3</v>
      </c>
      <c r="F4696" s="40">
        <v>39924</v>
      </c>
      <c r="G4696" s="39">
        <v>4501.63</v>
      </c>
      <c r="H4696" s="39">
        <f t="shared" si="455"/>
        <v>2</v>
      </c>
      <c r="I4696" s="39">
        <f t="shared" si="456"/>
        <v>0</v>
      </c>
      <c r="K4696" s="40"/>
      <c r="Q4696" s="40">
        <v>39924</v>
      </c>
      <c r="R4696" s="39">
        <v>4501.63</v>
      </c>
      <c r="S4696" s="39">
        <f t="shared" si="457"/>
        <v>4</v>
      </c>
      <c r="T4696" s="39">
        <f t="shared" si="458"/>
        <v>0</v>
      </c>
      <c r="U4696" s="39">
        <f t="shared" si="459"/>
        <v>0</v>
      </c>
      <c r="V4696" s="40"/>
    </row>
    <row r="4697" spans="2:22" x14ac:dyDescent="0.35">
      <c r="B4697" s="40">
        <v>39925</v>
      </c>
      <c r="C4697" s="39">
        <v>4594.42</v>
      </c>
      <c r="D4697" s="219">
        <f t="shared" si="460"/>
        <v>2.040297027215443E-2</v>
      </c>
      <c r="F4697" s="40">
        <v>39925</v>
      </c>
      <c r="G4697" s="39">
        <v>4594.42</v>
      </c>
      <c r="H4697" s="39">
        <f t="shared" si="455"/>
        <v>3</v>
      </c>
      <c r="I4697" s="39">
        <f t="shared" si="456"/>
        <v>0</v>
      </c>
      <c r="K4697" s="40"/>
      <c r="Q4697" s="40">
        <v>39925</v>
      </c>
      <c r="R4697" s="39">
        <v>4594.42</v>
      </c>
      <c r="S4697" s="39">
        <f t="shared" si="457"/>
        <v>4</v>
      </c>
      <c r="T4697" s="39">
        <f t="shared" si="458"/>
        <v>0</v>
      </c>
      <c r="U4697" s="39">
        <f t="shared" si="459"/>
        <v>0</v>
      </c>
      <c r="V4697" s="40"/>
    </row>
    <row r="4698" spans="2:22" x14ac:dyDescent="0.35">
      <c r="B4698" s="40">
        <v>39926</v>
      </c>
      <c r="C4698" s="39">
        <v>4538.21</v>
      </c>
      <c r="D4698" s="219">
        <f t="shared" si="460"/>
        <v>-1.2309862504601513E-2</v>
      </c>
      <c r="F4698" s="40">
        <v>39926</v>
      </c>
      <c r="G4698" s="39">
        <v>4538.21</v>
      </c>
      <c r="H4698" s="39">
        <f t="shared" si="455"/>
        <v>4</v>
      </c>
      <c r="I4698" s="39">
        <f t="shared" si="456"/>
        <v>0</v>
      </c>
      <c r="K4698" s="40"/>
      <c r="Q4698" s="40">
        <v>39926</v>
      </c>
      <c r="R4698" s="39">
        <v>4538.21</v>
      </c>
      <c r="S4698" s="39">
        <f t="shared" si="457"/>
        <v>4</v>
      </c>
      <c r="T4698" s="39">
        <f t="shared" si="458"/>
        <v>0</v>
      </c>
      <c r="U4698" s="39">
        <f t="shared" si="459"/>
        <v>0</v>
      </c>
      <c r="V4698" s="40"/>
    </row>
    <row r="4699" spans="2:22" x14ac:dyDescent="0.35">
      <c r="B4699" s="40">
        <v>39927</v>
      </c>
      <c r="C4699" s="39">
        <v>4674.32</v>
      </c>
      <c r="D4699" s="219">
        <f t="shared" si="460"/>
        <v>2.9551036436239766E-2</v>
      </c>
      <c r="F4699" s="40">
        <v>39927</v>
      </c>
      <c r="G4699" s="39">
        <v>4674.32</v>
      </c>
      <c r="H4699" s="39">
        <f t="shared" si="455"/>
        <v>5</v>
      </c>
      <c r="I4699" s="39">
        <f t="shared" si="456"/>
        <v>4674.32</v>
      </c>
      <c r="K4699" s="40"/>
      <c r="Q4699" s="40">
        <v>39927</v>
      </c>
      <c r="R4699" s="39">
        <v>4674.32</v>
      </c>
      <c r="S4699" s="39">
        <f t="shared" si="457"/>
        <v>4</v>
      </c>
      <c r="T4699" s="39">
        <f t="shared" si="458"/>
        <v>0</v>
      </c>
      <c r="U4699" s="39">
        <f t="shared" si="459"/>
        <v>0</v>
      </c>
      <c r="V4699" s="40"/>
    </row>
    <row r="4700" spans="2:22" x14ac:dyDescent="0.35">
      <c r="B4700" s="40">
        <v>39930</v>
      </c>
      <c r="C4700" s="39">
        <v>4694.07</v>
      </c>
      <c r="D4700" s="219">
        <f t="shared" si="460"/>
        <v>4.2163123564342179E-3</v>
      </c>
      <c r="F4700" s="40">
        <v>39930</v>
      </c>
      <c r="G4700" s="39">
        <v>4694.07</v>
      </c>
      <c r="H4700" s="39">
        <f t="shared" si="455"/>
        <v>1</v>
      </c>
      <c r="I4700" s="39">
        <f t="shared" si="456"/>
        <v>0</v>
      </c>
      <c r="K4700" s="40"/>
      <c r="Q4700" s="40">
        <v>39930</v>
      </c>
      <c r="R4700" s="39">
        <v>4694.07</v>
      </c>
      <c r="S4700" s="39">
        <f t="shared" si="457"/>
        <v>4</v>
      </c>
      <c r="T4700" s="39">
        <f t="shared" si="458"/>
        <v>0</v>
      </c>
      <c r="U4700" s="39">
        <f t="shared" si="459"/>
        <v>0</v>
      </c>
      <c r="V4700" s="40"/>
    </row>
    <row r="4701" spans="2:22" x14ac:dyDescent="0.35">
      <c r="B4701" s="40">
        <v>39931</v>
      </c>
      <c r="C4701" s="39">
        <v>4607.42</v>
      </c>
      <c r="D4701" s="219">
        <f t="shared" si="460"/>
        <v>-1.8631962556105611E-2</v>
      </c>
      <c r="F4701" s="40">
        <v>39931</v>
      </c>
      <c r="G4701" s="39">
        <v>4607.42</v>
      </c>
      <c r="H4701" s="39">
        <f t="shared" si="455"/>
        <v>2</v>
      </c>
      <c r="I4701" s="39">
        <f t="shared" si="456"/>
        <v>0</v>
      </c>
      <c r="K4701" s="40"/>
      <c r="Q4701" s="40">
        <v>39931</v>
      </c>
      <c r="R4701" s="39">
        <v>4607.42</v>
      </c>
      <c r="S4701" s="39">
        <f t="shared" si="457"/>
        <v>4</v>
      </c>
      <c r="T4701" s="39">
        <f t="shared" si="458"/>
        <v>0</v>
      </c>
      <c r="U4701" s="39">
        <f t="shared" si="459"/>
        <v>0</v>
      </c>
      <c r="V4701" s="40"/>
    </row>
    <row r="4702" spans="2:22" x14ac:dyDescent="0.35">
      <c r="B4702" s="40">
        <v>39932</v>
      </c>
      <c r="C4702" s="39">
        <v>4704.5600000000004</v>
      </c>
      <c r="D4702" s="219">
        <f t="shared" si="460"/>
        <v>2.0864203713781865E-2</v>
      </c>
      <c r="F4702" s="40">
        <v>39932</v>
      </c>
      <c r="G4702" s="39">
        <v>4704.5600000000004</v>
      </c>
      <c r="H4702" s="39">
        <f t="shared" si="455"/>
        <v>3</v>
      </c>
      <c r="I4702" s="39">
        <f t="shared" si="456"/>
        <v>0</v>
      </c>
      <c r="K4702" s="40"/>
      <c r="Q4702" s="40">
        <v>39932</v>
      </c>
      <c r="R4702" s="39">
        <v>4704.5600000000004</v>
      </c>
      <c r="S4702" s="39">
        <f t="shared" si="457"/>
        <v>4</v>
      </c>
      <c r="T4702" s="39">
        <f t="shared" si="458"/>
        <v>0</v>
      </c>
      <c r="U4702" s="39">
        <f t="shared" si="459"/>
        <v>0</v>
      </c>
      <c r="V4702" s="40"/>
    </row>
    <row r="4703" spans="2:22" x14ac:dyDescent="0.35">
      <c r="B4703" s="40">
        <v>39933</v>
      </c>
      <c r="C4703" s="39">
        <v>4769.45</v>
      </c>
      <c r="D4703" s="219">
        <f t="shared" si="460"/>
        <v>1.3698743139238025E-2</v>
      </c>
      <c r="F4703" s="40">
        <v>39933</v>
      </c>
      <c r="G4703" s="39">
        <v>4769.45</v>
      </c>
      <c r="H4703" s="39">
        <f t="shared" si="455"/>
        <v>4</v>
      </c>
      <c r="I4703" s="39">
        <f t="shared" si="456"/>
        <v>0</v>
      </c>
      <c r="K4703" s="40"/>
      <c r="Q4703" s="40">
        <v>39933</v>
      </c>
      <c r="R4703" s="39">
        <v>4769.45</v>
      </c>
      <c r="S4703" s="39">
        <f t="shared" si="457"/>
        <v>4</v>
      </c>
      <c r="T4703" s="39">
        <f t="shared" si="458"/>
        <v>4769.45</v>
      </c>
      <c r="U4703" s="39">
        <f t="shared" si="459"/>
        <v>4769.45</v>
      </c>
      <c r="V4703" s="40"/>
    </row>
    <row r="4704" spans="2:22" x14ac:dyDescent="0.35">
      <c r="B4704" s="40">
        <v>39934</v>
      </c>
      <c r="C4704" s="39">
        <v>4769.45</v>
      </c>
      <c r="D4704" s="219">
        <f t="shared" si="460"/>
        <v>0</v>
      </c>
      <c r="F4704" s="40">
        <v>39934</v>
      </c>
      <c r="G4704" s="39">
        <v>4769.45</v>
      </c>
      <c r="H4704" s="39">
        <f t="shared" si="455"/>
        <v>5</v>
      </c>
      <c r="I4704" s="39">
        <f t="shared" si="456"/>
        <v>4769.45</v>
      </c>
      <c r="K4704" s="40"/>
      <c r="Q4704" s="40">
        <v>39934</v>
      </c>
      <c r="R4704" s="39">
        <v>4769.45</v>
      </c>
      <c r="S4704" s="39">
        <f t="shared" si="457"/>
        <v>5</v>
      </c>
      <c r="T4704" s="39">
        <f t="shared" si="458"/>
        <v>0</v>
      </c>
      <c r="U4704" s="39">
        <f t="shared" si="459"/>
        <v>0</v>
      </c>
      <c r="V4704" s="40"/>
    </row>
    <row r="4705" spans="2:22" x14ac:dyDescent="0.35">
      <c r="B4705" s="40">
        <v>39937</v>
      </c>
      <c r="C4705" s="39">
        <v>4902.45</v>
      </c>
      <c r="D4705" s="219">
        <f t="shared" si="460"/>
        <v>2.7504085889225895E-2</v>
      </c>
      <c r="F4705" s="40">
        <v>39937</v>
      </c>
      <c r="G4705" s="39">
        <v>4902.45</v>
      </c>
      <c r="H4705" s="39">
        <f t="shared" si="455"/>
        <v>1</v>
      </c>
      <c r="I4705" s="39">
        <f t="shared" si="456"/>
        <v>0</v>
      </c>
      <c r="K4705" s="40"/>
      <c r="Q4705" s="40">
        <v>39937</v>
      </c>
      <c r="R4705" s="39">
        <v>4902.45</v>
      </c>
      <c r="S4705" s="39">
        <f t="shared" si="457"/>
        <v>5</v>
      </c>
      <c r="T4705" s="39">
        <f t="shared" si="458"/>
        <v>0</v>
      </c>
      <c r="U4705" s="39">
        <f t="shared" si="459"/>
        <v>0</v>
      </c>
      <c r="V4705" s="40"/>
    </row>
    <row r="4706" spans="2:22" x14ac:dyDescent="0.35">
      <c r="B4706" s="40">
        <v>39938</v>
      </c>
      <c r="C4706" s="39">
        <v>4853.03</v>
      </c>
      <c r="D4706" s="219">
        <f t="shared" si="460"/>
        <v>-1.0131828011008127E-2</v>
      </c>
      <c r="F4706" s="40">
        <v>39938</v>
      </c>
      <c r="G4706" s="39">
        <v>4853.03</v>
      </c>
      <c r="H4706" s="39">
        <f t="shared" si="455"/>
        <v>2</v>
      </c>
      <c r="I4706" s="39">
        <f t="shared" si="456"/>
        <v>0</v>
      </c>
      <c r="K4706" s="40"/>
      <c r="Q4706" s="40">
        <v>39938</v>
      </c>
      <c r="R4706" s="39">
        <v>4853.03</v>
      </c>
      <c r="S4706" s="39">
        <f t="shared" si="457"/>
        <v>5</v>
      </c>
      <c r="T4706" s="39">
        <f t="shared" si="458"/>
        <v>0</v>
      </c>
      <c r="U4706" s="39">
        <f t="shared" si="459"/>
        <v>0</v>
      </c>
      <c r="V4706" s="40"/>
    </row>
    <row r="4707" spans="2:22" x14ac:dyDescent="0.35">
      <c r="B4707" s="40">
        <v>39939</v>
      </c>
      <c r="C4707" s="39">
        <v>4880.71</v>
      </c>
      <c r="D4707" s="219">
        <f t="shared" si="460"/>
        <v>5.6874489382047512E-3</v>
      </c>
      <c r="F4707" s="40">
        <v>39939</v>
      </c>
      <c r="G4707" s="39">
        <v>4880.71</v>
      </c>
      <c r="H4707" s="39">
        <f t="shared" si="455"/>
        <v>3</v>
      </c>
      <c r="I4707" s="39">
        <f t="shared" si="456"/>
        <v>0</v>
      </c>
      <c r="K4707" s="40"/>
      <c r="Q4707" s="40">
        <v>39939</v>
      </c>
      <c r="R4707" s="39">
        <v>4880.71</v>
      </c>
      <c r="S4707" s="39">
        <f t="shared" si="457"/>
        <v>5</v>
      </c>
      <c r="T4707" s="39">
        <f t="shared" si="458"/>
        <v>0</v>
      </c>
      <c r="U4707" s="39">
        <f t="shared" si="459"/>
        <v>0</v>
      </c>
      <c r="V4707" s="40"/>
    </row>
    <row r="4708" spans="2:22" x14ac:dyDescent="0.35">
      <c r="B4708" s="40">
        <v>39940</v>
      </c>
      <c r="C4708" s="39">
        <v>4804.1000000000004</v>
      </c>
      <c r="D4708" s="219">
        <f t="shared" si="460"/>
        <v>-1.5820981097663313E-2</v>
      </c>
      <c r="F4708" s="40">
        <v>39940</v>
      </c>
      <c r="G4708" s="39">
        <v>4804.1000000000004</v>
      </c>
      <c r="H4708" s="39">
        <f t="shared" si="455"/>
        <v>4</v>
      </c>
      <c r="I4708" s="39">
        <f t="shared" si="456"/>
        <v>0</v>
      </c>
      <c r="K4708" s="40"/>
      <c r="Q4708" s="40">
        <v>39940</v>
      </c>
      <c r="R4708" s="39">
        <v>4804.1000000000004</v>
      </c>
      <c r="S4708" s="39">
        <f t="shared" si="457"/>
        <v>5</v>
      </c>
      <c r="T4708" s="39">
        <f t="shared" si="458"/>
        <v>0</v>
      </c>
      <c r="U4708" s="39">
        <f t="shared" si="459"/>
        <v>0</v>
      </c>
      <c r="V4708" s="40"/>
    </row>
    <row r="4709" spans="2:22" x14ac:dyDescent="0.35">
      <c r="B4709" s="40">
        <v>39941</v>
      </c>
      <c r="C4709" s="39">
        <v>4913.8999999999996</v>
      </c>
      <c r="D4709" s="219">
        <f t="shared" si="460"/>
        <v>2.2598203883807521E-2</v>
      </c>
      <c r="F4709" s="40">
        <v>39941</v>
      </c>
      <c r="G4709" s="39">
        <v>4913.8999999999996</v>
      </c>
      <c r="H4709" s="39">
        <f t="shared" si="455"/>
        <v>5</v>
      </c>
      <c r="I4709" s="39">
        <f t="shared" si="456"/>
        <v>4913.8999999999996</v>
      </c>
      <c r="K4709" s="40"/>
      <c r="Q4709" s="40">
        <v>39941</v>
      </c>
      <c r="R4709" s="39">
        <v>4913.8999999999996</v>
      </c>
      <c r="S4709" s="39">
        <f t="shared" si="457"/>
        <v>5</v>
      </c>
      <c r="T4709" s="39">
        <f t="shared" si="458"/>
        <v>0</v>
      </c>
      <c r="U4709" s="39">
        <f t="shared" si="459"/>
        <v>0</v>
      </c>
      <c r="V4709" s="40"/>
    </row>
    <row r="4710" spans="2:22" x14ac:dyDescent="0.35">
      <c r="B4710" s="40">
        <v>39944</v>
      </c>
      <c r="C4710" s="39">
        <v>4866.91</v>
      </c>
      <c r="D4710" s="219">
        <f t="shared" si="460"/>
        <v>-9.6086850753500565E-3</v>
      </c>
      <c r="F4710" s="40">
        <v>39944</v>
      </c>
      <c r="G4710" s="39">
        <v>4866.91</v>
      </c>
      <c r="H4710" s="39">
        <f t="shared" si="455"/>
        <v>1</v>
      </c>
      <c r="I4710" s="39">
        <f t="shared" si="456"/>
        <v>0</v>
      </c>
      <c r="K4710" s="40"/>
      <c r="Q4710" s="40">
        <v>39944</v>
      </c>
      <c r="R4710" s="39">
        <v>4866.91</v>
      </c>
      <c r="S4710" s="39">
        <f t="shared" si="457"/>
        <v>5</v>
      </c>
      <c r="T4710" s="39">
        <f t="shared" si="458"/>
        <v>0</v>
      </c>
      <c r="U4710" s="39">
        <f t="shared" si="459"/>
        <v>0</v>
      </c>
      <c r="V4710" s="40"/>
    </row>
    <row r="4711" spans="2:22" x14ac:dyDescent="0.35">
      <c r="B4711" s="40">
        <v>39945</v>
      </c>
      <c r="C4711" s="39">
        <v>4854.1099999999997</v>
      </c>
      <c r="D4711" s="219">
        <f t="shared" si="460"/>
        <v>-2.633470026295175E-3</v>
      </c>
      <c r="F4711" s="40">
        <v>39945</v>
      </c>
      <c r="G4711" s="39">
        <v>4854.1099999999997</v>
      </c>
      <c r="H4711" s="39">
        <f t="shared" si="455"/>
        <v>2</v>
      </c>
      <c r="I4711" s="39">
        <f t="shared" si="456"/>
        <v>0</v>
      </c>
      <c r="K4711" s="40"/>
      <c r="Q4711" s="40">
        <v>39945</v>
      </c>
      <c r="R4711" s="39">
        <v>4854.1099999999997</v>
      </c>
      <c r="S4711" s="39">
        <f t="shared" si="457"/>
        <v>5</v>
      </c>
      <c r="T4711" s="39">
        <f t="shared" si="458"/>
        <v>0</v>
      </c>
      <c r="U4711" s="39">
        <f t="shared" si="459"/>
        <v>0</v>
      </c>
      <c r="V4711" s="40"/>
    </row>
    <row r="4712" spans="2:22" x14ac:dyDescent="0.35">
      <c r="B4712" s="40">
        <v>39946</v>
      </c>
      <c r="C4712" s="39">
        <v>4727.6099999999997</v>
      </c>
      <c r="D4712" s="219">
        <f t="shared" si="460"/>
        <v>-2.6405979378040401E-2</v>
      </c>
      <c r="F4712" s="40">
        <v>39946</v>
      </c>
      <c r="G4712" s="39">
        <v>4727.6099999999997</v>
      </c>
      <c r="H4712" s="39">
        <f t="shared" si="455"/>
        <v>3</v>
      </c>
      <c r="I4712" s="39">
        <f t="shared" si="456"/>
        <v>0</v>
      </c>
      <c r="K4712" s="40"/>
      <c r="Q4712" s="40">
        <v>39946</v>
      </c>
      <c r="R4712" s="39">
        <v>4727.6099999999997</v>
      </c>
      <c r="S4712" s="39">
        <f t="shared" si="457"/>
        <v>5</v>
      </c>
      <c r="T4712" s="39">
        <f t="shared" si="458"/>
        <v>0</v>
      </c>
      <c r="U4712" s="39">
        <f t="shared" si="459"/>
        <v>0</v>
      </c>
      <c r="V4712" s="40"/>
    </row>
    <row r="4713" spans="2:22" x14ac:dyDescent="0.35">
      <c r="B4713" s="40">
        <v>39947</v>
      </c>
      <c r="C4713" s="39">
        <v>4738.47</v>
      </c>
      <c r="D4713" s="219">
        <f t="shared" si="460"/>
        <v>2.2945093987416128E-3</v>
      </c>
      <c r="F4713" s="40">
        <v>39947</v>
      </c>
      <c r="G4713" s="39">
        <v>4738.47</v>
      </c>
      <c r="H4713" s="39">
        <f t="shared" si="455"/>
        <v>4</v>
      </c>
      <c r="I4713" s="39">
        <f t="shared" si="456"/>
        <v>0</v>
      </c>
      <c r="K4713" s="40"/>
      <c r="Q4713" s="40">
        <v>39947</v>
      </c>
      <c r="R4713" s="39">
        <v>4738.47</v>
      </c>
      <c r="S4713" s="39">
        <f t="shared" si="457"/>
        <v>5</v>
      </c>
      <c r="T4713" s="39">
        <f t="shared" si="458"/>
        <v>0</v>
      </c>
      <c r="U4713" s="39">
        <f t="shared" si="459"/>
        <v>0</v>
      </c>
      <c r="V4713" s="40"/>
    </row>
    <row r="4714" spans="2:22" x14ac:dyDescent="0.35">
      <c r="B4714" s="40">
        <v>39948</v>
      </c>
      <c r="C4714" s="39">
        <v>4737.5</v>
      </c>
      <c r="D4714" s="219">
        <f t="shared" si="460"/>
        <v>-2.0472838208403528E-4</v>
      </c>
      <c r="F4714" s="40">
        <v>39948</v>
      </c>
      <c r="G4714" s="39">
        <v>4737.5</v>
      </c>
      <c r="H4714" s="39">
        <f t="shared" si="455"/>
        <v>5</v>
      </c>
      <c r="I4714" s="39">
        <f t="shared" si="456"/>
        <v>4737.5</v>
      </c>
      <c r="K4714" s="40"/>
      <c r="Q4714" s="40">
        <v>39948</v>
      </c>
      <c r="R4714" s="39">
        <v>4737.5</v>
      </c>
      <c r="S4714" s="39">
        <f t="shared" si="457"/>
        <v>5</v>
      </c>
      <c r="T4714" s="39">
        <f t="shared" si="458"/>
        <v>0</v>
      </c>
      <c r="U4714" s="39">
        <f t="shared" si="459"/>
        <v>0</v>
      </c>
      <c r="V4714" s="40"/>
    </row>
    <row r="4715" spans="2:22" x14ac:dyDescent="0.35">
      <c r="B4715" s="40">
        <v>39951</v>
      </c>
      <c r="C4715" s="39">
        <v>4851.96</v>
      </c>
      <c r="D4715" s="219">
        <f t="shared" si="460"/>
        <v>2.3873176616193651E-2</v>
      </c>
      <c r="F4715" s="40">
        <v>39951</v>
      </c>
      <c r="G4715" s="39">
        <v>4851.96</v>
      </c>
      <c r="H4715" s="39">
        <f t="shared" si="455"/>
        <v>1</v>
      </c>
      <c r="I4715" s="39">
        <f t="shared" si="456"/>
        <v>0</v>
      </c>
      <c r="K4715" s="40"/>
      <c r="Q4715" s="40">
        <v>39951</v>
      </c>
      <c r="R4715" s="39">
        <v>4851.96</v>
      </c>
      <c r="S4715" s="39">
        <f t="shared" si="457"/>
        <v>5</v>
      </c>
      <c r="T4715" s="39">
        <f t="shared" si="458"/>
        <v>0</v>
      </c>
      <c r="U4715" s="39">
        <f t="shared" si="459"/>
        <v>0</v>
      </c>
      <c r="V4715" s="40"/>
    </row>
    <row r="4716" spans="2:22" x14ac:dyDescent="0.35">
      <c r="B4716" s="40">
        <v>39952</v>
      </c>
      <c r="C4716" s="39">
        <v>4959.62</v>
      </c>
      <c r="D4716" s="219">
        <f t="shared" si="460"/>
        <v>2.1946377873953603E-2</v>
      </c>
      <c r="F4716" s="40">
        <v>39952</v>
      </c>
      <c r="G4716" s="39">
        <v>4959.62</v>
      </c>
      <c r="H4716" s="39">
        <f t="shared" si="455"/>
        <v>2</v>
      </c>
      <c r="I4716" s="39">
        <f t="shared" si="456"/>
        <v>0</v>
      </c>
      <c r="K4716" s="40"/>
      <c r="Q4716" s="40">
        <v>39952</v>
      </c>
      <c r="R4716" s="39">
        <v>4959.62</v>
      </c>
      <c r="S4716" s="39">
        <f t="shared" si="457"/>
        <v>5</v>
      </c>
      <c r="T4716" s="39">
        <f t="shared" si="458"/>
        <v>0</v>
      </c>
      <c r="U4716" s="39">
        <f t="shared" si="459"/>
        <v>0</v>
      </c>
      <c r="V4716" s="40"/>
    </row>
    <row r="4717" spans="2:22" x14ac:dyDescent="0.35">
      <c r="B4717" s="40">
        <v>39953</v>
      </c>
      <c r="C4717" s="39">
        <v>5038.9399999999996</v>
      </c>
      <c r="D4717" s="219">
        <f t="shared" si="460"/>
        <v>1.5866617604449296E-2</v>
      </c>
      <c r="F4717" s="40">
        <v>39953</v>
      </c>
      <c r="G4717" s="39">
        <v>5038.9399999999996</v>
      </c>
      <c r="H4717" s="39">
        <f t="shared" si="455"/>
        <v>3</v>
      </c>
      <c r="I4717" s="39">
        <f t="shared" si="456"/>
        <v>0</v>
      </c>
      <c r="K4717" s="40"/>
      <c r="Q4717" s="40">
        <v>39953</v>
      </c>
      <c r="R4717" s="39">
        <v>5038.9399999999996</v>
      </c>
      <c r="S4717" s="39">
        <f t="shared" si="457"/>
        <v>5</v>
      </c>
      <c r="T4717" s="39">
        <f t="shared" si="458"/>
        <v>0</v>
      </c>
      <c r="U4717" s="39">
        <f t="shared" si="459"/>
        <v>0</v>
      </c>
      <c r="V4717" s="40"/>
    </row>
    <row r="4718" spans="2:22" x14ac:dyDescent="0.35">
      <c r="B4718" s="40">
        <v>39954</v>
      </c>
      <c r="C4718" s="39">
        <v>4900.67</v>
      </c>
      <c r="D4718" s="219">
        <f t="shared" si="460"/>
        <v>-2.782381204001887E-2</v>
      </c>
      <c r="F4718" s="40">
        <v>39954</v>
      </c>
      <c r="G4718" s="39">
        <v>4900.67</v>
      </c>
      <c r="H4718" s="39">
        <f t="shared" si="455"/>
        <v>4</v>
      </c>
      <c r="I4718" s="39">
        <f t="shared" si="456"/>
        <v>0</v>
      </c>
      <c r="K4718" s="40"/>
      <c r="Q4718" s="40">
        <v>39954</v>
      </c>
      <c r="R4718" s="39">
        <v>4900.67</v>
      </c>
      <c r="S4718" s="39">
        <f t="shared" si="457"/>
        <v>5</v>
      </c>
      <c r="T4718" s="39">
        <f t="shared" si="458"/>
        <v>0</v>
      </c>
      <c r="U4718" s="39">
        <f t="shared" si="459"/>
        <v>0</v>
      </c>
      <c r="V4718" s="40"/>
    </row>
    <row r="4719" spans="2:22" x14ac:dyDescent="0.35">
      <c r="B4719" s="40">
        <v>39955</v>
      </c>
      <c r="C4719" s="39">
        <v>4918.75</v>
      </c>
      <c r="D4719" s="219">
        <f t="shared" si="460"/>
        <v>3.6825027204540235E-3</v>
      </c>
      <c r="F4719" s="40">
        <v>39955</v>
      </c>
      <c r="G4719" s="39">
        <v>4918.75</v>
      </c>
      <c r="H4719" s="39">
        <f t="shared" si="455"/>
        <v>5</v>
      </c>
      <c r="I4719" s="39">
        <f t="shared" si="456"/>
        <v>4918.75</v>
      </c>
      <c r="K4719" s="40"/>
      <c r="Q4719" s="40">
        <v>39955</v>
      </c>
      <c r="R4719" s="39">
        <v>4918.75</v>
      </c>
      <c r="S4719" s="39">
        <f t="shared" si="457"/>
        <v>5</v>
      </c>
      <c r="T4719" s="39">
        <f t="shared" si="458"/>
        <v>0</v>
      </c>
      <c r="U4719" s="39">
        <f t="shared" si="459"/>
        <v>0</v>
      </c>
      <c r="V4719" s="40"/>
    </row>
    <row r="4720" spans="2:22" x14ac:dyDescent="0.35">
      <c r="B4720" s="40">
        <v>39958</v>
      </c>
      <c r="C4720" s="39">
        <v>4918.45</v>
      </c>
      <c r="D4720" s="219">
        <f t="shared" si="460"/>
        <v>-6.0992965496973652E-5</v>
      </c>
      <c r="F4720" s="40">
        <v>39958</v>
      </c>
      <c r="G4720" s="39">
        <v>4918.45</v>
      </c>
      <c r="H4720" s="39">
        <f t="shared" si="455"/>
        <v>1</v>
      </c>
      <c r="I4720" s="39">
        <f t="shared" si="456"/>
        <v>0</v>
      </c>
      <c r="K4720" s="40"/>
      <c r="Q4720" s="40">
        <v>39958</v>
      </c>
      <c r="R4720" s="39">
        <v>4918.45</v>
      </c>
      <c r="S4720" s="39">
        <f t="shared" si="457"/>
        <v>5</v>
      </c>
      <c r="T4720" s="39">
        <f t="shared" si="458"/>
        <v>0</v>
      </c>
      <c r="U4720" s="39">
        <f t="shared" si="459"/>
        <v>0</v>
      </c>
      <c r="V4720" s="40"/>
    </row>
    <row r="4721" spans="2:22" x14ac:dyDescent="0.35">
      <c r="B4721" s="40">
        <v>39959</v>
      </c>
      <c r="C4721" s="39">
        <v>4985.6000000000004</v>
      </c>
      <c r="D4721" s="219">
        <f t="shared" si="460"/>
        <v>1.3560317036158178E-2</v>
      </c>
      <c r="F4721" s="40">
        <v>39959</v>
      </c>
      <c r="G4721" s="39">
        <v>4985.6000000000004</v>
      </c>
      <c r="H4721" s="39">
        <f t="shared" si="455"/>
        <v>2</v>
      </c>
      <c r="I4721" s="39">
        <f t="shared" si="456"/>
        <v>0</v>
      </c>
      <c r="K4721" s="40"/>
      <c r="Q4721" s="40">
        <v>39959</v>
      </c>
      <c r="R4721" s="39">
        <v>4985.6000000000004</v>
      </c>
      <c r="S4721" s="39">
        <f t="shared" si="457"/>
        <v>5</v>
      </c>
      <c r="T4721" s="39">
        <f t="shared" si="458"/>
        <v>0</v>
      </c>
      <c r="U4721" s="39">
        <f t="shared" si="459"/>
        <v>0</v>
      </c>
      <c r="V4721" s="40"/>
    </row>
    <row r="4722" spans="2:22" x14ac:dyDescent="0.35">
      <c r="B4722" s="40">
        <v>39960</v>
      </c>
      <c r="C4722" s="39">
        <v>5000.7700000000004</v>
      </c>
      <c r="D4722" s="219">
        <f t="shared" si="460"/>
        <v>3.0381433230801803E-3</v>
      </c>
      <c r="F4722" s="40">
        <v>39960</v>
      </c>
      <c r="G4722" s="39">
        <v>5000.7700000000004</v>
      </c>
      <c r="H4722" s="39">
        <f t="shared" si="455"/>
        <v>3</v>
      </c>
      <c r="I4722" s="39">
        <f t="shared" si="456"/>
        <v>0</v>
      </c>
      <c r="K4722" s="40"/>
      <c r="Q4722" s="40">
        <v>39960</v>
      </c>
      <c r="R4722" s="39">
        <v>5000.7700000000004</v>
      </c>
      <c r="S4722" s="39">
        <f t="shared" si="457"/>
        <v>5</v>
      </c>
      <c r="T4722" s="39">
        <f t="shared" si="458"/>
        <v>0</v>
      </c>
      <c r="U4722" s="39">
        <f t="shared" si="459"/>
        <v>0</v>
      </c>
      <c r="V4722" s="40"/>
    </row>
    <row r="4723" spans="2:22" x14ac:dyDescent="0.35">
      <c r="B4723" s="40">
        <v>39961</v>
      </c>
      <c r="C4723" s="39">
        <v>4932.88</v>
      </c>
      <c r="D4723" s="219">
        <f t="shared" si="460"/>
        <v>-1.3668904589568487E-2</v>
      </c>
      <c r="F4723" s="40">
        <v>39961</v>
      </c>
      <c r="G4723" s="39">
        <v>4932.88</v>
      </c>
      <c r="H4723" s="39">
        <f t="shared" si="455"/>
        <v>4</v>
      </c>
      <c r="I4723" s="39">
        <f t="shared" si="456"/>
        <v>0</v>
      </c>
      <c r="K4723" s="40"/>
      <c r="Q4723" s="40">
        <v>39961</v>
      </c>
      <c r="R4723" s="39">
        <v>4932.88</v>
      </c>
      <c r="S4723" s="39">
        <f t="shared" si="457"/>
        <v>5</v>
      </c>
      <c r="T4723" s="39">
        <f t="shared" si="458"/>
        <v>0</v>
      </c>
      <c r="U4723" s="39">
        <f t="shared" si="459"/>
        <v>0</v>
      </c>
      <c r="V4723" s="40"/>
    </row>
    <row r="4724" spans="2:22" x14ac:dyDescent="0.35">
      <c r="B4724" s="40">
        <v>39962</v>
      </c>
      <c r="C4724" s="39">
        <v>4940.82</v>
      </c>
      <c r="D4724" s="219">
        <f t="shared" si="460"/>
        <v>1.6083133397842276E-3</v>
      </c>
      <c r="F4724" s="40">
        <v>39962</v>
      </c>
      <c r="G4724" s="39">
        <v>4940.82</v>
      </c>
      <c r="H4724" s="39">
        <f t="shared" si="455"/>
        <v>5</v>
      </c>
      <c r="I4724" s="39">
        <f t="shared" si="456"/>
        <v>4940.82</v>
      </c>
      <c r="K4724" s="40"/>
      <c r="Q4724" s="40">
        <v>39962</v>
      </c>
      <c r="R4724" s="39">
        <v>4940.82</v>
      </c>
      <c r="S4724" s="39">
        <f t="shared" si="457"/>
        <v>5</v>
      </c>
      <c r="T4724" s="39">
        <f t="shared" si="458"/>
        <v>4940.82</v>
      </c>
      <c r="U4724" s="39">
        <f t="shared" si="459"/>
        <v>4940.82</v>
      </c>
      <c r="V4724" s="40"/>
    </row>
    <row r="4725" spans="2:22" x14ac:dyDescent="0.35">
      <c r="B4725" s="40">
        <v>39965</v>
      </c>
      <c r="C4725" s="39">
        <v>5142.5600000000004</v>
      </c>
      <c r="D4725" s="219">
        <f t="shared" si="460"/>
        <v>4.0019700626285321E-2</v>
      </c>
      <c r="F4725" s="40">
        <v>39965</v>
      </c>
      <c r="G4725" s="39">
        <v>5142.5600000000004</v>
      </c>
      <c r="H4725" s="39">
        <f t="shared" si="455"/>
        <v>1</v>
      </c>
      <c r="I4725" s="39">
        <f t="shared" si="456"/>
        <v>0</v>
      </c>
      <c r="K4725" s="40"/>
      <c r="Q4725" s="40">
        <v>39965</v>
      </c>
      <c r="R4725" s="39">
        <v>5142.5600000000004</v>
      </c>
      <c r="S4725" s="39">
        <f t="shared" si="457"/>
        <v>6</v>
      </c>
      <c r="T4725" s="39">
        <f t="shared" si="458"/>
        <v>0</v>
      </c>
      <c r="U4725" s="39">
        <f t="shared" si="459"/>
        <v>0</v>
      </c>
      <c r="V4725" s="40"/>
    </row>
    <row r="4726" spans="2:22" x14ac:dyDescent="0.35">
      <c r="B4726" s="40">
        <v>39966</v>
      </c>
      <c r="C4726" s="39">
        <v>5144.0600000000004</v>
      </c>
      <c r="D4726" s="219">
        <f t="shared" si="460"/>
        <v>2.9164098812465184E-4</v>
      </c>
      <c r="F4726" s="40">
        <v>39966</v>
      </c>
      <c r="G4726" s="39">
        <v>5144.0600000000004</v>
      </c>
      <c r="H4726" s="39">
        <f t="shared" si="455"/>
        <v>2</v>
      </c>
      <c r="I4726" s="39">
        <f t="shared" si="456"/>
        <v>0</v>
      </c>
      <c r="K4726" s="40"/>
      <c r="Q4726" s="40">
        <v>39966</v>
      </c>
      <c r="R4726" s="39">
        <v>5144.0600000000004</v>
      </c>
      <c r="S4726" s="39">
        <f t="shared" si="457"/>
        <v>6</v>
      </c>
      <c r="T4726" s="39">
        <f t="shared" si="458"/>
        <v>0</v>
      </c>
      <c r="U4726" s="39">
        <f t="shared" si="459"/>
        <v>0</v>
      </c>
      <c r="V4726" s="40"/>
    </row>
    <row r="4727" spans="2:22" x14ac:dyDescent="0.35">
      <c r="B4727" s="40">
        <v>39967</v>
      </c>
      <c r="C4727" s="39">
        <v>5054.53</v>
      </c>
      <c r="D4727" s="219">
        <f t="shared" si="460"/>
        <v>-1.7557780042408641E-2</v>
      </c>
      <c r="F4727" s="40">
        <v>39967</v>
      </c>
      <c r="G4727" s="39">
        <v>5054.53</v>
      </c>
      <c r="H4727" s="39">
        <f t="shared" ref="H4727:H4790" si="461">WEEKDAY(F4727,2)</f>
        <v>3</v>
      </c>
      <c r="I4727" s="39">
        <f t="shared" ref="I4727:I4790" si="462">IF(H4727&gt;H4728,G4727,0)</f>
        <v>0</v>
      </c>
      <c r="K4727" s="40"/>
      <c r="Q4727" s="40">
        <v>39967</v>
      </c>
      <c r="R4727" s="39">
        <v>5054.53</v>
      </c>
      <c r="S4727" s="39">
        <f t="shared" ref="S4727:S4790" si="463">MONTH(Q4727)</f>
        <v>6</v>
      </c>
      <c r="T4727" s="39">
        <f t="shared" ref="T4727:T4790" si="464">IF(S4728&lt;&gt;S4727,R4727,0)</f>
        <v>0</v>
      </c>
      <c r="U4727" s="39">
        <f t="shared" ref="U4727:U4790" si="465">IF(S4728=S4727,0,R4727)</f>
        <v>0</v>
      </c>
      <c r="V4727" s="40"/>
    </row>
    <row r="4728" spans="2:22" x14ac:dyDescent="0.35">
      <c r="B4728" s="40">
        <v>39968</v>
      </c>
      <c r="C4728" s="39">
        <v>5064.8</v>
      </c>
      <c r="D4728" s="219">
        <f t="shared" ref="D4728:D4791" si="466">LN(C4728/C4727)</f>
        <v>2.0297793482449001E-3</v>
      </c>
      <c r="F4728" s="40">
        <v>39968</v>
      </c>
      <c r="G4728" s="39">
        <v>5064.8</v>
      </c>
      <c r="H4728" s="39">
        <f t="shared" si="461"/>
        <v>4</v>
      </c>
      <c r="I4728" s="39">
        <f t="shared" si="462"/>
        <v>0</v>
      </c>
      <c r="K4728" s="40"/>
      <c r="Q4728" s="40">
        <v>39968</v>
      </c>
      <c r="R4728" s="39">
        <v>5064.8</v>
      </c>
      <c r="S4728" s="39">
        <f t="shared" si="463"/>
        <v>6</v>
      </c>
      <c r="T4728" s="39">
        <f t="shared" si="464"/>
        <v>0</v>
      </c>
      <c r="U4728" s="39">
        <f t="shared" si="465"/>
        <v>0</v>
      </c>
      <c r="V4728" s="40"/>
    </row>
    <row r="4729" spans="2:22" x14ac:dyDescent="0.35">
      <c r="B4729" s="40">
        <v>39969</v>
      </c>
      <c r="C4729" s="39">
        <v>5077.03</v>
      </c>
      <c r="D4729" s="219">
        <f t="shared" si="466"/>
        <v>2.4117947013981805E-3</v>
      </c>
      <c r="F4729" s="40">
        <v>39969</v>
      </c>
      <c r="G4729" s="39">
        <v>5077.03</v>
      </c>
      <c r="H4729" s="39">
        <f t="shared" si="461"/>
        <v>5</v>
      </c>
      <c r="I4729" s="39">
        <f t="shared" si="462"/>
        <v>5077.03</v>
      </c>
      <c r="K4729" s="40"/>
      <c r="Q4729" s="40">
        <v>39969</v>
      </c>
      <c r="R4729" s="39">
        <v>5077.03</v>
      </c>
      <c r="S4729" s="39">
        <f t="shared" si="463"/>
        <v>6</v>
      </c>
      <c r="T4729" s="39">
        <f t="shared" si="464"/>
        <v>0</v>
      </c>
      <c r="U4729" s="39">
        <f t="shared" si="465"/>
        <v>0</v>
      </c>
      <c r="V4729" s="40"/>
    </row>
    <row r="4730" spans="2:22" x14ac:dyDescent="0.35">
      <c r="B4730" s="40">
        <v>39972</v>
      </c>
      <c r="C4730" s="39">
        <v>5004.72</v>
      </c>
      <c r="D4730" s="219">
        <f t="shared" si="466"/>
        <v>-1.4344977802865125E-2</v>
      </c>
      <c r="F4730" s="40">
        <v>39972</v>
      </c>
      <c r="G4730" s="39">
        <v>5004.72</v>
      </c>
      <c r="H4730" s="39">
        <f t="shared" si="461"/>
        <v>1</v>
      </c>
      <c r="I4730" s="39">
        <f t="shared" si="462"/>
        <v>0</v>
      </c>
      <c r="K4730" s="40"/>
      <c r="Q4730" s="40">
        <v>39972</v>
      </c>
      <c r="R4730" s="39">
        <v>5004.72</v>
      </c>
      <c r="S4730" s="39">
        <f t="shared" si="463"/>
        <v>6</v>
      </c>
      <c r="T4730" s="39">
        <f t="shared" si="464"/>
        <v>0</v>
      </c>
      <c r="U4730" s="39">
        <f t="shared" si="465"/>
        <v>0</v>
      </c>
      <c r="V4730" s="40"/>
    </row>
    <row r="4731" spans="2:22" x14ac:dyDescent="0.35">
      <c r="B4731" s="40">
        <v>39973</v>
      </c>
      <c r="C4731" s="39">
        <v>4997.8599999999997</v>
      </c>
      <c r="D4731" s="219">
        <f t="shared" si="466"/>
        <v>-1.3716463303552065E-3</v>
      </c>
      <c r="F4731" s="40">
        <v>39973</v>
      </c>
      <c r="G4731" s="39">
        <v>4997.8599999999997</v>
      </c>
      <c r="H4731" s="39">
        <f t="shared" si="461"/>
        <v>2</v>
      </c>
      <c r="I4731" s="39">
        <f t="shared" si="462"/>
        <v>0</v>
      </c>
      <c r="K4731" s="40"/>
      <c r="Q4731" s="40">
        <v>39973</v>
      </c>
      <c r="R4731" s="39">
        <v>4997.8599999999997</v>
      </c>
      <c r="S4731" s="39">
        <f t="shared" si="463"/>
        <v>6</v>
      </c>
      <c r="T4731" s="39">
        <f t="shared" si="464"/>
        <v>0</v>
      </c>
      <c r="U4731" s="39">
        <f t="shared" si="465"/>
        <v>0</v>
      </c>
      <c r="V4731" s="40"/>
    </row>
    <row r="4732" spans="2:22" x14ac:dyDescent="0.35">
      <c r="B4732" s="40">
        <v>39974</v>
      </c>
      <c r="C4732" s="39">
        <v>5051.18</v>
      </c>
      <c r="D4732" s="219">
        <f t="shared" si="466"/>
        <v>1.0612058542615011E-2</v>
      </c>
      <c r="F4732" s="40">
        <v>39974</v>
      </c>
      <c r="G4732" s="39">
        <v>5051.18</v>
      </c>
      <c r="H4732" s="39">
        <f t="shared" si="461"/>
        <v>3</v>
      </c>
      <c r="I4732" s="39">
        <f t="shared" si="462"/>
        <v>0</v>
      </c>
      <c r="K4732" s="40"/>
      <c r="Q4732" s="40">
        <v>39974</v>
      </c>
      <c r="R4732" s="39">
        <v>5051.18</v>
      </c>
      <c r="S4732" s="39">
        <f t="shared" si="463"/>
        <v>6</v>
      </c>
      <c r="T4732" s="39">
        <f t="shared" si="464"/>
        <v>0</v>
      </c>
      <c r="U4732" s="39">
        <f t="shared" si="465"/>
        <v>0</v>
      </c>
      <c r="V4732" s="40"/>
    </row>
    <row r="4733" spans="2:22" x14ac:dyDescent="0.35">
      <c r="B4733" s="40">
        <v>39975</v>
      </c>
      <c r="C4733" s="39">
        <v>5107.26</v>
      </c>
      <c r="D4733" s="219">
        <f t="shared" si="466"/>
        <v>1.104117752601746E-2</v>
      </c>
      <c r="F4733" s="40">
        <v>39975</v>
      </c>
      <c r="G4733" s="39">
        <v>5107.26</v>
      </c>
      <c r="H4733" s="39">
        <f t="shared" si="461"/>
        <v>4</v>
      </c>
      <c r="I4733" s="39">
        <f t="shared" si="462"/>
        <v>0</v>
      </c>
      <c r="K4733" s="40"/>
      <c r="Q4733" s="40">
        <v>39975</v>
      </c>
      <c r="R4733" s="39">
        <v>5107.26</v>
      </c>
      <c r="S4733" s="39">
        <f t="shared" si="463"/>
        <v>6</v>
      </c>
      <c r="T4733" s="39">
        <f t="shared" si="464"/>
        <v>0</v>
      </c>
      <c r="U4733" s="39">
        <f t="shared" si="465"/>
        <v>0</v>
      </c>
      <c r="V4733" s="40"/>
    </row>
    <row r="4734" spans="2:22" x14ac:dyDescent="0.35">
      <c r="B4734" s="40">
        <v>39976</v>
      </c>
      <c r="C4734" s="39">
        <v>5069.24</v>
      </c>
      <c r="D4734" s="219">
        <f t="shared" si="466"/>
        <v>-7.4721518985037989E-3</v>
      </c>
      <c r="F4734" s="40">
        <v>39976</v>
      </c>
      <c r="G4734" s="39">
        <v>5069.24</v>
      </c>
      <c r="H4734" s="39">
        <f t="shared" si="461"/>
        <v>5</v>
      </c>
      <c r="I4734" s="39">
        <f t="shared" si="462"/>
        <v>5069.24</v>
      </c>
      <c r="K4734" s="40"/>
      <c r="Q4734" s="40">
        <v>39976</v>
      </c>
      <c r="R4734" s="39">
        <v>5069.24</v>
      </c>
      <c r="S4734" s="39">
        <f t="shared" si="463"/>
        <v>6</v>
      </c>
      <c r="T4734" s="39">
        <f t="shared" si="464"/>
        <v>0</v>
      </c>
      <c r="U4734" s="39">
        <f t="shared" si="465"/>
        <v>0</v>
      </c>
      <c r="V4734" s="40"/>
    </row>
    <row r="4735" spans="2:22" x14ac:dyDescent="0.35">
      <c r="B4735" s="40">
        <v>39979</v>
      </c>
      <c r="C4735" s="39">
        <v>4889.9399999999996</v>
      </c>
      <c r="D4735" s="219">
        <f t="shared" si="466"/>
        <v>-3.6010871513232359E-2</v>
      </c>
      <c r="F4735" s="40">
        <v>39979</v>
      </c>
      <c r="G4735" s="39">
        <v>4889.9399999999996</v>
      </c>
      <c r="H4735" s="39">
        <f t="shared" si="461"/>
        <v>1</v>
      </c>
      <c r="I4735" s="39">
        <f t="shared" si="462"/>
        <v>0</v>
      </c>
      <c r="K4735" s="40"/>
      <c r="Q4735" s="40">
        <v>39979</v>
      </c>
      <c r="R4735" s="39">
        <v>4889.9399999999996</v>
      </c>
      <c r="S4735" s="39">
        <f t="shared" si="463"/>
        <v>6</v>
      </c>
      <c r="T4735" s="39">
        <f t="shared" si="464"/>
        <v>0</v>
      </c>
      <c r="U4735" s="39">
        <f t="shared" si="465"/>
        <v>0</v>
      </c>
      <c r="V4735" s="40"/>
    </row>
    <row r="4736" spans="2:22" x14ac:dyDescent="0.35">
      <c r="B4736" s="40">
        <v>39980</v>
      </c>
      <c r="C4736" s="39">
        <v>4890.72</v>
      </c>
      <c r="D4736" s="219">
        <f t="shared" si="466"/>
        <v>1.5949843909385578E-4</v>
      </c>
      <c r="F4736" s="40">
        <v>39980</v>
      </c>
      <c r="G4736" s="39">
        <v>4890.72</v>
      </c>
      <c r="H4736" s="39">
        <f t="shared" si="461"/>
        <v>2</v>
      </c>
      <c r="I4736" s="39">
        <f t="shared" si="462"/>
        <v>0</v>
      </c>
      <c r="K4736" s="40"/>
      <c r="Q4736" s="40">
        <v>39980</v>
      </c>
      <c r="R4736" s="39">
        <v>4890.72</v>
      </c>
      <c r="S4736" s="39">
        <f t="shared" si="463"/>
        <v>6</v>
      </c>
      <c r="T4736" s="39">
        <f t="shared" si="464"/>
        <v>0</v>
      </c>
      <c r="U4736" s="39">
        <f t="shared" si="465"/>
        <v>0</v>
      </c>
      <c r="V4736" s="40"/>
    </row>
    <row r="4737" spans="2:22" x14ac:dyDescent="0.35">
      <c r="B4737" s="40">
        <v>39981</v>
      </c>
      <c r="C4737" s="39">
        <v>4799.9799999999996</v>
      </c>
      <c r="D4737" s="219">
        <f t="shared" si="466"/>
        <v>-1.872778067344999E-2</v>
      </c>
      <c r="F4737" s="40">
        <v>39981</v>
      </c>
      <c r="G4737" s="39">
        <v>4799.9799999999996</v>
      </c>
      <c r="H4737" s="39">
        <f t="shared" si="461"/>
        <v>3</v>
      </c>
      <c r="I4737" s="39">
        <f t="shared" si="462"/>
        <v>0</v>
      </c>
      <c r="K4737" s="40"/>
      <c r="Q4737" s="40">
        <v>39981</v>
      </c>
      <c r="R4737" s="39">
        <v>4799.9799999999996</v>
      </c>
      <c r="S4737" s="39">
        <f t="shared" si="463"/>
        <v>6</v>
      </c>
      <c r="T4737" s="39">
        <f t="shared" si="464"/>
        <v>0</v>
      </c>
      <c r="U4737" s="39">
        <f t="shared" si="465"/>
        <v>0</v>
      </c>
      <c r="V4737" s="40"/>
    </row>
    <row r="4738" spans="2:22" x14ac:dyDescent="0.35">
      <c r="B4738" s="40">
        <v>39982</v>
      </c>
      <c r="C4738" s="39">
        <v>4837.4799999999996</v>
      </c>
      <c r="D4738" s="219">
        <f t="shared" si="466"/>
        <v>7.7821727419305651E-3</v>
      </c>
      <c r="F4738" s="40">
        <v>39982</v>
      </c>
      <c r="G4738" s="39">
        <v>4837.4799999999996</v>
      </c>
      <c r="H4738" s="39">
        <f t="shared" si="461"/>
        <v>4</v>
      </c>
      <c r="I4738" s="39">
        <f t="shared" si="462"/>
        <v>0</v>
      </c>
      <c r="K4738" s="40"/>
      <c r="Q4738" s="40">
        <v>39982</v>
      </c>
      <c r="R4738" s="39">
        <v>4837.4799999999996</v>
      </c>
      <c r="S4738" s="39">
        <f t="shared" si="463"/>
        <v>6</v>
      </c>
      <c r="T4738" s="39">
        <f t="shared" si="464"/>
        <v>0</v>
      </c>
      <c r="U4738" s="39">
        <f t="shared" si="465"/>
        <v>0</v>
      </c>
      <c r="V4738" s="40"/>
    </row>
    <row r="4739" spans="2:22" x14ac:dyDescent="0.35">
      <c r="B4739" s="40">
        <v>39983</v>
      </c>
      <c r="C4739" s="39">
        <v>4839.46</v>
      </c>
      <c r="D4739" s="219">
        <f t="shared" si="466"/>
        <v>4.0922027575474127E-4</v>
      </c>
      <c r="F4739" s="40">
        <v>39983</v>
      </c>
      <c r="G4739" s="39">
        <v>4839.46</v>
      </c>
      <c r="H4739" s="39">
        <f t="shared" si="461"/>
        <v>5</v>
      </c>
      <c r="I4739" s="39">
        <f t="shared" si="462"/>
        <v>4839.46</v>
      </c>
      <c r="K4739" s="40"/>
      <c r="Q4739" s="40">
        <v>39983</v>
      </c>
      <c r="R4739" s="39">
        <v>4839.46</v>
      </c>
      <c r="S4739" s="39">
        <f t="shared" si="463"/>
        <v>6</v>
      </c>
      <c r="T4739" s="39">
        <f t="shared" si="464"/>
        <v>0</v>
      </c>
      <c r="U4739" s="39">
        <f t="shared" si="465"/>
        <v>0</v>
      </c>
      <c r="V4739" s="40"/>
    </row>
    <row r="4740" spans="2:22" x14ac:dyDescent="0.35">
      <c r="B4740" s="40">
        <v>39986</v>
      </c>
      <c r="C4740" s="39">
        <v>4693.3999999999996</v>
      </c>
      <c r="D4740" s="219">
        <f t="shared" si="466"/>
        <v>-3.0645877749825887E-2</v>
      </c>
      <c r="F4740" s="40">
        <v>39986</v>
      </c>
      <c r="G4740" s="39">
        <v>4693.3999999999996</v>
      </c>
      <c r="H4740" s="39">
        <f t="shared" si="461"/>
        <v>1</v>
      </c>
      <c r="I4740" s="39">
        <f t="shared" si="462"/>
        <v>0</v>
      </c>
      <c r="K4740" s="40"/>
      <c r="Q4740" s="40">
        <v>39986</v>
      </c>
      <c r="R4740" s="39">
        <v>4693.3999999999996</v>
      </c>
      <c r="S4740" s="39">
        <f t="shared" si="463"/>
        <v>6</v>
      </c>
      <c r="T4740" s="39">
        <f t="shared" si="464"/>
        <v>0</v>
      </c>
      <c r="U4740" s="39">
        <f t="shared" si="465"/>
        <v>0</v>
      </c>
      <c r="V4740" s="40"/>
    </row>
    <row r="4741" spans="2:22" x14ac:dyDescent="0.35">
      <c r="B4741" s="40">
        <v>39987</v>
      </c>
      <c r="C4741" s="39">
        <v>4707.1499999999996</v>
      </c>
      <c r="D4741" s="219">
        <f t="shared" si="466"/>
        <v>2.9253628363767629E-3</v>
      </c>
      <c r="F4741" s="40">
        <v>39987</v>
      </c>
      <c r="G4741" s="39">
        <v>4707.1499999999996</v>
      </c>
      <c r="H4741" s="39">
        <f t="shared" si="461"/>
        <v>2</v>
      </c>
      <c r="I4741" s="39">
        <f t="shared" si="462"/>
        <v>0</v>
      </c>
      <c r="K4741" s="40"/>
      <c r="Q4741" s="40">
        <v>39987</v>
      </c>
      <c r="R4741" s="39">
        <v>4707.1499999999996</v>
      </c>
      <c r="S4741" s="39">
        <f t="shared" si="463"/>
        <v>6</v>
      </c>
      <c r="T4741" s="39">
        <f t="shared" si="464"/>
        <v>0</v>
      </c>
      <c r="U4741" s="39">
        <f t="shared" si="465"/>
        <v>0</v>
      </c>
      <c r="V4741" s="40"/>
    </row>
    <row r="4742" spans="2:22" x14ac:dyDescent="0.35">
      <c r="B4742" s="40">
        <v>39988</v>
      </c>
      <c r="C4742" s="39">
        <v>4836.01</v>
      </c>
      <c r="D4742" s="219">
        <f t="shared" si="466"/>
        <v>2.7007371232322355E-2</v>
      </c>
      <c r="F4742" s="40">
        <v>39988</v>
      </c>
      <c r="G4742" s="39">
        <v>4836.01</v>
      </c>
      <c r="H4742" s="39">
        <f t="shared" si="461"/>
        <v>3</v>
      </c>
      <c r="I4742" s="39">
        <f t="shared" si="462"/>
        <v>0</v>
      </c>
      <c r="K4742" s="40"/>
      <c r="Q4742" s="40">
        <v>39988</v>
      </c>
      <c r="R4742" s="39">
        <v>4836.01</v>
      </c>
      <c r="S4742" s="39">
        <f t="shared" si="463"/>
        <v>6</v>
      </c>
      <c r="T4742" s="39">
        <f t="shared" si="464"/>
        <v>0</v>
      </c>
      <c r="U4742" s="39">
        <f t="shared" si="465"/>
        <v>0</v>
      </c>
      <c r="V4742" s="40"/>
    </row>
    <row r="4743" spans="2:22" x14ac:dyDescent="0.35">
      <c r="B4743" s="40">
        <v>39989</v>
      </c>
      <c r="C4743" s="39">
        <v>4800.5600000000004</v>
      </c>
      <c r="D4743" s="219">
        <f t="shared" si="466"/>
        <v>-7.3574227995710549E-3</v>
      </c>
      <c r="F4743" s="40">
        <v>39989</v>
      </c>
      <c r="G4743" s="39">
        <v>4800.5600000000004</v>
      </c>
      <c r="H4743" s="39">
        <f t="shared" si="461"/>
        <v>4</v>
      </c>
      <c r="I4743" s="39">
        <f t="shared" si="462"/>
        <v>0</v>
      </c>
      <c r="K4743" s="40"/>
      <c r="Q4743" s="40">
        <v>39989</v>
      </c>
      <c r="R4743" s="39">
        <v>4800.5600000000004</v>
      </c>
      <c r="S4743" s="39">
        <f t="shared" si="463"/>
        <v>6</v>
      </c>
      <c r="T4743" s="39">
        <f t="shared" si="464"/>
        <v>0</v>
      </c>
      <c r="U4743" s="39">
        <f t="shared" si="465"/>
        <v>0</v>
      </c>
      <c r="V4743" s="40"/>
    </row>
    <row r="4744" spans="2:22" x14ac:dyDescent="0.35">
      <c r="B4744" s="40">
        <v>39990</v>
      </c>
      <c r="C4744" s="39">
        <v>4776.47</v>
      </c>
      <c r="D4744" s="219">
        <f t="shared" si="466"/>
        <v>-5.0307978167864311E-3</v>
      </c>
      <c r="F4744" s="40">
        <v>39990</v>
      </c>
      <c r="G4744" s="39">
        <v>4776.47</v>
      </c>
      <c r="H4744" s="39">
        <f t="shared" si="461"/>
        <v>5</v>
      </c>
      <c r="I4744" s="39">
        <f t="shared" si="462"/>
        <v>4776.47</v>
      </c>
      <c r="K4744" s="40"/>
      <c r="Q4744" s="40">
        <v>39990</v>
      </c>
      <c r="R4744" s="39">
        <v>4776.47</v>
      </c>
      <c r="S4744" s="39">
        <f t="shared" si="463"/>
        <v>6</v>
      </c>
      <c r="T4744" s="39">
        <f t="shared" si="464"/>
        <v>0</v>
      </c>
      <c r="U4744" s="39">
        <f t="shared" si="465"/>
        <v>0</v>
      </c>
      <c r="V4744" s="40"/>
    </row>
    <row r="4745" spans="2:22" x14ac:dyDescent="0.35">
      <c r="B4745" s="40">
        <v>39993</v>
      </c>
      <c r="C4745" s="39">
        <v>4885.09</v>
      </c>
      <c r="D4745" s="219">
        <f t="shared" si="466"/>
        <v>2.2485929112493325E-2</v>
      </c>
      <c r="F4745" s="40">
        <v>39993</v>
      </c>
      <c r="G4745" s="39">
        <v>4885.09</v>
      </c>
      <c r="H4745" s="39">
        <f t="shared" si="461"/>
        <v>1</v>
      </c>
      <c r="I4745" s="39">
        <f t="shared" si="462"/>
        <v>0</v>
      </c>
      <c r="K4745" s="40"/>
      <c r="Q4745" s="40">
        <v>39993</v>
      </c>
      <c r="R4745" s="39">
        <v>4885.09</v>
      </c>
      <c r="S4745" s="39">
        <f t="shared" si="463"/>
        <v>6</v>
      </c>
      <c r="T4745" s="39">
        <f t="shared" si="464"/>
        <v>0</v>
      </c>
      <c r="U4745" s="39">
        <f t="shared" si="465"/>
        <v>0</v>
      </c>
      <c r="V4745" s="40"/>
    </row>
    <row r="4746" spans="2:22" x14ac:dyDescent="0.35">
      <c r="B4746" s="40">
        <v>39994</v>
      </c>
      <c r="C4746" s="39">
        <v>4808.6400000000003</v>
      </c>
      <c r="D4746" s="219">
        <f t="shared" si="466"/>
        <v>-1.5773409215968016E-2</v>
      </c>
      <c r="F4746" s="40">
        <v>39994</v>
      </c>
      <c r="G4746" s="39">
        <v>4808.6400000000003</v>
      </c>
      <c r="H4746" s="39">
        <f t="shared" si="461"/>
        <v>2</v>
      </c>
      <c r="I4746" s="39">
        <f t="shared" si="462"/>
        <v>0</v>
      </c>
      <c r="K4746" s="40"/>
      <c r="Q4746" s="40">
        <v>39994</v>
      </c>
      <c r="R4746" s="39">
        <v>4808.6400000000003</v>
      </c>
      <c r="S4746" s="39">
        <f t="shared" si="463"/>
        <v>6</v>
      </c>
      <c r="T4746" s="39">
        <f t="shared" si="464"/>
        <v>4808.6400000000003</v>
      </c>
      <c r="U4746" s="39">
        <f t="shared" si="465"/>
        <v>4808.6400000000003</v>
      </c>
      <c r="V4746" s="40"/>
    </row>
    <row r="4747" spans="2:22" x14ac:dyDescent="0.35">
      <c r="B4747" s="40">
        <v>39995</v>
      </c>
      <c r="C4747" s="39">
        <v>4905.4399999999996</v>
      </c>
      <c r="D4747" s="219">
        <f t="shared" si="466"/>
        <v>1.9930493522186461E-2</v>
      </c>
      <c r="F4747" s="40">
        <v>39995</v>
      </c>
      <c r="G4747" s="39">
        <v>4905.4399999999996</v>
      </c>
      <c r="H4747" s="39">
        <f t="shared" si="461"/>
        <v>3</v>
      </c>
      <c r="I4747" s="39">
        <f t="shared" si="462"/>
        <v>0</v>
      </c>
      <c r="K4747" s="40"/>
      <c r="Q4747" s="40">
        <v>39995</v>
      </c>
      <c r="R4747" s="39">
        <v>4905.4399999999996</v>
      </c>
      <c r="S4747" s="39">
        <f t="shared" si="463"/>
        <v>7</v>
      </c>
      <c r="T4747" s="39">
        <f t="shared" si="464"/>
        <v>0</v>
      </c>
      <c r="U4747" s="39">
        <f t="shared" si="465"/>
        <v>0</v>
      </c>
      <c r="V4747" s="40"/>
    </row>
    <row r="4748" spans="2:22" x14ac:dyDescent="0.35">
      <c r="B4748" s="40">
        <v>39996</v>
      </c>
      <c r="C4748" s="39">
        <v>4718.49</v>
      </c>
      <c r="D4748" s="219">
        <f t="shared" si="466"/>
        <v>-3.8855960217985999E-2</v>
      </c>
      <c r="F4748" s="40">
        <v>39996</v>
      </c>
      <c r="G4748" s="39">
        <v>4718.49</v>
      </c>
      <c r="H4748" s="39">
        <f t="shared" si="461"/>
        <v>4</v>
      </c>
      <c r="I4748" s="39">
        <f t="shared" si="462"/>
        <v>0</v>
      </c>
      <c r="K4748" s="40"/>
      <c r="Q4748" s="40">
        <v>39996</v>
      </c>
      <c r="R4748" s="39">
        <v>4718.49</v>
      </c>
      <c r="S4748" s="39">
        <f t="shared" si="463"/>
        <v>7</v>
      </c>
      <c r="T4748" s="39">
        <f t="shared" si="464"/>
        <v>0</v>
      </c>
      <c r="U4748" s="39">
        <f t="shared" si="465"/>
        <v>0</v>
      </c>
      <c r="V4748" s="40"/>
    </row>
    <row r="4749" spans="2:22" x14ac:dyDescent="0.35">
      <c r="B4749" s="40">
        <v>39997</v>
      </c>
      <c r="C4749" s="39">
        <v>4708.21</v>
      </c>
      <c r="D4749" s="219">
        <f t="shared" si="466"/>
        <v>-2.1810398283825484E-3</v>
      </c>
      <c r="F4749" s="40">
        <v>39997</v>
      </c>
      <c r="G4749" s="39">
        <v>4708.21</v>
      </c>
      <c r="H4749" s="39">
        <f t="shared" si="461"/>
        <v>5</v>
      </c>
      <c r="I4749" s="39">
        <f t="shared" si="462"/>
        <v>4708.21</v>
      </c>
      <c r="K4749" s="40"/>
      <c r="Q4749" s="40">
        <v>39997</v>
      </c>
      <c r="R4749" s="39">
        <v>4708.21</v>
      </c>
      <c r="S4749" s="39">
        <f t="shared" si="463"/>
        <v>7</v>
      </c>
      <c r="T4749" s="39">
        <f t="shared" si="464"/>
        <v>0</v>
      </c>
      <c r="U4749" s="39">
        <f t="shared" si="465"/>
        <v>0</v>
      </c>
      <c r="V4749" s="40"/>
    </row>
    <row r="4750" spans="2:22" x14ac:dyDescent="0.35">
      <c r="B4750" s="40">
        <v>40000</v>
      </c>
      <c r="C4750" s="39">
        <v>4651.82</v>
      </c>
      <c r="D4750" s="219">
        <f t="shared" si="466"/>
        <v>-1.204925245847314E-2</v>
      </c>
      <c r="F4750" s="40">
        <v>40000</v>
      </c>
      <c r="G4750" s="39">
        <v>4651.82</v>
      </c>
      <c r="H4750" s="39">
        <f t="shared" si="461"/>
        <v>1</v>
      </c>
      <c r="I4750" s="39">
        <f t="shared" si="462"/>
        <v>0</v>
      </c>
      <c r="K4750" s="40"/>
      <c r="Q4750" s="40">
        <v>40000</v>
      </c>
      <c r="R4750" s="39">
        <v>4651.82</v>
      </c>
      <c r="S4750" s="39">
        <f t="shared" si="463"/>
        <v>7</v>
      </c>
      <c r="T4750" s="39">
        <f t="shared" si="464"/>
        <v>0</v>
      </c>
      <c r="U4750" s="39">
        <f t="shared" si="465"/>
        <v>0</v>
      </c>
      <c r="V4750" s="40"/>
    </row>
    <row r="4751" spans="2:22" x14ac:dyDescent="0.35">
      <c r="B4751" s="40">
        <v>40001</v>
      </c>
      <c r="C4751" s="39">
        <v>4598.1899999999996</v>
      </c>
      <c r="D4751" s="219">
        <f t="shared" si="466"/>
        <v>-1.159579307127347E-2</v>
      </c>
      <c r="F4751" s="40">
        <v>40001</v>
      </c>
      <c r="G4751" s="39">
        <v>4598.1899999999996</v>
      </c>
      <c r="H4751" s="39">
        <f t="shared" si="461"/>
        <v>2</v>
      </c>
      <c r="I4751" s="39">
        <f t="shared" si="462"/>
        <v>0</v>
      </c>
      <c r="K4751" s="40"/>
      <c r="Q4751" s="40">
        <v>40001</v>
      </c>
      <c r="R4751" s="39">
        <v>4598.1899999999996</v>
      </c>
      <c r="S4751" s="39">
        <f t="shared" si="463"/>
        <v>7</v>
      </c>
      <c r="T4751" s="39">
        <f t="shared" si="464"/>
        <v>0</v>
      </c>
      <c r="U4751" s="39">
        <f t="shared" si="465"/>
        <v>0</v>
      </c>
      <c r="V4751" s="40"/>
    </row>
    <row r="4752" spans="2:22" x14ac:dyDescent="0.35">
      <c r="B4752" s="40">
        <v>40002</v>
      </c>
      <c r="C4752" s="39">
        <v>4572.6499999999996</v>
      </c>
      <c r="D4752" s="219">
        <f t="shared" si="466"/>
        <v>-5.5698422451060927E-3</v>
      </c>
      <c r="F4752" s="40">
        <v>40002</v>
      </c>
      <c r="G4752" s="39">
        <v>4572.6499999999996</v>
      </c>
      <c r="H4752" s="39">
        <f t="shared" si="461"/>
        <v>3</v>
      </c>
      <c r="I4752" s="39">
        <f t="shared" si="462"/>
        <v>0</v>
      </c>
      <c r="K4752" s="40"/>
      <c r="Q4752" s="40">
        <v>40002</v>
      </c>
      <c r="R4752" s="39">
        <v>4572.6499999999996</v>
      </c>
      <c r="S4752" s="39">
        <f t="shared" si="463"/>
        <v>7</v>
      </c>
      <c r="T4752" s="39">
        <f t="shared" si="464"/>
        <v>0</v>
      </c>
      <c r="U4752" s="39">
        <f t="shared" si="465"/>
        <v>0</v>
      </c>
      <c r="V4752" s="40"/>
    </row>
    <row r="4753" spans="2:22" x14ac:dyDescent="0.35">
      <c r="B4753" s="40">
        <v>40003</v>
      </c>
      <c r="C4753" s="39">
        <v>4630.07</v>
      </c>
      <c r="D4753" s="219">
        <f t="shared" si="466"/>
        <v>1.2479081218161664E-2</v>
      </c>
      <c r="F4753" s="40">
        <v>40003</v>
      </c>
      <c r="G4753" s="39">
        <v>4630.07</v>
      </c>
      <c r="H4753" s="39">
        <f t="shared" si="461"/>
        <v>4</v>
      </c>
      <c r="I4753" s="39">
        <f t="shared" si="462"/>
        <v>0</v>
      </c>
      <c r="K4753" s="40"/>
      <c r="Q4753" s="40">
        <v>40003</v>
      </c>
      <c r="R4753" s="39">
        <v>4630.07</v>
      </c>
      <c r="S4753" s="39">
        <f t="shared" si="463"/>
        <v>7</v>
      </c>
      <c r="T4753" s="39">
        <f t="shared" si="464"/>
        <v>0</v>
      </c>
      <c r="U4753" s="39">
        <f t="shared" si="465"/>
        <v>0</v>
      </c>
      <c r="V4753" s="40"/>
    </row>
    <row r="4754" spans="2:22" x14ac:dyDescent="0.35">
      <c r="B4754" s="40">
        <v>40004</v>
      </c>
      <c r="C4754" s="39">
        <v>4576.3100000000004</v>
      </c>
      <c r="D4754" s="219">
        <f t="shared" si="466"/>
        <v>-1.16789902361823E-2</v>
      </c>
      <c r="F4754" s="40">
        <v>40004</v>
      </c>
      <c r="G4754" s="39">
        <v>4576.3100000000004</v>
      </c>
      <c r="H4754" s="39">
        <f t="shared" si="461"/>
        <v>5</v>
      </c>
      <c r="I4754" s="39">
        <f t="shared" si="462"/>
        <v>4576.3100000000004</v>
      </c>
      <c r="K4754" s="40"/>
      <c r="Q4754" s="40">
        <v>40004</v>
      </c>
      <c r="R4754" s="39">
        <v>4576.3100000000004</v>
      </c>
      <c r="S4754" s="39">
        <f t="shared" si="463"/>
        <v>7</v>
      </c>
      <c r="T4754" s="39">
        <f t="shared" si="464"/>
        <v>0</v>
      </c>
      <c r="U4754" s="39">
        <f t="shared" si="465"/>
        <v>0</v>
      </c>
      <c r="V4754" s="40"/>
    </row>
    <row r="4755" spans="2:22" x14ac:dyDescent="0.35">
      <c r="B4755" s="40">
        <v>40007</v>
      </c>
      <c r="C4755" s="39">
        <v>4722.34</v>
      </c>
      <c r="D4755" s="219">
        <f t="shared" si="466"/>
        <v>3.1411442921427016E-2</v>
      </c>
      <c r="F4755" s="40">
        <v>40007</v>
      </c>
      <c r="G4755" s="39">
        <v>4722.34</v>
      </c>
      <c r="H4755" s="39">
        <f t="shared" si="461"/>
        <v>1</v>
      </c>
      <c r="I4755" s="39">
        <f t="shared" si="462"/>
        <v>0</v>
      </c>
      <c r="K4755" s="40"/>
      <c r="Q4755" s="40">
        <v>40007</v>
      </c>
      <c r="R4755" s="39">
        <v>4722.34</v>
      </c>
      <c r="S4755" s="39">
        <f t="shared" si="463"/>
        <v>7</v>
      </c>
      <c r="T4755" s="39">
        <f t="shared" si="464"/>
        <v>0</v>
      </c>
      <c r="U4755" s="39">
        <f t="shared" si="465"/>
        <v>0</v>
      </c>
      <c r="V4755" s="40"/>
    </row>
    <row r="4756" spans="2:22" x14ac:dyDescent="0.35">
      <c r="B4756" s="40">
        <v>40008</v>
      </c>
      <c r="C4756" s="39">
        <v>4781.6899999999996</v>
      </c>
      <c r="D4756" s="219">
        <f t="shared" si="466"/>
        <v>1.248960104275745E-2</v>
      </c>
      <c r="F4756" s="40">
        <v>40008</v>
      </c>
      <c r="G4756" s="39">
        <v>4781.6899999999996</v>
      </c>
      <c r="H4756" s="39">
        <f t="shared" si="461"/>
        <v>2</v>
      </c>
      <c r="I4756" s="39">
        <f t="shared" si="462"/>
        <v>0</v>
      </c>
      <c r="K4756" s="40"/>
      <c r="Q4756" s="40">
        <v>40008</v>
      </c>
      <c r="R4756" s="39">
        <v>4781.6899999999996</v>
      </c>
      <c r="S4756" s="39">
        <f t="shared" si="463"/>
        <v>7</v>
      </c>
      <c r="T4756" s="39">
        <f t="shared" si="464"/>
        <v>0</v>
      </c>
      <c r="U4756" s="39">
        <f t="shared" si="465"/>
        <v>0</v>
      </c>
      <c r="V4756" s="40"/>
    </row>
    <row r="4757" spans="2:22" x14ac:dyDescent="0.35">
      <c r="B4757" s="40">
        <v>40009</v>
      </c>
      <c r="C4757" s="39">
        <v>4928.4399999999996</v>
      </c>
      <c r="D4757" s="219">
        <f t="shared" si="466"/>
        <v>3.0228467457418324E-2</v>
      </c>
      <c r="F4757" s="40">
        <v>40009</v>
      </c>
      <c r="G4757" s="39">
        <v>4928.4399999999996</v>
      </c>
      <c r="H4757" s="39">
        <f t="shared" si="461"/>
        <v>3</v>
      </c>
      <c r="I4757" s="39">
        <f t="shared" si="462"/>
        <v>0</v>
      </c>
      <c r="K4757" s="40"/>
      <c r="Q4757" s="40">
        <v>40009</v>
      </c>
      <c r="R4757" s="39">
        <v>4928.4399999999996</v>
      </c>
      <c r="S4757" s="39">
        <f t="shared" si="463"/>
        <v>7</v>
      </c>
      <c r="T4757" s="39">
        <f t="shared" si="464"/>
        <v>0</v>
      </c>
      <c r="U4757" s="39">
        <f t="shared" si="465"/>
        <v>0</v>
      </c>
      <c r="V4757" s="40"/>
    </row>
    <row r="4758" spans="2:22" x14ac:dyDescent="0.35">
      <c r="B4758" s="40">
        <v>40010</v>
      </c>
      <c r="C4758" s="39">
        <v>4957.1899999999996</v>
      </c>
      <c r="D4758" s="219">
        <f t="shared" si="466"/>
        <v>5.816539978962719E-3</v>
      </c>
      <c r="F4758" s="40">
        <v>40010</v>
      </c>
      <c r="G4758" s="39">
        <v>4957.1899999999996</v>
      </c>
      <c r="H4758" s="39">
        <f t="shared" si="461"/>
        <v>4</v>
      </c>
      <c r="I4758" s="39">
        <f t="shared" si="462"/>
        <v>0</v>
      </c>
      <c r="K4758" s="40"/>
      <c r="Q4758" s="40">
        <v>40010</v>
      </c>
      <c r="R4758" s="39">
        <v>4957.1899999999996</v>
      </c>
      <c r="S4758" s="39">
        <f t="shared" si="463"/>
        <v>7</v>
      </c>
      <c r="T4758" s="39">
        <f t="shared" si="464"/>
        <v>0</v>
      </c>
      <c r="U4758" s="39">
        <f t="shared" si="465"/>
        <v>0</v>
      </c>
      <c r="V4758" s="40"/>
    </row>
    <row r="4759" spans="2:22" x14ac:dyDescent="0.35">
      <c r="B4759" s="40">
        <v>40011</v>
      </c>
      <c r="C4759" s="39">
        <v>4978.3999999999996</v>
      </c>
      <c r="D4759" s="219">
        <f t="shared" si="466"/>
        <v>4.2695063341360463E-3</v>
      </c>
      <c r="F4759" s="40">
        <v>40011</v>
      </c>
      <c r="G4759" s="39">
        <v>4978.3999999999996</v>
      </c>
      <c r="H4759" s="39">
        <f t="shared" si="461"/>
        <v>5</v>
      </c>
      <c r="I4759" s="39">
        <f t="shared" si="462"/>
        <v>4978.3999999999996</v>
      </c>
      <c r="K4759" s="40"/>
      <c r="Q4759" s="40">
        <v>40011</v>
      </c>
      <c r="R4759" s="39">
        <v>4978.3999999999996</v>
      </c>
      <c r="S4759" s="39">
        <f t="shared" si="463"/>
        <v>7</v>
      </c>
      <c r="T4759" s="39">
        <f t="shared" si="464"/>
        <v>0</v>
      </c>
      <c r="U4759" s="39">
        <f t="shared" si="465"/>
        <v>0</v>
      </c>
      <c r="V4759" s="40"/>
    </row>
    <row r="4760" spans="2:22" x14ac:dyDescent="0.35">
      <c r="B4760" s="40">
        <v>40014</v>
      </c>
      <c r="C4760" s="39">
        <v>5030.1499999999996</v>
      </c>
      <c r="D4760" s="219">
        <f t="shared" si="466"/>
        <v>1.0341250467696114E-2</v>
      </c>
      <c r="F4760" s="40">
        <v>40014</v>
      </c>
      <c r="G4760" s="39">
        <v>5030.1499999999996</v>
      </c>
      <c r="H4760" s="39">
        <f t="shared" si="461"/>
        <v>1</v>
      </c>
      <c r="I4760" s="39">
        <f t="shared" si="462"/>
        <v>0</v>
      </c>
      <c r="K4760" s="40"/>
      <c r="Q4760" s="40">
        <v>40014</v>
      </c>
      <c r="R4760" s="39">
        <v>5030.1499999999996</v>
      </c>
      <c r="S4760" s="39">
        <f t="shared" si="463"/>
        <v>7</v>
      </c>
      <c r="T4760" s="39">
        <f t="shared" si="464"/>
        <v>0</v>
      </c>
      <c r="U4760" s="39">
        <f t="shared" si="465"/>
        <v>0</v>
      </c>
      <c r="V4760" s="40"/>
    </row>
    <row r="4761" spans="2:22" x14ac:dyDescent="0.35">
      <c r="B4761" s="40">
        <v>40015</v>
      </c>
      <c r="C4761" s="39">
        <v>5093.97</v>
      </c>
      <c r="D4761" s="219">
        <f t="shared" si="466"/>
        <v>1.2607682517848801E-2</v>
      </c>
      <c r="F4761" s="40">
        <v>40015</v>
      </c>
      <c r="G4761" s="39">
        <v>5093.97</v>
      </c>
      <c r="H4761" s="39">
        <f t="shared" si="461"/>
        <v>2</v>
      </c>
      <c r="I4761" s="39">
        <f t="shared" si="462"/>
        <v>0</v>
      </c>
      <c r="K4761" s="40"/>
      <c r="Q4761" s="40">
        <v>40015</v>
      </c>
      <c r="R4761" s="39">
        <v>5093.97</v>
      </c>
      <c r="S4761" s="39">
        <f t="shared" si="463"/>
        <v>7</v>
      </c>
      <c r="T4761" s="39">
        <f t="shared" si="464"/>
        <v>0</v>
      </c>
      <c r="U4761" s="39">
        <f t="shared" si="465"/>
        <v>0</v>
      </c>
      <c r="V4761" s="40"/>
    </row>
    <row r="4762" spans="2:22" x14ac:dyDescent="0.35">
      <c r="B4762" s="40">
        <v>40016</v>
      </c>
      <c r="C4762" s="39">
        <v>5121.5600000000004</v>
      </c>
      <c r="D4762" s="219">
        <f t="shared" si="466"/>
        <v>5.401592885190638E-3</v>
      </c>
      <c r="F4762" s="40">
        <v>40016</v>
      </c>
      <c r="G4762" s="39">
        <v>5121.5600000000004</v>
      </c>
      <c r="H4762" s="39">
        <f t="shared" si="461"/>
        <v>3</v>
      </c>
      <c r="I4762" s="39">
        <f t="shared" si="462"/>
        <v>0</v>
      </c>
      <c r="K4762" s="40"/>
      <c r="Q4762" s="40">
        <v>40016</v>
      </c>
      <c r="R4762" s="39">
        <v>5121.5600000000004</v>
      </c>
      <c r="S4762" s="39">
        <f t="shared" si="463"/>
        <v>7</v>
      </c>
      <c r="T4762" s="39">
        <f t="shared" si="464"/>
        <v>0</v>
      </c>
      <c r="U4762" s="39">
        <f t="shared" si="465"/>
        <v>0</v>
      </c>
      <c r="V4762" s="40"/>
    </row>
    <row r="4763" spans="2:22" x14ac:dyDescent="0.35">
      <c r="B4763" s="40">
        <v>40017</v>
      </c>
      <c r="C4763" s="39">
        <v>5247.28</v>
      </c>
      <c r="D4763" s="219">
        <f t="shared" si="466"/>
        <v>2.4250766964118528E-2</v>
      </c>
      <c r="F4763" s="40">
        <v>40017</v>
      </c>
      <c r="G4763" s="39">
        <v>5247.28</v>
      </c>
      <c r="H4763" s="39">
        <f t="shared" si="461"/>
        <v>4</v>
      </c>
      <c r="I4763" s="39">
        <f t="shared" si="462"/>
        <v>0</v>
      </c>
      <c r="K4763" s="40"/>
      <c r="Q4763" s="40">
        <v>40017</v>
      </c>
      <c r="R4763" s="39">
        <v>5247.28</v>
      </c>
      <c r="S4763" s="39">
        <f t="shared" si="463"/>
        <v>7</v>
      </c>
      <c r="T4763" s="39">
        <f t="shared" si="464"/>
        <v>0</v>
      </c>
      <c r="U4763" s="39">
        <f t="shared" si="465"/>
        <v>0</v>
      </c>
      <c r="V4763" s="40"/>
    </row>
    <row r="4764" spans="2:22" x14ac:dyDescent="0.35">
      <c r="B4764" s="40">
        <v>40018</v>
      </c>
      <c r="C4764" s="39">
        <v>5229.3599999999997</v>
      </c>
      <c r="D4764" s="219">
        <f t="shared" si="466"/>
        <v>-3.4209474557300103E-3</v>
      </c>
      <c r="F4764" s="40">
        <v>40018</v>
      </c>
      <c r="G4764" s="39">
        <v>5229.3599999999997</v>
      </c>
      <c r="H4764" s="39">
        <f t="shared" si="461"/>
        <v>5</v>
      </c>
      <c r="I4764" s="39">
        <f t="shared" si="462"/>
        <v>5229.3599999999997</v>
      </c>
      <c r="K4764" s="40"/>
      <c r="Q4764" s="40">
        <v>40018</v>
      </c>
      <c r="R4764" s="39">
        <v>5229.3599999999997</v>
      </c>
      <c r="S4764" s="39">
        <f t="shared" si="463"/>
        <v>7</v>
      </c>
      <c r="T4764" s="39">
        <f t="shared" si="464"/>
        <v>0</v>
      </c>
      <c r="U4764" s="39">
        <f t="shared" si="465"/>
        <v>0</v>
      </c>
      <c r="V4764" s="40"/>
    </row>
    <row r="4765" spans="2:22" x14ac:dyDescent="0.35">
      <c r="B4765" s="40">
        <v>40021</v>
      </c>
      <c r="C4765" s="39">
        <v>5251.55</v>
      </c>
      <c r="D4765" s="219">
        <f t="shared" si="466"/>
        <v>4.2343714725853977E-3</v>
      </c>
      <c r="F4765" s="40">
        <v>40021</v>
      </c>
      <c r="G4765" s="39">
        <v>5251.55</v>
      </c>
      <c r="H4765" s="39">
        <f t="shared" si="461"/>
        <v>1</v>
      </c>
      <c r="I4765" s="39">
        <f t="shared" si="462"/>
        <v>0</v>
      </c>
      <c r="K4765" s="40"/>
      <c r="Q4765" s="40">
        <v>40021</v>
      </c>
      <c r="R4765" s="39">
        <v>5251.55</v>
      </c>
      <c r="S4765" s="39">
        <f t="shared" si="463"/>
        <v>7</v>
      </c>
      <c r="T4765" s="39">
        <f t="shared" si="464"/>
        <v>0</v>
      </c>
      <c r="U4765" s="39">
        <f t="shared" si="465"/>
        <v>0</v>
      </c>
      <c r="V4765" s="40"/>
    </row>
    <row r="4766" spans="2:22" x14ac:dyDescent="0.35">
      <c r="B4766" s="40">
        <v>40022</v>
      </c>
      <c r="C4766" s="39">
        <v>5174.74</v>
      </c>
      <c r="D4766" s="219">
        <f t="shared" si="466"/>
        <v>-1.4734174781190049E-2</v>
      </c>
      <c r="F4766" s="40">
        <v>40022</v>
      </c>
      <c r="G4766" s="39">
        <v>5174.74</v>
      </c>
      <c r="H4766" s="39">
        <f t="shared" si="461"/>
        <v>2</v>
      </c>
      <c r="I4766" s="39">
        <f t="shared" si="462"/>
        <v>0</v>
      </c>
      <c r="K4766" s="40"/>
      <c r="Q4766" s="40">
        <v>40022</v>
      </c>
      <c r="R4766" s="39">
        <v>5174.74</v>
      </c>
      <c r="S4766" s="39">
        <f t="shared" si="463"/>
        <v>7</v>
      </c>
      <c r="T4766" s="39">
        <f t="shared" si="464"/>
        <v>0</v>
      </c>
      <c r="U4766" s="39">
        <f t="shared" si="465"/>
        <v>0</v>
      </c>
      <c r="V4766" s="40"/>
    </row>
    <row r="4767" spans="2:22" x14ac:dyDescent="0.35">
      <c r="B4767" s="40">
        <v>40023</v>
      </c>
      <c r="C4767" s="39">
        <v>5270.32</v>
      </c>
      <c r="D4767" s="219">
        <f t="shared" si="466"/>
        <v>1.8301985429050219E-2</v>
      </c>
      <c r="F4767" s="40">
        <v>40023</v>
      </c>
      <c r="G4767" s="39">
        <v>5270.32</v>
      </c>
      <c r="H4767" s="39">
        <f t="shared" si="461"/>
        <v>3</v>
      </c>
      <c r="I4767" s="39">
        <f t="shared" si="462"/>
        <v>0</v>
      </c>
      <c r="K4767" s="40"/>
      <c r="Q4767" s="40">
        <v>40023</v>
      </c>
      <c r="R4767" s="39">
        <v>5270.32</v>
      </c>
      <c r="S4767" s="39">
        <f t="shared" si="463"/>
        <v>7</v>
      </c>
      <c r="T4767" s="39">
        <f t="shared" si="464"/>
        <v>0</v>
      </c>
      <c r="U4767" s="39">
        <f t="shared" si="465"/>
        <v>0</v>
      </c>
      <c r="V4767" s="40"/>
    </row>
    <row r="4768" spans="2:22" x14ac:dyDescent="0.35">
      <c r="B4768" s="40">
        <v>40024</v>
      </c>
      <c r="C4768" s="39">
        <v>5360.66</v>
      </c>
      <c r="D4768" s="219">
        <f t="shared" si="466"/>
        <v>1.6996020058219197E-2</v>
      </c>
      <c r="F4768" s="40">
        <v>40024</v>
      </c>
      <c r="G4768" s="39">
        <v>5360.66</v>
      </c>
      <c r="H4768" s="39">
        <f t="shared" si="461"/>
        <v>4</v>
      </c>
      <c r="I4768" s="39">
        <f t="shared" si="462"/>
        <v>0</v>
      </c>
      <c r="K4768" s="40"/>
      <c r="Q4768" s="40">
        <v>40024</v>
      </c>
      <c r="R4768" s="39">
        <v>5360.66</v>
      </c>
      <c r="S4768" s="39">
        <f t="shared" si="463"/>
        <v>7</v>
      </c>
      <c r="T4768" s="39">
        <f t="shared" si="464"/>
        <v>0</v>
      </c>
      <c r="U4768" s="39">
        <f t="shared" si="465"/>
        <v>0</v>
      </c>
      <c r="V4768" s="40"/>
    </row>
    <row r="4769" spans="2:22" x14ac:dyDescent="0.35">
      <c r="B4769" s="40">
        <v>40025</v>
      </c>
      <c r="C4769" s="39">
        <v>5332.14</v>
      </c>
      <c r="D4769" s="219">
        <f t="shared" si="466"/>
        <v>-5.3344432947538675E-3</v>
      </c>
      <c r="F4769" s="40">
        <v>40025</v>
      </c>
      <c r="G4769" s="39">
        <v>5332.14</v>
      </c>
      <c r="H4769" s="39">
        <f t="shared" si="461"/>
        <v>5</v>
      </c>
      <c r="I4769" s="39">
        <f t="shared" si="462"/>
        <v>5332.14</v>
      </c>
      <c r="K4769" s="40"/>
      <c r="Q4769" s="40">
        <v>40025</v>
      </c>
      <c r="R4769" s="39">
        <v>5332.14</v>
      </c>
      <c r="S4769" s="39">
        <f t="shared" si="463"/>
        <v>7</v>
      </c>
      <c r="T4769" s="39">
        <f t="shared" si="464"/>
        <v>5332.14</v>
      </c>
      <c r="U4769" s="39">
        <f t="shared" si="465"/>
        <v>5332.14</v>
      </c>
      <c r="V4769" s="40"/>
    </row>
    <row r="4770" spans="2:22" x14ac:dyDescent="0.35">
      <c r="B4770" s="40">
        <v>40028</v>
      </c>
      <c r="C4770" s="39">
        <v>5426.85</v>
      </c>
      <c r="D4770" s="219">
        <f t="shared" si="466"/>
        <v>1.7606196583503455E-2</v>
      </c>
      <c r="F4770" s="40">
        <v>40028</v>
      </c>
      <c r="G4770" s="39">
        <v>5426.85</v>
      </c>
      <c r="H4770" s="39">
        <f t="shared" si="461"/>
        <v>1</v>
      </c>
      <c r="I4770" s="39">
        <f t="shared" si="462"/>
        <v>0</v>
      </c>
      <c r="K4770" s="40"/>
      <c r="Q4770" s="40">
        <v>40028</v>
      </c>
      <c r="R4770" s="39">
        <v>5426.85</v>
      </c>
      <c r="S4770" s="39">
        <f t="shared" si="463"/>
        <v>8</v>
      </c>
      <c r="T4770" s="39">
        <f t="shared" si="464"/>
        <v>0</v>
      </c>
      <c r="U4770" s="39">
        <f t="shared" si="465"/>
        <v>0</v>
      </c>
      <c r="V4770" s="40"/>
    </row>
    <row r="4771" spans="2:22" x14ac:dyDescent="0.35">
      <c r="B4771" s="40">
        <v>40029</v>
      </c>
      <c r="C4771" s="39">
        <v>5417.02</v>
      </c>
      <c r="D4771" s="219">
        <f t="shared" si="466"/>
        <v>-1.8130063699756454E-3</v>
      </c>
      <c r="F4771" s="40">
        <v>40029</v>
      </c>
      <c r="G4771" s="39">
        <v>5417.02</v>
      </c>
      <c r="H4771" s="39">
        <f t="shared" si="461"/>
        <v>2</v>
      </c>
      <c r="I4771" s="39">
        <f t="shared" si="462"/>
        <v>0</v>
      </c>
      <c r="K4771" s="40"/>
      <c r="Q4771" s="40">
        <v>40029</v>
      </c>
      <c r="R4771" s="39">
        <v>5417.02</v>
      </c>
      <c r="S4771" s="39">
        <f t="shared" si="463"/>
        <v>8</v>
      </c>
      <c r="T4771" s="39">
        <f t="shared" si="464"/>
        <v>0</v>
      </c>
      <c r="U4771" s="39">
        <f t="shared" si="465"/>
        <v>0</v>
      </c>
      <c r="V4771" s="40"/>
    </row>
    <row r="4772" spans="2:22" x14ac:dyDescent="0.35">
      <c r="B4772" s="40">
        <v>40030</v>
      </c>
      <c r="C4772" s="39">
        <v>5353.01</v>
      </c>
      <c r="D4772" s="219">
        <f t="shared" si="466"/>
        <v>-1.1886829228594697E-2</v>
      </c>
      <c r="F4772" s="40">
        <v>40030</v>
      </c>
      <c r="G4772" s="39">
        <v>5353.01</v>
      </c>
      <c r="H4772" s="39">
        <f t="shared" si="461"/>
        <v>3</v>
      </c>
      <c r="I4772" s="39">
        <f t="shared" si="462"/>
        <v>0</v>
      </c>
      <c r="K4772" s="40"/>
      <c r="Q4772" s="40">
        <v>40030</v>
      </c>
      <c r="R4772" s="39">
        <v>5353.01</v>
      </c>
      <c r="S4772" s="39">
        <f t="shared" si="463"/>
        <v>8</v>
      </c>
      <c r="T4772" s="39">
        <f t="shared" si="464"/>
        <v>0</v>
      </c>
      <c r="U4772" s="39">
        <f t="shared" si="465"/>
        <v>0</v>
      </c>
      <c r="V4772" s="40"/>
    </row>
    <row r="4773" spans="2:22" x14ac:dyDescent="0.35">
      <c r="B4773" s="40">
        <v>40031</v>
      </c>
      <c r="C4773" s="39">
        <v>5369.98</v>
      </c>
      <c r="D4773" s="219">
        <f t="shared" si="466"/>
        <v>3.1651645982131286E-3</v>
      </c>
      <c r="F4773" s="40">
        <v>40031</v>
      </c>
      <c r="G4773" s="39">
        <v>5369.98</v>
      </c>
      <c r="H4773" s="39">
        <f t="shared" si="461"/>
        <v>4</v>
      </c>
      <c r="I4773" s="39">
        <f t="shared" si="462"/>
        <v>0</v>
      </c>
      <c r="K4773" s="40"/>
      <c r="Q4773" s="40">
        <v>40031</v>
      </c>
      <c r="R4773" s="39">
        <v>5369.98</v>
      </c>
      <c r="S4773" s="39">
        <f t="shared" si="463"/>
        <v>8</v>
      </c>
      <c r="T4773" s="39">
        <f t="shared" si="464"/>
        <v>0</v>
      </c>
      <c r="U4773" s="39">
        <f t="shared" si="465"/>
        <v>0</v>
      </c>
      <c r="V4773" s="40"/>
    </row>
    <row r="4774" spans="2:22" x14ac:dyDescent="0.35">
      <c r="B4774" s="40">
        <v>40032</v>
      </c>
      <c r="C4774" s="39">
        <v>5458.96</v>
      </c>
      <c r="D4774" s="219">
        <f t="shared" si="466"/>
        <v>1.6434111304392283E-2</v>
      </c>
      <c r="F4774" s="40">
        <v>40032</v>
      </c>
      <c r="G4774" s="39">
        <v>5458.96</v>
      </c>
      <c r="H4774" s="39">
        <f t="shared" si="461"/>
        <v>5</v>
      </c>
      <c r="I4774" s="39">
        <f t="shared" si="462"/>
        <v>5458.96</v>
      </c>
      <c r="K4774" s="40"/>
      <c r="Q4774" s="40">
        <v>40032</v>
      </c>
      <c r="R4774" s="39">
        <v>5458.96</v>
      </c>
      <c r="S4774" s="39">
        <f t="shared" si="463"/>
        <v>8</v>
      </c>
      <c r="T4774" s="39">
        <f t="shared" si="464"/>
        <v>0</v>
      </c>
      <c r="U4774" s="39">
        <f t="shared" si="465"/>
        <v>0</v>
      </c>
      <c r="V4774" s="40"/>
    </row>
    <row r="4775" spans="2:22" x14ac:dyDescent="0.35">
      <c r="B4775" s="40">
        <v>40035</v>
      </c>
      <c r="C4775" s="39">
        <v>5418.12</v>
      </c>
      <c r="D4775" s="219">
        <f t="shared" si="466"/>
        <v>-7.509403611571288E-3</v>
      </c>
      <c r="F4775" s="40">
        <v>40035</v>
      </c>
      <c r="G4775" s="39">
        <v>5418.12</v>
      </c>
      <c r="H4775" s="39">
        <f t="shared" si="461"/>
        <v>1</v>
      </c>
      <c r="I4775" s="39">
        <f t="shared" si="462"/>
        <v>0</v>
      </c>
      <c r="K4775" s="40"/>
      <c r="Q4775" s="40">
        <v>40035</v>
      </c>
      <c r="R4775" s="39">
        <v>5418.12</v>
      </c>
      <c r="S4775" s="39">
        <f t="shared" si="463"/>
        <v>8</v>
      </c>
      <c r="T4775" s="39">
        <f t="shared" si="464"/>
        <v>0</v>
      </c>
      <c r="U4775" s="39">
        <f t="shared" si="465"/>
        <v>0</v>
      </c>
      <c r="V4775" s="40"/>
    </row>
    <row r="4776" spans="2:22" x14ac:dyDescent="0.35">
      <c r="B4776" s="40">
        <v>40036</v>
      </c>
      <c r="C4776" s="39">
        <v>5285.81</v>
      </c>
      <c r="D4776" s="219">
        <f t="shared" si="466"/>
        <v>-2.4723020278803236E-2</v>
      </c>
      <c r="F4776" s="40">
        <v>40036</v>
      </c>
      <c r="G4776" s="39">
        <v>5285.81</v>
      </c>
      <c r="H4776" s="39">
        <f t="shared" si="461"/>
        <v>2</v>
      </c>
      <c r="I4776" s="39">
        <f t="shared" si="462"/>
        <v>0</v>
      </c>
      <c r="K4776" s="40"/>
      <c r="Q4776" s="40">
        <v>40036</v>
      </c>
      <c r="R4776" s="39">
        <v>5285.81</v>
      </c>
      <c r="S4776" s="39">
        <f t="shared" si="463"/>
        <v>8</v>
      </c>
      <c r="T4776" s="39">
        <f t="shared" si="464"/>
        <v>0</v>
      </c>
      <c r="U4776" s="39">
        <f t="shared" si="465"/>
        <v>0</v>
      </c>
      <c r="V4776" s="40"/>
    </row>
    <row r="4777" spans="2:22" x14ac:dyDescent="0.35">
      <c r="B4777" s="40">
        <v>40037</v>
      </c>
      <c r="C4777" s="39">
        <v>5350.09</v>
      </c>
      <c r="D4777" s="219">
        <f t="shared" si="466"/>
        <v>1.2087511663256683E-2</v>
      </c>
      <c r="F4777" s="40">
        <v>40037</v>
      </c>
      <c r="G4777" s="39">
        <v>5350.09</v>
      </c>
      <c r="H4777" s="39">
        <f t="shared" si="461"/>
        <v>3</v>
      </c>
      <c r="I4777" s="39">
        <f t="shared" si="462"/>
        <v>0</v>
      </c>
      <c r="K4777" s="40"/>
      <c r="Q4777" s="40">
        <v>40037</v>
      </c>
      <c r="R4777" s="39">
        <v>5350.09</v>
      </c>
      <c r="S4777" s="39">
        <f t="shared" si="463"/>
        <v>8</v>
      </c>
      <c r="T4777" s="39">
        <f t="shared" si="464"/>
        <v>0</v>
      </c>
      <c r="U4777" s="39">
        <f t="shared" si="465"/>
        <v>0</v>
      </c>
      <c r="V4777" s="40"/>
    </row>
    <row r="4778" spans="2:22" x14ac:dyDescent="0.35">
      <c r="B4778" s="40">
        <v>40038</v>
      </c>
      <c r="C4778" s="39">
        <v>5401.11</v>
      </c>
      <c r="D4778" s="219">
        <f t="shared" si="466"/>
        <v>9.4911048058093188E-3</v>
      </c>
      <c r="F4778" s="40">
        <v>40038</v>
      </c>
      <c r="G4778" s="39">
        <v>5401.11</v>
      </c>
      <c r="H4778" s="39">
        <f t="shared" si="461"/>
        <v>4</v>
      </c>
      <c r="I4778" s="39">
        <f t="shared" si="462"/>
        <v>0</v>
      </c>
      <c r="K4778" s="40"/>
      <c r="Q4778" s="40">
        <v>40038</v>
      </c>
      <c r="R4778" s="39">
        <v>5401.11</v>
      </c>
      <c r="S4778" s="39">
        <f t="shared" si="463"/>
        <v>8</v>
      </c>
      <c r="T4778" s="39">
        <f t="shared" si="464"/>
        <v>0</v>
      </c>
      <c r="U4778" s="39">
        <f t="shared" si="465"/>
        <v>0</v>
      </c>
      <c r="V4778" s="40"/>
    </row>
    <row r="4779" spans="2:22" x14ac:dyDescent="0.35">
      <c r="B4779" s="40">
        <v>40039</v>
      </c>
      <c r="C4779" s="39">
        <v>5309.11</v>
      </c>
      <c r="D4779" s="219">
        <f t="shared" si="466"/>
        <v>-1.7180275082379147E-2</v>
      </c>
      <c r="F4779" s="40">
        <v>40039</v>
      </c>
      <c r="G4779" s="39">
        <v>5309.11</v>
      </c>
      <c r="H4779" s="39">
        <f t="shared" si="461"/>
        <v>5</v>
      </c>
      <c r="I4779" s="39">
        <f t="shared" si="462"/>
        <v>5309.11</v>
      </c>
      <c r="K4779" s="40"/>
      <c r="Q4779" s="40">
        <v>40039</v>
      </c>
      <c r="R4779" s="39">
        <v>5309.11</v>
      </c>
      <c r="S4779" s="39">
        <f t="shared" si="463"/>
        <v>8</v>
      </c>
      <c r="T4779" s="39">
        <f t="shared" si="464"/>
        <v>0</v>
      </c>
      <c r="U4779" s="39">
        <f t="shared" si="465"/>
        <v>0</v>
      </c>
      <c r="V4779" s="40"/>
    </row>
    <row r="4780" spans="2:22" x14ac:dyDescent="0.35">
      <c r="B4780" s="40">
        <v>40042</v>
      </c>
      <c r="C4780" s="39">
        <v>5201.6099999999997</v>
      </c>
      <c r="D4780" s="219">
        <f t="shared" si="466"/>
        <v>-2.045601986871164E-2</v>
      </c>
      <c r="F4780" s="40">
        <v>40042</v>
      </c>
      <c r="G4780" s="39">
        <v>5201.6099999999997</v>
      </c>
      <c r="H4780" s="39">
        <f t="shared" si="461"/>
        <v>1</v>
      </c>
      <c r="I4780" s="39">
        <f t="shared" si="462"/>
        <v>0</v>
      </c>
      <c r="K4780" s="40"/>
      <c r="Q4780" s="40">
        <v>40042</v>
      </c>
      <c r="R4780" s="39">
        <v>5201.6099999999997</v>
      </c>
      <c r="S4780" s="39">
        <f t="shared" si="463"/>
        <v>8</v>
      </c>
      <c r="T4780" s="39">
        <f t="shared" si="464"/>
        <v>0</v>
      </c>
      <c r="U4780" s="39">
        <f t="shared" si="465"/>
        <v>0</v>
      </c>
      <c r="V4780" s="40"/>
    </row>
    <row r="4781" spans="2:22" x14ac:dyDescent="0.35">
      <c r="B4781" s="40">
        <v>40043</v>
      </c>
      <c r="C4781" s="39">
        <v>5250.74</v>
      </c>
      <c r="D4781" s="219">
        <f t="shared" si="466"/>
        <v>9.4008260005863705E-3</v>
      </c>
      <c r="F4781" s="40">
        <v>40043</v>
      </c>
      <c r="G4781" s="39">
        <v>5250.74</v>
      </c>
      <c r="H4781" s="39">
        <f t="shared" si="461"/>
        <v>2</v>
      </c>
      <c r="I4781" s="39">
        <f t="shared" si="462"/>
        <v>0</v>
      </c>
      <c r="K4781" s="40"/>
      <c r="Q4781" s="40">
        <v>40043</v>
      </c>
      <c r="R4781" s="39">
        <v>5250.74</v>
      </c>
      <c r="S4781" s="39">
        <f t="shared" si="463"/>
        <v>8</v>
      </c>
      <c r="T4781" s="39">
        <f t="shared" si="464"/>
        <v>0</v>
      </c>
      <c r="U4781" s="39">
        <f t="shared" si="465"/>
        <v>0</v>
      </c>
      <c r="V4781" s="40"/>
    </row>
    <row r="4782" spans="2:22" x14ac:dyDescent="0.35">
      <c r="B4782" s="40">
        <v>40044</v>
      </c>
      <c r="C4782" s="39">
        <v>5231.9799999999996</v>
      </c>
      <c r="D4782" s="219">
        <f t="shared" si="466"/>
        <v>-3.5792275340094525E-3</v>
      </c>
      <c r="F4782" s="40">
        <v>40044</v>
      </c>
      <c r="G4782" s="39">
        <v>5231.9799999999996</v>
      </c>
      <c r="H4782" s="39">
        <f t="shared" si="461"/>
        <v>3</v>
      </c>
      <c r="I4782" s="39">
        <f t="shared" si="462"/>
        <v>0</v>
      </c>
      <c r="K4782" s="40"/>
      <c r="Q4782" s="40">
        <v>40044</v>
      </c>
      <c r="R4782" s="39">
        <v>5231.9799999999996</v>
      </c>
      <c r="S4782" s="39">
        <f t="shared" si="463"/>
        <v>8</v>
      </c>
      <c r="T4782" s="39">
        <f t="shared" si="464"/>
        <v>0</v>
      </c>
      <c r="U4782" s="39">
        <f t="shared" si="465"/>
        <v>0</v>
      </c>
      <c r="V4782" s="40"/>
    </row>
    <row r="4783" spans="2:22" x14ac:dyDescent="0.35">
      <c r="B4783" s="40">
        <v>40045</v>
      </c>
      <c r="C4783" s="39">
        <v>5311.06</v>
      </c>
      <c r="D4783" s="219">
        <f t="shared" si="466"/>
        <v>1.5001647166301233E-2</v>
      </c>
      <c r="F4783" s="40">
        <v>40045</v>
      </c>
      <c r="G4783" s="39">
        <v>5311.06</v>
      </c>
      <c r="H4783" s="39">
        <f t="shared" si="461"/>
        <v>4</v>
      </c>
      <c r="I4783" s="39">
        <f t="shared" si="462"/>
        <v>0</v>
      </c>
      <c r="K4783" s="40"/>
      <c r="Q4783" s="40">
        <v>40045</v>
      </c>
      <c r="R4783" s="39">
        <v>5311.06</v>
      </c>
      <c r="S4783" s="39">
        <f t="shared" si="463"/>
        <v>8</v>
      </c>
      <c r="T4783" s="39">
        <f t="shared" si="464"/>
        <v>0</v>
      </c>
      <c r="U4783" s="39">
        <f t="shared" si="465"/>
        <v>0</v>
      </c>
      <c r="V4783" s="40"/>
    </row>
    <row r="4784" spans="2:22" x14ac:dyDescent="0.35">
      <c r="B4784" s="40">
        <v>40046</v>
      </c>
      <c r="C4784" s="39">
        <v>5462.74</v>
      </c>
      <c r="D4784" s="219">
        <f t="shared" si="466"/>
        <v>2.8159056699404258E-2</v>
      </c>
      <c r="F4784" s="40">
        <v>40046</v>
      </c>
      <c r="G4784" s="39">
        <v>5462.74</v>
      </c>
      <c r="H4784" s="39">
        <f t="shared" si="461"/>
        <v>5</v>
      </c>
      <c r="I4784" s="39">
        <f t="shared" si="462"/>
        <v>5462.74</v>
      </c>
      <c r="K4784" s="40"/>
      <c r="Q4784" s="40">
        <v>40046</v>
      </c>
      <c r="R4784" s="39">
        <v>5462.74</v>
      </c>
      <c r="S4784" s="39">
        <f t="shared" si="463"/>
        <v>8</v>
      </c>
      <c r="T4784" s="39">
        <f t="shared" si="464"/>
        <v>0</v>
      </c>
      <c r="U4784" s="39">
        <f t="shared" si="465"/>
        <v>0</v>
      </c>
      <c r="V4784" s="40"/>
    </row>
    <row r="4785" spans="2:22" x14ac:dyDescent="0.35">
      <c r="B4785" s="40">
        <v>40049</v>
      </c>
      <c r="C4785" s="39">
        <v>5519.75</v>
      </c>
      <c r="D4785" s="219">
        <f t="shared" si="466"/>
        <v>1.0382074024987618E-2</v>
      </c>
      <c r="F4785" s="40">
        <v>40049</v>
      </c>
      <c r="G4785" s="39">
        <v>5519.75</v>
      </c>
      <c r="H4785" s="39">
        <f t="shared" si="461"/>
        <v>1</v>
      </c>
      <c r="I4785" s="39">
        <f t="shared" si="462"/>
        <v>0</v>
      </c>
      <c r="K4785" s="40"/>
      <c r="Q4785" s="40">
        <v>40049</v>
      </c>
      <c r="R4785" s="39">
        <v>5519.75</v>
      </c>
      <c r="S4785" s="39">
        <f t="shared" si="463"/>
        <v>8</v>
      </c>
      <c r="T4785" s="39">
        <f t="shared" si="464"/>
        <v>0</v>
      </c>
      <c r="U4785" s="39">
        <f t="shared" si="465"/>
        <v>0</v>
      </c>
      <c r="V4785" s="40"/>
    </row>
    <row r="4786" spans="2:22" x14ac:dyDescent="0.35">
      <c r="B4786" s="40">
        <v>40050</v>
      </c>
      <c r="C4786" s="39">
        <v>5557.09</v>
      </c>
      <c r="D4786" s="219">
        <f t="shared" si="466"/>
        <v>6.7420205474136401E-3</v>
      </c>
      <c r="F4786" s="40">
        <v>40050</v>
      </c>
      <c r="G4786" s="39">
        <v>5557.09</v>
      </c>
      <c r="H4786" s="39">
        <f t="shared" si="461"/>
        <v>2</v>
      </c>
      <c r="I4786" s="39">
        <f t="shared" si="462"/>
        <v>0</v>
      </c>
      <c r="K4786" s="40"/>
      <c r="Q4786" s="40">
        <v>40050</v>
      </c>
      <c r="R4786" s="39">
        <v>5557.09</v>
      </c>
      <c r="S4786" s="39">
        <f t="shared" si="463"/>
        <v>8</v>
      </c>
      <c r="T4786" s="39">
        <f t="shared" si="464"/>
        <v>0</v>
      </c>
      <c r="U4786" s="39">
        <f t="shared" si="465"/>
        <v>0</v>
      </c>
      <c r="V4786" s="40"/>
    </row>
    <row r="4787" spans="2:22" x14ac:dyDescent="0.35">
      <c r="B4787" s="40">
        <v>40051</v>
      </c>
      <c r="C4787" s="39">
        <v>5521.97</v>
      </c>
      <c r="D4787" s="219">
        <f t="shared" si="466"/>
        <v>-6.3399092767215202E-3</v>
      </c>
      <c r="F4787" s="40">
        <v>40051</v>
      </c>
      <c r="G4787" s="39">
        <v>5521.97</v>
      </c>
      <c r="H4787" s="39">
        <f t="shared" si="461"/>
        <v>3</v>
      </c>
      <c r="I4787" s="39">
        <f t="shared" si="462"/>
        <v>0</v>
      </c>
      <c r="K4787" s="40"/>
      <c r="Q4787" s="40">
        <v>40051</v>
      </c>
      <c r="R4787" s="39">
        <v>5521.97</v>
      </c>
      <c r="S4787" s="39">
        <f t="shared" si="463"/>
        <v>8</v>
      </c>
      <c r="T4787" s="39">
        <f t="shared" si="464"/>
        <v>0</v>
      </c>
      <c r="U4787" s="39">
        <f t="shared" si="465"/>
        <v>0</v>
      </c>
      <c r="V4787" s="40"/>
    </row>
    <row r="4788" spans="2:22" x14ac:dyDescent="0.35">
      <c r="B4788" s="40">
        <v>40052</v>
      </c>
      <c r="C4788" s="39">
        <v>5470.33</v>
      </c>
      <c r="D4788" s="219">
        <f t="shared" si="466"/>
        <v>-9.3957369972007179E-3</v>
      </c>
      <c r="F4788" s="40">
        <v>40052</v>
      </c>
      <c r="G4788" s="39">
        <v>5470.33</v>
      </c>
      <c r="H4788" s="39">
        <f t="shared" si="461"/>
        <v>4</v>
      </c>
      <c r="I4788" s="39">
        <f t="shared" si="462"/>
        <v>0</v>
      </c>
      <c r="K4788" s="40"/>
      <c r="Q4788" s="40">
        <v>40052</v>
      </c>
      <c r="R4788" s="39">
        <v>5470.33</v>
      </c>
      <c r="S4788" s="39">
        <f t="shared" si="463"/>
        <v>8</v>
      </c>
      <c r="T4788" s="39">
        <f t="shared" si="464"/>
        <v>0</v>
      </c>
      <c r="U4788" s="39">
        <f t="shared" si="465"/>
        <v>0</v>
      </c>
      <c r="V4788" s="40"/>
    </row>
    <row r="4789" spans="2:22" x14ac:dyDescent="0.35">
      <c r="B4789" s="40">
        <v>40053</v>
      </c>
      <c r="C4789" s="39">
        <v>5517.35</v>
      </c>
      <c r="D4789" s="219">
        <f t="shared" si="466"/>
        <v>8.5587288717501389E-3</v>
      </c>
      <c r="F4789" s="40">
        <v>40053</v>
      </c>
      <c r="G4789" s="39">
        <v>5517.35</v>
      </c>
      <c r="H4789" s="39">
        <f t="shared" si="461"/>
        <v>5</v>
      </c>
      <c r="I4789" s="39">
        <f t="shared" si="462"/>
        <v>5517.35</v>
      </c>
      <c r="K4789" s="40"/>
      <c r="Q4789" s="40">
        <v>40053</v>
      </c>
      <c r="R4789" s="39">
        <v>5517.35</v>
      </c>
      <c r="S4789" s="39">
        <f t="shared" si="463"/>
        <v>8</v>
      </c>
      <c r="T4789" s="39">
        <f t="shared" si="464"/>
        <v>0</v>
      </c>
      <c r="U4789" s="39">
        <f t="shared" si="465"/>
        <v>0</v>
      </c>
      <c r="V4789" s="40"/>
    </row>
    <row r="4790" spans="2:22" x14ac:dyDescent="0.35">
      <c r="B4790" s="40">
        <v>40056</v>
      </c>
      <c r="C4790" s="39">
        <v>5458.04</v>
      </c>
      <c r="D4790" s="219">
        <f t="shared" si="466"/>
        <v>-1.0807921602436141E-2</v>
      </c>
      <c r="F4790" s="40">
        <v>40056</v>
      </c>
      <c r="G4790" s="39">
        <v>5458.04</v>
      </c>
      <c r="H4790" s="39">
        <f t="shared" si="461"/>
        <v>1</v>
      </c>
      <c r="I4790" s="39">
        <f t="shared" si="462"/>
        <v>0</v>
      </c>
      <c r="K4790" s="40"/>
      <c r="Q4790" s="40">
        <v>40056</v>
      </c>
      <c r="R4790" s="39">
        <v>5458.04</v>
      </c>
      <c r="S4790" s="39">
        <f t="shared" si="463"/>
        <v>8</v>
      </c>
      <c r="T4790" s="39">
        <f t="shared" si="464"/>
        <v>5458.04</v>
      </c>
      <c r="U4790" s="39">
        <f t="shared" si="465"/>
        <v>5458.04</v>
      </c>
      <c r="V4790" s="40"/>
    </row>
    <row r="4791" spans="2:22" x14ac:dyDescent="0.35">
      <c r="B4791" s="40">
        <v>40057</v>
      </c>
      <c r="C4791" s="39">
        <v>5327.29</v>
      </c>
      <c r="D4791" s="219">
        <f t="shared" si="466"/>
        <v>-2.424708485096129E-2</v>
      </c>
      <c r="F4791" s="40">
        <v>40057</v>
      </c>
      <c r="G4791" s="39">
        <v>5327.29</v>
      </c>
      <c r="H4791" s="39">
        <f t="shared" ref="H4791:H4854" si="467">WEEKDAY(F4791,2)</f>
        <v>2</v>
      </c>
      <c r="I4791" s="39">
        <f t="shared" ref="I4791:I4854" si="468">IF(H4791&gt;H4792,G4791,0)</f>
        <v>0</v>
      </c>
      <c r="K4791" s="40"/>
      <c r="Q4791" s="40">
        <v>40057</v>
      </c>
      <c r="R4791" s="39">
        <v>5327.29</v>
      </c>
      <c r="S4791" s="39">
        <f t="shared" ref="S4791:S4854" si="469">MONTH(Q4791)</f>
        <v>9</v>
      </c>
      <c r="T4791" s="39">
        <f t="shared" ref="T4791:T4854" si="470">IF(S4792&lt;&gt;S4791,R4791,0)</f>
        <v>0</v>
      </c>
      <c r="U4791" s="39">
        <f t="shared" ref="U4791:U4854" si="471">IF(S4792=S4791,0,R4791)</f>
        <v>0</v>
      </c>
      <c r="V4791" s="40"/>
    </row>
    <row r="4792" spans="2:22" x14ac:dyDescent="0.35">
      <c r="B4792" s="40">
        <v>40058</v>
      </c>
      <c r="C4792" s="39">
        <v>5319.84</v>
      </c>
      <c r="D4792" s="219">
        <f t="shared" ref="D4792:D4855" si="472">LN(C4792/C4791)</f>
        <v>-1.3994383868436277E-3</v>
      </c>
      <c r="F4792" s="40">
        <v>40058</v>
      </c>
      <c r="G4792" s="39">
        <v>5319.84</v>
      </c>
      <c r="H4792" s="39">
        <f t="shared" si="467"/>
        <v>3</v>
      </c>
      <c r="I4792" s="39">
        <f t="shared" si="468"/>
        <v>0</v>
      </c>
      <c r="K4792" s="40"/>
      <c r="Q4792" s="40">
        <v>40058</v>
      </c>
      <c r="R4792" s="39">
        <v>5319.84</v>
      </c>
      <c r="S4792" s="39">
        <f t="shared" si="469"/>
        <v>9</v>
      </c>
      <c r="T4792" s="39">
        <f t="shared" si="470"/>
        <v>0</v>
      </c>
      <c r="U4792" s="39">
        <f t="shared" si="471"/>
        <v>0</v>
      </c>
      <c r="V4792" s="40"/>
    </row>
    <row r="4793" spans="2:22" x14ac:dyDescent="0.35">
      <c r="B4793" s="40">
        <v>40059</v>
      </c>
      <c r="C4793" s="39">
        <v>5301.42</v>
      </c>
      <c r="D4793" s="219">
        <f t="shared" si="472"/>
        <v>-3.4685185123043789E-3</v>
      </c>
      <c r="F4793" s="40">
        <v>40059</v>
      </c>
      <c r="G4793" s="39">
        <v>5301.42</v>
      </c>
      <c r="H4793" s="39">
        <f t="shared" si="467"/>
        <v>4</v>
      </c>
      <c r="I4793" s="39">
        <f t="shared" si="468"/>
        <v>0</v>
      </c>
      <c r="K4793" s="40"/>
      <c r="Q4793" s="40">
        <v>40059</v>
      </c>
      <c r="R4793" s="39">
        <v>5301.42</v>
      </c>
      <c r="S4793" s="39">
        <f t="shared" si="469"/>
        <v>9</v>
      </c>
      <c r="T4793" s="39">
        <f t="shared" si="470"/>
        <v>0</v>
      </c>
      <c r="U4793" s="39">
        <f t="shared" si="471"/>
        <v>0</v>
      </c>
      <c r="V4793" s="40"/>
    </row>
    <row r="4794" spans="2:22" x14ac:dyDescent="0.35">
      <c r="B4794" s="40">
        <v>40060</v>
      </c>
      <c r="C4794" s="39">
        <v>5384.43</v>
      </c>
      <c r="D4794" s="219">
        <f t="shared" si="472"/>
        <v>1.5536746222705592E-2</v>
      </c>
      <c r="F4794" s="40">
        <v>40060</v>
      </c>
      <c r="G4794" s="39">
        <v>5384.43</v>
      </c>
      <c r="H4794" s="39">
        <f t="shared" si="467"/>
        <v>5</v>
      </c>
      <c r="I4794" s="39">
        <f t="shared" si="468"/>
        <v>5384.43</v>
      </c>
      <c r="K4794" s="40"/>
      <c r="Q4794" s="40">
        <v>40060</v>
      </c>
      <c r="R4794" s="39">
        <v>5384.43</v>
      </c>
      <c r="S4794" s="39">
        <f t="shared" si="469"/>
        <v>9</v>
      </c>
      <c r="T4794" s="39">
        <f t="shared" si="470"/>
        <v>0</v>
      </c>
      <c r="U4794" s="39">
        <f t="shared" si="471"/>
        <v>0</v>
      </c>
      <c r="V4794" s="40"/>
    </row>
    <row r="4795" spans="2:22" x14ac:dyDescent="0.35">
      <c r="B4795" s="40">
        <v>40063</v>
      </c>
      <c r="C4795" s="39">
        <v>5463.51</v>
      </c>
      <c r="D4795" s="219">
        <f t="shared" si="472"/>
        <v>1.457998493181502E-2</v>
      </c>
      <c r="F4795" s="40">
        <v>40063</v>
      </c>
      <c r="G4795" s="39">
        <v>5463.51</v>
      </c>
      <c r="H4795" s="39">
        <f t="shared" si="467"/>
        <v>1</v>
      </c>
      <c r="I4795" s="39">
        <f t="shared" si="468"/>
        <v>0</v>
      </c>
      <c r="K4795" s="40"/>
      <c r="Q4795" s="40">
        <v>40063</v>
      </c>
      <c r="R4795" s="39">
        <v>5463.51</v>
      </c>
      <c r="S4795" s="39">
        <f t="shared" si="469"/>
        <v>9</v>
      </c>
      <c r="T4795" s="39">
        <f t="shared" si="470"/>
        <v>0</v>
      </c>
      <c r="U4795" s="39">
        <f t="shared" si="471"/>
        <v>0</v>
      </c>
      <c r="V4795" s="40"/>
    </row>
    <row r="4796" spans="2:22" x14ac:dyDescent="0.35">
      <c r="B4796" s="40">
        <v>40064</v>
      </c>
      <c r="C4796" s="39">
        <v>5481.73</v>
      </c>
      <c r="D4796" s="219">
        <f t="shared" si="472"/>
        <v>3.3293042143631049E-3</v>
      </c>
      <c r="F4796" s="40">
        <v>40064</v>
      </c>
      <c r="G4796" s="39">
        <v>5481.73</v>
      </c>
      <c r="H4796" s="39">
        <f t="shared" si="467"/>
        <v>2</v>
      </c>
      <c r="I4796" s="39">
        <f t="shared" si="468"/>
        <v>0</v>
      </c>
      <c r="K4796" s="40"/>
      <c r="Q4796" s="40">
        <v>40064</v>
      </c>
      <c r="R4796" s="39">
        <v>5481.73</v>
      </c>
      <c r="S4796" s="39">
        <f t="shared" si="469"/>
        <v>9</v>
      </c>
      <c r="T4796" s="39">
        <f t="shared" si="470"/>
        <v>0</v>
      </c>
      <c r="U4796" s="39">
        <f t="shared" si="471"/>
        <v>0</v>
      </c>
      <c r="V4796" s="40"/>
    </row>
    <row r="4797" spans="2:22" x14ac:dyDescent="0.35">
      <c r="B4797" s="40">
        <v>40065</v>
      </c>
      <c r="C4797" s="39">
        <v>5574.26</v>
      </c>
      <c r="D4797" s="219">
        <f t="shared" si="472"/>
        <v>1.6738828540152247E-2</v>
      </c>
      <c r="F4797" s="40">
        <v>40065</v>
      </c>
      <c r="G4797" s="39">
        <v>5574.26</v>
      </c>
      <c r="H4797" s="39">
        <f t="shared" si="467"/>
        <v>3</v>
      </c>
      <c r="I4797" s="39">
        <f t="shared" si="468"/>
        <v>0</v>
      </c>
      <c r="K4797" s="40"/>
      <c r="Q4797" s="40">
        <v>40065</v>
      </c>
      <c r="R4797" s="39">
        <v>5574.26</v>
      </c>
      <c r="S4797" s="39">
        <f t="shared" si="469"/>
        <v>9</v>
      </c>
      <c r="T4797" s="39">
        <f t="shared" si="470"/>
        <v>0</v>
      </c>
      <c r="U4797" s="39">
        <f t="shared" si="471"/>
        <v>0</v>
      </c>
      <c r="V4797" s="40"/>
    </row>
    <row r="4798" spans="2:22" x14ac:dyDescent="0.35">
      <c r="B4798" s="40">
        <v>40066</v>
      </c>
      <c r="C4798" s="39">
        <v>5594.77</v>
      </c>
      <c r="D4798" s="219">
        <f t="shared" si="472"/>
        <v>3.6726596766179448E-3</v>
      </c>
      <c r="F4798" s="40">
        <v>40066</v>
      </c>
      <c r="G4798" s="39">
        <v>5594.77</v>
      </c>
      <c r="H4798" s="39">
        <f t="shared" si="467"/>
        <v>4</v>
      </c>
      <c r="I4798" s="39">
        <f t="shared" si="468"/>
        <v>0</v>
      </c>
      <c r="K4798" s="40"/>
      <c r="Q4798" s="40">
        <v>40066</v>
      </c>
      <c r="R4798" s="39">
        <v>5594.77</v>
      </c>
      <c r="S4798" s="39">
        <f t="shared" si="469"/>
        <v>9</v>
      </c>
      <c r="T4798" s="39">
        <f t="shared" si="470"/>
        <v>0</v>
      </c>
      <c r="U4798" s="39">
        <f t="shared" si="471"/>
        <v>0</v>
      </c>
      <c r="V4798" s="40"/>
    </row>
    <row r="4799" spans="2:22" x14ac:dyDescent="0.35">
      <c r="B4799" s="40">
        <v>40067</v>
      </c>
      <c r="C4799" s="39">
        <v>5624.02</v>
      </c>
      <c r="D4799" s="219">
        <f t="shared" si="472"/>
        <v>5.2144779031421031E-3</v>
      </c>
      <c r="F4799" s="40">
        <v>40067</v>
      </c>
      <c r="G4799" s="39">
        <v>5624.02</v>
      </c>
      <c r="H4799" s="39">
        <f t="shared" si="467"/>
        <v>5</v>
      </c>
      <c r="I4799" s="39">
        <f t="shared" si="468"/>
        <v>5624.02</v>
      </c>
      <c r="K4799" s="40"/>
      <c r="Q4799" s="40">
        <v>40067</v>
      </c>
      <c r="R4799" s="39">
        <v>5624.02</v>
      </c>
      <c r="S4799" s="39">
        <f t="shared" si="469"/>
        <v>9</v>
      </c>
      <c r="T4799" s="39">
        <f t="shared" si="470"/>
        <v>0</v>
      </c>
      <c r="U4799" s="39">
        <f t="shared" si="471"/>
        <v>0</v>
      </c>
      <c r="V4799" s="40"/>
    </row>
    <row r="4800" spans="2:22" x14ac:dyDescent="0.35">
      <c r="B4800" s="40">
        <v>40070</v>
      </c>
      <c r="C4800" s="39">
        <v>5620.24</v>
      </c>
      <c r="D4800" s="219">
        <f t="shared" si="472"/>
        <v>-6.7234306968979804E-4</v>
      </c>
      <c r="F4800" s="40">
        <v>40070</v>
      </c>
      <c r="G4800" s="39">
        <v>5620.24</v>
      </c>
      <c r="H4800" s="39">
        <f t="shared" si="467"/>
        <v>1</v>
      </c>
      <c r="I4800" s="39">
        <f t="shared" si="468"/>
        <v>0</v>
      </c>
      <c r="K4800" s="40"/>
      <c r="Q4800" s="40">
        <v>40070</v>
      </c>
      <c r="R4800" s="39">
        <v>5620.24</v>
      </c>
      <c r="S4800" s="39">
        <f t="shared" si="469"/>
        <v>9</v>
      </c>
      <c r="T4800" s="39">
        <f t="shared" si="470"/>
        <v>0</v>
      </c>
      <c r="U4800" s="39">
        <f t="shared" si="471"/>
        <v>0</v>
      </c>
      <c r="V4800" s="40"/>
    </row>
    <row r="4801" spans="2:22" x14ac:dyDescent="0.35">
      <c r="B4801" s="40">
        <v>40071</v>
      </c>
      <c r="C4801" s="39">
        <v>5628.98</v>
      </c>
      <c r="D4801" s="219">
        <f t="shared" si="472"/>
        <v>1.5538858265027634E-3</v>
      </c>
      <c r="F4801" s="40">
        <v>40071</v>
      </c>
      <c r="G4801" s="39">
        <v>5628.98</v>
      </c>
      <c r="H4801" s="39">
        <f t="shared" si="467"/>
        <v>2</v>
      </c>
      <c r="I4801" s="39">
        <f t="shared" si="468"/>
        <v>0</v>
      </c>
      <c r="K4801" s="40"/>
      <c r="Q4801" s="40">
        <v>40071</v>
      </c>
      <c r="R4801" s="39">
        <v>5628.98</v>
      </c>
      <c r="S4801" s="39">
        <f t="shared" si="469"/>
        <v>9</v>
      </c>
      <c r="T4801" s="39">
        <f t="shared" si="470"/>
        <v>0</v>
      </c>
      <c r="U4801" s="39">
        <f t="shared" si="471"/>
        <v>0</v>
      </c>
      <c r="V4801" s="40"/>
    </row>
    <row r="4802" spans="2:22" x14ac:dyDescent="0.35">
      <c r="B4802" s="40">
        <v>40072</v>
      </c>
      <c r="C4802" s="39">
        <v>5700.26</v>
      </c>
      <c r="D4802" s="219">
        <f t="shared" si="472"/>
        <v>1.2583534388683407E-2</v>
      </c>
      <c r="F4802" s="40">
        <v>40072</v>
      </c>
      <c r="G4802" s="39">
        <v>5700.26</v>
      </c>
      <c r="H4802" s="39">
        <f t="shared" si="467"/>
        <v>3</v>
      </c>
      <c r="I4802" s="39">
        <f t="shared" si="468"/>
        <v>0</v>
      </c>
      <c r="K4802" s="40"/>
      <c r="Q4802" s="40">
        <v>40072</v>
      </c>
      <c r="R4802" s="39">
        <v>5700.26</v>
      </c>
      <c r="S4802" s="39">
        <f t="shared" si="469"/>
        <v>9</v>
      </c>
      <c r="T4802" s="39">
        <f t="shared" si="470"/>
        <v>0</v>
      </c>
      <c r="U4802" s="39">
        <f t="shared" si="471"/>
        <v>0</v>
      </c>
      <c r="V4802" s="40"/>
    </row>
    <row r="4803" spans="2:22" x14ac:dyDescent="0.35">
      <c r="B4803" s="40">
        <v>40073</v>
      </c>
      <c r="C4803" s="39">
        <v>5731.14</v>
      </c>
      <c r="D4803" s="219">
        <f t="shared" si="472"/>
        <v>5.4026759824261153E-3</v>
      </c>
      <c r="F4803" s="40">
        <v>40073</v>
      </c>
      <c r="G4803" s="39">
        <v>5731.14</v>
      </c>
      <c r="H4803" s="39">
        <f t="shared" si="467"/>
        <v>4</v>
      </c>
      <c r="I4803" s="39">
        <f t="shared" si="468"/>
        <v>0</v>
      </c>
      <c r="K4803" s="40"/>
      <c r="Q4803" s="40">
        <v>40073</v>
      </c>
      <c r="R4803" s="39">
        <v>5731.14</v>
      </c>
      <c r="S4803" s="39">
        <f t="shared" si="469"/>
        <v>9</v>
      </c>
      <c r="T4803" s="39">
        <f t="shared" si="470"/>
        <v>0</v>
      </c>
      <c r="U4803" s="39">
        <f t="shared" si="471"/>
        <v>0</v>
      </c>
      <c r="V4803" s="40"/>
    </row>
    <row r="4804" spans="2:22" x14ac:dyDescent="0.35">
      <c r="B4804" s="40">
        <v>40074</v>
      </c>
      <c r="C4804" s="39">
        <v>5703.83</v>
      </c>
      <c r="D4804" s="219">
        <f t="shared" si="472"/>
        <v>-4.7765847964363331E-3</v>
      </c>
      <c r="F4804" s="40">
        <v>40074</v>
      </c>
      <c r="G4804" s="39">
        <v>5703.83</v>
      </c>
      <c r="H4804" s="39">
        <f t="shared" si="467"/>
        <v>5</v>
      </c>
      <c r="I4804" s="39">
        <f t="shared" si="468"/>
        <v>5703.83</v>
      </c>
      <c r="K4804" s="40"/>
      <c r="Q4804" s="40">
        <v>40074</v>
      </c>
      <c r="R4804" s="39">
        <v>5703.83</v>
      </c>
      <c r="S4804" s="39">
        <f t="shared" si="469"/>
        <v>9</v>
      </c>
      <c r="T4804" s="39">
        <f t="shared" si="470"/>
        <v>0</v>
      </c>
      <c r="U4804" s="39">
        <f t="shared" si="471"/>
        <v>0</v>
      </c>
      <c r="V4804" s="40"/>
    </row>
    <row r="4805" spans="2:22" x14ac:dyDescent="0.35">
      <c r="B4805" s="40">
        <v>40077</v>
      </c>
      <c r="C4805" s="39">
        <v>5668.65</v>
      </c>
      <c r="D4805" s="219">
        <f t="shared" si="472"/>
        <v>-6.1868848688992201E-3</v>
      </c>
      <c r="F4805" s="40">
        <v>40077</v>
      </c>
      <c r="G4805" s="39">
        <v>5668.65</v>
      </c>
      <c r="H4805" s="39">
        <f t="shared" si="467"/>
        <v>1</v>
      </c>
      <c r="I4805" s="39">
        <f t="shared" si="468"/>
        <v>0</v>
      </c>
      <c r="K4805" s="40"/>
      <c r="Q4805" s="40">
        <v>40077</v>
      </c>
      <c r="R4805" s="39">
        <v>5668.65</v>
      </c>
      <c r="S4805" s="39">
        <f t="shared" si="469"/>
        <v>9</v>
      </c>
      <c r="T4805" s="39">
        <f t="shared" si="470"/>
        <v>0</v>
      </c>
      <c r="U4805" s="39">
        <f t="shared" si="471"/>
        <v>0</v>
      </c>
      <c r="V4805" s="40"/>
    </row>
    <row r="4806" spans="2:22" x14ac:dyDescent="0.35">
      <c r="B4806" s="40">
        <v>40078</v>
      </c>
      <c r="C4806" s="39">
        <v>5709.38</v>
      </c>
      <c r="D4806" s="219">
        <f t="shared" si="472"/>
        <v>7.1594421840567666E-3</v>
      </c>
      <c r="F4806" s="40">
        <v>40078</v>
      </c>
      <c r="G4806" s="39">
        <v>5709.38</v>
      </c>
      <c r="H4806" s="39">
        <f t="shared" si="467"/>
        <v>2</v>
      </c>
      <c r="I4806" s="39">
        <f t="shared" si="468"/>
        <v>0</v>
      </c>
      <c r="K4806" s="40"/>
      <c r="Q4806" s="40">
        <v>40078</v>
      </c>
      <c r="R4806" s="39">
        <v>5709.38</v>
      </c>
      <c r="S4806" s="39">
        <f t="shared" si="469"/>
        <v>9</v>
      </c>
      <c r="T4806" s="39">
        <f t="shared" si="470"/>
        <v>0</v>
      </c>
      <c r="U4806" s="39">
        <f t="shared" si="471"/>
        <v>0</v>
      </c>
      <c r="V4806" s="40"/>
    </row>
    <row r="4807" spans="2:22" x14ac:dyDescent="0.35">
      <c r="B4807" s="40">
        <v>40079</v>
      </c>
      <c r="C4807" s="39">
        <v>5702.05</v>
      </c>
      <c r="D4807" s="219">
        <f t="shared" si="472"/>
        <v>-1.284677031382755E-3</v>
      </c>
      <c r="F4807" s="40">
        <v>40079</v>
      </c>
      <c r="G4807" s="39">
        <v>5702.05</v>
      </c>
      <c r="H4807" s="39">
        <f t="shared" si="467"/>
        <v>3</v>
      </c>
      <c r="I4807" s="39">
        <f t="shared" si="468"/>
        <v>0</v>
      </c>
      <c r="K4807" s="40"/>
      <c r="Q4807" s="40">
        <v>40079</v>
      </c>
      <c r="R4807" s="39">
        <v>5702.05</v>
      </c>
      <c r="S4807" s="39">
        <f t="shared" si="469"/>
        <v>9</v>
      </c>
      <c r="T4807" s="39">
        <f t="shared" si="470"/>
        <v>0</v>
      </c>
      <c r="U4807" s="39">
        <f t="shared" si="471"/>
        <v>0</v>
      </c>
      <c r="V4807" s="40"/>
    </row>
    <row r="4808" spans="2:22" x14ac:dyDescent="0.35">
      <c r="B4808" s="40">
        <v>40080</v>
      </c>
      <c r="C4808" s="39">
        <v>5605.21</v>
      </c>
      <c r="D4808" s="219">
        <f t="shared" si="472"/>
        <v>-1.7129236935073216E-2</v>
      </c>
      <c r="F4808" s="40">
        <v>40080</v>
      </c>
      <c r="G4808" s="39">
        <v>5605.21</v>
      </c>
      <c r="H4808" s="39">
        <f t="shared" si="467"/>
        <v>4</v>
      </c>
      <c r="I4808" s="39">
        <f t="shared" si="468"/>
        <v>0</v>
      </c>
      <c r="K4808" s="40"/>
      <c r="Q4808" s="40">
        <v>40080</v>
      </c>
      <c r="R4808" s="39">
        <v>5605.21</v>
      </c>
      <c r="S4808" s="39">
        <f t="shared" si="469"/>
        <v>9</v>
      </c>
      <c r="T4808" s="39">
        <f t="shared" si="470"/>
        <v>0</v>
      </c>
      <c r="U4808" s="39">
        <f t="shared" si="471"/>
        <v>0</v>
      </c>
      <c r="V4808" s="40"/>
    </row>
    <row r="4809" spans="2:22" x14ac:dyDescent="0.35">
      <c r="B4809" s="40">
        <v>40081</v>
      </c>
      <c r="C4809" s="39">
        <v>5581.41</v>
      </c>
      <c r="D4809" s="219">
        <f t="shared" si="472"/>
        <v>-4.2550897250114069E-3</v>
      </c>
      <c r="F4809" s="40">
        <v>40081</v>
      </c>
      <c r="G4809" s="39">
        <v>5581.41</v>
      </c>
      <c r="H4809" s="39">
        <f t="shared" si="467"/>
        <v>5</v>
      </c>
      <c r="I4809" s="39">
        <f t="shared" si="468"/>
        <v>5581.41</v>
      </c>
      <c r="K4809" s="40"/>
      <c r="Q4809" s="40">
        <v>40081</v>
      </c>
      <c r="R4809" s="39">
        <v>5581.41</v>
      </c>
      <c r="S4809" s="39">
        <f t="shared" si="469"/>
        <v>9</v>
      </c>
      <c r="T4809" s="39">
        <f t="shared" si="470"/>
        <v>0</v>
      </c>
      <c r="U4809" s="39">
        <f t="shared" si="471"/>
        <v>0</v>
      </c>
      <c r="V4809" s="40"/>
    </row>
    <row r="4810" spans="2:22" x14ac:dyDescent="0.35">
      <c r="B4810" s="40">
        <v>40084</v>
      </c>
      <c r="C4810" s="39">
        <v>5736.31</v>
      </c>
      <c r="D4810" s="219">
        <f t="shared" si="472"/>
        <v>2.7374713822381783E-2</v>
      </c>
      <c r="F4810" s="40">
        <v>40084</v>
      </c>
      <c r="G4810" s="39">
        <v>5736.31</v>
      </c>
      <c r="H4810" s="39">
        <f t="shared" si="467"/>
        <v>1</v>
      </c>
      <c r="I4810" s="39">
        <f t="shared" si="468"/>
        <v>0</v>
      </c>
      <c r="K4810" s="40"/>
      <c r="Q4810" s="40">
        <v>40084</v>
      </c>
      <c r="R4810" s="39">
        <v>5736.31</v>
      </c>
      <c r="S4810" s="39">
        <f t="shared" si="469"/>
        <v>9</v>
      </c>
      <c r="T4810" s="39">
        <f t="shared" si="470"/>
        <v>0</v>
      </c>
      <c r="U4810" s="39">
        <f t="shared" si="471"/>
        <v>0</v>
      </c>
      <c r="V4810" s="40"/>
    </row>
    <row r="4811" spans="2:22" x14ac:dyDescent="0.35">
      <c r="B4811" s="40">
        <v>40085</v>
      </c>
      <c r="C4811" s="39">
        <v>5713.52</v>
      </c>
      <c r="D4811" s="219">
        <f t="shared" si="472"/>
        <v>-3.9808503875443492E-3</v>
      </c>
      <c r="F4811" s="40">
        <v>40085</v>
      </c>
      <c r="G4811" s="39">
        <v>5713.52</v>
      </c>
      <c r="H4811" s="39">
        <f t="shared" si="467"/>
        <v>2</v>
      </c>
      <c r="I4811" s="39">
        <f t="shared" si="468"/>
        <v>0</v>
      </c>
      <c r="K4811" s="40"/>
      <c r="Q4811" s="40">
        <v>40085</v>
      </c>
      <c r="R4811" s="39">
        <v>5713.52</v>
      </c>
      <c r="S4811" s="39">
        <f t="shared" si="469"/>
        <v>9</v>
      </c>
      <c r="T4811" s="39">
        <f t="shared" si="470"/>
        <v>0</v>
      </c>
      <c r="U4811" s="39">
        <f t="shared" si="471"/>
        <v>0</v>
      </c>
      <c r="V4811" s="40"/>
    </row>
    <row r="4812" spans="2:22" x14ac:dyDescent="0.35">
      <c r="B4812" s="40">
        <v>40086</v>
      </c>
      <c r="C4812" s="39">
        <v>5675.16</v>
      </c>
      <c r="D4812" s="219">
        <f t="shared" si="472"/>
        <v>-6.7365392771941051E-3</v>
      </c>
      <c r="F4812" s="40">
        <v>40086</v>
      </c>
      <c r="G4812" s="39">
        <v>5675.16</v>
      </c>
      <c r="H4812" s="39">
        <f t="shared" si="467"/>
        <v>3</v>
      </c>
      <c r="I4812" s="39">
        <f t="shared" si="468"/>
        <v>0</v>
      </c>
      <c r="K4812" s="40"/>
      <c r="Q4812" s="40">
        <v>40086</v>
      </c>
      <c r="R4812" s="39">
        <v>5675.16</v>
      </c>
      <c r="S4812" s="39">
        <f t="shared" si="469"/>
        <v>9</v>
      </c>
      <c r="T4812" s="39">
        <f t="shared" si="470"/>
        <v>5675.16</v>
      </c>
      <c r="U4812" s="39">
        <f t="shared" si="471"/>
        <v>5675.16</v>
      </c>
      <c r="V4812" s="40"/>
    </row>
    <row r="4813" spans="2:22" x14ac:dyDescent="0.35">
      <c r="B4813" s="40">
        <v>40087</v>
      </c>
      <c r="C4813" s="39">
        <v>5554.55</v>
      </c>
      <c r="D4813" s="219">
        <f t="shared" si="472"/>
        <v>-2.1481345093176989E-2</v>
      </c>
      <c r="F4813" s="40">
        <v>40087</v>
      </c>
      <c r="G4813" s="39">
        <v>5554.55</v>
      </c>
      <c r="H4813" s="39">
        <f t="shared" si="467"/>
        <v>4</v>
      </c>
      <c r="I4813" s="39">
        <f t="shared" si="468"/>
        <v>0</v>
      </c>
      <c r="K4813" s="40"/>
      <c r="Q4813" s="40">
        <v>40087</v>
      </c>
      <c r="R4813" s="39">
        <v>5554.55</v>
      </c>
      <c r="S4813" s="39">
        <f t="shared" si="469"/>
        <v>10</v>
      </c>
      <c r="T4813" s="39">
        <f t="shared" si="470"/>
        <v>0</v>
      </c>
      <c r="U4813" s="39">
        <f t="shared" si="471"/>
        <v>0</v>
      </c>
      <c r="V4813" s="40"/>
    </row>
    <row r="4814" spans="2:22" x14ac:dyDescent="0.35">
      <c r="B4814" s="40">
        <v>40088</v>
      </c>
      <c r="C4814" s="39">
        <v>5467.9</v>
      </c>
      <c r="D4814" s="219">
        <f t="shared" si="472"/>
        <v>-1.5722781237363127E-2</v>
      </c>
      <c r="F4814" s="40">
        <v>40088</v>
      </c>
      <c r="G4814" s="39">
        <v>5467.9</v>
      </c>
      <c r="H4814" s="39">
        <f t="shared" si="467"/>
        <v>5</v>
      </c>
      <c r="I4814" s="39">
        <f t="shared" si="468"/>
        <v>5467.9</v>
      </c>
      <c r="K4814" s="40"/>
      <c r="Q4814" s="40">
        <v>40088</v>
      </c>
      <c r="R4814" s="39">
        <v>5467.9</v>
      </c>
      <c r="S4814" s="39">
        <f t="shared" si="469"/>
        <v>10</v>
      </c>
      <c r="T4814" s="39">
        <f t="shared" si="470"/>
        <v>0</v>
      </c>
      <c r="U4814" s="39">
        <f t="shared" si="471"/>
        <v>0</v>
      </c>
      <c r="V4814" s="40"/>
    </row>
    <row r="4815" spans="2:22" x14ac:dyDescent="0.35">
      <c r="B4815" s="40">
        <v>40091</v>
      </c>
      <c r="C4815" s="39">
        <v>5508.85</v>
      </c>
      <c r="D4815" s="219">
        <f t="shared" si="472"/>
        <v>7.4612594757173705E-3</v>
      </c>
      <c r="F4815" s="40">
        <v>40091</v>
      </c>
      <c r="G4815" s="39">
        <v>5508.85</v>
      </c>
      <c r="H4815" s="39">
        <f t="shared" si="467"/>
        <v>1</v>
      </c>
      <c r="I4815" s="39">
        <f t="shared" si="468"/>
        <v>0</v>
      </c>
      <c r="K4815" s="40"/>
      <c r="Q4815" s="40">
        <v>40091</v>
      </c>
      <c r="R4815" s="39">
        <v>5508.85</v>
      </c>
      <c r="S4815" s="39">
        <f t="shared" si="469"/>
        <v>10</v>
      </c>
      <c r="T4815" s="39">
        <f t="shared" si="470"/>
        <v>0</v>
      </c>
      <c r="U4815" s="39">
        <f t="shared" si="471"/>
        <v>0</v>
      </c>
      <c r="V4815" s="40"/>
    </row>
    <row r="4816" spans="2:22" x14ac:dyDescent="0.35">
      <c r="B4816" s="40">
        <v>40092</v>
      </c>
      <c r="C4816" s="39">
        <v>5657.64</v>
      </c>
      <c r="D4816" s="219">
        <f t="shared" si="472"/>
        <v>2.6650954184081858E-2</v>
      </c>
      <c r="F4816" s="40">
        <v>40092</v>
      </c>
      <c r="G4816" s="39">
        <v>5657.64</v>
      </c>
      <c r="H4816" s="39">
        <f t="shared" si="467"/>
        <v>2</v>
      </c>
      <c r="I4816" s="39">
        <f t="shared" si="468"/>
        <v>0</v>
      </c>
      <c r="K4816" s="40"/>
      <c r="Q4816" s="40">
        <v>40092</v>
      </c>
      <c r="R4816" s="39">
        <v>5657.64</v>
      </c>
      <c r="S4816" s="39">
        <f t="shared" si="469"/>
        <v>10</v>
      </c>
      <c r="T4816" s="39">
        <f t="shared" si="470"/>
        <v>0</v>
      </c>
      <c r="U4816" s="39">
        <f t="shared" si="471"/>
        <v>0</v>
      </c>
      <c r="V4816" s="40"/>
    </row>
    <row r="4817" spans="2:22" x14ac:dyDescent="0.35">
      <c r="B4817" s="40">
        <v>40093</v>
      </c>
      <c r="C4817" s="39">
        <v>5640.75</v>
      </c>
      <c r="D4817" s="219">
        <f t="shared" si="472"/>
        <v>-2.989808739400795E-3</v>
      </c>
      <c r="F4817" s="40">
        <v>40093</v>
      </c>
      <c r="G4817" s="39">
        <v>5640.75</v>
      </c>
      <c r="H4817" s="39">
        <f t="shared" si="467"/>
        <v>3</v>
      </c>
      <c r="I4817" s="39">
        <f t="shared" si="468"/>
        <v>0</v>
      </c>
      <c r="K4817" s="40"/>
      <c r="Q4817" s="40">
        <v>40093</v>
      </c>
      <c r="R4817" s="39">
        <v>5640.75</v>
      </c>
      <c r="S4817" s="39">
        <f t="shared" si="469"/>
        <v>10</v>
      </c>
      <c r="T4817" s="39">
        <f t="shared" si="470"/>
        <v>0</v>
      </c>
      <c r="U4817" s="39">
        <f t="shared" si="471"/>
        <v>0</v>
      </c>
      <c r="V4817" s="40"/>
    </row>
    <row r="4818" spans="2:22" x14ac:dyDescent="0.35">
      <c r="B4818" s="40">
        <v>40094</v>
      </c>
      <c r="C4818" s="39">
        <v>5716.54</v>
      </c>
      <c r="D4818" s="219">
        <f t="shared" si="472"/>
        <v>1.3346691871472121E-2</v>
      </c>
      <c r="F4818" s="40">
        <v>40094</v>
      </c>
      <c r="G4818" s="39">
        <v>5716.54</v>
      </c>
      <c r="H4818" s="39">
        <f t="shared" si="467"/>
        <v>4</v>
      </c>
      <c r="I4818" s="39">
        <f t="shared" si="468"/>
        <v>0</v>
      </c>
      <c r="K4818" s="40"/>
      <c r="Q4818" s="40">
        <v>40094</v>
      </c>
      <c r="R4818" s="39">
        <v>5716.54</v>
      </c>
      <c r="S4818" s="39">
        <f t="shared" si="469"/>
        <v>10</v>
      </c>
      <c r="T4818" s="39">
        <f t="shared" si="470"/>
        <v>0</v>
      </c>
      <c r="U4818" s="39">
        <f t="shared" si="471"/>
        <v>0</v>
      </c>
      <c r="V4818" s="40"/>
    </row>
    <row r="4819" spans="2:22" x14ac:dyDescent="0.35">
      <c r="B4819" s="40">
        <v>40095</v>
      </c>
      <c r="C4819" s="39">
        <v>5711.88</v>
      </c>
      <c r="D4819" s="219">
        <f t="shared" si="472"/>
        <v>-8.1551085071500514E-4</v>
      </c>
      <c r="F4819" s="40">
        <v>40095</v>
      </c>
      <c r="G4819" s="39">
        <v>5711.88</v>
      </c>
      <c r="H4819" s="39">
        <f t="shared" si="467"/>
        <v>5</v>
      </c>
      <c r="I4819" s="39">
        <f t="shared" si="468"/>
        <v>5711.88</v>
      </c>
      <c r="K4819" s="40"/>
      <c r="Q4819" s="40">
        <v>40095</v>
      </c>
      <c r="R4819" s="39">
        <v>5711.88</v>
      </c>
      <c r="S4819" s="39">
        <f t="shared" si="469"/>
        <v>10</v>
      </c>
      <c r="T4819" s="39">
        <f t="shared" si="470"/>
        <v>0</v>
      </c>
      <c r="U4819" s="39">
        <f t="shared" si="471"/>
        <v>0</v>
      </c>
      <c r="V4819" s="40"/>
    </row>
    <row r="4820" spans="2:22" x14ac:dyDescent="0.35">
      <c r="B4820" s="40">
        <v>40098</v>
      </c>
      <c r="C4820" s="39">
        <v>5783.23</v>
      </c>
      <c r="D4820" s="219">
        <f t="shared" si="472"/>
        <v>1.2414133716733153E-2</v>
      </c>
      <c r="F4820" s="40">
        <v>40098</v>
      </c>
      <c r="G4820" s="39">
        <v>5783.23</v>
      </c>
      <c r="H4820" s="39">
        <f t="shared" si="467"/>
        <v>1</v>
      </c>
      <c r="I4820" s="39">
        <f t="shared" si="468"/>
        <v>0</v>
      </c>
      <c r="K4820" s="40"/>
      <c r="Q4820" s="40">
        <v>40098</v>
      </c>
      <c r="R4820" s="39">
        <v>5783.23</v>
      </c>
      <c r="S4820" s="39">
        <f t="shared" si="469"/>
        <v>10</v>
      </c>
      <c r="T4820" s="39">
        <f t="shared" si="470"/>
        <v>0</v>
      </c>
      <c r="U4820" s="39">
        <f t="shared" si="471"/>
        <v>0</v>
      </c>
      <c r="V4820" s="40"/>
    </row>
    <row r="4821" spans="2:22" x14ac:dyDescent="0.35">
      <c r="B4821" s="40">
        <v>40099</v>
      </c>
      <c r="C4821" s="39">
        <v>5714.31</v>
      </c>
      <c r="D4821" s="219">
        <f t="shared" si="472"/>
        <v>-1.1988795080383604E-2</v>
      </c>
      <c r="F4821" s="40">
        <v>40099</v>
      </c>
      <c r="G4821" s="39">
        <v>5714.31</v>
      </c>
      <c r="H4821" s="39">
        <f t="shared" si="467"/>
        <v>2</v>
      </c>
      <c r="I4821" s="39">
        <f t="shared" si="468"/>
        <v>0</v>
      </c>
      <c r="K4821" s="40"/>
      <c r="Q4821" s="40">
        <v>40099</v>
      </c>
      <c r="R4821" s="39">
        <v>5714.31</v>
      </c>
      <c r="S4821" s="39">
        <f t="shared" si="469"/>
        <v>10</v>
      </c>
      <c r="T4821" s="39">
        <f t="shared" si="470"/>
        <v>0</v>
      </c>
      <c r="U4821" s="39">
        <f t="shared" si="471"/>
        <v>0</v>
      </c>
      <c r="V4821" s="40"/>
    </row>
    <row r="4822" spans="2:22" x14ac:dyDescent="0.35">
      <c r="B4822" s="40">
        <v>40100</v>
      </c>
      <c r="C4822" s="39">
        <v>5854.14</v>
      </c>
      <c r="D4822" s="219">
        <f t="shared" si="472"/>
        <v>2.4175548205745915E-2</v>
      </c>
      <c r="F4822" s="40">
        <v>40100</v>
      </c>
      <c r="G4822" s="39">
        <v>5854.14</v>
      </c>
      <c r="H4822" s="39">
        <f t="shared" si="467"/>
        <v>3</v>
      </c>
      <c r="I4822" s="39">
        <f t="shared" si="468"/>
        <v>0</v>
      </c>
      <c r="K4822" s="40"/>
      <c r="Q4822" s="40">
        <v>40100</v>
      </c>
      <c r="R4822" s="39">
        <v>5854.14</v>
      </c>
      <c r="S4822" s="39">
        <f t="shared" si="469"/>
        <v>10</v>
      </c>
      <c r="T4822" s="39">
        <f t="shared" si="470"/>
        <v>0</v>
      </c>
      <c r="U4822" s="39">
        <f t="shared" si="471"/>
        <v>0</v>
      </c>
      <c r="V4822" s="40"/>
    </row>
    <row r="4823" spans="2:22" x14ac:dyDescent="0.35">
      <c r="B4823" s="40">
        <v>40101</v>
      </c>
      <c r="C4823" s="39">
        <v>5830.77</v>
      </c>
      <c r="D4823" s="219">
        <f t="shared" si="472"/>
        <v>-4.0000361424357518E-3</v>
      </c>
      <c r="F4823" s="40">
        <v>40101</v>
      </c>
      <c r="G4823" s="39">
        <v>5830.77</v>
      </c>
      <c r="H4823" s="39">
        <f t="shared" si="467"/>
        <v>4</v>
      </c>
      <c r="I4823" s="39">
        <f t="shared" si="468"/>
        <v>0</v>
      </c>
      <c r="K4823" s="40"/>
      <c r="Q4823" s="40">
        <v>40101</v>
      </c>
      <c r="R4823" s="39">
        <v>5830.77</v>
      </c>
      <c r="S4823" s="39">
        <f t="shared" si="469"/>
        <v>10</v>
      </c>
      <c r="T4823" s="39">
        <f t="shared" si="470"/>
        <v>0</v>
      </c>
      <c r="U4823" s="39">
        <f t="shared" si="471"/>
        <v>0</v>
      </c>
      <c r="V4823" s="40"/>
    </row>
    <row r="4824" spans="2:22" x14ac:dyDescent="0.35">
      <c r="B4824" s="40">
        <v>40102</v>
      </c>
      <c r="C4824" s="39">
        <v>5743.39</v>
      </c>
      <c r="D4824" s="219">
        <f t="shared" si="472"/>
        <v>-1.5099438777949252E-2</v>
      </c>
      <c r="F4824" s="40">
        <v>40102</v>
      </c>
      <c r="G4824" s="39">
        <v>5743.39</v>
      </c>
      <c r="H4824" s="39">
        <f t="shared" si="467"/>
        <v>5</v>
      </c>
      <c r="I4824" s="39">
        <f t="shared" si="468"/>
        <v>5743.39</v>
      </c>
      <c r="K4824" s="40"/>
      <c r="Q4824" s="40">
        <v>40102</v>
      </c>
      <c r="R4824" s="39">
        <v>5743.39</v>
      </c>
      <c r="S4824" s="39">
        <f t="shared" si="469"/>
        <v>10</v>
      </c>
      <c r="T4824" s="39">
        <f t="shared" si="470"/>
        <v>0</v>
      </c>
      <c r="U4824" s="39">
        <f t="shared" si="471"/>
        <v>0</v>
      </c>
      <c r="V4824" s="40"/>
    </row>
    <row r="4825" spans="2:22" x14ac:dyDescent="0.35">
      <c r="B4825" s="40">
        <v>40105</v>
      </c>
      <c r="C4825" s="39">
        <v>5852.56</v>
      </c>
      <c r="D4825" s="219">
        <f t="shared" si="472"/>
        <v>1.8829544024471706E-2</v>
      </c>
      <c r="F4825" s="40">
        <v>40105</v>
      </c>
      <c r="G4825" s="39">
        <v>5852.56</v>
      </c>
      <c r="H4825" s="39">
        <f t="shared" si="467"/>
        <v>1</v>
      </c>
      <c r="I4825" s="39">
        <f t="shared" si="468"/>
        <v>0</v>
      </c>
      <c r="K4825" s="40"/>
      <c r="Q4825" s="40">
        <v>40105</v>
      </c>
      <c r="R4825" s="39">
        <v>5852.56</v>
      </c>
      <c r="S4825" s="39">
        <f t="shared" si="469"/>
        <v>10</v>
      </c>
      <c r="T4825" s="39">
        <f t="shared" si="470"/>
        <v>0</v>
      </c>
      <c r="U4825" s="39">
        <f t="shared" si="471"/>
        <v>0</v>
      </c>
      <c r="V4825" s="40"/>
    </row>
    <row r="4826" spans="2:22" x14ac:dyDescent="0.35">
      <c r="B4826" s="40">
        <v>40106</v>
      </c>
      <c r="C4826" s="39">
        <v>5811.77</v>
      </c>
      <c r="D4826" s="219">
        <f t="shared" si="472"/>
        <v>-6.9940007310592463E-3</v>
      </c>
      <c r="F4826" s="40">
        <v>40106</v>
      </c>
      <c r="G4826" s="39">
        <v>5811.77</v>
      </c>
      <c r="H4826" s="39">
        <f t="shared" si="467"/>
        <v>2</v>
      </c>
      <c r="I4826" s="39">
        <f t="shared" si="468"/>
        <v>0</v>
      </c>
      <c r="K4826" s="40"/>
      <c r="Q4826" s="40">
        <v>40106</v>
      </c>
      <c r="R4826" s="39">
        <v>5811.77</v>
      </c>
      <c r="S4826" s="39">
        <f t="shared" si="469"/>
        <v>10</v>
      </c>
      <c r="T4826" s="39">
        <f t="shared" si="470"/>
        <v>0</v>
      </c>
      <c r="U4826" s="39">
        <f t="shared" si="471"/>
        <v>0</v>
      </c>
      <c r="V4826" s="40"/>
    </row>
    <row r="4827" spans="2:22" x14ac:dyDescent="0.35">
      <c r="B4827" s="40">
        <v>40107</v>
      </c>
      <c r="C4827" s="39">
        <v>5833.49</v>
      </c>
      <c r="D4827" s="219">
        <f t="shared" si="472"/>
        <v>3.7302774152038034E-3</v>
      </c>
      <c r="F4827" s="40">
        <v>40107</v>
      </c>
      <c r="G4827" s="39">
        <v>5833.49</v>
      </c>
      <c r="H4827" s="39">
        <f t="shared" si="467"/>
        <v>3</v>
      </c>
      <c r="I4827" s="39">
        <f t="shared" si="468"/>
        <v>0</v>
      </c>
      <c r="K4827" s="40"/>
      <c r="Q4827" s="40">
        <v>40107</v>
      </c>
      <c r="R4827" s="39">
        <v>5833.49</v>
      </c>
      <c r="S4827" s="39">
        <f t="shared" si="469"/>
        <v>10</v>
      </c>
      <c r="T4827" s="39">
        <f t="shared" si="470"/>
        <v>0</v>
      </c>
      <c r="U4827" s="39">
        <f t="shared" si="471"/>
        <v>0</v>
      </c>
      <c r="V4827" s="40"/>
    </row>
    <row r="4828" spans="2:22" x14ac:dyDescent="0.35">
      <c r="B4828" s="40">
        <v>40108</v>
      </c>
      <c r="C4828" s="39">
        <v>5762.93</v>
      </c>
      <c r="D4828" s="219">
        <f t="shared" si="472"/>
        <v>-1.2169423114309588E-2</v>
      </c>
      <c r="F4828" s="40">
        <v>40108</v>
      </c>
      <c r="G4828" s="39">
        <v>5762.93</v>
      </c>
      <c r="H4828" s="39">
        <f t="shared" si="467"/>
        <v>4</v>
      </c>
      <c r="I4828" s="39">
        <f t="shared" si="468"/>
        <v>0</v>
      </c>
      <c r="K4828" s="40"/>
      <c r="Q4828" s="40">
        <v>40108</v>
      </c>
      <c r="R4828" s="39">
        <v>5762.93</v>
      </c>
      <c r="S4828" s="39">
        <f t="shared" si="469"/>
        <v>10</v>
      </c>
      <c r="T4828" s="39">
        <f t="shared" si="470"/>
        <v>0</v>
      </c>
      <c r="U4828" s="39">
        <f t="shared" si="471"/>
        <v>0</v>
      </c>
      <c r="V4828" s="40"/>
    </row>
    <row r="4829" spans="2:22" x14ac:dyDescent="0.35">
      <c r="B4829" s="40">
        <v>40109</v>
      </c>
      <c r="C4829" s="39">
        <v>5740.25</v>
      </c>
      <c r="D4829" s="219">
        <f t="shared" si="472"/>
        <v>-3.943262539264151E-3</v>
      </c>
      <c r="F4829" s="40">
        <v>40109</v>
      </c>
      <c r="G4829" s="39">
        <v>5740.25</v>
      </c>
      <c r="H4829" s="39">
        <f t="shared" si="467"/>
        <v>5</v>
      </c>
      <c r="I4829" s="39">
        <f t="shared" si="468"/>
        <v>5740.25</v>
      </c>
      <c r="K4829" s="40"/>
      <c r="Q4829" s="40">
        <v>40109</v>
      </c>
      <c r="R4829" s="39">
        <v>5740.25</v>
      </c>
      <c r="S4829" s="39">
        <f t="shared" si="469"/>
        <v>10</v>
      </c>
      <c r="T4829" s="39">
        <f t="shared" si="470"/>
        <v>0</v>
      </c>
      <c r="U4829" s="39">
        <f t="shared" si="471"/>
        <v>0</v>
      </c>
      <c r="V4829" s="40"/>
    </row>
    <row r="4830" spans="2:22" x14ac:dyDescent="0.35">
      <c r="B4830" s="40">
        <v>40112</v>
      </c>
      <c r="C4830" s="39">
        <v>5642.16</v>
      </c>
      <c r="D4830" s="219">
        <f t="shared" si="472"/>
        <v>-1.7235792474256193E-2</v>
      </c>
      <c r="F4830" s="40">
        <v>40112</v>
      </c>
      <c r="G4830" s="39">
        <v>5642.16</v>
      </c>
      <c r="H4830" s="39">
        <f t="shared" si="467"/>
        <v>1</v>
      </c>
      <c r="I4830" s="39">
        <f t="shared" si="468"/>
        <v>0</v>
      </c>
      <c r="K4830" s="40"/>
      <c r="Q4830" s="40">
        <v>40112</v>
      </c>
      <c r="R4830" s="39">
        <v>5642.16</v>
      </c>
      <c r="S4830" s="39">
        <f t="shared" si="469"/>
        <v>10</v>
      </c>
      <c r="T4830" s="39">
        <f t="shared" si="470"/>
        <v>0</v>
      </c>
      <c r="U4830" s="39">
        <f t="shared" si="471"/>
        <v>0</v>
      </c>
      <c r="V4830" s="40"/>
    </row>
    <row r="4831" spans="2:22" x14ac:dyDescent="0.35">
      <c r="B4831" s="40">
        <v>40113</v>
      </c>
      <c r="C4831" s="39">
        <v>5635.02</v>
      </c>
      <c r="D4831" s="219">
        <f t="shared" si="472"/>
        <v>-1.2662741845128715E-3</v>
      </c>
      <c r="F4831" s="40">
        <v>40113</v>
      </c>
      <c r="G4831" s="39">
        <v>5635.02</v>
      </c>
      <c r="H4831" s="39">
        <f t="shared" si="467"/>
        <v>2</v>
      </c>
      <c r="I4831" s="39">
        <f t="shared" si="468"/>
        <v>0</v>
      </c>
      <c r="K4831" s="40"/>
      <c r="Q4831" s="40">
        <v>40113</v>
      </c>
      <c r="R4831" s="39">
        <v>5635.02</v>
      </c>
      <c r="S4831" s="39">
        <f t="shared" si="469"/>
        <v>10</v>
      </c>
      <c r="T4831" s="39">
        <f t="shared" si="470"/>
        <v>0</v>
      </c>
      <c r="U4831" s="39">
        <f t="shared" si="471"/>
        <v>0</v>
      </c>
      <c r="V4831" s="40"/>
    </row>
    <row r="4832" spans="2:22" x14ac:dyDescent="0.35">
      <c r="B4832" s="40">
        <v>40114</v>
      </c>
      <c r="C4832" s="39">
        <v>5496.27</v>
      </c>
      <c r="D4832" s="219">
        <f t="shared" si="472"/>
        <v>-2.4931016380297266E-2</v>
      </c>
      <c r="F4832" s="40">
        <v>40114</v>
      </c>
      <c r="G4832" s="39">
        <v>5496.27</v>
      </c>
      <c r="H4832" s="39">
        <f t="shared" si="467"/>
        <v>3</v>
      </c>
      <c r="I4832" s="39">
        <f t="shared" si="468"/>
        <v>0</v>
      </c>
      <c r="K4832" s="40"/>
      <c r="Q4832" s="40">
        <v>40114</v>
      </c>
      <c r="R4832" s="39">
        <v>5496.27</v>
      </c>
      <c r="S4832" s="39">
        <f t="shared" si="469"/>
        <v>10</v>
      </c>
      <c r="T4832" s="39">
        <f t="shared" si="470"/>
        <v>0</v>
      </c>
      <c r="U4832" s="39">
        <f t="shared" si="471"/>
        <v>0</v>
      </c>
      <c r="V4832" s="40"/>
    </row>
    <row r="4833" spans="2:22" x14ac:dyDescent="0.35">
      <c r="B4833" s="40">
        <v>40115</v>
      </c>
      <c r="C4833" s="39">
        <v>5587.45</v>
      </c>
      <c r="D4833" s="219">
        <f t="shared" si="472"/>
        <v>1.6453331002858188E-2</v>
      </c>
      <c r="F4833" s="40">
        <v>40115</v>
      </c>
      <c r="G4833" s="39">
        <v>5587.45</v>
      </c>
      <c r="H4833" s="39">
        <f t="shared" si="467"/>
        <v>4</v>
      </c>
      <c r="I4833" s="39">
        <f t="shared" si="468"/>
        <v>0</v>
      </c>
      <c r="K4833" s="40"/>
      <c r="Q4833" s="40">
        <v>40115</v>
      </c>
      <c r="R4833" s="39">
        <v>5587.45</v>
      </c>
      <c r="S4833" s="39">
        <f t="shared" si="469"/>
        <v>10</v>
      </c>
      <c r="T4833" s="39">
        <f t="shared" si="470"/>
        <v>0</v>
      </c>
      <c r="U4833" s="39">
        <f t="shared" si="471"/>
        <v>0</v>
      </c>
      <c r="V4833" s="40"/>
    </row>
    <row r="4834" spans="2:22" x14ac:dyDescent="0.35">
      <c r="B4834" s="40">
        <v>40116</v>
      </c>
      <c r="C4834" s="39">
        <v>5414.96</v>
      </c>
      <c r="D4834" s="219">
        <f t="shared" si="472"/>
        <v>-3.1357517816390026E-2</v>
      </c>
      <c r="F4834" s="40">
        <v>40116</v>
      </c>
      <c r="G4834" s="39">
        <v>5414.96</v>
      </c>
      <c r="H4834" s="39">
        <f t="shared" si="467"/>
        <v>5</v>
      </c>
      <c r="I4834" s="39">
        <f t="shared" si="468"/>
        <v>5414.96</v>
      </c>
      <c r="K4834" s="40"/>
      <c r="Q4834" s="40">
        <v>40116</v>
      </c>
      <c r="R4834" s="39">
        <v>5414.96</v>
      </c>
      <c r="S4834" s="39">
        <f t="shared" si="469"/>
        <v>10</v>
      </c>
      <c r="T4834" s="39">
        <f t="shared" si="470"/>
        <v>5414.96</v>
      </c>
      <c r="U4834" s="39">
        <f t="shared" si="471"/>
        <v>5414.96</v>
      </c>
      <c r="V4834" s="40"/>
    </row>
    <row r="4835" spans="2:22" x14ac:dyDescent="0.35">
      <c r="B4835" s="40">
        <v>40119</v>
      </c>
      <c r="C4835" s="39">
        <v>5430.82</v>
      </c>
      <c r="D4835" s="219">
        <f t="shared" si="472"/>
        <v>2.9246418984920672E-3</v>
      </c>
      <c r="F4835" s="40">
        <v>40119</v>
      </c>
      <c r="G4835" s="39">
        <v>5430.82</v>
      </c>
      <c r="H4835" s="39">
        <f t="shared" si="467"/>
        <v>1</v>
      </c>
      <c r="I4835" s="39">
        <f t="shared" si="468"/>
        <v>0</v>
      </c>
      <c r="K4835" s="40"/>
      <c r="Q4835" s="40">
        <v>40119</v>
      </c>
      <c r="R4835" s="39">
        <v>5430.82</v>
      </c>
      <c r="S4835" s="39">
        <f t="shared" si="469"/>
        <v>11</v>
      </c>
      <c r="T4835" s="39">
        <f t="shared" si="470"/>
        <v>0</v>
      </c>
      <c r="U4835" s="39">
        <f t="shared" si="471"/>
        <v>0</v>
      </c>
      <c r="V4835" s="40"/>
    </row>
    <row r="4836" spans="2:22" x14ac:dyDescent="0.35">
      <c r="B4836" s="40">
        <v>40120</v>
      </c>
      <c r="C4836" s="39">
        <v>5353.35</v>
      </c>
      <c r="D4836" s="219">
        <f t="shared" si="472"/>
        <v>-1.4367602265198771E-2</v>
      </c>
      <c r="F4836" s="40">
        <v>40120</v>
      </c>
      <c r="G4836" s="39">
        <v>5353.35</v>
      </c>
      <c r="H4836" s="39">
        <f t="shared" si="467"/>
        <v>2</v>
      </c>
      <c r="I4836" s="39">
        <f t="shared" si="468"/>
        <v>0</v>
      </c>
      <c r="K4836" s="40"/>
      <c r="Q4836" s="40">
        <v>40120</v>
      </c>
      <c r="R4836" s="39">
        <v>5353.35</v>
      </c>
      <c r="S4836" s="39">
        <f t="shared" si="469"/>
        <v>11</v>
      </c>
      <c r="T4836" s="39">
        <f t="shared" si="470"/>
        <v>0</v>
      </c>
      <c r="U4836" s="39">
        <f t="shared" si="471"/>
        <v>0</v>
      </c>
      <c r="V4836" s="40"/>
    </row>
    <row r="4837" spans="2:22" x14ac:dyDescent="0.35">
      <c r="B4837" s="40">
        <v>40121</v>
      </c>
      <c r="C4837" s="39">
        <v>5444.23</v>
      </c>
      <c r="D4837" s="219">
        <f t="shared" si="472"/>
        <v>1.6833799072896349E-2</v>
      </c>
      <c r="F4837" s="40">
        <v>40121</v>
      </c>
      <c r="G4837" s="39">
        <v>5444.23</v>
      </c>
      <c r="H4837" s="39">
        <f t="shared" si="467"/>
        <v>3</v>
      </c>
      <c r="I4837" s="39">
        <f t="shared" si="468"/>
        <v>0</v>
      </c>
      <c r="K4837" s="40"/>
      <c r="Q4837" s="40">
        <v>40121</v>
      </c>
      <c r="R4837" s="39">
        <v>5444.23</v>
      </c>
      <c r="S4837" s="39">
        <f t="shared" si="469"/>
        <v>11</v>
      </c>
      <c r="T4837" s="39">
        <f t="shared" si="470"/>
        <v>0</v>
      </c>
      <c r="U4837" s="39">
        <f t="shared" si="471"/>
        <v>0</v>
      </c>
      <c r="V4837" s="40"/>
    </row>
    <row r="4838" spans="2:22" x14ac:dyDescent="0.35">
      <c r="B4838" s="40">
        <v>40122</v>
      </c>
      <c r="C4838" s="39">
        <v>5480.92</v>
      </c>
      <c r="D4838" s="219">
        <f t="shared" si="472"/>
        <v>6.7166378372065924E-3</v>
      </c>
      <c r="F4838" s="40">
        <v>40122</v>
      </c>
      <c r="G4838" s="39">
        <v>5480.92</v>
      </c>
      <c r="H4838" s="39">
        <f t="shared" si="467"/>
        <v>4</v>
      </c>
      <c r="I4838" s="39">
        <f t="shared" si="468"/>
        <v>0</v>
      </c>
      <c r="K4838" s="40"/>
      <c r="Q4838" s="40">
        <v>40122</v>
      </c>
      <c r="R4838" s="39">
        <v>5480.92</v>
      </c>
      <c r="S4838" s="39">
        <f t="shared" si="469"/>
        <v>11</v>
      </c>
      <c r="T4838" s="39">
        <f t="shared" si="470"/>
        <v>0</v>
      </c>
      <c r="U4838" s="39">
        <f t="shared" si="471"/>
        <v>0</v>
      </c>
      <c r="V4838" s="40"/>
    </row>
    <row r="4839" spans="2:22" x14ac:dyDescent="0.35">
      <c r="B4839" s="40">
        <v>40123</v>
      </c>
      <c r="C4839" s="39">
        <v>5488.25</v>
      </c>
      <c r="D4839" s="219">
        <f t="shared" si="472"/>
        <v>1.3364732411014417E-3</v>
      </c>
      <c r="F4839" s="40">
        <v>40123</v>
      </c>
      <c r="G4839" s="39">
        <v>5488.25</v>
      </c>
      <c r="H4839" s="39">
        <f t="shared" si="467"/>
        <v>5</v>
      </c>
      <c r="I4839" s="39">
        <f t="shared" si="468"/>
        <v>5488.25</v>
      </c>
      <c r="K4839" s="40"/>
      <c r="Q4839" s="40">
        <v>40123</v>
      </c>
      <c r="R4839" s="39">
        <v>5488.25</v>
      </c>
      <c r="S4839" s="39">
        <f t="shared" si="469"/>
        <v>11</v>
      </c>
      <c r="T4839" s="39">
        <f t="shared" si="470"/>
        <v>0</v>
      </c>
      <c r="U4839" s="39">
        <f t="shared" si="471"/>
        <v>0</v>
      </c>
      <c r="V4839" s="40"/>
    </row>
    <row r="4840" spans="2:22" x14ac:dyDescent="0.35">
      <c r="B4840" s="40">
        <v>40126</v>
      </c>
      <c r="C4840" s="39">
        <v>5619.72</v>
      </c>
      <c r="D4840" s="219">
        <f t="shared" si="472"/>
        <v>2.367239727848747E-2</v>
      </c>
      <c r="F4840" s="40">
        <v>40126</v>
      </c>
      <c r="G4840" s="39">
        <v>5619.72</v>
      </c>
      <c r="H4840" s="39">
        <f t="shared" si="467"/>
        <v>1</v>
      </c>
      <c r="I4840" s="39">
        <f t="shared" si="468"/>
        <v>0</v>
      </c>
      <c r="K4840" s="40"/>
      <c r="Q4840" s="40">
        <v>40126</v>
      </c>
      <c r="R4840" s="39">
        <v>5619.72</v>
      </c>
      <c r="S4840" s="39">
        <f t="shared" si="469"/>
        <v>11</v>
      </c>
      <c r="T4840" s="39">
        <f t="shared" si="470"/>
        <v>0</v>
      </c>
      <c r="U4840" s="39">
        <f t="shared" si="471"/>
        <v>0</v>
      </c>
      <c r="V4840" s="40"/>
    </row>
    <row r="4841" spans="2:22" x14ac:dyDescent="0.35">
      <c r="B4841" s="40">
        <v>40127</v>
      </c>
      <c r="C4841" s="39">
        <v>5613.2</v>
      </c>
      <c r="D4841" s="219">
        <f t="shared" si="472"/>
        <v>-1.1608737055390321E-3</v>
      </c>
      <c r="F4841" s="40">
        <v>40127</v>
      </c>
      <c r="G4841" s="39">
        <v>5613.2</v>
      </c>
      <c r="H4841" s="39">
        <f t="shared" si="467"/>
        <v>2</v>
      </c>
      <c r="I4841" s="39">
        <f t="shared" si="468"/>
        <v>0</v>
      </c>
      <c r="K4841" s="40"/>
      <c r="Q4841" s="40">
        <v>40127</v>
      </c>
      <c r="R4841" s="39">
        <v>5613.2</v>
      </c>
      <c r="S4841" s="39">
        <f t="shared" si="469"/>
        <v>11</v>
      </c>
      <c r="T4841" s="39">
        <f t="shared" si="470"/>
        <v>0</v>
      </c>
      <c r="U4841" s="39">
        <f t="shared" si="471"/>
        <v>0</v>
      </c>
      <c r="V4841" s="40"/>
    </row>
    <row r="4842" spans="2:22" x14ac:dyDescent="0.35">
      <c r="B4842" s="40">
        <v>40128</v>
      </c>
      <c r="C4842" s="39">
        <v>5668.35</v>
      </c>
      <c r="D4842" s="219">
        <f t="shared" si="472"/>
        <v>9.7771032035560007E-3</v>
      </c>
      <c r="F4842" s="40">
        <v>40128</v>
      </c>
      <c r="G4842" s="39">
        <v>5668.35</v>
      </c>
      <c r="H4842" s="39">
        <f t="shared" si="467"/>
        <v>3</v>
      </c>
      <c r="I4842" s="39">
        <f t="shared" si="468"/>
        <v>0</v>
      </c>
      <c r="K4842" s="40"/>
      <c r="Q4842" s="40">
        <v>40128</v>
      </c>
      <c r="R4842" s="39">
        <v>5668.35</v>
      </c>
      <c r="S4842" s="39">
        <f t="shared" si="469"/>
        <v>11</v>
      </c>
      <c r="T4842" s="39">
        <f t="shared" si="470"/>
        <v>0</v>
      </c>
      <c r="U4842" s="39">
        <f t="shared" si="471"/>
        <v>0</v>
      </c>
      <c r="V4842" s="40"/>
    </row>
    <row r="4843" spans="2:22" x14ac:dyDescent="0.35">
      <c r="B4843" s="40">
        <v>40129</v>
      </c>
      <c r="C4843" s="39">
        <v>5663.96</v>
      </c>
      <c r="D4843" s="219">
        <f t="shared" si="472"/>
        <v>-7.7477587881056708E-4</v>
      </c>
      <c r="F4843" s="40">
        <v>40129</v>
      </c>
      <c r="G4843" s="39">
        <v>5663.96</v>
      </c>
      <c r="H4843" s="39">
        <f t="shared" si="467"/>
        <v>4</v>
      </c>
      <c r="I4843" s="39">
        <f t="shared" si="468"/>
        <v>0</v>
      </c>
      <c r="K4843" s="40"/>
      <c r="Q4843" s="40">
        <v>40129</v>
      </c>
      <c r="R4843" s="39">
        <v>5663.96</v>
      </c>
      <c r="S4843" s="39">
        <f t="shared" si="469"/>
        <v>11</v>
      </c>
      <c r="T4843" s="39">
        <f t="shared" si="470"/>
        <v>0</v>
      </c>
      <c r="U4843" s="39">
        <f t="shared" si="471"/>
        <v>0</v>
      </c>
      <c r="V4843" s="40"/>
    </row>
    <row r="4844" spans="2:22" x14ac:dyDescent="0.35">
      <c r="B4844" s="40">
        <v>40130</v>
      </c>
      <c r="C4844" s="39">
        <v>5686.83</v>
      </c>
      <c r="D4844" s="219">
        <f t="shared" si="472"/>
        <v>4.0296809204537305E-3</v>
      </c>
      <c r="F4844" s="40">
        <v>40130</v>
      </c>
      <c r="G4844" s="39">
        <v>5686.83</v>
      </c>
      <c r="H4844" s="39">
        <f t="shared" si="467"/>
        <v>5</v>
      </c>
      <c r="I4844" s="39">
        <f t="shared" si="468"/>
        <v>5686.83</v>
      </c>
      <c r="K4844" s="40"/>
      <c r="Q4844" s="40">
        <v>40130</v>
      </c>
      <c r="R4844" s="39">
        <v>5686.83</v>
      </c>
      <c r="S4844" s="39">
        <f t="shared" si="469"/>
        <v>11</v>
      </c>
      <c r="T4844" s="39">
        <f t="shared" si="470"/>
        <v>0</v>
      </c>
      <c r="U4844" s="39">
        <f t="shared" si="471"/>
        <v>0</v>
      </c>
      <c r="V4844" s="40"/>
    </row>
    <row r="4845" spans="2:22" x14ac:dyDescent="0.35">
      <c r="B4845" s="40">
        <v>40133</v>
      </c>
      <c r="C4845" s="39">
        <v>5804.82</v>
      </c>
      <c r="D4845" s="219">
        <f t="shared" si="472"/>
        <v>2.0535631777123812E-2</v>
      </c>
      <c r="F4845" s="40">
        <v>40133</v>
      </c>
      <c r="G4845" s="39">
        <v>5804.82</v>
      </c>
      <c r="H4845" s="39">
        <f t="shared" si="467"/>
        <v>1</v>
      </c>
      <c r="I4845" s="39">
        <f t="shared" si="468"/>
        <v>0</v>
      </c>
      <c r="K4845" s="40"/>
      <c r="Q4845" s="40">
        <v>40133</v>
      </c>
      <c r="R4845" s="39">
        <v>5804.82</v>
      </c>
      <c r="S4845" s="39">
        <f t="shared" si="469"/>
        <v>11</v>
      </c>
      <c r="T4845" s="39">
        <f t="shared" si="470"/>
        <v>0</v>
      </c>
      <c r="U4845" s="39">
        <f t="shared" si="471"/>
        <v>0</v>
      </c>
      <c r="V4845" s="40"/>
    </row>
    <row r="4846" spans="2:22" x14ac:dyDescent="0.35">
      <c r="B4846" s="40">
        <v>40134</v>
      </c>
      <c r="C4846" s="39">
        <v>5778.43</v>
      </c>
      <c r="D4846" s="219">
        <f t="shared" si="472"/>
        <v>-4.5565874275626632E-3</v>
      </c>
      <c r="F4846" s="40">
        <v>40134</v>
      </c>
      <c r="G4846" s="39">
        <v>5778.43</v>
      </c>
      <c r="H4846" s="39">
        <f t="shared" si="467"/>
        <v>2</v>
      </c>
      <c r="I4846" s="39">
        <f t="shared" si="468"/>
        <v>0</v>
      </c>
      <c r="K4846" s="40"/>
      <c r="Q4846" s="40">
        <v>40134</v>
      </c>
      <c r="R4846" s="39">
        <v>5778.43</v>
      </c>
      <c r="S4846" s="39">
        <f t="shared" si="469"/>
        <v>11</v>
      </c>
      <c r="T4846" s="39">
        <f t="shared" si="470"/>
        <v>0</v>
      </c>
      <c r="U4846" s="39">
        <f t="shared" si="471"/>
        <v>0</v>
      </c>
      <c r="V4846" s="40"/>
    </row>
    <row r="4847" spans="2:22" x14ac:dyDescent="0.35">
      <c r="B4847" s="40">
        <v>40135</v>
      </c>
      <c r="C4847" s="39">
        <v>5787.61</v>
      </c>
      <c r="D4847" s="219">
        <f t="shared" si="472"/>
        <v>1.5874062216093051E-3</v>
      </c>
      <c r="F4847" s="40">
        <v>40135</v>
      </c>
      <c r="G4847" s="39">
        <v>5787.61</v>
      </c>
      <c r="H4847" s="39">
        <f t="shared" si="467"/>
        <v>3</v>
      </c>
      <c r="I4847" s="39">
        <f t="shared" si="468"/>
        <v>0</v>
      </c>
      <c r="K4847" s="40"/>
      <c r="Q4847" s="40">
        <v>40135</v>
      </c>
      <c r="R4847" s="39">
        <v>5787.61</v>
      </c>
      <c r="S4847" s="39">
        <f t="shared" si="469"/>
        <v>11</v>
      </c>
      <c r="T4847" s="39">
        <f t="shared" si="470"/>
        <v>0</v>
      </c>
      <c r="U4847" s="39">
        <f t="shared" si="471"/>
        <v>0</v>
      </c>
      <c r="V4847" s="40"/>
    </row>
    <row r="4848" spans="2:22" x14ac:dyDescent="0.35">
      <c r="B4848" s="40">
        <v>40136</v>
      </c>
      <c r="C4848" s="39">
        <v>5702.18</v>
      </c>
      <c r="D4848" s="219">
        <f t="shared" si="472"/>
        <v>-1.4870867848065163E-2</v>
      </c>
      <c r="F4848" s="40">
        <v>40136</v>
      </c>
      <c r="G4848" s="39">
        <v>5702.18</v>
      </c>
      <c r="H4848" s="39">
        <f t="shared" si="467"/>
        <v>4</v>
      </c>
      <c r="I4848" s="39">
        <f t="shared" si="468"/>
        <v>0</v>
      </c>
      <c r="K4848" s="40"/>
      <c r="Q4848" s="40">
        <v>40136</v>
      </c>
      <c r="R4848" s="39">
        <v>5702.18</v>
      </c>
      <c r="S4848" s="39">
        <f t="shared" si="469"/>
        <v>11</v>
      </c>
      <c r="T4848" s="39">
        <f t="shared" si="470"/>
        <v>0</v>
      </c>
      <c r="U4848" s="39">
        <f t="shared" si="471"/>
        <v>0</v>
      </c>
      <c r="V4848" s="40"/>
    </row>
    <row r="4849" spans="2:22" x14ac:dyDescent="0.35">
      <c r="B4849" s="40">
        <v>40137</v>
      </c>
      <c r="C4849" s="39">
        <v>5663.15</v>
      </c>
      <c r="D4849" s="219">
        <f t="shared" si="472"/>
        <v>-6.8682833549208152E-3</v>
      </c>
      <c r="F4849" s="40">
        <v>40137</v>
      </c>
      <c r="G4849" s="39">
        <v>5663.15</v>
      </c>
      <c r="H4849" s="39">
        <f t="shared" si="467"/>
        <v>5</v>
      </c>
      <c r="I4849" s="39">
        <f t="shared" si="468"/>
        <v>5663.15</v>
      </c>
      <c r="K4849" s="40"/>
      <c r="Q4849" s="40">
        <v>40137</v>
      </c>
      <c r="R4849" s="39">
        <v>5663.15</v>
      </c>
      <c r="S4849" s="39">
        <f t="shared" si="469"/>
        <v>11</v>
      </c>
      <c r="T4849" s="39">
        <f t="shared" si="470"/>
        <v>0</v>
      </c>
      <c r="U4849" s="39">
        <f t="shared" si="471"/>
        <v>0</v>
      </c>
      <c r="V4849" s="40"/>
    </row>
    <row r="4850" spans="2:22" x14ac:dyDescent="0.35">
      <c r="B4850" s="40">
        <v>40140</v>
      </c>
      <c r="C4850" s="39">
        <v>5801.48</v>
      </c>
      <c r="D4850" s="219">
        <f t="shared" si="472"/>
        <v>2.4132782906996393E-2</v>
      </c>
      <c r="F4850" s="40">
        <v>40140</v>
      </c>
      <c r="G4850" s="39">
        <v>5801.48</v>
      </c>
      <c r="H4850" s="39">
        <f t="shared" si="467"/>
        <v>1</v>
      </c>
      <c r="I4850" s="39">
        <f t="shared" si="468"/>
        <v>0</v>
      </c>
      <c r="K4850" s="40"/>
      <c r="Q4850" s="40">
        <v>40140</v>
      </c>
      <c r="R4850" s="39">
        <v>5801.48</v>
      </c>
      <c r="S4850" s="39">
        <f t="shared" si="469"/>
        <v>11</v>
      </c>
      <c r="T4850" s="39">
        <f t="shared" si="470"/>
        <v>0</v>
      </c>
      <c r="U4850" s="39">
        <f t="shared" si="471"/>
        <v>0</v>
      </c>
      <c r="V4850" s="40"/>
    </row>
    <row r="4851" spans="2:22" x14ac:dyDescent="0.35">
      <c r="B4851" s="40">
        <v>40141</v>
      </c>
      <c r="C4851" s="39">
        <v>5769.31</v>
      </c>
      <c r="D4851" s="219">
        <f t="shared" si="472"/>
        <v>-5.5605681014177901E-3</v>
      </c>
      <c r="F4851" s="40">
        <v>40141</v>
      </c>
      <c r="G4851" s="39">
        <v>5769.31</v>
      </c>
      <c r="H4851" s="39">
        <f t="shared" si="467"/>
        <v>2</v>
      </c>
      <c r="I4851" s="39">
        <f t="shared" si="468"/>
        <v>0</v>
      </c>
      <c r="K4851" s="40"/>
      <c r="Q4851" s="40">
        <v>40141</v>
      </c>
      <c r="R4851" s="39">
        <v>5769.31</v>
      </c>
      <c r="S4851" s="39">
        <f t="shared" si="469"/>
        <v>11</v>
      </c>
      <c r="T4851" s="39">
        <f t="shared" si="470"/>
        <v>0</v>
      </c>
      <c r="U4851" s="39">
        <f t="shared" si="471"/>
        <v>0</v>
      </c>
      <c r="V4851" s="40"/>
    </row>
    <row r="4852" spans="2:22" x14ac:dyDescent="0.35">
      <c r="B4852" s="40">
        <v>40142</v>
      </c>
      <c r="C4852" s="39">
        <v>5803.02</v>
      </c>
      <c r="D4852" s="219">
        <f t="shared" si="472"/>
        <v>5.8259823819196517E-3</v>
      </c>
      <c r="F4852" s="40">
        <v>40142</v>
      </c>
      <c r="G4852" s="39">
        <v>5803.02</v>
      </c>
      <c r="H4852" s="39">
        <f t="shared" si="467"/>
        <v>3</v>
      </c>
      <c r="I4852" s="39">
        <f t="shared" si="468"/>
        <v>0</v>
      </c>
      <c r="K4852" s="40"/>
      <c r="Q4852" s="40">
        <v>40142</v>
      </c>
      <c r="R4852" s="39">
        <v>5803.02</v>
      </c>
      <c r="S4852" s="39">
        <f t="shared" si="469"/>
        <v>11</v>
      </c>
      <c r="T4852" s="39">
        <f t="shared" si="470"/>
        <v>0</v>
      </c>
      <c r="U4852" s="39">
        <f t="shared" si="471"/>
        <v>0</v>
      </c>
      <c r="V4852" s="40"/>
    </row>
    <row r="4853" spans="2:22" x14ac:dyDescent="0.35">
      <c r="B4853" s="40">
        <v>40143</v>
      </c>
      <c r="C4853" s="39">
        <v>5614.17</v>
      </c>
      <c r="D4853" s="219">
        <f t="shared" si="472"/>
        <v>-3.3084712775249145E-2</v>
      </c>
      <c r="F4853" s="40">
        <v>40143</v>
      </c>
      <c r="G4853" s="39">
        <v>5614.17</v>
      </c>
      <c r="H4853" s="39">
        <f t="shared" si="467"/>
        <v>4</v>
      </c>
      <c r="I4853" s="39">
        <f t="shared" si="468"/>
        <v>0</v>
      </c>
      <c r="K4853" s="40"/>
      <c r="Q4853" s="40">
        <v>40143</v>
      </c>
      <c r="R4853" s="39">
        <v>5614.17</v>
      </c>
      <c r="S4853" s="39">
        <f t="shared" si="469"/>
        <v>11</v>
      </c>
      <c r="T4853" s="39">
        <f t="shared" si="470"/>
        <v>0</v>
      </c>
      <c r="U4853" s="39">
        <f t="shared" si="471"/>
        <v>0</v>
      </c>
      <c r="V4853" s="40"/>
    </row>
    <row r="4854" spans="2:22" x14ac:dyDescent="0.35">
      <c r="B4854" s="40">
        <v>40144</v>
      </c>
      <c r="C4854" s="39">
        <v>5685.61</v>
      </c>
      <c r="D4854" s="219">
        <f t="shared" si="472"/>
        <v>1.2644662437848517E-2</v>
      </c>
      <c r="F4854" s="40">
        <v>40144</v>
      </c>
      <c r="G4854" s="39">
        <v>5685.61</v>
      </c>
      <c r="H4854" s="39">
        <f t="shared" si="467"/>
        <v>5</v>
      </c>
      <c r="I4854" s="39">
        <f t="shared" si="468"/>
        <v>5685.61</v>
      </c>
      <c r="K4854" s="40"/>
      <c r="Q4854" s="40">
        <v>40144</v>
      </c>
      <c r="R4854" s="39">
        <v>5685.61</v>
      </c>
      <c r="S4854" s="39">
        <f t="shared" si="469"/>
        <v>11</v>
      </c>
      <c r="T4854" s="39">
        <f t="shared" si="470"/>
        <v>0</v>
      </c>
      <c r="U4854" s="39">
        <f t="shared" si="471"/>
        <v>0</v>
      </c>
      <c r="V4854" s="40"/>
    </row>
    <row r="4855" spans="2:22" x14ac:dyDescent="0.35">
      <c r="B4855" s="40">
        <v>40147</v>
      </c>
      <c r="C4855" s="39">
        <v>5625.95</v>
      </c>
      <c r="D4855" s="219">
        <f t="shared" si="472"/>
        <v>-1.0548598639074879E-2</v>
      </c>
      <c r="F4855" s="40">
        <v>40147</v>
      </c>
      <c r="G4855" s="39">
        <v>5625.95</v>
      </c>
      <c r="H4855" s="39">
        <f t="shared" ref="H4855:H4918" si="473">WEEKDAY(F4855,2)</f>
        <v>1</v>
      </c>
      <c r="I4855" s="39">
        <f t="shared" ref="I4855:I4918" si="474">IF(H4855&gt;H4856,G4855,0)</f>
        <v>0</v>
      </c>
      <c r="K4855" s="40"/>
      <c r="Q4855" s="40">
        <v>40147</v>
      </c>
      <c r="R4855" s="39">
        <v>5625.95</v>
      </c>
      <c r="S4855" s="39">
        <f t="shared" ref="S4855:S4918" si="475">MONTH(Q4855)</f>
        <v>11</v>
      </c>
      <c r="T4855" s="39">
        <f t="shared" ref="T4855:T4918" si="476">IF(S4856&lt;&gt;S4855,R4855,0)</f>
        <v>5625.95</v>
      </c>
      <c r="U4855" s="39">
        <f t="shared" ref="U4855:U4918" si="477">IF(S4856=S4855,0,R4855)</f>
        <v>5625.95</v>
      </c>
      <c r="V4855" s="40"/>
    </row>
    <row r="4856" spans="2:22" x14ac:dyDescent="0.35">
      <c r="B4856" s="40">
        <v>40148</v>
      </c>
      <c r="C4856" s="39">
        <v>5776.61</v>
      </c>
      <c r="D4856" s="219">
        <f t="shared" ref="D4856:D4919" si="478">LN(C4856/C4855)</f>
        <v>2.6427182713275713E-2</v>
      </c>
      <c r="F4856" s="40">
        <v>40148</v>
      </c>
      <c r="G4856" s="39">
        <v>5776.61</v>
      </c>
      <c r="H4856" s="39">
        <f t="shared" si="473"/>
        <v>2</v>
      </c>
      <c r="I4856" s="39">
        <f t="shared" si="474"/>
        <v>0</v>
      </c>
      <c r="K4856" s="40"/>
      <c r="Q4856" s="40">
        <v>40148</v>
      </c>
      <c r="R4856" s="39">
        <v>5776.61</v>
      </c>
      <c r="S4856" s="39">
        <f t="shared" si="475"/>
        <v>12</v>
      </c>
      <c r="T4856" s="39">
        <f t="shared" si="476"/>
        <v>0</v>
      </c>
      <c r="U4856" s="39">
        <f t="shared" si="477"/>
        <v>0</v>
      </c>
      <c r="V4856" s="40"/>
    </row>
    <row r="4857" spans="2:22" x14ac:dyDescent="0.35">
      <c r="B4857" s="40">
        <v>40149</v>
      </c>
      <c r="C4857" s="39">
        <v>5781.68</v>
      </c>
      <c r="D4857" s="219">
        <f t="shared" si="478"/>
        <v>8.7729245851665997E-4</v>
      </c>
      <c r="F4857" s="40">
        <v>40149</v>
      </c>
      <c r="G4857" s="39">
        <v>5781.68</v>
      </c>
      <c r="H4857" s="39">
        <f t="shared" si="473"/>
        <v>3</v>
      </c>
      <c r="I4857" s="39">
        <f t="shared" si="474"/>
        <v>0</v>
      </c>
      <c r="K4857" s="40"/>
      <c r="Q4857" s="40">
        <v>40149</v>
      </c>
      <c r="R4857" s="39">
        <v>5781.68</v>
      </c>
      <c r="S4857" s="39">
        <f t="shared" si="475"/>
        <v>12</v>
      </c>
      <c r="T4857" s="39">
        <f t="shared" si="476"/>
        <v>0</v>
      </c>
      <c r="U4857" s="39">
        <f t="shared" si="477"/>
        <v>0</v>
      </c>
      <c r="V4857" s="40"/>
    </row>
    <row r="4858" spans="2:22" x14ac:dyDescent="0.35">
      <c r="B4858" s="40">
        <v>40150</v>
      </c>
      <c r="C4858" s="39">
        <v>5770.35</v>
      </c>
      <c r="D4858" s="219">
        <f t="shared" si="478"/>
        <v>-1.9615606318350402E-3</v>
      </c>
      <c r="F4858" s="40">
        <v>40150</v>
      </c>
      <c r="G4858" s="39">
        <v>5770.35</v>
      </c>
      <c r="H4858" s="39">
        <f t="shared" si="473"/>
        <v>4</v>
      </c>
      <c r="I4858" s="39">
        <f t="shared" si="474"/>
        <v>0</v>
      </c>
      <c r="K4858" s="40"/>
      <c r="Q4858" s="40">
        <v>40150</v>
      </c>
      <c r="R4858" s="39">
        <v>5770.35</v>
      </c>
      <c r="S4858" s="39">
        <f t="shared" si="475"/>
        <v>12</v>
      </c>
      <c r="T4858" s="39">
        <f t="shared" si="476"/>
        <v>0</v>
      </c>
      <c r="U4858" s="39">
        <f t="shared" si="477"/>
        <v>0</v>
      </c>
      <c r="V4858" s="40"/>
    </row>
    <row r="4859" spans="2:22" x14ac:dyDescent="0.35">
      <c r="B4859" s="40">
        <v>40151</v>
      </c>
      <c r="C4859" s="39">
        <v>5817.65</v>
      </c>
      <c r="D4859" s="219">
        <f t="shared" si="478"/>
        <v>8.1636628742881891E-3</v>
      </c>
      <c r="F4859" s="40">
        <v>40151</v>
      </c>
      <c r="G4859" s="39">
        <v>5817.65</v>
      </c>
      <c r="H4859" s="39">
        <f t="shared" si="473"/>
        <v>5</v>
      </c>
      <c r="I4859" s="39">
        <f t="shared" si="474"/>
        <v>5817.65</v>
      </c>
      <c r="K4859" s="40"/>
      <c r="Q4859" s="40">
        <v>40151</v>
      </c>
      <c r="R4859" s="39">
        <v>5817.65</v>
      </c>
      <c r="S4859" s="39">
        <f t="shared" si="475"/>
        <v>12</v>
      </c>
      <c r="T4859" s="39">
        <f t="shared" si="476"/>
        <v>0</v>
      </c>
      <c r="U4859" s="39">
        <f t="shared" si="477"/>
        <v>0</v>
      </c>
      <c r="V4859" s="40"/>
    </row>
    <row r="4860" spans="2:22" x14ac:dyDescent="0.35">
      <c r="B4860" s="40">
        <v>40154</v>
      </c>
      <c r="C4860" s="39">
        <v>5784.75</v>
      </c>
      <c r="D4860" s="219">
        <f t="shared" si="478"/>
        <v>-5.671255633414223E-3</v>
      </c>
      <c r="F4860" s="40">
        <v>40154</v>
      </c>
      <c r="G4860" s="39">
        <v>5784.75</v>
      </c>
      <c r="H4860" s="39">
        <f t="shared" si="473"/>
        <v>1</v>
      </c>
      <c r="I4860" s="39">
        <f t="shared" si="474"/>
        <v>0</v>
      </c>
      <c r="K4860" s="40"/>
      <c r="Q4860" s="40">
        <v>40154</v>
      </c>
      <c r="R4860" s="39">
        <v>5784.75</v>
      </c>
      <c r="S4860" s="39">
        <f t="shared" si="475"/>
        <v>12</v>
      </c>
      <c r="T4860" s="39">
        <f t="shared" si="476"/>
        <v>0</v>
      </c>
      <c r="U4860" s="39">
        <f t="shared" si="477"/>
        <v>0</v>
      </c>
      <c r="V4860" s="40"/>
    </row>
    <row r="4861" spans="2:22" x14ac:dyDescent="0.35">
      <c r="B4861" s="40">
        <v>40155</v>
      </c>
      <c r="C4861" s="39">
        <v>5688.58</v>
      </c>
      <c r="D4861" s="219">
        <f t="shared" si="478"/>
        <v>-1.676448813996715E-2</v>
      </c>
      <c r="F4861" s="40">
        <v>40155</v>
      </c>
      <c r="G4861" s="39">
        <v>5688.58</v>
      </c>
      <c r="H4861" s="39">
        <f t="shared" si="473"/>
        <v>2</v>
      </c>
      <c r="I4861" s="39">
        <f t="shared" si="474"/>
        <v>0</v>
      </c>
      <c r="K4861" s="40"/>
      <c r="Q4861" s="40">
        <v>40155</v>
      </c>
      <c r="R4861" s="39">
        <v>5688.58</v>
      </c>
      <c r="S4861" s="39">
        <f t="shared" si="475"/>
        <v>12</v>
      </c>
      <c r="T4861" s="39">
        <f t="shared" si="476"/>
        <v>0</v>
      </c>
      <c r="U4861" s="39">
        <f t="shared" si="477"/>
        <v>0</v>
      </c>
      <c r="V4861" s="40"/>
    </row>
    <row r="4862" spans="2:22" x14ac:dyDescent="0.35">
      <c r="B4862" s="40">
        <v>40156</v>
      </c>
      <c r="C4862" s="39">
        <v>5647.84</v>
      </c>
      <c r="D4862" s="219">
        <f t="shared" si="478"/>
        <v>-7.1874851823337683E-3</v>
      </c>
      <c r="F4862" s="40">
        <v>40156</v>
      </c>
      <c r="G4862" s="39">
        <v>5647.84</v>
      </c>
      <c r="H4862" s="39">
        <f t="shared" si="473"/>
        <v>3</v>
      </c>
      <c r="I4862" s="39">
        <f t="shared" si="474"/>
        <v>0</v>
      </c>
      <c r="K4862" s="40"/>
      <c r="Q4862" s="40">
        <v>40156</v>
      </c>
      <c r="R4862" s="39">
        <v>5647.84</v>
      </c>
      <c r="S4862" s="39">
        <f t="shared" si="475"/>
        <v>12</v>
      </c>
      <c r="T4862" s="39">
        <f t="shared" si="476"/>
        <v>0</v>
      </c>
      <c r="U4862" s="39">
        <f t="shared" si="477"/>
        <v>0</v>
      </c>
      <c r="V4862" s="40"/>
    </row>
    <row r="4863" spans="2:22" x14ac:dyDescent="0.35">
      <c r="B4863" s="40">
        <v>40157</v>
      </c>
      <c r="C4863" s="39">
        <v>5709.02</v>
      </c>
      <c r="D4863" s="219">
        <f t="shared" si="478"/>
        <v>1.0774209038703124E-2</v>
      </c>
      <c r="F4863" s="40">
        <v>40157</v>
      </c>
      <c r="G4863" s="39">
        <v>5709.02</v>
      </c>
      <c r="H4863" s="39">
        <f t="shared" si="473"/>
        <v>4</v>
      </c>
      <c r="I4863" s="39">
        <f t="shared" si="474"/>
        <v>0</v>
      </c>
      <c r="K4863" s="40"/>
      <c r="Q4863" s="40">
        <v>40157</v>
      </c>
      <c r="R4863" s="39">
        <v>5709.02</v>
      </c>
      <c r="S4863" s="39">
        <f t="shared" si="475"/>
        <v>12</v>
      </c>
      <c r="T4863" s="39">
        <f t="shared" si="476"/>
        <v>0</v>
      </c>
      <c r="U4863" s="39">
        <f t="shared" si="477"/>
        <v>0</v>
      </c>
      <c r="V4863" s="40"/>
    </row>
    <row r="4864" spans="2:22" x14ac:dyDescent="0.35">
      <c r="B4864" s="40">
        <v>40158</v>
      </c>
      <c r="C4864" s="39">
        <v>5756.29</v>
      </c>
      <c r="D4864" s="219">
        <f t="shared" si="478"/>
        <v>8.2457897493651584E-3</v>
      </c>
      <c r="F4864" s="40">
        <v>40158</v>
      </c>
      <c r="G4864" s="39">
        <v>5756.29</v>
      </c>
      <c r="H4864" s="39">
        <f t="shared" si="473"/>
        <v>5</v>
      </c>
      <c r="I4864" s="39">
        <f t="shared" si="474"/>
        <v>5756.29</v>
      </c>
      <c r="K4864" s="40"/>
      <c r="Q4864" s="40">
        <v>40158</v>
      </c>
      <c r="R4864" s="39">
        <v>5756.29</v>
      </c>
      <c r="S4864" s="39">
        <f t="shared" si="475"/>
        <v>12</v>
      </c>
      <c r="T4864" s="39">
        <f t="shared" si="476"/>
        <v>0</v>
      </c>
      <c r="U4864" s="39">
        <f t="shared" si="477"/>
        <v>0</v>
      </c>
      <c r="V4864" s="40"/>
    </row>
    <row r="4865" spans="2:22" x14ac:dyDescent="0.35">
      <c r="B4865" s="40">
        <v>40161</v>
      </c>
      <c r="C4865" s="39">
        <v>5802.26</v>
      </c>
      <c r="D4865" s="219">
        <f t="shared" si="478"/>
        <v>7.9543268630771716E-3</v>
      </c>
      <c r="F4865" s="40">
        <v>40161</v>
      </c>
      <c r="G4865" s="39">
        <v>5802.26</v>
      </c>
      <c r="H4865" s="39">
        <f t="shared" si="473"/>
        <v>1</v>
      </c>
      <c r="I4865" s="39">
        <f t="shared" si="474"/>
        <v>0</v>
      </c>
      <c r="K4865" s="40"/>
      <c r="Q4865" s="40">
        <v>40161</v>
      </c>
      <c r="R4865" s="39">
        <v>5802.26</v>
      </c>
      <c r="S4865" s="39">
        <f t="shared" si="475"/>
        <v>12</v>
      </c>
      <c r="T4865" s="39">
        <f t="shared" si="476"/>
        <v>0</v>
      </c>
      <c r="U4865" s="39">
        <f t="shared" si="477"/>
        <v>0</v>
      </c>
      <c r="V4865" s="40"/>
    </row>
    <row r="4866" spans="2:22" x14ac:dyDescent="0.35">
      <c r="B4866" s="40">
        <v>40162</v>
      </c>
      <c r="C4866" s="39">
        <v>5811.34</v>
      </c>
      <c r="D4866" s="219">
        <f t="shared" si="478"/>
        <v>1.5636842753551786E-3</v>
      </c>
      <c r="F4866" s="40">
        <v>40162</v>
      </c>
      <c r="G4866" s="39">
        <v>5811.34</v>
      </c>
      <c r="H4866" s="39">
        <f t="shared" si="473"/>
        <v>2</v>
      </c>
      <c r="I4866" s="39">
        <f t="shared" si="474"/>
        <v>0</v>
      </c>
      <c r="K4866" s="40"/>
      <c r="Q4866" s="40">
        <v>40162</v>
      </c>
      <c r="R4866" s="39">
        <v>5811.34</v>
      </c>
      <c r="S4866" s="39">
        <f t="shared" si="475"/>
        <v>12</v>
      </c>
      <c r="T4866" s="39">
        <f t="shared" si="476"/>
        <v>0</v>
      </c>
      <c r="U4866" s="39">
        <f t="shared" si="477"/>
        <v>0</v>
      </c>
      <c r="V4866" s="40"/>
    </row>
    <row r="4867" spans="2:22" x14ac:dyDescent="0.35">
      <c r="B4867" s="40">
        <v>40163</v>
      </c>
      <c r="C4867" s="39">
        <v>5903.43</v>
      </c>
      <c r="D4867" s="219">
        <f t="shared" si="478"/>
        <v>1.5722356817702562E-2</v>
      </c>
      <c r="F4867" s="40">
        <v>40163</v>
      </c>
      <c r="G4867" s="39">
        <v>5903.43</v>
      </c>
      <c r="H4867" s="39">
        <f t="shared" si="473"/>
        <v>3</v>
      </c>
      <c r="I4867" s="39">
        <f t="shared" si="474"/>
        <v>0</v>
      </c>
      <c r="K4867" s="40"/>
      <c r="Q4867" s="40">
        <v>40163</v>
      </c>
      <c r="R4867" s="39">
        <v>5903.43</v>
      </c>
      <c r="S4867" s="39">
        <f t="shared" si="475"/>
        <v>12</v>
      </c>
      <c r="T4867" s="39">
        <f t="shared" si="476"/>
        <v>0</v>
      </c>
      <c r="U4867" s="39">
        <f t="shared" si="477"/>
        <v>0</v>
      </c>
      <c r="V4867" s="40"/>
    </row>
    <row r="4868" spans="2:22" x14ac:dyDescent="0.35">
      <c r="B4868" s="40">
        <v>40164</v>
      </c>
      <c r="C4868" s="39">
        <v>5844.44</v>
      </c>
      <c r="D4868" s="219">
        <f t="shared" si="478"/>
        <v>-1.0042755971101448E-2</v>
      </c>
      <c r="F4868" s="40">
        <v>40164</v>
      </c>
      <c r="G4868" s="39">
        <v>5844.44</v>
      </c>
      <c r="H4868" s="39">
        <f t="shared" si="473"/>
        <v>4</v>
      </c>
      <c r="I4868" s="39">
        <f t="shared" si="474"/>
        <v>0</v>
      </c>
      <c r="K4868" s="40"/>
      <c r="Q4868" s="40">
        <v>40164</v>
      </c>
      <c r="R4868" s="39">
        <v>5844.44</v>
      </c>
      <c r="S4868" s="39">
        <f t="shared" si="475"/>
        <v>12</v>
      </c>
      <c r="T4868" s="39">
        <f t="shared" si="476"/>
        <v>0</v>
      </c>
      <c r="U4868" s="39">
        <f t="shared" si="477"/>
        <v>0</v>
      </c>
      <c r="V4868" s="40"/>
    </row>
    <row r="4869" spans="2:22" x14ac:dyDescent="0.35">
      <c r="B4869" s="40">
        <v>40165</v>
      </c>
      <c r="C4869" s="39">
        <v>5831.21</v>
      </c>
      <c r="D4869" s="219">
        <f t="shared" si="478"/>
        <v>-2.2662559536036821E-3</v>
      </c>
      <c r="F4869" s="40">
        <v>40165</v>
      </c>
      <c r="G4869" s="39">
        <v>5831.21</v>
      </c>
      <c r="H4869" s="39">
        <f t="shared" si="473"/>
        <v>5</v>
      </c>
      <c r="I4869" s="39">
        <f t="shared" si="474"/>
        <v>5831.21</v>
      </c>
      <c r="K4869" s="40"/>
      <c r="Q4869" s="40">
        <v>40165</v>
      </c>
      <c r="R4869" s="39">
        <v>5831.21</v>
      </c>
      <c r="S4869" s="39">
        <f t="shared" si="475"/>
        <v>12</v>
      </c>
      <c r="T4869" s="39">
        <f t="shared" si="476"/>
        <v>0</v>
      </c>
      <c r="U4869" s="39">
        <f t="shared" si="477"/>
        <v>0</v>
      </c>
      <c r="V4869" s="40"/>
    </row>
    <row r="4870" spans="2:22" x14ac:dyDescent="0.35">
      <c r="B4870" s="40">
        <v>40168</v>
      </c>
      <c r="C4870" s="39">
        <v>5930.53</v>
      </c>
      <c r="D4870" s="219">
        <f t="shared" si="478"/>
        <v>1.688905907251723E-2</v>
      </c>
      <c r="F4870" s="40">
        <v>40168</v>
      </c>
      <c r="G4870" s="39">
        <v>5930.53</v>
      </c>
      <c r="H4870" s="39">
        <f t="shared" si="473"/>
        <v>1</v>
      </c>
      <c r="I4870" s="39">
        <f t="shared" si="474"/>
        <v>0</v>
      </c>
      <c r="K4870" s="40"/>
      <c r="Q4870" s="40">
        <v>40168</v>
      </c>
      <c r="R4870" s="39">
        <v>5930.53</v>
      </c>
      <c r="S4870" s="39">
        <f t="shared" si="475"/>
        <v>12</v>
      </c>
      <c r="T4870" s="39">
        <f t="shared" si="476"/>
        <v>0</v>
      </c>
      <c r="U4870" s="39">
        <f t="shared" si="477"/>
        <v>0</v>
      </c>
      <c r="V4870" s="40"/>
    </row>
    <row r="4871" spans="2:22" x14ac:dyDescent="0.35">
      <c r="B4871" s="40">
        <v>40169</v>
      </c>
      <c r="C4871" s="39">
        <v>5945.69</v>
      </c>
      <c r="D4871" s="219">
        <f t="shared" si="478"/>
        <v>2.5530022573140476E-3</v>
      </c>
      <c r="F4871" s="40">
        <v>40169</v>
      </c>
      <c r="G4871" s="39">
        <v>5945.69</v>
      </c>
      <c r="H4871" s="39">
        <f t="shared" si="473"/>
        <v>2</v>
      </c>
      <c r="I4871" s="39">
        <f t="shared" si="474"/>
        <v>0</v>
      </c>
      <c r="K4871" s="40"/>
      <c r="Q4871" s="40">
        <v>40169</v>
      </c>
      <c r="R4871" s="39">
        <v>5945.69</v>
      </c>
      <c r="S4871" s="39">
        <f t="shared" si="475"/>
        <v>12</v>
      </c>
      <c r="T4871" s="39">
        <f t="shared" si="476"/>
        <v>0</v>
      </c>
      <c r="U4871" s="39">
        <f t="shared" si="477"/>
        <v>0</v>
      </c>
      <c r="V4871" s="40"/>
    </row>
    <row r="4872" spans="2:22" x14ac:dyDescent="0.35">
      <c r="B4872" s="40">
        <v>40170</v>
      </c>
      <c r="C4872" s="39">
        <v>5957.44</v>
      </c>
      <c r="D4872" s="219">
        <f t="shared" si="478"/>
        <v>1.974271274285678E-3</v>
      </c>
      <c r="F4872" s="40">
        <v>40170</v>
      </c>
      <c r="G4872" s="39">
        <v>5957.44</v>
      </c>
      <c r="H4872" s="39">
        <f t="shared" si="473"/>
        <v>3</v>
      </c>
      <c r="I4872" s="39">
        <f t="shared" si="474"/>
        <v>5957.44</v>
      </c>
      <c r="K4872" s="40"/>
      <c r="Q4872" s="40">
        <v>40170</v>
      </c>
      <c r="R4872" s="39">
        <v>5957.44</v>
      </c>
      <c r="S4872" s="39">
        <f t="shared" si="475"/>
        <v>12</v>
      </c>
      <c r="T4872" s="39">
        <f t="shared" si="476"/>
        <v>0</v>
      </c>
      <c r="U4872" s="39">
        <f t="shared" si="477"/>
        <v>0</v>
      </c>
      <c r="V4872" s="40"/>
    </row>
    <row r="4873" spans="2:22" x14ac:dyDescent="0.35">
      <c r="B4873" s="40">
        <v>40175</v>
      </c>
      <c r="C4873" s="39">
        <v>6002.92</v>
      </c>
      <c r="D4873" s="219">
        <f t="shared" si="478"/>
        <v>7.6051589095118607E-3</v>
      </c>
      <c r="F4873" s="40">
        <v>40175</v>
      </c>
      <c r="G4873" s="39">
        <v>6002.92</v>
      </c>
      <c r="H4873" s="39">
        <f t="shared" si="473"/>
        <v>1</v>
      </c>
      <c r="I4873" s="39">
        <f t="shared" si="474"/>
        <v>0</v>
      </c>
      <c r="K4873" s="40"/>
      <c r="Q4873" s="40">
        <v>40175</v>
      </c>
      <c r="R4873" s="39">
        <v>6002.92</v>
      </c>
      <c r="S4873" s="39">
        <f t="shared" si="475"/>
        <v>12</v>
      </c>
      <c r="T4873" s="39">
        <f t="shared" si="476"/>
        <v>0</v>
      </c>
      <c r="U4873" s="39">
        <f t="shared" si="477"/>
        <v>0</v>
      </c>
      <c r="V4873" s="40"/>
    </row>
    <row r="4874" spans="2:22" x14ac:dyDescent="0.35">
      <c r="B4874" s="40">
        <v>40176</v>
      </c>
      <c r="C4874" s="39">
        <v>6011.55</v>
      </c>
      <c r="D4874" s="219">
        <f t="shared" si="478"/>
        <v>1.436601278996539E-3</v>
      </c>
      <c r="F4874" s="40">
        <v>40176</v>
      </c>
      <c r="G4874" s="39">
        <v>6011.55</v>
      </c>
      <c r="H4874" s="39">
        <f t="shared" si="473"/>
        <v>2</v>
      </c>
      <c r="I4874" s="39">
        <f t="shared" si="474"/>
        <v>0</v>
      </c>
      <c r="K4874" s="40"/>
      <c r="Q4874" s="40">
        <v>40176</v>
      </c>
      <c r="R4874" s="39">
        <v>6011.55</v>
      </c>
      <c r="S4874" s="39">
        <f t="shared" si="475"/>
        <v>12</v>
      </c>
      <c r="T4874" s="39">
        <f t="shared" si="476"/>
        <v>0</v>
      </c>
      <c r="U4874" s="39">
        <f t="shared" si="477"/>
        <v>0</v>
      </c>
      <c r="V4874" s="40"/>
    </row>
    <row r="4875" spans="2:22" x14ac:dyDescent="0.35">
      <c r="B4875" s="40">
        <v>40177</v>
      </c>
      <c r="C4875" s="39">
        <v>5957.43</v>
      </c>
      <c r="D4875" s="219">
        <f t="shared" si="478"/>
        <v>-9.0434387632640015E-3</v>
      </c>
      <c r="F4875" s="40">
        <v>40177</v>
      </c>
      <c r="G4875" s="39">
        <v>5957.43</v>
      </c>
      <c r="H4875" s="39">
        <f t="shared" si="473"/>
        <v>3</v>
      </c>
      <c r="I4875" s="39">
        <f t="shared" si="474"/>
        <v>5957.43</v>
      </c>
      <c r="K4875" s="40"/>
      <c r="Q4875" s="40">
        <v>40177</v>
      </c>
      <c r="R4875" s="39">
        <v>5957.43</v>
      </c>
      <c r="S4875" s="39">
        <f t="shared" si="475"/>
        <v>12</v>
      </c>
      <c r="T4875" s="39">
        <f t="shared" si="476"/>
        <v>5957.43</v>
      </c>
      <c r="U4875" s="39">
        <f t="shared" si="477"/>
        <v>5957.43</v>
      </c>
      <c r="V4875" s="40"/>
    </row>
    <row r="4876" spans="2:22" x14ac:dyDescent="0.35">
      <c r="B4876" s="40">
        <v>40182</v>
      </c>
      <c r="C4876" s="39">
        <v>6048.3</v>
      </c>
      <c r="D4876" s="219">
        <f t="shared" si="478"/>
        <v>1.513806079499889E-2</v>
      </c>
      <c r="F4876" s="40">
        <v>40182</v>
      </c>
      <c r="G4876" s="39">
        <v>6048.3</v>
      </c>
      <c r="H4876" s="39">
        <f t="shared" si="473"/>
        <v>1</v>
      </c>
      <c r="I4876" s="39">
        <f t="shared" si="474"/>
        <v>0</v>
      </c>
      <c r="K4876" s="40"/>
      <c r="Q4876" s="40">
        <v>40182</v>
      </c>
      <c r="R4876" s="39">
        <v>6048.3</v>
      </c>
      <c r="S4876" s="39">
        <f t="shared" si="475"/>
        <v>1</v>
      </c>
      <c r="T4876" s="39">
        <f t="shared" si="476"/>
        <v>0</v>
      </c>
      <c r="U4876" s="39">
        <f t="shared" si="477"/>
        <v>0</v>
      </c>
      <c r="V4876" s="40"/>
    </row>
    <row r="4877" spans="2:22" x14ac:dyDescent="0.35">
      <c r="B4877" s="40">
        <v>40183</v>
      </c>
      <c r="C4877" s="39">
        <v>6031.86</v>
      </c>
      <c r="D4877" s="219">
        <f t="shared" si="478"/>
        <v>-2.7218199344007433E-3</v>
      </c>
      <c r="F4877" s="40">
        <v>40183</v>
      </c>
      <c r="G4877" s="39">
        <v>6031.86</v>
      </c>
      <c r="H4877" s="39">
        <f t="shared" si="473"/>
        <v>2</v>
      </c>
      <c r="I4877" s="39">
        <f t="shared" si="474"/>
        <v>0</v>
      </c>
      <c r="K4877" s="40"/>
      <c r="Q4877" s="40">
        <v>40183</v>
      </c>
      <c r="R4877" s="39">
        <v>6031.86</v>
      </c>
      <c r="S4877" s="39">
        <f t="shared" si="475"/>
        <v>1</v>
      </c>
      <c r="T4877" s="39">
        <f t="shared" si="476"/>
        <v>0</v>
      </c>
      <c r="U4877" s="39">
        <f t="shared" si="477"/>
        <v>0</v>
      </c>
      <c r="V4877" s="40"/>
    </row>
    <row r="4878" spans="2:22" x14ac:dyDescent="0.35">
      <c r="B4878" s="40">
        <v>40184</v>
      </c>
      <c r="C4878" s="39">
        <v>6034.33</v>
      </c>
      <c r="D4878" s="219">
        <f t="shared" si="478"/>
        <v>4.0940844367632186E-4</v>
      </c>
      <c r="F4878" s="40">
        <v>40184</v>
      </c>
      <c r="G4878" s="39">
        <v>6034.33</v>
      </c>
      <c r="H4878" s="39">
        <f t="shared" si="473"/>
        <v>3</v>
      </c>
      <c r="I4878" s="39">
        <f t="shared" si="474"/>
        <v>0</v>
      </c>
      <c r="K4878" s="40"/>
      <c r="Q4878" s="40">
        <v>40184</v>
      </c>
      <c r="R4878" s="39">
        <v>6034.33</v>
      </c>
      <c r="S4878" s="39">
        <f t="shared" si="475"/>
        <v>1</v>
      </c>
      <c r="T4878" s="39">
        <f t="shared" si="476"/>
        <v>0</v>
      </c>
      <c r="U4878" s="39">
        <f t="shared" si="477"/>
        <v>0</v>
      </c>
      <c r="V4878" s="40"/>
    </row>
    <row r="4879" spans="2:22" x14ac:dyDescent="0.35">
      <c r="B4879" s="40">
        <v>40185</v>
      </c>
      <c r="C4879" s="39">
        <v>6019.36</v>
      </c>
      <c r="D4879" s="219">
        <f t="shared" si="478"/>
        <v>-2.4838879540952557E-3</v>
      </c>
      <c r="F4879" s="40">
        <v>40185</v>
      </c>
      <c r="G4879" s="39">
        <v>6019.36</v>
      </c>
      <c r="H4879" s="39">
        <f t="shared" si="473"/>
        <v>4</v>
      </c>
      <c r="I4879" s="39">
        <f t="shared" si="474"/>
        <v>0</v>
      </c>
      <c r="K4879" s="40"/>
      <c r="Q4879" s="40">
        <v>40185</v>
      </c>
      <c r="R4879" s="39">
        <v>6019.36</v>
      </c>
      <c r="S4879" s="39">
        <f t="shared" si="475"/>
        <v>1</v>
      </c>
      <c r="T4879" s="39">
        <f t="shared" si="476"/>
        <v>0</v>
      </c>
      <c r="U4879" s="39">
        <f t="shared" si="477"/>
        <v>0</v>
      </c>
      <c r="V4879" s="40"/>
    </row>
    <row r="4880" spans="2:22" x14ac:dyDescent="0.35">
      <c r="B4880" s="40">
        <v>40186</v>
      </c>
      <c r="C4880" s="39">
        <v>6037.61</v>
      </c>
      <c r="D4880" s="219">
        <f t="shared" si="478"/>
        <v>3.0272968975977974E-3</v>
      </c>
      <c r="F4880" s="40">
        <v>40186</v>
      </c>
      <c r="G4880" s="39">
        <v>6037.61</v>
      </c>
      <c r="H4880" s="39">
        <f t="shared" si="473"/>
        <v>5</v>
      </c>
      <c r="I4880" s="39">
        <f t="shared" si="474"/>
        <v>6037.61</v>
      </c>
      <c r="K4880" s="40"/>
      <c r="Q4880" s="40">
        <v>40186</v>
      </c>
      <c r="R4880" s="39">
        <v>6037.61</v>
      </c>
      <c r="S4880" s="39">
        <f t="shared" si="475"/>
        <v>1</v>
      </c>
      <c r="T4880" s="39">
        <f t="shared" si="476"/>
        <v>0</v>
      </c>
      <c r="U4880" s="39">
        <f t="shared" si="477"/>
        <v>0</v>
      </c>
      <c r="V4880" s="40"/>
    </row>
    <row r="4881" spans="2:22" x14ac:dyDescent="0.35">
      <c r="B4881" s="40">
        <v>40189</v>
      </c>
      <c r="C4881" s="39">
        <v>6040.5</v>
      </c>
      <c r="D4881" s="219">
        <f t="shared" si="478"/>
        <v>4.7855170306506701E-4</v>
      </c>
      <c r="F4881" s="40">
        <v>40189</v>
      </c>
      <c r="G4881" s="39">
        <v>6040.5</v>
      </c>
      <c r="H4881" s="39">
        <f t="shared" si="473"/>
        <v>1</v>
      </c>
      <c r="I4881" s="39">
        <f t="shared" si="474"/>
        <v>0</v>
      </c>
      <c r="K4881" s="40"/>
      <c r="Q4881" s="40">
        <v>40189</v>
      </c>
      <c r="R4881" s="39">
        <v>6040.5</v>
      </c>
      <c r="S4881" s="39">
        <f t="shared" si="475"/>
        <v>1</v>
      </c>
      <c r="T4881" s="39">
        <f t="shared" si="476"/>
        <v>0</v>
      </c>
      <c r="U4881" s="39">
        <f t="shared" si="477"/>
        <v>0</v>
      </c>
      <c r="V4881" s="40"/>
    </row>
    <row r="4882" spans="2:22" x14ac:dyDescent="0.35">
      <c r="B4882" s="40">
        <v>40190</v>
      </c>
      <c r="C4882" s="39">
        <v>5943</v>
      </c>
      <c r="D4882" s="219">
        <f t="shared" si="478"/>
        <v>-1.6272733592957955E-2</v>
      </c>
      <c r="F4882" s="40">
        <v>40190</v>
      </c>
      <c r="G4882" s="39">
        <v>5943</v>
      </c>
      <c r="H4882" s="39">
        <f t="shared" si="473"/>
        <v>2</v>
      </c>
      <c r="I4882" s="39">
        <f t="shared" si="474"/>
        <v>0</v>
      </c>
      <c r="K4882" s="40"/>
      <c r="Q4882" s="40">
        <v>40190</v>
      </c>
      <c r="R4882" s="39">
        <v>5943</v>
      </c>
      <c r="S4882" s="39">
        <f t="shared" si="475"/>
        <v>1</v>
      </c>
      <c r="T4882" s="39">
        <f t="shared" si="476"/>
        <v>0</v>
      </c>
      <c r="U4882" s="39">
        <f t="shared" si="477"/>
        <v>0</v>
      </c>
      <c r="V4882" s="40"/>
    </row>
    <row r="4883" spans="2:22" x14ac:dyDescent="0.35">
      <c r="B4883" s="40">
        <v>40191</v>
      </c>
      <c r="C4883" s="39">
        <v>5963.14</v>
      </c>
      <c r="D4883" s="219">
        <f t="shared" si="478"/>
        <v>3.3831315958814329E-3</v>
      </c>
      <c r="F4883" s="40">
        <v>40191</v>
      </c>
      <c r="G4883" s="39">
        <v>5963.14</v>
      </c>
      <c r="H4883" s="39">
        <f t="shared" si="473"/>
        <v>3</v>
      </c>
      <c r="I4883" s="39">
        <f t="shared" si="474"/>
        <v>0</v>
      </c>
      <c r="K4883" s="40"/>
      <c r="Q4883" s="40">
        <v>40191</v>
      </c>
      <c r="R4883" s="39">
        <v>5963.14</v>
      </c>
      <c r="S4883" s="39">
        <f t="shared" si="475"/>
        <v>1</v>
      </c>
      <c r="T4883" s="39">
        <f t="shared" si="476"/>
        <v>0</v>
      </c>
      <c r="U4883" s="39">
        <f t="shared" si="477"/>
        <v>0</v>
      </c>
      <c r="V4883" s="40"/>
    </row>
    <row r="4884" spans="2:22" x14ac:dyDescent="0.35">
      <c r="B4884" s="40">
        <v>40192</v>
      </c>
      <c r="C4884" s="39">
        <v>5988.88</v>
      </c>
      <c r="D4884" s="219">
        <f t="shared" si="478"/>
        <v>4.3072283671700441E-3</v>
      </c>
      <c r="F4884" s="40">
        <v>40192</v>
      </c>
      <c r="G4884" s="39">
        <v>5988.88</v>
      </c>
      <c r="H4884" s="39">
        <f t="shared" si="473"/>
        <v>4</v>
      </c>
      <c r="I4884" s="39">
        <f t="shared" si="474"/>
        <v>0</v>
      </c>
      <c r="K4884" s="40"/>
      <c r="Q4884" s="40">
        <v>40192</v>
      </c>
      <c r="R4884" s="39">
        <v>5988.88</v>
      </c>
      <c r="S4884" s="39">
        <f t="shared" si="475"/>
        <v>1</v>
      </c>
      <c r="T4884" s="39">
        <f t="shared" si="476"/>
        <v>0</v>
      </c>
      <c r="U4884" s="39">
        <f t="shared" si="477"/>
        <v>0</v>
      </c>
      <c r="V4884" s="40"/>
    </row>
    <row r="4885" spans="2:22" x14ac:dyDescent="0.35">
      <c r="B4885" s="40">
        <v>40193</v>
      </c>
      <c r="C4885" s="39">
        <v>5875.97</v>
      </c>
      <c r="D4885" s="219">
        <f t="shared" si="478"/>
        <v>-1.9033263562932324E-2</v>
      </c>
      <c r="F4885" s="40">
        <v>40193</v>
      </c>
      <c r="G4885" s="39">
        <v>5875.97</v>
      </c>
      <c r="H4885" s="39">
        <f t="shared" si="473"/>
        <v>5</v>
      </c>
      <c r="I4885" s="39">
        <f t="shared" si="474"/>
        <v>5875.97</v>
      </c>
      <c r="K4885" s="40"/>
      <c r="Q4885" s="40">
        <v>40193</v>
      </c>
      <c r="R4885" s="39">
        <v>5875.97</v>
      </c>
      <c r="S4885" s="39">
        <f t="shared" si="475"/>
        <v>1</v>
      </c>
      <c r="T4885" s="39">
        <f t="shared" si="476"/>
        <v>0</v>
      </c>
      <c r="U4885" s="39">
        <f t="shared" si="477"/>
        <v>0</v>
      </c>
      <c r="V4885" s="40"/>
    </row>
    <row r="4886" spans="2:22" x14ac:dyDescent="0.35">
      <c r="B4886" s="40">
        <v>40196</v>
      </c>
      <c r="C4886" s="39">
        <v>5918.55</v>
      </c>
      <c r="D4886" s="219">
        <f t="shared" si="478"/>
        <v>7.2203336779920755E-3</v>
      </c>
      <c r="F4886" s="40">
        <v>40196</v>
      </c>
      <c r="G4886" s="39">
        <v>5918.55</v>
      </c>
      <c r="H4886" s="39">
        <f t="shared" si="473"/>
        <v>1</v>
      </c>
      <c r="I4886" s="39">
        <f t="shared" si="474"/>
        <v>0</v>
      </c>
      <c r="K4886" s="40"/>
      <c r="Q4886" s="40">
        <v>40196</v>
      </c>
      <c r="R4886" s="39">
        <v>5918.55</v>
      </c>
      <c r="S4886" s="39">
        <f t="shared" si="475"/>
        <v>1</v>
      </c>
      <c r="T4886" s="39">
        <f t="shared" si="476"/>
        <v>0</v>
      </c>
      <c r="U4886" s="39">
        <f t="shared" si="477"/>
        <v>0</v>
      </c>
      <c r="V4886" s="40"/>
    </row>
    <row r="4887" spans="2:22" x14ac:dyDescent="0.35">
      <c r="B4887" s="40">
        <v>40197</v>
      </c>
      <c r="C4887" s="39">
        <v>5976.48</v>
      </c>
      <c r="D4887" s="219">
        <f t="shared" si="478"/>
        <v>9.7402794274401312E-3</v>
      </c>
      <c r="F4887" s="40">
        <v>40197</v>
      </c>
      <c r="G4887" s="39">
        <v>5976.48</v>
      </c>
      <c r="H4887" s="39">
        <f t="shared" si="473"/>
        <v>2</v>
      </c>
      <c r="I4887" s="39">
        <f t="shared" si="474"/>
        <v>0</v>
      </c>
      <c r="K4887" s="40"/>
      <c r="Q4887" s="40">
        <v>40197</v>
      </c>
      <c r="R4887" s="39">
        <v>5976.48</v>
      </c>
      <c r="S4887" s="39">
        <f t="shared" si="475"/>
        <v>1</v>
      </c>
      <c r="T4887" s="39">
        <f t="shared" si="476"/>
        <v>0</v>
      </c>
      <c r="U4887" s="39">
        <f t="shared" si="477"/>
        <v>0</v>
      </c>
      <c r="V4887" s="40"/>
    </row>
    <row r="4888" spans="2:22" x14ac:dyDescent="0.35">
      <c r="B4888" s="40">
        <v>40198</v>
      </c>
      <c r="C4888" s="39">
        <v>5851.53</v>
      </c>
      <c r="D4888" s="219">
        <f t="shared" si="478"/>
        <v>-2.1128600379992767E-2</v>
      </c>
      <c r="F4888" s="40">
        <v>40198</v>
      </c>
      <c r="G4888" s="39">
        <v>5851.53</v>
      </c>
      <c r="H4888" s="39">
        <f t="shared" si="473"/>
        <v>3</v>
      </c>
      <c r="I4888" s="39">
        <f t="shared" si="474"/>
        <v>0</v>
      </c>
      <c r="K4888" s="40"/>
      <c r="Q4888" s="40">
        <v>40198</v>
      </c>
      <c r="R4888" s="39">
        <v>5851.53</v>
      </c>
      <c r="S4888" s="39">
        <f t="shared" si="475"/>
        <v>1</v>
      </c>
      <c r="T4888" s="39">
        <f t="shared" si="476"/>
        <v>0</v>
      </c>
      <c r="U4888" s="39">
        <f t="shared" si="477"/>
        <v>0</v>
      </c>
      <c r="V4888" s="40"/>
    </row>
    <row r="4889" spans="2:22" x14ac:dyDescent="0.35">
      <c r="B4889" s="40">
        <v>40199</v>
      </c>
      <c r="C4889" s="39">
        <v>5746.97</v>
      </c>
      <c r="D4889" s="219">
        <f t="shared" si="478"/>
        <v>-1.8030406112945121E-2</v>
      </c>
      <c r="F4889" s="40">
        <v>40199</v>
      </c>
      <c r="G4889" s="39">
        <v>5746.97</v>
      </c>
      <c r="H4889" s="39">
        <f t="shared" si="473"/>
        <v>4</v>
      </c>
      <c r="I4889" s="39">
        <f t="shared" si="474"/>
        <v>0</v>
      </c>
      <c r="K4889" s="40"/>
      <c r="Q4889" s="40">
        <v>40199</v>
      </c>
      <c r="R4889" s="39">
        <v>5746.97</v>
      </c>
      <c r="S4889" s="39">
        <f t="shared" si="475"/>
        <v>1</v>
      </c>
      <c r="T4889" s="39">
        <f t="shared" si="476"/>
        <v>0</v>
      </c>
      <c r="U4889" s="39">
        <f t="shared" si="477"/>
        <v>0</v>
      </c>
      <c r="V4889" s="40"/>
    </row>
    <row r="4890" spans="2:22" x14ac:dyDescent="0.35">
      <c r="B4890" s="40">
        <v>40200</v>
      </c>
      <c r="C4890" s="39">
        <v>5695.32</v>
      </c>
      <c r="D4890" s="219">
        <f t="shared" si="478"/>
        <v>-9.0279744365353212E-3</v>
      </c>
      <c r="F4890" s="40">
        <v>40200</v>
      </c>
      <c r="G4890" s="39">
        <v>5695.32</v>
      </c>
      <c r="H4890" s="39">
        <f t="shared" si="473"/>
        <v>5</v>
      </c>
      <c r="I4890" s="39">
        <f t="shared" si="474"/>
        <v>5695.32</v>
      </c>
      <c r="K4890" s="40"/>
      <c r="Q4890" s="40">
        <v>40200</v>
      </c>
      <c r="R4890" s="39">
        <v>5695.32</v>
      </c>
      <c r="S4890" s="39">
        <f t="shared" si="475"/>
        <v>1</v>
      </c>
      <c r="T4890" s="39">
        <f t="shared" si="476"/>
        <v>0</v>
      </c>
      <c r="U4890" s="39">
        <f t="shared" si="477"/>
        <v>0</v>
      </c>
      <c r="V4890" s="40"/>
    </row>
    <row r="4891" spans="2:22" x14ac:dyDescent="0.35">
      <c r="B4891" s="40">
        <v>40203</v>
      </c>
      <c r="C4891" s="39">
        <v>5631.37</v>
      </c>
      <c r="D4891" s="219">
        <f t="shared" si="478"/>
        <v>-1.129203315720049E-2</v>
      </c>
      <c r="F4891" s="40">
        <v>40203</v>
      </c>
      <c r="G4891" s="39">
        <v>5631.37</v>
      </c>
      <c r="H4891" s="39">
        <f t="shared" si="473"/>
        <v>1</v>
      </c>
      <c r="I4891" s="39">
        <f t="shared" si="474"/>
        <v>0</v>
      </c>
      <c r="K4891" s="40"/>
      <c r="Q4891" s="40">
        <v>40203</v>
      </c>
      <c r="R4891" s="39">
        <v>5631.37</v>
      </c>
      <c r="S4891" s="39">
        <f t="shared" si="475"/>
        <v>1</v>
      </c>
      <c r="T4891" s="39">
        <f t="shared" si="476"/>
        <v>0</v>
      </c>
      <c r="U4891" s="39">
        <f t="shared" si="477"/>
        <v>0</v>
      </c>
      <c r="V4891" s="40"/>
    </row>
    <row r="4892" spans="2:22" x14ac:dyDescent="0.35">
      <c r="B4892" s="40">
        <v>40204</v>
      </c>
      <c r="C4892" s="39">
        <v>5668.93</v>
      </c>
      <c r="D4892" s="219">
        <f t="shared" si="478"/>
        <v>6.6476356057650048E-3</v>
      </c>
      <c r="F4892" s="40">
        <v>40204</v>
      </c>
      <c r="G4892" s="39">
        <v>5668.93</v>
      </c>
      <c r="H4892" s="39">
        <f t="shared" si="473"/>
        <v>2</v>
      </c>
      <c r="I4892" s="39">
        <f t="shared" si="474"/>
        <v>0</v>
      </c>
      <c r="K4892" s="40"/>
      <c r="Q4892" s="40">
        <v>40204</v>
      </c>
      <c r="R4892" s="39">
        <v>5668.93</v>
      </c>
      <c r="S4892" s="39">
        <f t="shared" si="475"/>
        <v>1</v>
      </c>
      <c r="T4892" s="39">
        <f t="shared" si="476"/>
        <v>0</v>
      </c>
      <c r="U4892" s="39">
        <f t="shared" si="477"/>
        <v>0</v>
      </c>
      <c r="V4892" s="40"/>
    </row>
    <row r="4893" spans="2:22" x14ac:dyDescent="0.35">
      <c r="B4893" s="40">
        <v>40205</v>
      </c>
      <c r="C4893" s="39">
        <v>5643.2</v>
      </c>
      <c r="D4893" s="219">
        <f t="shared" si="478"/>
        <v>-4.5491069095159051E-3</v>
      </c>
      <c r="F4893" s="40">
        <v>40205</v>
      </c>
      <c r="G4893" s="39">
        <v>5643.2</v>
      </c>
      <c r="H4893" s="39">
        <f t="shared" si="473"/>
        <v>3</v>
      </c>
      <c r="I4893" s="39">
        <f t="shared" si="474"/>
        <v>0</v>
      </c>
      <c r="K4893" s="40"/>
      <c r="Q4893" s="40">
        <v>40205</v>
      </c>
      <c r="R4893" s="39">
        <v>5643.2</v>
      </c>
      <c r="S4893" s="39">
        <f t="shared" si="475"/>
        <v>1</v>
      </c>
      <c r="T4893" s="39">
        <f t="shared" si="476"/>
        <v>0</v>
      </c>
      <c r="U4893" s="39">
        <f t="shared" si="477"/>
        <v>0</v>
      </c>
      <c r="V4893" s="40"/>
    </row>
    <row r="4894" spans="2:22" x14ac:dyDescent="0.35">
      <c r="B4894" s="40">
        <v>40206</v>
      </c>
      <c r="C4894" s="39">
        <v>5540.33</v>
      </c>
      <c r="D4894" s="219">
        <f t="shared" si="478"/>
        <v>-1.8397214727485033E-2</v>
      </c>
      <c r="F4894" s="40">
        <v>40206</v>
      </c>
      <c r="G4894" s="39">
        <v>5540.33</v>
      </c>
      <c r="H4894" s="39">
        <f t="shared" si="473"/>
        <v>4</v>
      </c>
      <c r="I4894" s="39">
        <f t="shared" si="474"/>
        <v>0</v>
      </c>
      <c r="K4894" s="40"/>
      <c r="Q4894" s="40">
        <v>40206</v>
      </c>
      <c r="R4894" s="39">
        <v>5540.33</v>
      </c>
      <c r="S4894" s="39">
        <f t="shared" si="475"/>
        <v>1</v>
      </c>
      <c r="T4894" s="39">
        <f t="shared" si="476"/>
        <v>0</v>
      </c>
      <c r="U4894" s="39">
        <f t="shared" si="477"/>
        <v>0</v>
      </c>
      <c r="V4894" s="40"/>
    </row>
    <row r="4895" spans="2:22" x14ac:dyDescent="0.35">
      <c r="B4895" s="40">
        <v>40207</v>
      </c>
      <c r="C4895" s="39">
        <v>5608.79</v>
      </c>
      <c r="D4895" s="219">
        <f t="shared" si="478"/>
        <v>1.2280944224300067E-2</v>
      </c>
      <c r="F4895" s="40">
        <v>40207</v>
      </c>
      <c r="G4895" s="39">
        <v>5608.79</v>
      </c>
      <c r="H4895" s="39">
        <f t="shared" si="473"/>
        <v>5</v>
      </c>
      <c r="I4895" s="39">
        <f t="shared" si="474"/>
        <v>5608.79</v>
      </c>
      <c r="K4895" s="40"/>
      <c r="Q4895" s="40">
        <v>40207</v>
      </c>
      <c r="R4895" s="39">
        <v>5608.79</v>
      </c>
      <c r="S4895" s="39">
        <f t="shared" si="475"/>
        <v>1</v>
      </c>
      <c r="T4895" s="39">
        <f t="shared" si="476"/>
        <v>5608.79</v>
      </c>
      <c r="U4895" s="39">
        <f t="shared" si="477"/>
        <v>5608.79</v>
      </c>
      <c r="V4895" s="40"/>
    </row>
    <row r="4896" spans="2:22" x14ac:dyDescent="0.35">
      <c r="B4896" s="40">
        <v>40210</v>
      </c>
      <c r="C4896" s="39">
        <v>5654.48</v>
      </c>
      <c r="D4896" s="219">
        <f t="shared" si="478"/>
        <v>8.1131413205994644E-3</v>
      </c>
      <c r="F4896" s="40">
        <v>40210</v>
      </c>
      <c r="G4896" s="39">
        <v>5654.48</v>
      </c>
      <c r="H4896" s="39">
        <f t="shared" si="473"/>
        <v>1</v>
      </c>
      <c r="I4896" s="39">
        <f t="shared" si="474"/>
        <v>0</v>
      </c>
      <c r="K4896" s="40"/>
      <c r="Q4896" s="40">
        <v>40210</v>
      </c>
      <c r="R4896" s="39">
        <v>5654.48</v>
      </c>
      <c r="S4896" s="39">
        <f t="shared" si="475"/>
        <v>2</v>
      </c>
      <c r="T4896" s="39">
        <f t="shared" si="476"/>
        <v>0</v>
      </c>
      <c r="U4896" s="39">
        <f t="shared" si="477"/>
        <v>0</v>
      </c>
      <c r="V4896" s="40"/>
    </row>
    <row r="4897" spans="2:22" x14ac:dyDescent="0.35">
      <c r="B4897" s="40">
        <v>40211</v>
      </c>
      <c r="C4897" s="39">
        <v>5709.66</v>
      </c>
      <c r="D4897" s="219">
        <f t="shared" si="478"/>
        <v>9.7113259195065384E-3</v>
      </c>
      <c r="F4897" s="40">
        <v>40211</v>
      </c>
      <c r="G4897" s="39">
        <v>5709.66</v>
      </c>
      <c r="H4897" s="39">
        <f t="shared" si="473"/>
        <v>2</v>
      </c>
      <c r="I4897" s="39">
        <f t="shared" si="474"/>
        <v>0</v>
      </c>
      <c r="K4897" s="40"/>
      <c r="Q4897" s="40">
        <v>40211</v>
      </c>
      <c r="R4897" s="39">
        <v>5709.66</v>
      </c>
      <c r="S4897" s="39">
        <f t="shared" si="475"/>
        <v>2</v>
      </c>
      <c r="T4897" s="39">
        <f t="shared" si="476"/>
        <v>0</v>
      </c>
      <c r="U4897" s="39">
        <f t="shared" si="477"/>
        <v>0</v>
      </c>
      <c r="V4897" s="40"/>
    </row>
    <row r="4898" spans="2:22" x14ac:dyDescent="0.35">
      <c r="B4898" s="40">
        <v>40212</v>
      </c>
      <c r="C4898" s="39">
        <v>5672.09</v>
      </c>
      <c r="D4898" s="219">
        <f t="shared" si="478"/>
        <v>-6.6018207137313331E-3</v>
      </c>
      <c r="F4898" s="40">
        <v>40212</v>
      </c>
      <c r="G4898" s="39">
        <v>5672.09</v>
      </c>
      <c r="H4898" s="39">
        <f t="shared" si="473"/>
        <v>3</v>
      </c>
      <c r="I4898" s="39">
        <f t="shared" si="474"/>
        <v>0</v>
      </c>
      <c r="K4898" s="40"/>
      <c r="Q4898" s="40">
        <v>40212</v>
      </c>
      <c r="R4898" s="39">
        <v>5672.09</v>
      </c>
      <c r="S4898" s="39">
        <f t="shared" si="475"/>
        <v>2</v>
      </c>
      <c r="T4898" s="39">
        <f t="shared" si="476"/>
        <v>0</v>
      </c>
      <c r="U4898" s="39">
        <f t="shared" si="477"/>
        <v>0</v>
      </c>
      <c r="V4898" s="40"/>
    </row>
    <row r="4899" spans="2:22" x14ac:dyDescent="0.35">
      <c r="B4899" s="40">
        <v>40213</v>
      </c>
      <c r="C4899" s="39">
        <v>5533.24</v>
      </c>
      <c r="D4899" s="219">
        <f t="shared" si="478"/>
        <v>-2.4784117440589219E-2</v>
      </c>
      <c r="F4899" s="40">
        <v>40213</v>
      </c>
      <c r="G4899" s="39">
        <v>5533.24</v>
      </c>
      <c r="H4899" s="39">
        <f t="shared" si="473"/>
        <v>4</v>
      </c>
      <c r="I4899" s="39">
        <f t="shared" si="474"/>
        <v>0</v>
      </c>
      <c r="K4899" s="40"/>
      <c r="Q4899" s="40">
        <v>40213</v>
      </c>
      <c r="R4899" s="39">
        <v>5533.24</v>
      </c>
      <c r="S4899" s="39">
        <f t="shared" si="475"/>
        <v>2</v>
      </c>
      <c r="T4899" s="39">
        <f t="shared" si="476"/>
        <v>0</v>
      </c>
      <c r="U4899" s="39">
        <f t="shared" si="477"/>
        <v>0</v>
      </c>
      <c r="V4899" s="40"/>
    </row>
    <row r="4900" spans="2:22" x14ac:dyDescent="0.35">
      <c r="B4900" s="40">
        <v>40214</v>
      </c>
      <c r="C4900" s="39">
        <v>5434.34</v>
      </c>
      <c r="D4900" s="219">
        <f t="shared" si="478"/>
        <v>-1.8035461025516366E-2</v>
      </c>
      <c r="F4900" s="40">
        <v>40214</v>
      </c>
      <c r="G4900" s="39">
        <v>5434.34</v>
      </c>
      <c r="H4900" s="39">
        <f t="shared" si="473"/>
        <v>5</v>
      </c>
      <c r="I4900" s="39">
        <f t="shared" si="474"/>
        <v>5434.34</v>
      </c>
      <c r="K4900" s="40"/>
      <c r="Q4900" s="40">
        <v>40214</v>
      </c>
      <c r="R4900" s="39">
        <v>5434.34</v>
      </c>
      <c r="S4900" s="39">
        <f t="shared" si="475"/>
        <v>2</v>
      </c>
      <c r="T4900" s="39">
        <f t="shared" si="476"/>
        <v>0</v>
      </c>
      <c r="U4900" s="39">
        <f t="shared" si="477"/>
        <v>0</v>
      </c>
      <c r="V4900" s="40"/>
    </row>
    <row r="4901" spans="2:22" x14ac:dyDescent="0.35">
      <c r="B4901" s="40">
        <v>40217</v>
      </c>
      <c r="C4901" s="39">
        <v>5484.85</v>
      </c>
      <c r="D4901" s="219">
        <f t="shared" si="478"/>
        <v>9.2516679856667026E-3</v>
      </c>
      <c r="F4901" s="40">
        <v>40217</v>
      </c>
      <c r="G4901" s="39">
        <v>5484.85</v>
      </c>
      <c r="H4901" s="39">
        <f t="shared" si="473"/>
        <v>1</v>
      </c>
      <c r="I4901" s="39">
        <f t="shared" si="474"/>
        <v>0</v>
      </c>
      <c r="K4901" s="40"/>
      <c r="Q4901" s="40">
        <v>40217</v>
      </c>
      <c r="R4901" s="39">
        <v>5484.85</v>
      </c>
      <c r="S4901" s="39">
        <f t="shared" si="475"/>
        <v>2</v>
      </c>
      <c r="T4901" s="39">
        <f t="shared" si="476"/>
        <v>0</v>
      </c>
      <c r="U4901" s="39">
        <f t="shared" si="477"/>
        <v>0</v>
      </c>
      <c r="V4901" s="40"/>
    </row>
    <row r="4902" spans="2:22" x14ac:dyDescent="0.35">
      <c r="B4902" s="40">
        <v>40218</v>
      </c>
      <c r="C4902" s="39">
        <v>5498.26</v>
      </c>
      <c r="D4902" s="219">
        <f t="shared" si="478"/>
        <v>2.4419325061279858E-3</v>
      </c>
      <c r="F4902" s="40">
        <v>40218</v>
      </c>
      <c r="G4902" s="39">
        <v>5498.26</v>
      </c>
      <c r="H4902" s="39">
        <f t="shared" si="473"/>
        <v>2</v>
      </c>
      <c r="I4902" s="39">
        <f t="shared" si="474"/>
        <v>0</v>
      </c>
      <c r="K4902" s="40"/>
      <c r="Q4902" s="40">
        <v>40218</v>
      </c>
      <c r="R4902" s="39">
        <v>5498.26</v>
      </c>
      <c r="S4902" s="39">
        <f t="shared" si="475"/>
        <v>2</v>
      </c>
      <c r="T4902" s="39">
        <f t="shared" si="476"/>
        <v>0</v>
      </c>
      <c r="U4902" s="39">
        <f t="shared" si="477"/>
        <v>0</v>
      </c>
      <c r="V4902" s="40"/>
    </row>
    <row r="4903" spans="2:22" x14ac:dyDescent="0.35">
      <c r="B4903" s="40">
        <v>40219</v>
      </c>
      <c r="C4903" s="39">
        <v>5536.37</v>
      </c>
      <c r="D4903" s="219">
        <f t="shared" si="478"/>
        <v>6.9073727935780411E-3</v>
      </c>
      <c r="F4903" s="40">
        <v>40219</v>
      </c>
      <c r="G4903" s="39">
        <v>5536.37</v>
      </c>
      <c r="H4903" s="39">
        <f t="shared" si="473"/>
        <v>3</v>
      </c>
      <c r="I4903" s="39">
        <f t="shared" si="474"/>
        <v>0</v>
      </c>
      <c r="K4903" s="40"/>
      <c r="Q4903" s="40">
        <v>40219</v>
      </c>
      <c r="R4903" s="39">
        <v>5536.37</v>
      </c>
      <c r="S4903" s="39">
        <f t="shared" si="475"/>
        <v>2</v>
      </c>
      <c r="T4903" s="39">
        <f t="shared" si="476"/>
        <v>0</v>
      </c>
      <c r="U4903" s="39">
        <f t="shared" si="477"/>
        <v>0</v>
      </c>
      <c r="V4903" s="40"/>
    </row>
    <row r="4904" spans="2:22" x14ac:dyDescent="0.35">
      <c r="B4904" s="40">
        <v>40220</v>
      </c>
      <c r="C4904" s="39">
        <v>5503.93</v>
      </c>
      <c r="D4904" s="219">
        <f t="shared" si="478"/>
        <v>-5.8766688151955185E-3</v>
      </c>
      <c r="F4904" s="40">
        <v>40220</v>
      </c>
      <c r="G4904" s="39">
        <v>5503.93</v>
      </c>
      <c r="H4904" s="39">
        <f t="shared" si="473"/>
        <v>4</v>
      </c>
      <c r="I4904" s="39">
        <f t="shared" si="474"/>
        <v>0</v>
      </c>
      <c r="K4904" s="40"/>
      <c r="Q4904" s="40">
        <v>40220</v>
      </c>
      <c r="R4904" s="39">
        <v>5503.93</v>
      </c>
      <c r="S4904" s="39">
        <f t="shared" si="475"/>
        <v>2</v>
      </c>
      <c r="T4904" s="39">
        <f t="shared" si="476"/>
        <v>0</v>
      </c>
      <c r="U4904" s="39">
        <f t="shared" si="477"/>
        <v>0</v>
      </c>
      <c r="V4904" s="40"/>
    </row>
    <row r="4905" spans="2:22" x14ac:dyDescent="0.35">
      <c r="B4905" s="40">
        <v>40221</v>
      </c>
      <c r="C4905" s="39">
        <v>5500.39</v>
      </c>
      <c r="D4905" s="219">
        <f t="shared" si="478"/>
        <v>-6.4338371150840751E-4</v>
      </c>
      <c r="F4905" s="40">
        <v>40221</v>
      </c>
      <c r="G4905" s="39">
        <v>5500.39</v>
      </c>
      <c r="H4905" s="39">
        <f t="shared" si="473"/>
        <v>5</v>
      </c>
      <c r="I4905" s="39">
        <f t="shared" si="474"/>
        <v>5500.39</v>
      </c>
      <c r="K4905" s="40"/>
      <c r="Q4905" s="40">
        <v>40221</v>
      </c>
      <c r="R4905" s="39">
        <v>5500.39</v>
      </c>
      <c r="S4905" s="39">
        <f t="shared" si="475"/>
        <v>2</v>
      </c>
      <c r="T4905" s="39">
        <f t="shared" si="476"/>
        <v>0</v>
      </c>
      <c r="U4905" s="39">
        <f t="shared" si="477"/>
        <v>0</v>
      </c>
      <c r="V4905" s="40"/>
    </row>
    <row r="4906" spans="2:22" x14ac:dyDescent="0.35">
      <c r="B4906" s="40">
        <v>40224</v>
      </c>
      <c r="C4906" s="39">
        <v>5511.1</v>
      </c>
      <c r="D4906" s="219">
        <f t="shared" si="478"/>
        <v>1.9452414481941445E-3</v>
      </c>
      <c r="F4906" s="40">
        <v>40224</v>
      </c>
      <c r="G4906" s="39">
        <v>5511.1</v>
      </c>
      <c r="H4906" s="39">
        <f t="shared" si="473"/>
        <v>1</v>
      </c>
      <c r="I4906" s="39">
        <f t="shared" si="474"/>
        <v>0</v>
      </c>
      <c r="K4906" s="40"/>
      <c r="Q4906" s="40">
        <v>40224</v>
      </c>
      <c r="R4906" s="39">
        <v>5511.1</v>
      </c>
      <c r="S4906" s="39">
        <f t="shared" si="475"/>
        <v>2</v>
      </c>
      <c r="T4906" s="39">
        <f t="shared" si="476"/>
        <v>0</v>
      </c>
      <c r="U4906" s="39">
        <f t="shared" si="477"/>
        <v>0</v>
      </c>
      <c r="V4906" s="40"/>
    </row>
    <row r="4907" spans="2:22" x14ac:dyDescent="0.35">
      <c r="B4907" s="40">
        <v>40225</v>
      </c>
      <c r="C4907" s="39">
        <v>5592.12</v>
      </c>
      <c r="D4907" s="219">
        <f t="shared" si="478"/>
        <v>1.4594223665133221E-2</v>
      </c>
      <c r="F4907" s="40">
        <v>40225</v>
      </c>
      <c r="G4907" s="39">
        <v>5592.12</v>
      </c>
      <c r="H4907" s="39">
        <f t="shared" si="473"/>
        <v>2</v>
      </c>
      <c r="I4907" s="39">
        <f t="shared" si="474"/>
        <v>0</v>
      </c>
      <c r="K4907" s="40"/>
      <c r="Q4907" s="40">
        <v>40225</v>
      </c>
      <c r="R4907" s="39">
        <v>5592.12</v>
      </c>
      <c r="S4907" s="39">
        <f t="shared" si="475"/>
        <v>2</v>
      </c>
      <c r="T4907" s="39">
        <f t="shared" si="476"/>
        <v>0</v>
      </c>
      <c r="U4907" s="39">
        <f t="shared" si="477"/>
        <v>0</v>
      </c>
      <c r="V4907" s="40"/>
    </row>
    <row r="4908" spans="2:22" x14ac:dyDescent="0.35">
      <c r="B4908" s="40">
        <v>40226</v>
      </c>
      <c r="C4908" s="39">
        <v>5648.34</v>
      </c>
      <c r="D4908" s="219">
        <f t="shared" si="478"/>
        <v>1.0003232750648216E-2</v>
      </c>
      <c r="F4908" s="40">
        <v>40226</v>
      </c>
      <c r="G4908" s="39">
        <v>5648.34</v>
      </c>
      <c r="H4908" s="39">
        <f t="shared" si="473"/>
        <v>3</v>
      </c>
      <c r="I4908" s="39">
        <f t="shared" si="474"/>
        <v>0</v>
      </c>
      <c r="K4908" s="40"/>
      <c r="Q4908" s="40">
        <v>40226</v>
      </c>
      <c r="R4908" s="39">
        <v>5648.34</v>
      </c>
      <c r="S4908" s="39">
        <f t="shared" si="475"/>
        <v>2</v>
      </c>
      <c r="T4908" s="39">
        <f t="shared" si="476"/>
        <v>0</v>
      </c>
      <c r="U4908" s="39">
        <f t="shared" si="477"/>
        <v>0</v>
      </c>
      <c r="V4908" s="40"/>
    </row>
    <row r="4909" spans="2:22" x14ac:dyDescent="0.35">
      <c r="B4909" s="40">
        <v>40227</v>
      </c>
      <c r="C4909" s="39">
        <v>5680.41</v>
      </c>
      <c r="D4909" s="219">
        <f t="shared" si="478"/>
        <v>5.6617165471977452E-3</v>
      </c>
      <c r="F4909" s="40">
        <v>40227</v>
      </c>
      <c r="G4909" s="39">
        <v>5680.41</v>
      </c>
      <c r="H4909" s="39">
        <f t="shared" si="473"/>
        <v>4</v>
      </c>
      <c r="I4909" s="39">
        <f t="shared" si="474"/>
        <v>0</v>
      </c>
      <c r="K4909" s="40"/>
      <c r="Q4909" s="40">
        <v>40227</v>
      </c>
      <c r="R4909" s="39">
        <v>5680.41</v>
      </c>
      <c r="S4909" s="39">
        <f t="shared" si="475"/>
        <v>2</v>
      </c>
      <c r="T4909" s="39">
        <f t="shared" si="476"/>
        <v>0</v>
      </c>
      <c r="U4909" s="39">
        <f t="shared" si="477"/>
        <v>0</v>
      </c>
      <c r="V4909" s="40"/>
    </row>
    <row r="4910" spans="2:22" x14ac:dyDescent="0.35">
      <c r="B4910" s="40">
        <v>40228</v>
      </c>
      <c r="C4910" s="39">
        <v>5722.05</v>
      </c>
      <c r="D4910" s="219">
        <f t="shared" si="478"/>
        <v>7.3037195665889738E-3</v>
      </c>
      <c r="F4910" s="40">
        <v>40228</v>
      </c>
      <c r="G4910" s="39">
        <v>5722.05</v>
      </c>
      <c r="H4910" s="39">
        <f t="shared" si="473"/>
        <v>5</v>
      </c>
      <c r="I4910" s="39">
        <f t="shared" si="474"/>
        <v>5722.05</v>
      </c>
      <c r="K4910" s="40"/>
      <c r="Q4910" s="40">
        <v>40228</v>
      </c>
      <c r="R4910" s="39">
        <v>5722.05</v>
      </c>
      <c r="S4910" s="39">
        <f t="shared" si="475"/>
        <v>2</v>
      </c>
      <c r="T4910" s="39">
        <f t="shared" si="476"/>
        <v>0</v>
      </c>
      <c r="U4910" s="39">
        <f t="shared" si="477"/>
        <v>0</v>
      </c>
      <c r="V4910" s="40"/>
    </row>
    <row r="4911" spans="2:22" x14ac:dyDescent="0.35">
      <c r="B4911" s="40">
        <v>40231</v>
      </c>
      <c r="C4911" s="39">
        <v>5688.44</v>
      </c>
      <c r="D4911" s="219">
        <f t="shared" si="478"/>
        <v>-5.8910874471853518E-3</v>
      </c>
      <c r="F4911" s="40">
        <v>40231</v>
      </c>
      <c r="G4911" s="39">
        <v>5688.44</v>
      </c>
      <c r="H4911" s="39">
        <f t="shared" si="473"/>
        <v>1</v>
      </c>
      <c r="I4911" s="39">
        <f t="shared" si="474"/>
        <v>0</v>
      </c>
      <c r="K4911" s="40"/>
      <c r="Q4911" s="40">
        <v>40231</v>
      </c>
      <c r="R4911" s="39">
        <v>5688.44</v>
      </c>
      <c r="S4911" s="39">
        <f t="shared" si="475"/>
        <v>2</v>
      </c>
      <c r="T4911" s="39">
        <f t="shared" si="476"/>
        <v>0</v>
      </c>
      <c r="U4911" s="39">
        <f t="shared" si="477"/>
        <v>0</v>
      </c>
      <c r="V4911" s="40"/>
    </row>
    <row r="4912" spans="2:22" x14ac:dyDescent="0.35">
      <c r="B4912" s="40">
        <v>40232</v>
      </c>
      <c r="C4912" s="39">
        <v>5604.07</v>
      </c>
      <c r="D4912" s="219">
        <f t="shared" si="478"/>
        <v>-1.4942925871431459E-2</v>
      </c>
      <c r="F4912" s="40">
        <v>40232</v>
      </c>
      <c r="G4912" s="39">
        <v>5604.07</v>
      </c>
      <c r="H4912" s="39">
        <f t="shared" si="473"/>
        <v>2</v>
      </c>
      <c r="I4912" s="39">
        <f t="shared" si="474"/>
        <v>0</v>
      </c>
      <c r="K4912" s="40"/>
      <c r="Q4912" s="40">
        <v>40232</v>
      </c>
      <c r="R4912" s="39">
        <v>5604.07</v>
      </c>
      <c r="S4912" s="39">
        <f t="shared" si="475"/>
        <v>2</v>
      </c>
      <c r="T4912" s="39">
        <f t="shared" si="476"/>
        <v>0</v>
      </c>
      <c r="U4912" s="39">
        <f t="shared" si="477"/>
        <v>0</v>
      </c>
      <c r="V4912" s="40"/>
    </row>
    <row r="4913" spans="2:22" x14ac:dyDescent="0.35">
      <c r="B4913" s="40">
        <v>40233</v>
      </c>
      <c r="C4913" s="39">
        <v>5615.51</v>
      </c>
      <c r="D4913" s="219">
        <f t="shared" si="478"/>
        <v>2.0392927301452423E-3</v>
      </c>
      <c r="F4913" s="40">
        <v>40233</v>
      </c>
      <c r="G4913" s="39">
        <v>5615.51</v>
      </c>
      <c r="H4913" s="39">
        <f t="shared" si="473"/>
        <v>3</v>
      </c>
      <c r="I4913" s="39">
        <f t="shared" si="474"/>
        <v>0</v>
      </c>
      <c r="K4913" s="40"/>
      <c r="Q4913" s="40">
        <v>40233</v>
      </c>
      <c r="R4913" s="39">
        <v>5615.51</v>
      </c>
      <c r="S4913" s="39">
        <f t="shared" si="475"/>
        <v>2</v>
      </c>
      <c r="T4913" s="39">
        <f t="shared" si="476"/>
        <v>0</v>
      </c>
      <c r="U4913" s="39">
        <f t="shared" si="477"/>
        <v>0</v>
      </c>
      <c r="V4913" s="40"/>
    </row>
    <row r="4914" spans="2:22" x14ac:dyDescent="0.35">
      <c r="B4914" s="40">
        <v>40234</v>
      </c>
      <c r="C4914" s="39">
        <v>5532.33</v>
      </c>
      <c r="D4914" s="219">
        <f t="shared" si="478"/>
        <v>-1.4923347252931448E-2</v>
      </c>
      <c r="F4914" s="40">
        <v>40234</v>
      </c>
      <c r="G4914" s="39">
        <v>5532.33</v>
      </c>
      <c r="H4914" s="39">
        <f t="shared" si="473"/>
        <v>4</v>
      </c>
      <c r="I4914" s="39">
        <f t="shared" si="474"/>
        <v>0</v>
      </c>
      <c r="K4914" s="40"/>
      <c r="Q4914" s="40">
        <v>40234</v>
      </c>
      <c r="R4914" s="39">
        <v>5532.33</v>
      </c>
      <c r="S4914" s="39">
        <f t="shared" si="475"/>
        <v>2</v>
      </c>
      <c r="T4914" s="39">
        <f t="shared" si="476"/>
        <v>0</v>
      </c>
      <c r="U4914" s="39">
        <f t="shared" si="477"/>
        <v>0</v>
      </c>
      <c r="V4914" s="40"/>
    </row>
    <row r="4915" spans="2:22" x14ac:dyDescent="0.35">
      <c r="B4915" s="40">
        <v>40235</v>
      </c>
      <c r="C4915" s="39">
        <v>5598.46</v>
      </c>
      <c r="D4915" s="219">
        <f t="shared" si="478"/>
        <v>1.1882494969906711E-2</v>
      </c>
      <c r="F4915" s="40">
        <v>40235</v>
      </c>
      <c r="G4915" s="39">
        <v>5598.46</v>
      </c>
      <c r="H4915" s="39">
        <f t="shared" si="473"/>
        <v>5</v>
      </c>
      <c r="I4915" s="39">
        <f t="shared" si="474"/>
        <v>5598.46</v>
      </c>
      <c r="K4915" s="40"/>
      <c r="Q4915" s="40">
        <v>40235</v>
      </c>
      <c r="R4915" s="39">
        <v>5598.46</v>
      </c>
      <c r="S4915" s="39">
        <f t="shared" si="475"/>
        <v>2</v>
      </c>
      <c r="T4915" s="39">
        <f t="shared" si="476"/>
        <v>5598.46</v>
      </c>
      <c r="U4915" s="39">
        <f t="shared" si="477"/>
        <v>5598.46</v>
      </c>
      <c r="V4915" s="40"/>
    </row>
    <row r="4916" spans="2:22" x14ac:dyDescent="0.35">
      <c r="B4916" s="40">
        <v>40238</v>
      </c>
      <c r="C4916" s="39">
        <v>5713.51</v>
      </c>
      <c r="D4916" s="219">
        <f t="shared" si="478"/>
        <v>2.0341985922088055E-2</v>
      </c>
      <c r="F4916" s="40">
        <v>40238</v>
      </c>
      <c r="G4916" s="39">
        <v>5713.51</v>
      </c>
      <c r="H4916" s="39">
        <f t="shared" si="473"/>
        <v>1</v>
      </c>
      <c r="I4916" s="39">
        <f t="shared" si="474"/>
        <v>0</v>
      </c>
      <c r="K4916" s="40"/>
      <c r="Q4916" s="40">
        <v>40238</v>
      </c>
      <c r="R4916" s="39">
        <v>5713.51</v>
      </c>
      <c r="S4916" s="39">
        <f t="shared" si="475"/>
        <v>3</v>
      </c>
      <c r="T4916" s="39">
        <f t="shared" si="476"/>
        <v>0</v>
      </c>
      <c r="U4916" s="39">
        <f t="shared" si="477"/>
        <v>0</v>
      </c>
      <c r="V4916" s="40"/>
    </row>
    <row r="4917" spans="2:22" x14ac:dyDescent="0.35">
      <c r="B4917" s="40">
        <v>40239</v>
      </c>
      <c r="C4917" s="39">
        <v>5776.56</v>
      </c>
      <c r="D4917" s="219">
        <f t="shared" si="478"/>
        <v>1.0974803955725077E-2</v>
      </c>
      <c r="F4917" s="40">
        <v>40239</v>
      </c>
      <c r="G4917" s="39">
        <v>5776.56</v>
      </c>
      <c r="H4917" s="39">
        <f t="shared" si="473"/>
        <v>2</v>
      </c>
      <c r="I4917" s="39">
        <f t="shared" si="474"/>
        <v>0</v>
      </c>
      <c r="K4917" s="40"/>
      <c r="Q4917" s="40">
        <v>40239</v>
      </c>
      <c r="R4917" s="39">
        <v>5776.56</v>
      </c>
      <c r="S4917" s="39">
        <f t="shared" si="475"/>
        <v>3</v>
      </c>
      <c r="T4917" s="39">
        <f t="shared" si="476"/>
        <v>0</v>
      </c>
      <c r="U4917" s="39">
        <f t="shared" si="477"/>
        <v>0</v>
      </c>
      <c r="V4917" s="40"/>
    </row>
    <row r="4918" spans="2:22" x14ac:dyDescent="0.35">
      <c r="B4918" s="40">
        <v>40240</v>
      </c>
      <c r="C4918" s="39">
        <v>5817.88</v>
      </c>
      <c r="D4918" s="219">
        <f t="shared" si="478"/>
        <v>7.1275844162640946E-3</v>
      </c>
      <c r="F4918" s="40">
        <v>40240</v>
      </c>
      <c r="G4918" s="39">
        <v>5817.88</v>
      </c>
      <c r="H4918" s="39">
        <f t="shared" si="473"/>
        <v>3</v>
      </c>
      <c r="I4918" s="39">
        <f t="shared" si="474"/>
        <v>0</v>
      </c>
      <c r="K4918" s="40"/>
      <c r="Q4918" s="40">
        <v>40240</v>
      </c>
      <c r="R4918" s="39">
        <v>5817.88</v>
      </c>
      <c r="S4918" s="39">
        <f t="shared" si="475"/>
        <v>3</v>
      </c>
      <c r="T4918" s="39">
        <f t="shared" si="476"/>
        <v>0</v>
      </c>
      <c r="U4918" s="39">
        <f t="shared" si="477"/>
        <v>0</v>
      </c>
      <c r="V4918" s="40"/>
    </row>
    <row r="4919" spans="2:22" x14ac:dyDescent="0.35">
      <c r="B4919" s="40">
        <v>40241</v>
      </c>
      <c r="C4919" s="39">
        <v>5795.32</v>
      </c>
      <c r="D4919" s="219">
        <f t="shared" si="478"/>
        <v>-3.8852389313447353E-3</v>
      </c>
      <c r="F4919" s="40">
        <v>40241</v>
      </c>
      <c r="G4919" s="39">
        <v>5795.32</v>
      </c>
      <c r="H4919" s="39">
        <f t="shared" ref="H4919:H4955" si="479">WEEKDAY(F4919,2)</f>
        <v>4</v>
      </c>
      <c r="I4919" s="39">
        <f t="shared" ref="I4919:I4955" si="480">IF(H4919&gt;H4920,G4919,0)</f>
        <v>0</v>
      </c>
      <c r="K4919" s="40"/>
      <c r="Q4919" s="40">
        <v>40241</v>
      </c>
      <c r="R4919" s="39">
        <v>5795.32</v>
      </c>
      <c r="S4919" s="39">
        <f t="shared" ref="S4919:S4955" si="481">MONTH(Q4919)</f>
        <v>3</v>
      </c>
      <c r="T4919" s="39">
        <f t="shared" ref="T4919:T4955" si="482">IF(S4920&lt;&gt;S4919,R4919,0)</f>
        <v>0</v>
      </c>
      <c r="U4919" s="39">
        <f t="shared" ref="U4919:U4954" si="483">IF(S4920=S4919,0,R4919)</f>
        <v>0</v>
      </c>
      <c r="V4919" s="40"/>
    </row>
    <row r="4920" spans="2:22" x14ac:dyDescent="0.35">
      <c r="B4920" s="40">
        <v>40242</v>
      </c>
      <c r="C4920" s="39">
        <v>5877.36</v>
      </c>
      <c r="D4920" s="219">
        <f t="shared" ref="D4920:D4955" si="484">LN(C4920/C4919)</f>
        <v>1.405698621278067E-2</v>
      </c>
      <c r="F4920" s="40">
        <v>40242</v>
      </c>
      <c r="G4920" s="39">
        <v>5877.36</v>
      </c>
      <c r="H4920" s="39">
        <f t="shared" si="479"/>
        <v>5</v>
      </c>
      <c r="I4920" s="39">
        <f t="shared" si="480"/>
        <v>5877.36</v>
      </c>
      <c r="K4920" s="40"/>
      <c r="Q4920" s="40">
        <v>40242</v>
      </c>
      <c r="R4920" s="39">
        <v>5877.36</v>
      </c>
      <c r="S4920" s="39">
        <f t="shared" si="481"/>
        <v>3</v>
      </c>
      <c r="T4920" s="39">
        <f t="shared" si="482"/>
        <v>0</v>
      </c>
      <c r="U4920" s="39">
        <f t="shared" si="483"/>
        <v>0</v>
      </c>
      <c r="V4920" s="40"/>
    </row>
    <row r="4921" spans="2:22" x14ac:dyDescent="0.35">
      <c r="B4921" s="40">
        <v>40245</v>
      </c>
      <c r="C4921" s="39">
        <v>5875.91</v>
      </c>
      <c r="D4921" s="219">
        <f t="shared" si="484"/>
        <v>-2.4673984471663095E-4</v>
      </c>
      <c r="F4921" s="40">
        <v>40245</v>
      </c>
      <c r="G4921" s="39">
        <v>5875.91</v>
      </c>
      <c r="H4921" s="39">
        <f t="shared" si="479"/>
        <v>1</v>
      </c>
      <c r="I4921" s="39">
        <f t="shared" si="480"/>
        <v>0</v>
      </c>
      <c r="K4921" s="40"/>
      <c r="Q4921" s="40">
        <v>40245</v>
      </c>
      <c r="R4921" s="39">
        <v>5875.91</v>
      </c>
      <c r="S4921" s="39">
        <f t="shared" si="481"/>
        <v>3</v>
      </c>
      <c r="T4921" s="39">
        <f t="shared" si="482"/>
        <v>0</v>
      </c>
      <c r="U4921" s="39">
        <f t="shared" si="483"/>
        <v>0</v>
      </c>
      <c r="V4921" s="40"/>
    </row>
    <row r="4922" spans="2:22" x14ac:dyDescent="0.35">
      <c r="B4922" s="40">
        <v>40246</v>
      </c>
      <c r="C4922" s="39">
        <v>5885.89</v>
      </c>
      <c r="D4922" s="219">
        <f t="shared" si="484"/>
        <v>1.697019571000528E-3</v>
      </c>
      <c r="F4922" s="40">
        <v>40246</v>
      </c>
      <c r="G4922" s="39">
        <v>5885.89</v>
      </c>
      <c r="H4922" s="39">
        <f t="shared" si="479"/>
        <v>2</v>
      </c>
      <c r="I4922" s="39">
        <f t="shared" si="480"/>
        <v>0</v>
      </c>
      <c r="K4922" s="40"/>
      <c r="Q4922" s="40">
        <v>40246</v>
      </c>
      <c r="R4922" s="39">
        <v>5885.89</v>
      </c>
      <c r="S4922" s="39">
        <f t="shared" si="481"/>
        <v>3</v>
      </c>
      <c r="T4922" s="39">
        <f t="shared" si="482"/>
        <v>0</v>
      </c>
      <c r="U4922" s="39">
        <f t="shared" si="483"/>
        <v>0</v>
      </c>
      <c r="V4922" s="40"/>
    </row>
    <row r="4923" spans="2:22" x14ac:dyDescent="0.35">
      <c r="B4923" s="40">
        <v>40247</v>
      </c>
      <c r="C4923" s="39">
        <v>5936.72</v>
      </c>
      <c r="D4923" s="219">
        <f t="shared" si="484"/>
        <v>8.5988310866535328E-3</v>
      </c>
      <c r="F4923" s="40">
        <v>40247</v>
      </c>
      <c r="G4923" s="39">
        <v>5936.72</v>
      </c>
      <c r="H4923" s="39">
        <f t="shared" si="479"/>
        <v>3</v>
      </c>
      <c r="I4923" s="39">
        <f t="shared" si="480"/>
        <v>0</v>
      </c>
      <c r="K4923" s="40"/>
      <c r="Q4923" s="40">
        <v>40247</v>
      </c>
      <c r="R4923" s="39">
        <v>5936.72</v>
      </c>
      <c r="S4923" s="39">
        <f t="shared" si="481"/>
        <v>3</v>
      </c>
      <c r="T4923" s="39">
        <f t="shared" si="482"/>
        <v>0</v>
      </c>
      <c r="U4923" s="39">
        <f t="shared" si="483"/>
        <v>0</v>
      </c>
      <c r="V4923" s="40"/>
    </row>
    <row r="4924" spans="2:22" x14ac:dyDescent="0.35">
      <c r="B4924" s="40">
        <v>40248</v>
      </c>
      <c r="C4924" s="39">
        <v>5928.63</v>
      </c>
      <c r="D4924" s="219">
        <f t="shared" si="484"/>
        <v>-1.3636346595107198E-3</v>
      </c>
      <c r="F4924" s="40">
        <v>40248</v>
      </c>
      <c r="G4924" s="39">
        <v>5928.63</v>
      </c>
      <c r="H4924" s="39">
        <f t="shared" si="479"/>
        <v>4</v>
      </c>
      <c r="I4924" s="39">
        <f t="shared" si="480"/>
        <v>0</v>
      </c>
      <c r="K4924" s="40"/>
      <c r="Q4924" s="40">
        <v>40248</v>
      </c>
      <c r="R4924" s="39">
        <v>5928.63</v>
      </c>
      <c r="S4924" s="39">
        <f t="shared" si="481"/>
        <v>3</v>
      </c>
      <c r="T4924" s="39">
        <f t="shared" si="482"/>
        <v>0</v>
      </c>
      <c r="U4924" s="39">
        <f t="shared" si="483"/>
        <v>0</v>
      </c>
      <c r="V4924" s="40"/>
    </row>
    <row r="4925" spans="2:22" x14ac:dyDescent="0.35">
      <c r="B4925" s="40">
        <v>40249</v>
      </c>
      <c r="C4925" s="39">
        <v>5945.11</v>
      </c>
      <c r="D4925" s="219">
        <f t="shared" si="484"/>
        <v>2.7758752646083111E-3</v>
      </c>
      <c r="F4925" s="40">
        <v>40249</v>
      </c>
      <c r="G4925" s="39">
        <v>5945.11</v>
      </c>
      <c r="H4925" s="39">
        <f t="shared" si="479"/>
        <v>5</v>
      </c>
      <c r="I4925" s="39">
        <f t="shared" si="480"/>
        <v>5945.11</v>
      </c>
      <c r="K4925" s="40"/>
      <c r="Q4925" s="40">
        <v>40249</v>
      </c>
      <c r="R4925" s="39">
        <v>5945.11</v>
      </c>
      <c r="S4925" s="39">
        <f t="shared" si="481"/>
        <v>3</v>
      </c>
      <c r="T4925" s="39">
        <f t="shared" si="482"/>
        <v>0</v>
      </c>
      <c r="U4925" s="39">
        <f t="shared" si="483"/>
        <v>0</v>
      </c>
      <c r="V4925" s="40"/>
    </row>
    <row r="4926" spans="2:22" x14ac:dyDescent="0.35">
      <c r="B4926" s="40">
        <v>40252</v>
      </c>
      <c r="C4926" s="39">
        <v>5903.56</v>
      </c>
      <c r="D4926" s="219">
        <f t="shared" si="484"/>
        <v>-7.0134741394852415E-3</v>
      </c>
      <c r="F4926" s="40">
        <v>40252</v>
      </c>
      <c r="G4926" s="39">
        <v>5903.56</v>
      </c>
      <c r="H4926" s="39">
        <f t="shared" si="479"/>
        <v>1</v>
      </c>
      <c r="I4926" s="39">
        <f t="shared" si="480"/>
        <v>0</v>
      </c>
      <c r="K4926" s="40"/>
      <c r="Q4926" s="40">
        <v>40252</v>
      </c>
      <c r="R4926" s="39">
        <v>5903.56</v>
      </c>
      <c r="S4926" s="39">
        <f t="shared" si="481"/>
        <v>3</v>
      </c>
      <c r="T4926" s="39">
        <f t="shared" si="482"/>
        <v>0</v>
      </c>
      <c r="U4926" s="39">
        <f t="shared" si="483"/>
        <v>0</v>
      </c>
      <c r="V4926" s="40"/>
    </row>
    <row r="4927" spans="2:22" x14ac:dyDescent="0.35">
      <c r="B4927" s="40">
        <v>40253</v>
      </c>
      <c r="C4927" s="39">
        <v>5970.99</v>
      </c>
      <c r="D4927" s="219">
        <f t="shared" si="484"/>
        <v>1.1357184026373741E-2</v>
      </c>
      <c r="F4927" s="40">
        <v>40253</v>
      </c>
      <c r="G4927" s="39">
        <v>5970.99</v>
      </c>
      <c r="H4927" s="39">
        <f t="shared" si="479"/>
        <v>2</v>
      </c>
      <c r="I4927" s="39">
        <f t="shared" si="480"/>
        <v>0</v>
      </c>
      <c r="K4927" s="40"/>
      <c r="Q4927" s="40">
        <v>40253</v>
      </c>
      <c r="R4927" s="39">
        <v>5970.99</v>
      </c>
      <c r="S4927" s="39">
        <f t="shared" si="481"/>
        <v>3</v>
      </c>
      <c r="T4927" s="39">
        <f t="shared" si="482"/>
        <v>0</v>
      </c>
      <c r="U4927" s="39">
        <f t="shared" si="483"/>
        <v>0</v>
      </c>
      <c r="V4927" s="40"/>
    </row>
    <row r="4928" spans="2:22" x14ac:dyDescent="0.35">
      <c r="B4928" s="40">
        <v>40254</v>
      </c>
      <c r="C4928" s="39">
        <v>6024.28</v>
      </c>
      <c r="D4928" s="219">
        <f t="shared" si="484"/>
        <v>8.8852273589817028E-3</v>
      </c>
      <c r="F4928" s="40">
        <v>40254</v>
      </c>
      <c r="G4928" s="39">
        <v>6024.28</v>
      </c>
      <c r="H4928" s="39">
        <f t="shared" si="479"/>
        <v>3</v>
      </c>
      <c r="I4928" s="39">
        <f t="shared" si="480"/>
        <v>0</v>
      </c>
      <c r="K4928" s="40"/>
      <c r="Q4928" s="40">
        <v>40254</v>
      </c>
      <c r="R4928" s="39">
        <v>6024.28</v>
      </c>
      <c r="S4928" s="39">
        <f t="shared" si="481"/>
        <v>3</v>
      </c>
      <c r="T4928" s="39">
        <f t="shared" si="482"/>
        <v>0</v>
      </c>
      <c r="U4928" s="39">
        <f t="shared" si="483"/>
        <v>0</v>
      </c>
      <c r="V4928" s="40"/>
    </row>
    <row r="4929" spans="2:22" x14ac:dyDescent="0.35">
      <c r="B4929" s="40">
        <v>40255</v>
      </c>
      <c r="C4929" s="39">
        <v>6012.31</v>
      </c>
      <c r="D4929" s="219">
        <f t="shared" si="484"/>
        <v>-1.9889360601260614E-3</v>
      </c>
      <c r="F4929" s="40">
        <v>40255</v>
      </c>
      <c r="G4929" s="39">
        <v>6012.31</v>
      </c>
      <c r="H4929" s="39">
        <f t="shared" si="479"/>
        <v>4</v>
      </c>
      <c r="I4929" s="39">
        <f t="shared" si="480"/>
        <v>0</v>
      </c>
      <c r="K4929" s="40"/>
      <c r="Q4929" s="40">
        <v>40255</v>
      </c>
      <c r="R4929" s="39">
        <v>6012.31</v>
      </c>
      <c r="S4929" s="39">
        <f t="shared" si="481"/>
        <v>3</v>
      </c>
      <c r="T4929" s="39">
        <f t="shared" si="482"/>
        <v>0</v>
      </c>
      <c r="U4929" s="39">
        <f t="shared" si="483"/>
        <v>0</v>
      </c>
      <c r="V4929" s="40"/>
    </row>
    <row r="4930" spans="2:22" x14ac:dyDescent="0.35">
      <c r="B4930" s="40">
        <v>40256</v>
      </c>
      <c r="C4930" s="39">
        <v>5982.43</v>
      </c>
      <c r="D4930" s="219">
        <f t="shared" si="484"/>
        <v>-4.9821941630079211E-3</v>
      </c>
      <c r="F4930" s="40">
        <v>40256</v>
      </c>
      <c r="G4930" s="39">
        <v>5982.43</v>
      </c>
      <c r="H4930" s="39">
        <f t="shared" si="479"/>
        <v>5</v>
      </c>
      <c r="I4930" s="39">
        <f t="shared" si="480"/>
        <v>5982.43</v>
      </c>
      <c r="K4930" s="40"/>
      <c r="Q4930" s="40">
        <v>40256</v>
      </c>
      <c r="R4930" s="39">
        <v>5982.43</v>
      </c>
      <c r="S4930" s="39">
        <f t="shared" si="481"/>
        <v>3</v>
      </c>
      <c r="T4930" s="39">
        <f t="shared" si="482"/>
        <v>0</v>
      </c>
      <c r="U4930" s="39">
        <f t="shared" si="483"/>
        <v>0</v>
      </c>
      <c r="V4930" s="40"/>
    </row>
    <row r="4931" spans="2:22" x14ac:dyDescent="0.35">
      <c r="B4931" s="40">
        <v>40259</v>
      </c>
      <c r="C4931" s="39">
        <v>5987.5</v>
      </c>
      <c r="D4931" s="219">
        <f t="shared" si="484"/>
        <v>8.4712279907955639E-4</v>
      </c>
      <c r="F4931" s="40">
        <v>40259</v>
      </c>
      <c r="G4931" s="39">
        <v>5987.5</v>
      </c>
      <c r="H4931" s="39">
        <f t="shared" si="479"/>
        <v>1</v>
      </c>
      <c r="I4931" s="39">
        <f t="shared" si="480"/>
        <v>0</v>
      </c>
      <c r="K4931" s="40"/>
      <c r="Q4931" s="40">
        <v>40259</v>
      </c>
      <c r="R4931" s="39">
        <v>5987.5</v>
      </c>
      <c r="S4931" s="39">
        <f t="shared" si="481"/>
        <v>3</v>
      </c>
      <c r="T4931" s="39">
        <f t="shared" si="482"/>
        <v>0</v>
      </c>
      <c r="U4931" s="39">
        <f t="shared" si="483"/>
        <v>0</v>
      </c>
      <c r="V4931" s="40"/>
    </row>
    <row r="4932" spans="2:22" x14ac:dyDescent="0.35">
      <c r="B4932" s="40">
        <v>40260</v>
      </c>
      <c r="C4932" s="39">
        <v>6017.27</v>
      </c>
      <c r="D4932" s="219">
        <f t="shared" si="484"/>
        <v>4.9597053546537578E-3</v>
      </c>
      <c r="F4932" s="40">
        <v>40260</v>
      </c>
      <c r="G4932" s="39">
        <v>6017.27</v>
      </c>
      <c r="H4932" s="39">
        <f t="shared" si="479"/>
        <v>2</v>
      </c>
      <c r="I4932" s="39">
        <f t="shared" si="480"/>
        <v>0</v>
      </c>
      <c r="K4932" s="40"/>
      <c r="Q4932" s="40">
        <v>40260</v>
      </c>
      <c r="R4932" s="39">
        <v>6017.27</v>
      </c>
      <c r="S4932" s="39">
        <f t="shared" si="481"/>
        <v>3</v>
      </c>
      <c r="T4932" s="39">
        <f t="shared" si="482"/>
        <v>0</v>
      </c>
      <c r="U4932" s="39">
        <f t="shared" si="483"/>
        <v>0</v>
      </c>
      <c r="V4932" s="40"/>
    </row>
    <row r="4933" spans="2:22" x14ac:dyDescent="0.35">
      <c r="B4933" s="40">
        <v>40261</v>
      </c>
      <c r="C4933" s="39">
        <v>6039</v>
      </c>
      <c r="D4933" s="219">
        <f t="shared" si="484"/>
        <v>3.6047672340766943E-3</v>
      </c>
      <c r="F4933" s="40">
        <v>40261</v>
      </c>
      <c r="G4933" s="39">
        <v>6039</v>
      </c>
      <c r="H4933" s="39">
        <f t="shared" si="479"/>
        <v>3</v>
      </c>
      <c r="I4933" s="39">
        <f t="shared" si="480"/>
        <v>0</v>
      </c>
      <c r="K4933" s="40"/>
      <c r="Q4933" s="40">
        <v>40261</v>
      </c>
      <c r="R4933" s="39">
        <v>6039</v>
      </c>
      <c r="S4933" s="39">
        <f t="shared" si="481"/>
        <v>3</v>
      </c>
      <c r="T4933" s="39">
        <f t="shared" si="482"/>
        <v>0</v>
      </c>
      <c r="U4933" s="39">
        <f t="shared" si="483"/>
        <v>0</v>
      </c>
      <c r="V4933" s="40"/>
    </row>
    <row r="4934" spans="2:22" x14ac:dyDescent="0.35">
      <c r="B4934" s="40">
        <v>40262</v>
      </c>
      <c r="C4934" s="39">
        <v>6132.95</v>
      </c>
      <c r="D4934" s="219">
        <f t="shared" si="484"/>
        <v>1.543743866785963E-2</v>
      </c>
      <c r="F4934" s="40">
        <v>40262</v>
      </c>
      <c r="G4934" s="39">
        <v>6132.95</v>
      </c>
      <c r="H4934" s="39">
        <f t="shared" si="479"/>
        <v>4</v>
      </c>
      <c r="I4934" s="39">
        <f t="shared" si="480"/>
        <v>0</v>
      </c>
      <c r="K4934" s="40"/>
      <c r="Q4934" s="40">
        <v>40262</v>
      </c>
      <c r="R4934" s="39">
        <v>6132.95</v>
      </c>
      <c r="S4934" s="39">
        <f t="shared" si="481"/>
        <v>3</v>
      </c>
      <c r="T4934" s="39">
        <f t="shared" si="482"/>
        <v>0</v>
      </c>
      <c r="U4934" s="39">
        <f t="shared" si="483"/>
        <v>0</v>
      </c>
      <c r="V4934" s="40"/>
    </row>
    <row r="4935" spans="2:22" x14ac:dyDescent="0.35">
      <c r="B4935" s="40">
        <v>40263</v>
      </c>
      <c r="C4935" s="39">
        <v>6120.05</v>
      </c>
      <c r="D4935" s="219">
        <f t="shared" si="484"/>
        <v>-2.1056075681222669E-3</v>
      </c>
      <c r="F4935" s="40">
        <v>40263</v>
      </c>
      <c r="G4935" s="39">
        <v>6120.05</v>
      </c>
      <c r="H4935" s="39">
        <f t="shared" si="479"/>
        <v>5</v>
      </c>
      <c r="I4935" s="39">
        <f t="shared" si="480"/>
        <v>6120.05</v>
      </c>
      <c r="K4935" s="40"/>
      <c r="Q4935" s="40">
        <v>40263</v>
      </c>
      <c r="R4935" s="39">
        <v>6120.05</v>
      </c>
      <c r="S4935" s="39">
        <f t="shared" si="481"/>
        <v>3</v>
      </c>
      <c r="T4935" s="39">
        <f t="shared" si="482"/>
        <v>0</v>
      </c>
      <c r="U4935" s="39">
        <f t="shared" si="483"/>
        <v>0</v>
      </c>
      <c r="V4935" s="40"/>
    </row>
    <row r="4936" spans="2:22" x14ac:dyDescent="0.35">
      <c r="B4936" s="40">
        <v>40266</v>
      </c>
      <c r="C4936" s="39">
        <v>6156.85</v>
      </c>
      <c r="D4936" s="219">
        <f t="shared" si="484"/>
        <v>5.995016692589371E-3</v>
      </c>
      <c r="F4936" s="40">
        <v>40266</v>
      </c>
      <c r="G4936" s="39">
        <v>6156.85</v>
      </c>
      <c r="H4936" s="39">
        <f t="shared" si="479"/>
        <v>1</v>
      </c>
      <c r="I4936" s="39">
        <f t="shared" si="480"/>
        <v>0</v>
      </c>
      <c r="K4936" s="40"/>
      <c r="Q4936" s="40">
        <v>40266</v>
      </c>
      <c r="R4936" s="39">
        <v>6156.85</v>
      </c>
      <c r="S4936" s="39">
        <f t="shared" si="481"/>
        <v>3</v>
      </c>
      <c r="T4936" s="39">
        <f t="shared" si="482"/>
        <v>0</v>
      </c>
      <c r="U4936" s="39">
        <f t="shared" si="483"/>
        <v>0</v>
      </c>
      <c r="V4936" s="40"/>
    </row>
    <row r="4937" spans="2:22" x14ac:dyDescent="0.35">
      <c r="B4937" s="40">
        <v>40267</v>
      </c>
      <c r="C4937" s="39">
        <v>6142.45</v>
      </c>
      <c r="D4937" s="219">
        <f t="shared" si="484"/>
        <v>-2.3415977461637544E-3</v>
      </c>
      <c r="F4937" s="40">
        <v>40267</v>
      </c>
      <c r="G4937" s="39">
        <v>6142.45</v>
      </c>
      <c r="H4937" s="39">
        <f t="shared" si="479"/>
        <v>2</v>
      </c>
      <c r="I4937" s="39">
        <f t="shared" si="480"/>
        <v>0</v>
      </c>
      <c r="K4937" s="40"/>
      <c r="Q4937" s="40">
        <v>40267</v>
      </c>
      <c r="R4937" s="39">
        <v>6142.45</v>
      </c>
      <c r="S4937" s="39">
        <f t="shared" si="481"/>
        <v>3</v>
      </c>
      <c r="T4937" s="39">
        <f t="shared" si="482"/>
        <v>0</v>
      </c>
      <c r="U4937" s="39">
        <f t="shared" si="483"/>
        <v>0</v>
      </c>
      <c r="V4937" s="40"/>
    </row>
    <row r="4938" spans="2:22" x14ac:dyDescent="0.35">
      <c r="B4938" s="40">
        <v>40268</v>
      </c>
      <c r="C4938" s="39">
        <v>6153.55</v>
      </c>
      <c r="D4938" s="219">
        <f t="shared" si="484"/>
        <v>1.8054656823728434E-3</v>
      </c>
      <c r="F4938" s="40">
        <v>40268</v>
      </c>
      <c r="G4938" s="39">
        <v>6153.55</v>
      </c>
      <c r="H4938" s="39">
        <f t="shared" si="479"/>
        <v>3</v>
      </c>
      <c r="I4938" s="39">
        <f t="shared" si="480"/>
        <v>0</v>
      </c>
      <c r="K4938" s="40"/>
      <c r="Q4938" s="40">
        <v>40268</v>
      </c>
      <c r="R4938" s="39">
        <v>6153.55</v>
      </c>
      <c r="S4938" s="39">
        <f t="shared" si="481"/>
        <v>3</v>
      </c>
      <c r="T4938" s="39">
        <f t="shared" si="482"/>
        <v>6153.55</v>
      </c>
      <c r="U4938" s="39">
        <f t="shared" si="483"/>
        <v>6153.55</v>
      </c>
      <c r="V4938" s="40"/>
    </row>
    <row r="4939" spans="2:22" x14ac:dyDescent="0.35">
      <c r="B4939" s="40">
        <v>40269</v>
      </c>
      <c r="C4939" s="39">
        <v>6235.56</v>
      </c>
      <c r="D4939" s="219">
        <f t="shared" si="484"/>
        <v>1.3239239601861904E-2</v>
      </c>
      <c r="F4939" s="40">
        <v>40269</v>
      </c>
      <c r="G4939" s="39">
        <v>6235.56</v>
      </c>
      <c r="H4939" s="39">
        <f t="shared" si="479"/>
        <v>4</v>
      </c>
      <c r="I4939" s="39">
        <f t="shared" si="480"/>
        <v>6235.56</v>
      </c>
      <c r="K4939" s="40"/>
      <c r="Q4939" s="40">
        <v>40269</v>
      </c>
      <c r="R4939" s="39">
        <v>6235.56</v>
      </c>
      <c r="S4939" s="39">
        <f t="shared" si="481"/>
        <v>4</v>
      </c>
      <c r="T4939" s="39">
        <f t="shared" si="482"/>
        <v>0</v>
      </c>
      <c r="U4939" s="39">
        <f t="shared" si="483"/>
        <v>0</v>
      </c>
      <c r="V4939" s="40"/>
    </row>
    <row r="4940" spans="2:22" x14ac:dyDescent="0.35">
      <c r="B4940" s="40">
        <v>40273</v>
      </c>
      <c r="C4940" s="39">
        <v>6235.56</v>
      </c>
      <c r="D4940" s="219">
        <f t="shared" si="484"/>
        <v>0</v>
      </c>
      <c r="F4940" s="40">
        <v>40273</v>
      </c>
      <c r="G4940" s="39">
        <v>6235.56</v>
      </c>
      <c r="H4940" s="39">
        <f t="shared" si="479"/>
        <v>1</v>
      </c>
      <c r="I4940" s="39">
        <f t="shared" si="480"/>
        <v>0</v>
      </c>
      <c r="K4940" s="40"/>
      <c r="Q4940" s="40">
        <v>40273</v>
      </c>
      <c r="R4940" s="39">
        <v>6235.56</v>
      </c>
      <c r="S4940" s="39">
        <f t="shared" si="481"/>
        <v>4</v>
      </c>
      <c r="T4940" s="39">
        <f t="shared" si="482"/>
        <v>0</v>
      </c>
      <c r="U4940" s="39">
        <f t="shared" si="483"/>
        <v>0</v>
      </c>
      <c r="V4940" s="40"/>
    </row>
    <row r="4941" spans="2:22" x14ac:dyDescent="0.35">
      <c r="B4941" s="40">
        <v>40274</v>
      </c>
      <c r="C4941" s="39">
        <v>6252.21</v>
      </c>
      <c r="D4941" s="219">
        <f t="shared" si="484"/>
        <v>2.6666105904016406E-3</v>
      </c>
      <c r="F4941" s="40">
        <v>40274</v>
      </c>
      <c r="G4941" s="39">
        <v>6252.21</v>
      </c>
      <c r="H4941" s="39">
        <f t="shared" si="479"/>
        <v>2</v>
      </c>
      <c r="I4941" s="39">
        <f t="shared" si="480"/>
        <v>0</v>
      </c>
      <c r="K4941" s="40"/>
      <c r="Q4941" s="40">
        <v>40274</v>
      </c>
      <c r="R4941" s="39">
        <v>6252.21</v>
      </c>
      <c r="S4941" s="39">
        <f t="shared" si="481"/>
        <v>4</v>
      </c>
      <c r="T4941" s="39">
        <f t="shared" si="482"/>
        <v>0</v>
      </c>
      <c r="U4941" s="39">
        <f t="shared" si="483"/>
        <v>0</v>
      </c>
      <c r="V4941" s="40"/>
    </row>
    <row r="4942" spans="2:22" x14ac:dyDescent="0.35">
      <c r="B4942" s="40">
        <v>40275</v>
      </c>
      <c r="C4942" s="39">
        <v>6222.41</v>
      </c>
      <c r="D4942" s="219">
        <f t="shared" si="484"/>
        <v>-4.7777097315689241E-3</v>
      </c>
      <c r="F4942" s="40">
        <v>40275</v>
      </c>
      <c r="G4942" s="39">
        <v>6222.41</v>
      </c>
      <c r="H4942" s="39">
        <f t="shared" si="479"/>
        <v>3</v>
      </c>
      <c r="I4942" s="39">
        <f t="shared" si="480"/>
        <v>0</v>
      </c>
      <c r="K4942" s="40"/>
      <c r="Q4942" s="40">
        <v>40275</v>
      </c>
      <c r="R4942" s="39">
        <v>6222.41</v>
      </c>
      <c r="S4942" s="39">
        <f t="shared" si="481"/>
        <v>4</v>
      </c>
      <c r="T4942" s="39">
        <f t="shared" si="482"/>
        <v>0</v>
      </c>
      <c r="U4942" s="39">
        <f t="shared" si="483"/>
        <v>0</v>
      </c>
      <c r="V4942" s="40"/>
    </row>
    <row r="4943" spans="2:22" x14ac:dyDescent="0.35">
      <c r="B4943" s="40">
        <v>40276</v>
      </c>
      <c r="C4943" s="39">
        <v>6171.83</v>
      </c>
      <c r="D4943" s="219">
        <f t="shared" si="484"/>
        <v>-8.1619011393654767E-3</v>
      </c>
      <c r="F4943" s="40">
        <v>40276</v>
      </c>
      <c r="G4943" s="39">
        <v>6171.83</v>
      </c>
      <c r="H4943" s="39">
        <f t="shared" si="479"/>
        <v>4</v>
      </c>
      <c r="I4943" s="39">
        <f t="shared" si="480"/>
        <v>0</v>
      </c>
      <c r="K4943" s="40"/>
      <c r="Q4943" s="40">
        <v>40276</v>
      </c>
      <c r="R4943" s="39">
        <v>6171.83</v>
      </c>
      <c r="S4943" s="39">
        <f t="shared" si="481"/>
        <v>4</v>
      </c>
      <c r="T4943" s="39">
        <f t="shared" si="482"/>
        <v>0</v>
      </c>
      <c r="U4943" s="39">
        <f t="shared" si="483"/>
        <v>0</v>
      </c>
      <c r="V4943" s="40"/>
    </row>
    <row r="4944" spans="2:22" x14ac:dyDescent="0.35">
      <c r="B4944" s="40">
        <v>40277</v>
      </c>
      <c r="C4944" s="39">
        <v>6249.7</v>
      </c>
      <c r="D4944" s="219">
        <f t="shared" si="484"/>
        <v>1.2538072220644188E-2</v>
      </c>
      <c r="F4944" s="40">
        <v>40277</v>
      </c>
      <c r="G4944" s="39">
        <v>6249.7</v>
      </c>
      <c r="H4944" s="39">
        <f t="shared" si="479"/>
        <v>5</v>
      </c>
      <c r="I4944" s="39">
        <f t="shared" si="480"/>
        <v>6249.7</v>
      </c>
      <c r="K4944" s="40"/>
      <c r="Q4944" s="40">
        <v>40277</v>
      </c>
      <c r="R4944" s="39">
        <v>6249.7</v>
      </c>
      <c r="S4944" s="39">
        <f t="shared" si="481"/>
        <v>4</v>
      </c>
      <c r="T4944" s="39">
        <f t="shared" si="482"/>
        <v>0</v>
      </c>
      <c r="U4944" s="39">
        <f t="shared" si="483"/>
        <v>0</v>
      </c>
      <c r="V4944" s="40"/>
    </row>
    <row r="4945" spans="2:22" x14ac:dyDescent="0.35">
      <c r="B4945" s="40">
        <v>40280</v>
      </c>
      <c r="C4945" s="39">
        <v>6250.69</v>
      </c>
      <c r="D4945" s="219">
        <f t="shared" si="484"/>
        <v>1.5839505840538418E-4</v>
      </c>
      <c r="F4945" s="40">
        <v>40280</v>
      </c>
      <c r="G4945" s="39">
        <v>6250.69</v>
      </c>
      <c r="H4945" s="39">
        <f t="shared" si="479"/>
        <v>1</v>
      </c>
      <c r="I4945" s="39">
        <f t="shared" si="480"/>
        <v>0</v>
      </c>
      <c r="K4945" s="40"/>
      <c r="Q4945" s="40">
        <v>40280</v>
      </c>
      <c r="R4945" s="39">
        <v>6250.69</v>
      </c>
      <c r="S4945" s="39">
        <f t="shared" si="481"/>
        <v>4</v>
      </c>
      <c r="T4945" s="39">
        <f t="shared" si="482"/>
        <v>0</v>
      </c>
      <c r="U4945" s="39">
        <f t="shared" si="483"/>
        <v>0</v>
      </c>
      <c r="V4945" s="40"/>
    </row>
    <row r="4946" spans="2:22" x14ac:dyDescent="0.35">
      <c r="B4946" s="40">
        <v>40281</v>
      </c>
      <c r="C4946" s="39">
        <v>6230.83</v>
      </c>
      <c r="D4946" s="219">
        <f t="shared" si="484"/>
        <v>-3.1823074049177709E-3</v>
      </c>
      <c r="F4946" s="40">
        <v>40281</v>
      </c>
      <c r="G4946" s="39">
        <v>6230.83</v>
      </c>
      <c r="H4946" s="39">
        <f t="shared" si="479"/>
        <v>2</v>
      </c>
      <c r="I4946" s="39">
        <f t="shared" si="480"/>
        <v>0</v>
      </c>
      <c r="K4946" s="40"/>
      <c r="Q4946" s="40">
        <v>40281</v>
      </c>
      <c r="R4946" s="39">
        <v>6230.83</v>
      </c>
      <c r="S4946" s="39">
        <f t="shared" si="481"/>
        <v>4</v>
      </c>
      <c r="T4946" s="39">
        <f t="shared" si="482"/>
        <v>0</v>
      </c>
      <c r="U4946" s="39">
        <f t="shared" si="483"/>
        <v>0</v>
      </c>
      <c r="V4946" s="40"/>
    </row>
    <row r="4947" spans="2:22" x14ac:dyDescent="0.35">
      <c r="B4947" s="40">
        <v>40282</v>
      </c>
      <c r="C4947" s="39">
        <v>6278.4</v>
      </c>
      <c r="D4947" s="219">
        <f t="shared" si="484"/>
        <v>7.6056206990914787E-3</v>
      </c>
      <c r="F4947" s="40">
        <v>40282</v>
      </c>
      <c r="G4947" s="39">
        <v>6278.4</v>
      </c>
      <c r="H4947" s="39">
        <f t="shared" si="479"/>
        <v>3</v>
      </c>
      <c r="I4947" s="39">
        <f t="shared" si="480"/>
        <v>0</v>
      </c>
      <c r="K4947" s="40"/>
      <c r="Q4947" s="40">
        <v>40282</v>
      </c>
      <c r="R4947" s="39">
        <v>6278.4</v>
      </c>
      <c r="S4947" s="39">
        <f t="shared" si="481"/>
        <v>4</v>
      </c>
      <c r="T4947" s="39">
        <f t="shared" si="482"/>
        <v>0</v>
      </c>
      <c r="U4947" s="39">
        <f t="shared" si="483"/>
        <v>0</v>
      </c>
      <c r="V4947" s="40"/>
    </row>
    <row r="4948" spans="2:22" x14ac:dyDescent="0.35">
      <c r="B4948" s="40">
        <v>40283</v>
      </c>
      <c r="C4948" s="39">
        <v>6291.45</v>
      </c>
      <c r="D4948" s="219">
        <f t="shared" si="484"/>
        <v>2.0763978390636786E-3</v>
      </c>
      <c r="F4948" s="40">
        <v>40283</v>
      </c>
      <c r="G4948" s="39">
        <v>6291.45</v>
      </c>
      <c r="H4948" s="39">
        <f t="shared" si="479"/>
        <v>4</v>
      </c>
      <c r="I4948" s="39">
        <f t="shared" si="480"/>
        <v>0</v>
      </c>
      <c r="K4948" s="40"/>
      <c r="Q4948" s="40">
        <v>40283</v>
      </c>
      <c r="R4948" s="39">
        <v>6291.45</v>
      </c>
      <c r="S4948" s="39">
        <f t="shared" si="481"/>
        <v>4</v>
      </c>
      <c r="T4948" s="39">
        <f t="shared" si="482"/>
        <v>0</v>
      </c>
      <c r="U4948" s="39">
        <f t="shared" si="483"/>
        <v>0</v>
      </c>
      <c r="V4948" s="40"/>
    </row>
    <row r="4949" spans="2:22" x14ac:dyDescent="0.35">
      <c r="B4949" s="40">
        <v>40284</v>
      </c>
      <c r="C4949" s="39">
        <v>6180.9</v>
      </c>
      <c r="D4949" s="219">
        <f t="shared" si="484"/>
        <v>-1.7727676853529925E-2</v>
      </c>
      <c r="F4949" s="40">
        <v>40284</v>
      </c>
      <c r="G4949" s="39">
        <v>6180.9</v>
      </c>
      <c r="H4949" s="39">
        <f t="shared" si="479"/>
        <v>5</v>
      </c>
      <c r="I4949" s="39">
        <f t="shared" si="480"/>
        <v>6180.9</v>
      </c>
      <c r="K4949" s="40"/>
      <c r="Q4949" s="40">
        <v>40284</v>
      </c>
      <c r="R4949" s="39">
        <v>6180.9</v>
      </c>
      <c r="S4949" s="39">
        <f t="shared" si="481"/>
        <v>4</v>
      </c>
      <c r="T4949" s="39">
        <f t="shared" si="482"/>
        <v>0</v>
      </c>
      <c r="U4949" s="39">
        <f t="shared" si="483"/>
        <v>0</v>
      </c>
      <c r="V4949" s="40"/>
    </row>
    <row r="4950" spans="2:22" x14ac:dyDescent="0.35">
      <c r="B4950" s="40">
        <v>40287</v>
      </c>
      <c r="C4950" s="39">
        <v>6162.44</v>
      </c>
      <c r="D4950" s="219">
        <f t="shared" si="484"/>
        <v>-2.9910889212921097E-3</v>
      </c>
      <c r="F4950" s="40">
        <v>40287</v>
      </c>
      <c r="G4950" s="39">
        <v>6162.44</v>
      </c>
      <c r="H4950" s="39">
        <f t="shared" si="479"/>
        <v>1</v>
      </c>
      <c r="I4950" s="39">
        <f t="shared" si="480"/>
        <v>0</v>
      </c>
      <c r="K4950" s="40"/>
      <c r="Q4950" s="40">
        <v>40287</v>
      </c>
      <c r="R4950" s="39">
        <v>6162.44</v>
      </c>
      <c r="S4950" s="39">
        <f t="shared" si="481"/>
        <v>4</v>
      </c>
      <c r="T4950" s="39">
        <f t="shared" si="482"/>
        <v>0</v>
      </c>
      <c r="U4950" s="39">
        <f t="shared" si="483"/>
        <v>0</v>
      </c>
      <c r="V4950" s="40"/>
    </row>
    <row r="4951" spans="2:22" x14ac:dyDescent="0.35">
      <c r="B4951" s="40">
        <v>40288</v>
      </c>
      <c r="C4951" s="39">
        <v>6264.23</v>
      </c>
      <c r="D4951" s="219">
        <f t="shared" si="484"/>
        <v>1.6382872753562882E-2</v>
      </c>
      <c r="F4951" s="40">
        <v>40288</v>
      </c>
      <c r="G4951" s="39">
        <v>6264.23</v>
      </c>
      <c r="H4951" s="39">
        <f t="shared" si="479"/>
        <v>2</v>
      </c>
      <c r="I4951" s="39">
        <f t="shared" si="480"/>
        <v>0</v>
      </c>
      <c r="K4951" s="40"/>
      <c r="Q4951" s="40">
        <v>40288</v>
      </c>
      <c r="R4951" s="39">
        <v>6264.23</v>
      </c>
      <c r="S4951" s="39">
        <f t="shared" si="481"/>
        <v>4</v>
      </c>
      <c r="T4951" s="39">
        <f t="shared" si="482"/>
        <v>0</v>
      </c>
      <c r="U4951" s="39">
        <f t="shared" si="483"/>
        <v>0</v>
      </c>
      <c r="V4951" s="40"/>
    </row>
    <row r="4952" spans="2:22" x14ac:dyDescent="0.35">
      <c r="B4952" s="40">
        <v>40289</v>
      </c>
      <c r="C4952" s="39">
        <v>6230.38</v>
      </c>
      <c r="D4952" s="219">
        <f t="shared" si="484"/>
        <v>-5.4183496428348663E-3</v>
      </c>
      <c r="F4952" s="40">
        <v>40289</v>
      </c>
      <c r="G4952" s="39">
        <v>6230.38</v>
      </c>
      <c r="H4952" s="39">
        <f t="shared" si="479"/>
        <v>3</v>
      </c>
      <c r="I4952" s="39">
        <f t="shared" si="480"/>
        <v>0</v>
      </c>
      <c r="K4952" s="40"/>
      <c r="Q4952" s="40">
        <v>40289</v>
      </c>
      <c r="R4952" s="39">
        <v>6230.38</v>
      </c>
      <c r="S4952" s="39">
        <f t="shared" si="481"/>
        <v>4</v>
      </c>
      <c r="T4952" s="39">
        <f t="shared" si="482"/>
        <v>0</v>
      </c>
      <c r="U4952" s="39">
        <f t="shared" si="483"/>
        <v>0</v>
      </c>
      <c r="V4952" s="40"/>
    </row>
    <row r="4953" spans="2:22" x14ac:dyDescent="0.35">
      <c r="B4953" s="40">
        <v>40290</v>
      </c>
      <c r="C4953" s="39">
        <v>6168.72</v>
      </c>
      <c r="D4953" s="219">
        <f t="shared" si="484"/>
        <v>-9.9459651578771915E-3</v>
      </c>
      <c r="F4953" s="40">
        <v>40290</v>
      </c>
      <c r="G4953" s="39">
        <v>6168.72</v>
      </c>
      <c r="H4953" s="39">
        <f t="shared" si="479"/>
        <v>4</v>
      </c>
      <c r="I4953" s="39">
        <f t="shared" si="480"/>
        <v>0</v>
      </c>
      <c r="K4953" s="40"/>
      <c r="Q4953" s="40">
        <v>40290</v>
      </c>
      <c r="R4953" s="39">
        <v>6168.72</v>
      </c>
      <c r="S4953" s="39">
        <f t="shared" si="481"/>
        <v>4</v>
      </c>
      <c r="T4953" s="39">
        <f t="shared" si="482"/>
        <v>0</v>
      </c>
      <c r="U4953" s="39">
        <f t="shared" si="483"/>
        <v>0</v>
      </c>
      <c r="V4953" s="40"/>
    </row>
    <row r="4954" spans="2:22" x14ac:dyDescent="0.35">
      <c r="B4954" s="40">
        <v>40291</v>
      </c>
      <c r="C4954" s="39">
        <v>6259.53</v>
      </c>
      <c r="D4954" s="219">
        <f t="shared" si="484"/>
        <v>1.4613741455223175E-2</v>
      </c>
      <c r="F4954" s="40">
        <v>40291</v>
      </c>
      <c r="G4954" s="39">
        <v>6259.53</v>
      </c>
      <c r="H4954" s="39">
        <f t="shared" si="479"/>
        <v>5</v>
      </c>
      <c r="I4954" s="39">
        <f t="shared" si="480"/>
        <v>6259.53</v>
      </c>
      <c r="K4954" s="40"/>
      <c r="Q4954" s="40">
        <v>40291</v>
      </c>
      <c r="R4954" s="39">
        <v>6259.53</v>
      </c>
      <c r="S4954" s="39">
        <f t="shared" si="481"/>
        <v>4</v>
      </c>
      <c r="T4954" s="39">
        <f t="shared" si="482"/>
        <v>0</v>
      </c>
      <c r="U4954" s="39">
        <f t="shared" si="483"/>
        <v>0</v>
      </c>
      <c r="V4954" s="40"/>
    </row>
    <row r="4955" spans="2:22" x14ac:dyDescent="0.35">
      <c r="B4955" s="40">
        <v>40294</v>
      </c>
      <c r="C4955" s="39">
        <v>6332.1</v>
      </c>
      <c r="D4955" s="219">
        <f t="shared" si="484"/>
        <v>1.1526832271376748E-2</v>
      </c>
      <c r="F4955" s="40">
        <v>40294</v>
      </c>
      <c r="G4955" s="39">
        <v>6332.1</v>
      </c>
      <c r="H4955" s="39">
        <f t="shared" si="479"/>
        <v>1</v>
      </c>
      <c r="I4955" s="39">
        <f t="shared" si="480"/>
        <v>6332.1</v>
      </c>
      <c r="K4955" s="40"/>
      <c r="Q4955" s="40">
        <v>40294</v>
      </c>
      <c r="R4955" s="39">
        <v>6332.1</v>
      </c>
      <c r="S4955" s="39">
        <f t="shared" si="481"/>
        <v>4</v>
      </c>
      <c r="T4955" s="39">
        <f t="shared" si="482"/>
        <v>6332.1</v>
      </c>
      <c r="U4955" s="39">
        <f>IF(S4956=S4955,0,R4955)</f>
        <v>6332.1</v>
      </c>
      <c r="V4955" s="40"/>
    </row>
  </sheetData>
  <sortState xmlns:xlrd2="http://schemas.microsoft.com/office/spreadsheetml/2017/richdata2" ref="Z22:Z41">
    <sortCondition ref="Z21"/>
  </sortState>
  <dataConsolidate/>
  <mergeCells count="18">
    <mergeCell ref="C21:D21"/>
    <mergeCell ref="C27:E27"/>
    <mergeCell ref="B6:J6"/>
    <mergeCell ref="B9:J9"/>
    <mergeCell ref="B10:J10"/>
    <mergeCell ref="B14:J14"/>
    <mergeCell ref="B16:J16"/>
    <mergeCell ref="B18:J18"/>
    <mergeCell ref="C22:D22"/>
    <mergeCell ref="C23:D23"/>
    <mergeCell ref="C24:D24"/>
    <mergeCell ref="Z19:AB19"/>
    <mergeCell ref="F51:I51"/>
    <mergeCell ref="K50:N50"/>
    <mergeCell ref="K51:N51"/>
    <mergeCell ref="Q51:T51"/>
    <mergeCell ref="L19:N19"/>
    <mergeCell ref="S19:U19"/>
  </mergeCells>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3</vt:i4>
      </vt:variant>
    </vt:vector>
  </HeadingPairs>
  <TitlesOfParts>
    <vt:vector size="10" baseType="lpstr">
      <vt:lpstr>Überblick</vt:lpstr>
      <vt:lpstr>Summewenn &amp; Zählenwenn</vt:lpstr>
      <vt:lpstr>Div. Funktionen</vt:lpstr>
      <vt:lpstr>Aufgabe1</vt:lpstr>
      <vt:lpstr>Aufgabe2</vt:lpstr>
      <vt:lpstr>Aufgabe3</vt:lpstr>
      <vt:lpstr>Aufgabe 4</vt:lpstr>
      <vt:lpstr>knie</vt:lpstr>
      <vt:lpstr>schmerz?</vt:lpstr>
      <vt:lpstr>tag</vt:lpstr>
    </vt:vector>
  </TitlesOfParts>
  <Company>Universitaet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Philipp Hofer</cp:lastModifiedBy>
  <dcterms:created xsi:type="dcterms:W3CDTF">2007-04-17T13:05:51Z</dcterms:created>
  <dcterms:modified xsi:type="dcterms:W3CDTF">2026-05-14T13:17:27Z</dcterms:modified>
</cp:coreProperties>
</file>