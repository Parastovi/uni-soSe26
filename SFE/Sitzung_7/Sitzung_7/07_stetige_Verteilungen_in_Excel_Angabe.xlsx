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printerSettings/printerSettings1.bin" ContentType="application/vnd.openxmlformats-officedocument.spreadsheetml.printerSettings"/>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https://uniaugsburg-my.sharepoint.com/personal/lennart_droege_uni-a_de/Documents/Lehre/SFE/SS25/Vorlesung/Sitzung_7/"/>
    </mc:Choice>
  </mc:AlternateContent>
  <xr:revisionPtr revIDLastSave="1" documentId="13_ncr:1_{B3E47F89-28C6-45B3-A023-C318AD93266B}" xr6:coauthVersionLast="47" xr6:coauthVersionMax="47" xr10:uidLastSave="{8507F0E5-87AC-49E3-A728-45C87D493827}"/>
  <bookViews>
    <workbookView xWindow="-120" yWindow="-120" windowWidth="29040" windowHeight="17520" xr2:uid="{00000000-000D-0000-FFFF-FFFF00000000}"/>
  </bookViews>
  <sheets>
    <sheet name="Überblick" sheetId="5" r:id="rId1"/>
    <sheet name="f(x) vs. F(x)" sheetId="3" r:id="rId2"/>
    <sheet name="Fraktilswert" sheetId="4" r:id="rId3"/>
    <sheet name="X ~ N" sheetId="1" r:id="rId4"/>
    <sheet name="X ~ Exp" sheetId="2" r:id="rId5"/>
  </sheets>
  <definedNames>
    <definedName name="solver_adj" localSheetId="3" hidden="1">'X ~ N'!$C$30</definedName>
    <definedName name="solver_cvg" localSheetId="3" hidden="1">0.0001</definedName>
    <definedName name="solver_drv" localSheetId="3" hidden="1">1</definedName>
    <definedName name="solver_est" localSheetId="3" hidden="1">1</definedName>
    <definedName name="solver_itr" localSheetId="3" hidden="1">100</definedName>
    <definedName name="solver_lhs1" localSheetId="3" hidden="1">'X ~ N'!#REF!</definedName>
    <definedName name="solver_lin" localSheetId="3" hidden="1">2</definedName>
    <definedName name="solver_neg" localSheetId="3" hidden="1">2</definedName>
    <definedName name="solver_num" localSheetId="3" hidden="1">1</definedName>
    <definedName name="solver_nwt" localSheetId="3" hidden="1">1</definedName>
    <definedName name="solver_opt" localSheetId="3" hidden="1">'X ~ N'!$C$34</definedName>
    <definedName name="solver_pre" localSheetId="3" hidden="1">0.000001</definedName>
    <definedName name="solver_rel1" localSheetId="3" hidden="1">2</definedName>
    <definedName name="solver_rhs1" localSheetId="3" hidden="1">0.7</definedName>
    <definedName name="solver_scl" localSheetId="3" hidden="1">2</definedName>
    <definedName name="solver_sho" localSheetId="3" hidden="1">2</definedName>
    <definedName name="solver_tim" localSheetId="3" hidden="1">100</definedName>
    <definedName name="solver_tol" localSheetId="3" hidden="1">0.05</definedName>
    <definedName name="solver_typ" localSheetId="3" hidden="1">3</definedName>
    <definedName name="solver_val" localSheetId="3" hidden="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5" i="4" l="1"/>
  <c r="C56" i="4"/>
  <c r="C57" i="4"/>
  <c r="C58" i="4"/>
  <c r="C59" i="4"/>
  <c r="C60" i="4"/>
  <c r="C61"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14" i="4"/>
  <c r="C15" i="4"/>
  <c r="C16" i="4"/>
  <c r="C17" i="4"/>
  <c r="C18" i="4"/>
  <c r="C19" i="4"/>
  <c r="C20" i="4"/>
  <c r="C21" i="4"/>
  <c r="C22" i="4"/>
  <c r="C23" i="4"/>
  <c r="C24" i="4"/>
  <c r="C25" i="4"/>
  <c r="C26" i="4"/>
  <c r="C13" i="4"/>
  <c r="D12" i="3"/>
  <c r="D13" i="3"/>
  <c r="D14" i="3"/>
  <c r="D15" i="3"/>
  <c r="D16" i="3"/>
  <c r="D17" i="3"/>
  <c r="D18" i="3"/>
  <c r="D19" i="3"/>
  <c r="D20" i="3"/>
  <c r="D21" i="3"/>
  <c r="D22" i="3"/>
  <c r="D23" i="3"/>
  <c r="D24" i="3"/>
  <c r="D25" i="3"/>
  <c r="D26" i="3"/>
  <c r="D27" i="3"/>
  <c r="D28" i="3"/>
  <c r="D29" i="3"/>
  <c r="D30" i="3"/>
  <c r="D31" i="3"/>
  <c r="D32" i="3"/>
  <c r="D33" i="3"/>
  <c r="D34" i="3"/>
  <c r="D35" i="3"/>
  <c r="D11" i="3"/>
  <c r="C12" i="3"/>
  <c r="C13" i="3"/>
  <c r="C14" i="3"/>
  <c r="C15" i="3"/>
  <c r="C16" i="3"/>
  <c r="C17" i="3"/>
  <c r="C18" i="3"/>
  <c r="C19" i="3"/>
  <c r="C20" i="3"/>
  <c r="C21" i="3"/>
  <c r="C22" i="3"/>
  <c r="C23" i="3"/>
  <c r="C24" i="3"/>
  <c r="C25" i="3"/>
  <c r="C26" i="3"/>
  <c r="C27" i="3"/>
  <c r="C28" i="3"/>
  <c r="C29" i="3"/>
  <c r="C30" i="3"/>
  <c r="C31" i="3"/>
  <c r="C32" i="3"/>
  <c r="C33" i="3"/>
  <c r="C34" i="3"/>
  <c r="C35" i="3"/>
  <c r="C11" i="3"/>
  <c r="H72" i="2" l="1"/>
  <c r="H73" i="2"/>
  <c r="H74" i="2"/>
</calcChain>
</file>

<file path=xl/sharedStrings.xml><?xml version="1.0" encoding="utf-8"?>
<sst xmlns="http://schemas.openxmlformats.org/spreadsheetml/2006/main" count="141" uniqueCount="114">
  <si>
    <t>x</t>
  </si>
  <si>
    <t>Verteilungsfunktion F(x)</t>
  </si>
  <si>
    <t>Hinweis:</t>
  </si>
  <si>
    <t>f(x)</t>
  </si>
  <si>
    <t>F(x)</t>
  </si>
  <si>
    <t>e) Mit welcher Wahrscheinlichkeit ist x=200?</t>
  </si>
  <si>
    <t>d) größer als 240 an?</t>
  </si>
  <si>
    <t xml:space="preserve">F(c) = α </t>
  </si>
  <si>
    <t>c=</t>
  </si>
  <si>
    <t>z.B.: Sei c der 5%-Fraktilswert. Dann gilt: F(c) = 0,05</t>
  </si>
  <si>
    <t xml:space="preserve"> Interpretation: Für N(20;5)-vert. Zufallsvariablen X gilt: P(X&lt;13,59224..) =0,1 =10%.</t>
  </si>
  <si>
    <t>F(5)</t>
  </si>
  <si>
    <t>λ</t>
  </si>
  <si>
    <t>F(30)</t>
  </si>
  <si>
    <t>b) ...höchstens 2500 Stunden,</t>
  </si>
  <si>
    <t>a) ...höchstens 1000 Stunden,</t>
  </si>
  <si>
    <t>b) Mit welcher Wahrscheinlichkeit ist Y größer als 10?</t>
  </si>
  <si>
    <t>gerundet:</t>
  </si>
  <si>
    <t>gerundet</t>
  </si>
  <si>
    <t>N (4;2)</t>
  </si>
  <si>
    <t xml:space="preserve">f(x) </t>
  </si>
  <si>
    <t>Beispiel: X ist normalverteilt mit μ = 19 und σ = 3, dann ist z. B. das 50%-Fraktil 19.</t>
  </si>
  <si>
    <t>Mit welcher W'keit beträgt die Wartezeit (λ=0,077) …</t>
  </si>
  <si>
    <t>a) Bestimmen Sie die Werte der Dichte- und der Verteilungsfunktion an den Stellen y=0,2; y=2; y=5; y=10.</t>
  </si>
  <si>
    <t>Themen in dieser Datei</t>
  </si>
  <si>
    <t>Tabellenblätter in dieser Datei</t>
  </si>
  <si>
    <t>Überblick</t>
  </si>
  <si>
    <t>f(x) vs. F(x)</t>
  </si>
  <si>
    <t>stetige Verteilungen</t>
  </si>
  <si>
    <t>Unterschied zwischen Dichte- und Verteilungsfunktion</t>
  </si>
  <si>
    <t>Normalverteilung (X ~ N)</t>
  </si>
  <si>
    <t>Exponentialverteilung (X ~ Exp)</t>
  </si>
  <si>
    <t>Fraktilswert</t>
  </si>
  <si>
    <t>X ~ N</t>
  </si>
  <si>
    <t>X ~ Exp</t>
  </si>
  <si>
    <t>Dichte- und Verteilungsfunktion</t>
  </si>
  <si>
    <t>anhand der Normalverteilung</t>
  </si>
  <si>
    <t>Beispiel: X~N(2;0,33):</t>
  </si>
  <si>
    <t>somit gilt:</t>
  </si>
  <si>
    <t>Mittelwert</t>
  </si>
  <si>
    <t>Standardabweichung</t>
  </si>
  <si>
    <t>Dichte-
funktion</t>
  </si>
  <si>
    <t>Verteilungs-
funktion</t>
  </si>
  <si>
    <r>
      <t>Formal: F(x</t>
    </r>
    <r>
      <rPr>
        <vertAlign val="subscript"/>
        <sz val="12"/>
        <rFont val="Arial"/>
        <family val="2"/>
      </rPr>
      <t>α</t>
    </r>
    <r>
      <rPr>
        <sz val="12"/>
        <rFont val="Arial"/>
        <family val="2"/>
      </rPr>
      <t>) = P(X&lt;=x</t>
    </r>
    <r>
      <rPr>
        <vertAlign val="subscript"/>
        <sz val="12"/>
        <rFont val="Arial"/>
        <family val="2"/>
      </rPr>
      <t>α</t>
    </r>
    <r>
      <rPr>
        <sz val="12"/>
        <rFont val="Arial"/>
        <family val="2"/>
      </rPr>
      <t>) = α</t>
    </r>
  </si>
  <si>
    <r>
      <rPr>
        <b/>
        <u/>
        <sz val="16"/>
        <rFont val="Arial"/>
        <family val="2"/>
      </rPr>
      <t>Der α-Fraktilswert</t>
    </r>
    <r>
      <rPr>
        <b/>
        <sz val="16"/>
        <rFont val="Arial"/>
        <family val="2"/>
      </rPr>
      <t xml:space="preserve">   (kurz: α-Fraktil, x</t>
    </r>
    <r>
      <rPr>
        <b/>
        <vertAlign val="subscript"/>
        <sz val="16"/>
        <rFont val="Arial"/>
        <family val="2"/>
      </rPr>
      <t>α</t>
    </r>
    <r>
      <rPr>
        <b/>
        <sz val="16"/>
        <rFont val="Arial"/>
        <family val="2"/>
      </rPr>
      <t>)</t>
    </r>
  </si>
  <si>
    <t>Das α-Fraktil ist die Stelle der Dichtefunktion, an der gilt:
Flächeninhalt (zwischen Dichtefunktion und x-Achse) links des α-Fraktils ist gleich α.</t>
  </si>
  <si>
    <t>Man erhält das Fraktil mittels der Funktion NORM.INV(0,5;19;3).</t>
  </si>
  <si>
    <t>1. Grundlagen</t>
  </si>
  <si>
    <t>Aufbau und Abkürzung</t>
  </si>
  <si>
    <t>Anstelle von "falsch" kann beim letzten Argument auch "0" (oder gar nichts) angegeben werden.</t>
  </si>
  <si>
    <t xml:space="preserve">Anstelle von "wahr" kann beim letzten Argument auch "1" angegeben werden. </t>
  </si>
  <si>
    <t>2. Übungsaufgaben:</t>
  </si>
  <si>
    <t>Beispiel 1:</t>
  </si>
  <si>
    <t>Beispiel 2:</t>
  </si>
  <si>
    <t>Beispiel 3:</t>
  </si>
  <si>
    <t>Beispiel 4:</t>
  </si>
  <si>
    <t>Beispiel 5:</t>
  </si>
  <si>
    <t>Normalverteilung</t>
  </si>
  <si>
    <t>N(μ;σ) mit μ = Erwartungswert und σ = Standardabweichung.</t>
  </si>
  <si>
    <t>in Excel: Norm.Vert(x;Mittelwert;Standardabweichung;Kumuliert)</t>
  </si>
  <si>
    <r>
      <t xml:space="preserve">Beispiel: X ~ N(40;8)-verteilt, dann gilt für </t>
    </r>
    <r>
      <rPr>
        <b/>
        <sz val="12"/>
        <rFont val="Calibri"/>
        <family val="2"/>
      </rPr>
      <t>µ</t>
    </r>
    <r>
      <rPr>
        <b/>
        <sz val="12"/>
        <rFont val="Arial"/>
        <family val="2"/>
      </rPr>
      <t xml:space="preserve"> und </t>
    </r>
    <r>
      <rPr>
        <b/>
        <sz val="12"/>
        <rFont val="Calibri"/>
        <family val="2"/>
      </rPr>
      <t>σ</t>
    </r>
    <r>
      <rPr>
        <b/>
        <sz val="12"/>
        <rFont val="Arial"/>
        <family val="2"/>
      </rPr>
      <t>:</t>
    </r>
  </si>
  <si>
    <t>μ =</t>
  </si>
  <si>
    <t>σ =</t>
  </si>
  <si>
    <t>=Norm.Vert(37;40;8,4;falsch)</t>
  </si>
  <si>
    <t>=Norm.Vert(37;40;8,4;wahr)</t>
  </si>
  <si>
    <t>Die Standardisierung einer beliebigen Normalvert. (N(μ;σ)) auf die Standardnormalverteilung (N(0;1)) ist in Excel nicht notwendig - "außerhalb" von Excel ist sie aber zwingend erforderlich.</t>
  </si>
  <si>
    <r>
      <rPr>
        <b/>
        <sz val="12"/>
        <rFont val="Arial"/>
        <family val="2"/>
      </rPr>
      <t>Aufgabe:</t>
    </r>
    <r>
      <rPr>
        <sz val="12"/>
        <rFont val="Arial"/>
        <family val="2"/>
      </rPr>
      <t xml:space="preserve"> X sei N(30;7)-verteilt. Berechnen Sie die Werte der Dichtefunktion und der Verteilungsfunktion an den Stellen x=9, 16, 23, 30, 35 und 60.</t>
    </r>
  </si>
  <si>
    <r>
      <rPr>
        <b/>
        <sz val="12"/>
        <rFont val="Arial"/>
        <family val="2"/>
      </rPr>
      <t>Aufgabe:</t>
    </r>
    <r>
      <rPr>
        <sz val="12"/>
        <rFont val="Arial"/>
        <family val="2"/>
      </rPr>
      <t xml:space="preserve"> X sei N(200;38)-verteilt. Mit welcher Wahrscheinlichkeit nimmt X einen Wert…</t>
    </r>
  </si>
  <si>
    <t>a) kleiner als 150,</t>
  </si>
  <si>
    <t>b) kleiner als 240,</t>
  </si>
  <si>
    <t>c) zwischen 150 und 240,</t>
  </si>
  <si>
    <r>
      <rPr>
        <b/>
        <sz val="12"/>
        <rFont val="Arial"/>
        <family val="2"/>
      </rPr>
      <t>Aufgabe:</t>
    </r>
    <r>
      <rPr>
        <sz val="12"/>
        <rFont val="Arial"/>
        <family val="2"/>
      </rPr>
      <t xml:space="preserve"> Das Gewicht eines Hirschs sei (zur Jagdzeit) erfahrungsgemäß normalverteilt mit μ =350 kg und σ =80 kg. Mit welcher W'keit wiegt ein erlegter Hirsch…</t>
    </r>
  </si>
  <si>
    <t xml:space="preserve">a) zwischen 250 und 400 kg, </t>
  </si>
  <si>
    <t xml:space="preserve">b) mehr als 460 kg, </t>
  </si>
  <si>
    <t>c) weniger als 220 kg?</t>
  </si>
  <si>
    <r>
      <rPr>
        <b/>
        <sz val="12"/>
        <rFont val="Arial"/>
        <family val="2"/>
      </rPr>
      <t>Aufgabe:</t>
    </r>
    <r>
      <rPr>
        <sz val="12"/>
        <rFont val="Arial"/>
        <family val="2"/>
      </rPr>
      <t xml:space="preserve">  Y ist normalverteilt mit μ=40. Die Wahrscheinlichkeit, dass Y einen Wert kleiner als 50 annimmt, betrage (leicht gerundet) 70,07%. Mit welcher W'keit ist Y kleiner als 30?</t>
    </r>
  </si>
  <si>
    <r>
      <t xml:space="preserve">Für die Bestimmung von Fraktilswerten einer normalverteilten Zufallsvariable hält Excel die Funktion </t>
    </r>
    <r>
      <rPr>
        <b/>
        <sz val="12"/>
        <rFont val="Arial"/>
        <family val="2"/>
      </rPr>
      <t>NORM.INV()</t>
    </r>
    <r>
      <rPr>
        <sz val="12"/>
        <rFont val="Arial"/>
        <family val="2"/>
      </rPr>
      <t xml:space="preserve"> bereit (Die Funktion Norm.inv() ist (lediglich) die Umkehrfunktion zur Funktion Norm.vert()).</t>
    </r>
  </si>
  <si>
    <t>Beispiel: X~N(20;5)-vert. Gesucht ist c so, dass gilt P(X&lt;c) = 0,1 (=10%), also das 10%-Fraktil der N(20;5)-vert. Dieser Wert ist das Ergebnis von "Norm.inv(0,1;20;5)".</t>
  </si>
  <si>
    <r>
      <rPr>
        <b/>
        <sz val="12"/>
        <rFont val="Arial"/>
        <family val="2"/>
      </rPr>
      <t>Bemerkung:</t>
    </r>
    <r>
      <rPr>
        <sz val="12"/>
        <rFont val="Arial"/>
        <family val="2"/>
      </rPr>
      <t xml:space="preserve"> In vielen Anwendungen (insb. auch bei statistischen Signifikanztests (-&gt; Statistik II)) ist es notwendig, einen α-Fraktilswert c zu bestimmen. Dieser Wert erfüllt die Bedingung:</t>
    </r>
  </si>
  <si>
    <t>Aufgabe:</t>
  </si>
  <si>
    <t>X sei N(300;90)-verteilt. Bestimmen Sie</t>
  </si>
  <si>
    <t xml:space="preserve">b) das 50%-Fraktil und </t>
  </si>
  <si>
    <t xml:space="preserve">c) das 90%-Fraktil </t>
  </si>
  <si>
    <t>von X.</t>
  </si>
  <si>
    <t xml:space="preserve">a) das 20%-Fraktil, </t>
  </si>
  <si>
    <t>Exponentialverteilung</t>
  </si>
  <si>
    <r>
      <rPr>
        <b/>
        <sz val="12"/>
        <rFont val="Arial"/>
        <family val="2"/>
      </rPr>
      <t>Aufgabe:</t>
    </r>
    <r>
      <rPr>
        <sz val="12"/>
        <rFont val="Arial"/>
        <family val="2"/>
      </rPr>
      <t xml:space="preserve"> Die Zufallsvariable Y sei exponentialverteilt mit λ=0,2. </t>
    </r>
  </si>
  <si>
    <r>
      <rPr>
        <b/>
        <sz val="12"/>
        <rFont val="Arial"/>
        <family val="2"/>
      </rPr>
      <t>Aufgabe:</t>
    </r>
    <r>
      <rPr>
        <sz val="12"/>
        <rFont val="Arial"/>
        <family val="2"/>
      </rPr>
      <t xml:space="preserve"> Die (in Stunden gemessene) Lebensdauer eines bestimmten Typs von Glühbirnen sei exponentialverteilt mit λ=0,0005. Mit welcher Wahrscheinlichkeit "hält" eine Glühbirne...  </t>
    </r>
  </si>
  <si>
    <t>d) ...höchstens 6000 Stunden,</t>
  </si>
  <si>
    <t>e) ...länger als 800 Stunden,</t>
  </si>
  <si>
    <t>c) ...weniger als 2500 Stunden,</t>
  </si>
  <si>
    <t>f) ...höchstens 1400 Stunden, wenn sie bereits 400 Stunden "hielt"?</t>
  </si>
  <si>
    <t>g) ...zwischen 500 und 2400 Stunden?</t>
  </si>
  <si>
    <r>
      <rPr>
        <b/>
        <sz val="12"/>
        <rFont val="Arial"/>
        <family val="2"/>
      </rPr>
      <t>Aufgabe:</t>
    </r>
    <r>
      <rPr>
        <sz val="12"/>
        <rFont val="Arial"/>
        <family val="2"/>
      </rPr>
      <t xml:space="preserve"> Die Wartezeit (in Minuten) vor einer besetzten Telefonzelle sei eine exponentialvert. Zufallsvariable; ferner sei bekannt, dass sie in 90% der Fälle höchstens 30 min. beträgt. </t>
    </r>
  </si>
  <si>
    <t>a) Man bestimme λ so, dass gilt: F(30)=0,9. (Mit Zielwertsuche/Solver und λ=0,1 als Startwert). Anschließend ist das Ergebnis auf 3 Nachkommastellen zu runden.</t>
  </si>
  <si>
    <t>c) länger als 40 Min.,</t>
  </si>
  <si>
    <t>b) höchstens 20 Min.,</t>
  </si>
  <si>
    <t>d) zwischen 20 und 40 Min.</t>
  </si>
  <si>
    <t>e) Wie groß müßte λ sein, damit die Wartezeit in (rund) 90% der Fälle höchstens 5 min. beträgt? (Wähle als Startwert λ=1.)</t>
  </si>
  <si>
    <t>Exp(λ) mit λ = "Lambda"</t>
  </si>
  <si>
    <t xml:space="preserve">in Excel: EXPON.VERT(x;Lambda;kumuliert)   mit Lambda = λ </t>
  </si>
  <si>
    <t>Beispiel: X ~ E(0,3)-verteilt. Gesucht: Werte der Dichte- und Verteilungsfunktion von X an den Stellen x=1; x=2 ; x=6; x=9 sowie x=17,5.</t>
  </si>
  <si>
    <t>=Expon.Vert(1;0,3;falsch)</t>
  </si>
  <si>
    <t>=Expon.Vert(2;0,3;falsch)</t>
  </si>
  <si>
    <t>=Expon.Vert(6;0,3;falsch)</t>
  </si>
  <si>
    <t>=Expon.Vert(9;0,3;falsch)</t>
  </si>
  <si>
    <t>=Expon.Vert(17,5;0,3;falsch)</t>
  </si>
  <si>
    <t>=Expon.Vert(1;0,3;wahr)</t>
  </si>
  <si>
    <t>=Expon.Vert(2;0,3;wahr)</t>
  </si>
  <si>
    <t>=Expon.Vert(6;0,3;wahr)</t>
  </si>
  <si>
    <t>=Expon.Vert(9;0,3;wahr)</t>
  </si>
  <si>
    <t>=Expon.Vert(17,5;0,3;wahr)</t>
  </si>
  <si>
    <t>Dichtefunktion f(x)</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</si>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</sst>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000"/>
    <numFmt numFmtId="165" formatCode="0.0"/>
  </numFmts>
  <fonts count="32" x14ac:knownFonts="1">
    <font>
      <sz val="10"/>
      <name val="Arial"/>
    </font>
    <font>
      <sz val="10"/>
      <name val="Arial"/>
      <family val="2"/>
    </font>
    <font>
      <sz val="8"/>
      <name val="Arial"/>
      <family val="2"/>
    </font>
    <font>
      <sz val="10"/>
      <name val="Arial"/>
      <family val="2"/>
    </font>
    <font>
      <b/>
      <u/>
      <sz val="14"/>
      <name val="Arial"/>
      <family val="2"/>
    </font>
    <font>
      <sz val="12"/>
      <name val="Arial"/>
      <family val="2"/>
    </font>
    <font>
      <b/>
      <sz val="10"/>
      <name val="Arial"/>
      <family val="2"/>
    </font>
    <font>
      <b/>
      <sz val="12"/>
      <name val="Arial"/>
      <family val="2"/>
    </font>
    <font>
      <b/>
      <u/>
      <sz val="12"/>
      <name val="Arial"/>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b/>
      <u/>
      <sz val="16"/>
      <name val="Arial"/>
      <family val="2"/>
    </font>
    <font>
      <vertAlign val="subscript"/>
      <sz val="12"/>
      <name val="Arial"/>
      <family val="2"/>
    </font>
    <font>
      <b/>
      <sz val="14"/>
      <name val="Arial"/>
      <family val="2"/>
    </font>
    <font>
      <b/>
      <sz val="16"/>
      <name val="Arial"/>
      <family val="2"/>
    </font>
    <font>
      <b/>
      <vertAlign val="subscript"/>
      <sz val="16"/>
      <name val="Arial"/>
      <family val="2"/>
    </font>
    <font>
      <b/>
      <sz val="12"/>
      <name val="Calibri"/>
      <family val="2"/>
    </font>
    <font>
      <sz val="20"/>
      <name val="Times New Roman"/>
      <family val="1"/>
    </font>
  </fonts>
  <fills count="27">
    <fill>
      <patternFill patternType="none"/>
    </fill>
    <fill>
      <patternFill patternType="gray125"/>
    </fill>
    <fill>
      <patternFill patternType="solid">
        <fgColor indexed="45"/>
      </patternFill>
    </fill>
    <fill>
      <patternFill patternType="solid">
        <fgColor indexed="42"/>
      </patternFill>
    </fill>
    <fill>
      <patternFill patternType="solid">
        <fgColor indexed="47"/>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13"/>
        <bgColor indexed="64"/>
      </patternFill>
    </fill>
    <fill>
      <patternFill patternType="solid">
        <fgColor indexed="43"/>
        <bgColor indexed="64"/>
      </patternFill>
    </fill>
    <fill>
      <patternFill patternType="solid">
        <fgColor rgb="FFDCE6F1"/>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bgColor indexed="64"/>
      </patternFill>
    </fill>
  </fills>
  <borders count="45">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6">
    <xf numFmtId="0" fontId="0" fillId="0" borderId="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10" borderId="0" applyNumberFormat="0" applyBorder="0" applyAlignment="0" applyProtection="0"/>
    <xf numFmtId="0" fontId="10" fillId="11" borderId="1" applyNumberFormat="0" applyAlignment="0" applyProtection="0"/>
    <xf numFmtId="0" fontId="11" fillId="11" borderId="2" applyNumberFormat="0" applyAlignment="0" applyProtection="0"/>
    <xf numFmtId="0" fontId="12" fillId="4" borderId="2" applyNumberFormat="0" applyAlignment="0" applyProtection="0"/>
    <xf numFmtId="0" fontId="13" fillId="0" borderId="3" applyNumberFormat="0" applyFill="0" applyAlignment="0" applyProtection="0"/>
    <xf numFmtId="0" fontId="14" fillId="0" borderId="0" applyNumberFormat="0" applyFill="0" applyBorder="0" applyAlignment="0" applyProtection="0"/>
    <xf numFmtId="44" fontId="1" fillId="0" borderId="0" applyFont="0" applyFill="0" applyBorder="0" applyAlignment="0" applyProtection="0"/>
    <xf numFmtId="0" fontId="15" fillId="3" borderId="0" applyNumberFormat="0" applyBorder="0" applyAlignment="0" applyProtection="0"/>
    <xf numFmtId="0" fontId="16" fillId="12" borderId="0" applyNumberFormat="0" applyBorder="0" applyAlignment="0" applyProtection="0"/>
    <xf numFmtId="0" fontId="1" fillId="13" borderId="4" applyNumberFormat="0" applyFont="0" applyAlignment="0" applyProtection="0"/>
    <xf numFmtId="0" fontId="17" fillId="2" borderId="0" applyNumberFormat="0" applyBorder="0" applyAlignment="0" applyProtection="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0" borderId="0" applyNumberFormat="0" applyFill="0" applyBorder="0" applyAlignment="0" applyProtection="0"/>
    <xf numFmtId="0" fontId="24" fillId="14" borderId="9" applyNumberFormat="0" applyAlignment="0" applyProtection="0"/>
    <xf numFmtId="0" fontId="3" fillId="0" borderId="0"/>
  </cellStyleXfs>
  <cellXfs count="167">
    <xf numFmtId="0" fontId="0" fillId="0" borderId="0" xfId="0"/>
    <xf numFmtId="0" fontId="7" fillId="0" borderId="0" xfId="0" applyFont="1"/>
    <xf numFmtId="0" fontId="3" fillId="0" borderId="0" xfId="25"/>
    <xf numFmtId="0" fontId="4" fillId="17" borderId="18" xfId="25" applyFont="1" applyFill="1" applyBorder="1" applyAlignment="1">
      <alignment vertical="center"/>
    </xf>
    <xf numFmtId="0" fontId="3" fillId="17" borderId="19" xfId="25" applyFill="1" applyBorder="1"/>
    <xf numFmtId="0" fontId="3" fillId="17" borderId="20" xfId="25" applyFill="1" applyBorder="1"/>
    <xf numFmtId="0" fontId="25" fillId="18" borderId="21" xfId="25" applyFont="1" applyFill="1" applyBorder="1" applyAlignment="1">
      <alignment vertical="center"/>
    </xf>
    <xf numFmtId="0" fontId="3" fillId="18" borderId="0" xfId="25" applyFill="1"/>
    <xf numFmtId="0" fontId="3" fillId="18" borderId="22" xfId="25" applyFill="1" applyBorder="1"/>
    <xf numFmtId="0" fontId="7" fillId="18" borderId="21" xfId="25" applyFont="1" applyFill="1" applyBorder="1" applyAlignment="1">
      <alignment vertical="center"/>
    </xf>
    <xf numFmtId="0" fontId="5" fillId="18" borderId="0" xfId="25" applyFont="1" applyFill="1"/>
    <xf numFmtId="0" fontId="7" fillId="18" borderId="21" xfId="25" applyFont="1" applyFill="1" applyBorder="1"/>
    <xf numFmtId="0" fontId="6" fillId="18" borderId="21" xfId="25" applyFont="1" applyFill="1" applyBorder="1"/>
    <xf numFmtId="0" fontId="4" fillId="17" borderId="21" xfId="25" applyFont="1" applyFill="1" applyBorder="1" applyAlignment="1">
      <alignment vertical="center"/>
    </xf>
    <xf numFmtId="0" fontId="3" fillId="17" borderId="0" xfId="25" applyFill="1"/>
    <xf numFmtId="0" fontId="3" fillId="17" borderId="22" xfId="25" applyFill="1" applyBorder="1"/>
    <xf numFmtId="0" fontId="7" fillId="18" borderId="0" xfId="25" applyFont="1" applyFill="1" applyAlignment="1">
      <alignment vertical="center"/>
    </xf>
    <xf numFmtId="0" fontId="6" fillId="18" borderId="23" xfId="25" applyFont="1" applyFill="1" applyBorder="1"/>
    <xf numFmtId="0" fontId="7" fillId="18" borderId="24" xfId="25" applyFont="1" applyFill="1" applyBorder="1" applyAlignment="1">
      <alignment vertical="center"/>
    </xf>
    <xf numFmtId="0" fontId="3" fillId="18" borderId="24" xfId="25" applyFill="1" applyBorder="1"/>
    <xf numFmtId="0" fontId="3" fillId="18" borderId="25" xfId="25" applyFill="1" applyBorder="1"/>
    <xf numFmtId="0" fontId="5" fillId="0" borderId="0" xfId="0" applyFont="1"/>
    <xf numFmtId="0" fontId="25" fillId="19" borderId="0" xfId="0" applyFont="1" applyFill="1"/>
    <xf numFmtId="0" fontId="5" fillId="19" borderId="0" xfId="0" applyFont="1" applyFill="1"/>
    <xf numFmtId="0" fontId="5" fillId="20" borderId="30" xfId="0" applyFont="1" applyFill="1" applyBorder="1"/>
    <xf numFmtId="0" fontId="5" fillId="20" borderId="29" xfId="0" applyFont="1" applyFill="1" applyBorder="1"/>
    <xf numFmtId="164" fontId="5" fillId="0" borderId="34" xfId="0" applyNumberFormat="1" applyFont="1" applyBorder="1" applyAlignment="1">
      <alignment horizontal="center"/>
    </xf>
    <xf numFmtId="165" fontId="5" fillId="0" borderId="13" xfId="0" applyNumberFormat="1" applyFont="1" applyBorder="1" applyAlignment="1">
      <alignment horizontal="center"/>
    </xf>
    <xf numFmtId="164" fontId="5" fillId="0" borderId="14" xfId="0" applyNumberFormat="1" applyFont="1" applyBorder="1" applyAlignment="1">
      <alignment horizontal="center"/>
    </xf>
    <xf numFmtId="165" fontId="5" fillId="0" borderId="15" xfId="0" applyNumberFormat="1" applyFont="1" applyBorder="1" applyAlignment="1">
      <alignment horizontal="center"/>
    </xf>
    <xf numFmtId="164" fontId="5" fillId="0" borderId="36" xfId="0" applyNumberFormat="1" applyFont="1" applyBorder="1" applyAlignment="1">
      <alignment horizontal="center"/>
    </xf>
    <xf numFmtId="164" fontId="5" fillId="0" borderId="17" xfId="0" applyNumberFormat="1" applyFont="1" applyBorder="1" applyAlignment="1">
      <alignment horizontal="center"/>
    </xf>
    <xf numFmtId="0" fontId="7" fillId="0" borderId="31" xfId="0" applyFont="1" applyBorder="1" applyAlignment="1">
      <alignment horizontal="center"/>
    </xf>
    <xf numFmtId="0" fontId="7" fillId="21" borderId="31" xfId="0" applyFont="1" applyFill="1" applyBorder="1" applyAlignment="1">
      <alignment horizontal="center"/>
    </xf>
    <xf numFmtId="164" fontId="7" fillId="21" borderId="35" xfId="0" applyNumberFormat="1" applyFont="1" applyFill="1" applyBorder="1" applyAlignment="1">
      <alignment horizontal="center"/>
    </xf>
    <xf numFmtId="164" fontId="7" fillId="21" borderId="33" xfId="0" applyNumberFormat="1" applyFont="1" applyFill="1" applyBorder="1" applyAlignment="1">
      <alignment horizontal="center"/>
    </xf>
    <xf numFmtId="0" fontId="5" fillId="22" borderId="31" xfId="0" applyFont="1" applyFill="1" applyBorder="1" applyAlignment="1">
      <alignment horizontal="center" wrapText="1"/>
    </xf>
    <xf numFmtId="0" fontId="5" fillId="22" borderId="37" xfId="0" applyFont="1" applyFill="1" applyBorder="1" applyAlignment="1">
      <alignment horizontal="center" wrapText="1"/>
    </xf>
    <xf numFmtId="0" fontId="28" fillId="19" borderId="0" xfId="0" applyFont="1" applyFill="1"/>
    <xf numFmtId="0" fontId="5" fillId="0" borderId="18" xfId="0" applyFont="1" applyBorder="1"/>
    <xf numFmtId="0" fontId="5" fillId="0" borderId="21" xfId="0" applyFont="1" applyBorder="1"/>
    <xf numFmtId="0" fontId="5" fillId="0" borderId="23" xfId="0" applyFont="1" applyBorder="1"/>
    <xf numFmtId="0" fontId="5" fillId="0" borderId="26" xfId="0" applyFont="1" applyBorder="1"/>
    <xf numFmtId="0" fontId="5" fillId="0" borderId="34" xfId="0" applyFont="1" applyBorder="1"/>
    <xf numFmtId="0" fontId="5" fillId="0" borderId="28" xfId="0" applyFont="1" applyBorder="1"/>
    <xf numFmtId="0" fontId="7" fillId="0" borderId="29" xfId="0" applyFont="1" applyBorder="1" applyAlignment="1">
      <alignment horizontal="center"/>
    </xf>
    <xf numFmtId="0" fontId="7" fillId="21" borderId="29" xfId="0" applyFont="1" applyFill="1" applyBorder="1" applyAlignment="1">
      <alignment horizontal="center"/>
    </xf>
    <xf numFmtId="0" fontId="5" fillId="21" borderId="0" xfId="0" applyFont="1" applyFill="1"/>
    <xf numFmtId="0" fontId="7" fillId="21" borderId="0" xfId="0" applyFont="1" applyFill="1"/>
    <xf numFmtId="0" fontId="27" fillId="19" borderId="0" xfId="0" applyFont="1" applyFill="1"/>
    <xf numFmtId="0" fontId="7" fillId="19" borderId="10" xfId="0" applyFont="1" applyFill="1" applyBorder="1"/>
    <xf numFmtId="0" fontId="5" fillId="19" borderId="11" xfId="0" applyFont="1" applyFill="1" applyBorder="1"/>
    <xf numFmtId="0" fontId="5" fillId="19" borderId="12" xfId="0" applyFont="1" applyFill="1" applyBorder="1"/>
    <xf numFmtId="0" fontId="5" fillId="0" borderId="13" xfId="0" applyFont="1" applyBorder="1"/>
    <xf numFmtId="0" fontId="5" fillId="0" borderId="14" xfId="0" applyFont="1" applyBorder="1"/>
    <xf numFmtId="0" fontId="7" fillId="19" borderId="13" xfId="0" applyFont="1" applyFill="1" applyBorder="1"/>
    <xf numFmtId="0" fontId="5" fillId="19" borderId="14" xfId="0" applyFont="1" applyFill="1" applyBorder="1"/>
    <xf numFmtId="0" fontId="5" fillId="0" borderId="0" xfId="0" applyFont="1" applyAlignment="1">
      <alignment horizontal="right"/>
    </xf>
    <xf numFmtId="0" fontId="5" fillId="0" borderId="0" xfId="0" applyFont="1" applyAlignment="1">
      <alignment horizontal="left"/>
    </xf>
    <xf numFmtId="0" fontId="8" fillId="21" borderId="0" xfId="0" applyFont="1" applyFill="1" applyAlignment="1">
      <alignment horizontal="left"/>
    </xf>
    <xf numFmtId="0" fontId="8" fillId="21" borderId="0" xfId="0" applyFont="1" applyFill="1"/>
    <xf numFmtId="0" fontId="5" fillId="0" borderId="15" xfId="0" applyFont="1" applyBorder="1"/>
    <xf numFmtId="0" fontId="5" fillId="0" borderId="16" xfId="0" applyFont="1" applyBorder="1" applyAlignment="1">
      <alignment horizontal="right" vertical="center"/>
    </xf>
    <xf numFmtId="0" fontId="5" fillId="0" borderId="16" xfId="0" applyFont="1" applyBorder="1"/>
    <xf numFmtId="0" fontId="5" fillId="0" borderId="17" xfId="0" applyFont="1" applyBorder="1"/>
    <xf numFmtId="0" fontId="5" fillId="0" borderId="0" xfId="0" quotePrefix="1" applyFont="1"/>
    <xf numFmtId="0" fontId="7" fillId="23" borderId="10" xfId="0" quotePrefix="1" applyFont="1" applyFill="1" applyBorder="1"/>
    <xf numFmtId="0" fontId="7" fillId="23" borderId="11" xfId="0" applyFont="1" applyFill="1" applyBorder="1"/>
    <xf numFmtId="0" fontId="7" fillId="23" borderId="12" xfId="0" applyFont="1" applyFill="1" applyBorder="1"/>
    <xf numFmtId="0" fontId="5" fillId="24" borderId="0" xfId="0" applyFont="1" applyFill="1"/>
    <xf numFmtId="0" fontId="5" fillId="24" borderId="14" xfId="0" applyFont="1" applyFill="1" applyBorder="1"/>
    <xf numFmtId="0" fontId="5" fillId="0" borderId="42" xfId="0" applyFont="1" applyBorder="1" applyAlignment="1">
      <alignment horizontal="center"/>
    </xf>
    <xf numFmtId="0" fontId="5" fillId="25" borderId="42" xfId="0" applyFont="1" applyFill="1" applyBorder="1" applyAlignment="1">
      <alignment horizontal="left"/>
    </xf>
    <xf numFmtId="0" fontId="5" fillId="0" borderId="34" xfId="0" applyFont="1" applyBorder="1" applyAlignment="1">
      <alignment horizontal="center"/>
    </xf>
    <xf numFmtId="0" fontId="5" fillId="25" borderId="34" xfId="0" applyFont="1" applyFill="1" applyBorder="1" applyAlignment="1">
      <alignment horizontal="left"/>
    </xf>
    <xf numFmtId="0" fontId="5" fillId="25" borderId="0" xfId="0" applyFont="1" applyFill="1"/>
    <xf numFmtId="0" fontId="7" fillId="23" borderId="13" xfId="0" applyFont="1" applyFill="1" applyBorder="1"/>
    <xf numFmtId="0" fontId="5" fillId="23" borderId="0" xfId="0" applyFont="1" applyFill="1"/>
    <xf numFmtId="0" fontId="5" fillId="23" borderId="14" xfId="0" applyFont="1" applyFill="1" applyBorder="1"/>
    <xf numFmtId="0" fontId="5" fillId="24" borderId="13" xfId="0" quotePrefix="1" applyFont="1" applyFill="1" applyBorder="1"/>
    <xf numFmtId="0" fontId="5" fillId="0" borderId="13" xfId="0" quotePrefix="1" applyFont="1" applyBorder="1"/>
    <xf numFmtId="0" fontId="5" fillId="0" borderId="28" xfId="0" applyFont="1" applyBorder="1" applyAlignment="1">
      <alignment horizontal="center"/>
    </xf>
    <xf numFmtId="0" fontId="5" fillId="0" borderId="0" xfId="0" applyFont="1" applyAlignment="1">
      <alignment horizontal="center"/>
    </xf>
    <xf numFmtId="0" fontId="7" fillId="23" borderId="0" xfId="0" applyFont="1" applyFill="1"/>
    <xf numFmtId="0" fontId="7" fillId="23" borderId="14" xfId="0" applyFont="1" applyFill="1" applyBorder="1"/>
    <xf numFmtId="0" fontId="5" fillId="0" borderId="13" xfId="0" applyFont="1" applyBorder="1" applyAlignment="1">
      <alignment horizontal="left" vertical="top"/>
    </xf>
    <xf numFmtId="0" fontId="5" fillId="0" borderId="0" xfId="0" applyFont="1" applyAlignment="1">
      <alignment horizontal="left" vertical="top"/>
    </xf>
    <xf numFmtId="0" fontId="5" fillId="0" borderId="14" xfId="0" applyFont="1" applyBorder="1" applyAlignment="1">
      <alignment horizontal="left" vertical="top"/>
    </xf>
    <xf numFmtId="0" fontId="5" fillId="0" borderId="11" xfId="0" applyFont="1" applyBorder="1"/>
    <xf numFmtId="0" fontId="5" fillId="0" borderId="11" xfId="0" quotePrefix="1" applyFont="1" applyBorder="1"/>
    <xf numFmtId="0" fontId="5" fillId="0" borderId="14" xfId="0" applyFont="1" applyBorder="1" applyAlignment="1">
      <alignment horizontal="left"/>
    </xf>
    <xf numFmtId="0" fontId="5" fillId="0" borderId="0" xfId="0" applyFont="1" applyAlignment="1">
      <alignment vertical="top" wrapText="1"/>
    </xf>
    <xf numFmtId="0" fontId="5" fillId="0" borderId="14" xfId="0" applyFont="1" applyBorder="1" applyAlignment="1">
      <alignment vertical="top" wrapText="1"/>
    </xf>
    <xf numFmtId="0" fontId="5" fillId="25" borderId="28" xfId="0" applyFont="1" applyFill="1" applyBorder="1" applyAlignment="1">
      <alignment horizontal="left"/>
    </xf>
    <xf numFmtId="0" fontId="7" fillId="0" borderId="0" xfId="0" applyFont="1" applyAlignment="1">
      <alignment horizontal="center"/>
    </xf>
    <xf numFmtId="0" fontId="5" fillId="0" borderId="13" xfId="0" applyFont="1" applyBorder="1" applyAlignment="1">
      <alignment vertical="top" wrapText="1"/>
    </xf>
    <xf numFmtId="0" fontId="5" fillId="22" borderId="13" xfId="0" applyFont="1" applyFill="1" applyBorder="1"/>
    <xf numFmtId="0" fontId="5" fillId="22" borderId="0" xfId="0" applyFont="1" applyFill="1" applyAlignment="1">
      <alignment horizontal="right"/>
    </xf>
    <xf numFmtId="0" fontId="5" fillId="22" borderId="0" xfId="0" applyFont="1" applyFill="1"/>
    <xf numFmtId="0" fontId="5" fillId="22" borderId="14" xfId="0" applyFont="1" applyFill="1" applyBorder="1"/>
    <xf numFmtId="0" fontId="5" fillId="22" borderId="13" xfId="0" quotePrefix="1" applyFont="1" applyFill="1" applyBorder="1"/>
    <xf numFmtId="0" fontId="7" fillId="24" borderId="13" xfId="0" applyFont="1" applyFill="1" applyBorder="1"/>
    <xf numFmtId="0" fontId="5" fillId="26" borderId="13" xfId="0" applyFont="1" applyFill="1" applyBorder="1"/>
    <xf numFmtId="0" fontId="5" fillId="26" borderId="0" xfId="0" applyFont="1" applyFill="1"/>
    <xf numFmtId="0" fontId="5" fillId="26" borderId="14" xfId="0" applyFont="1" applyFill="1" applyBorder="1"/>
    <xf numFmtId="0" fontId="5" fillId="16" borderId="23" xfId="0" applyFont="1" applyFill="1" applyBorder="1"/>
    <xf numFmtId="0" fontId="5" fillId="16" borderId="28" xfId="0" applyFont="1" applyFill="1" applyBorder="1"/>
    <xf numFmtId="0" fontId="5" fillId="15" borderId="27" xfId="0" applyFont="1" applyFill="1" applyBorder="1"/>
    <xf numFmtId="0" fontId="31" fillId="0" borderId="0" xfId="25" applyFont="1" applyAlignment="1">
      <alignment horizontal="left" vertical="center" wrapText="1"/>
    </xf>
    <xf numFmtId="0" fontId="7" fillId="0" borderId="0" xfId="0" applyFont="1" applyAlignment="1">
      <alignment horizontal="left"/>
    </xf>
    <xf numFmtId="0" fontId="5" fillId="20" borderId="31" xfId="0" applyFont="1" applyFill="1" applyBorder="1" applyAlignment="1">
      <alignment horizontal="right"/>
    </xf>
    <xf numFmtId="0" fontId="5" fillId="20" borderId="32" xfId="0" applyFont="1" applyFill="1" applyBorder="1" applyAlignment="1">
      <alignment horizontal="right"/>
    </xf>
    <xf numFmtId="0" fontId="5" fillId="20" borderId="15" xfId="0" applyFont="1" applyFill="1" applyBorder="1" applyAlignment="1">
      <alignment horizontal="right"/>
    </xf>
    <xf numFmtId="0" fontId="5" fillId="20" borderId="16" xfId="0" applyFont="1" applyFill="1" applyBorder="1" applyAlignment="1">
      <alignment horizontal="right"/>
    </xf>
    <xf numFmtId="0" fontId="7" fillId="22" borderId="10" xfId="0" applyFont="1" applyFill="1" applyBorder="1" applyAlignment="1">
      <alignment horizontal="center"/>
    </xf>
    <xf numFmtId="0" fontId="7" fillId="22" borderId="12" xfId="0" applyFont="1" applyFill="1" applyBorder="1" applyAlignment="1">
      <alignment horizontal="center"/>
    </xf>
    <xf numFmtId="0" fontId="5" fillId="21" borderId="0" xfId="0" applyFont="1" applyFill="1" applyAlignment="1">
      <alignment horizontal="left" vertical="top" wrapText="1"/>
    </xf>
    <xf numFmtId="0" fontId="5" fillId="21" borderId="0" xfId="0" applyFont="1" applyFill="1" applyAlignment="1">
      <alignment horizontal="left"/>
    </xf>
    <xf numFmtId="0" fontId="5" fillId="21" borderId="0" xfId="0" applyFont="1" applyFill="1" applyAlignment="1">
      <alignment horizontal="left" vertical="top"/>
    </xf>
    <xf numFmtId="0" fontId="5" fillId="0" borderId="13" xfId="0" applyFont="1" applyBorder="1" applyAlignment="1">
      <alignment horizontal="left" vertical="top" wrapText="1"/>
    </xf>
    <xf numFmtId="0" fontId="5" fillId="0" borderId="0" xfId="0" applyFont="1" applyAlignment="1">
      <alignment horizontal="left" vertical="top" wrapText="1"/>
    </xf>
    <xf numFmtId="0" fontId="5" fillId="0" borderId="14" xfId="0" applyFont="1" applyBorder="1" applyAlignment="1">
      <alignment horizontal="left" vertical="top" wrapText="1"/>
    </xf>
    <xf numFmtId="0" fontId="5" fillId="24" borderId="13" xfId="0" applyFont="1" applyFill="1" applyBorder="1" applyAlignment="1">
      <alignment horizontal="left" wrapText="1"/>
    </xf>
    <xf numFmtId="0" fontId="5" fillId="24" borderId="0" xfId="0" applyFont="1" applyFill="1" applyAlignment="1">
      <alignment horizontal="left" wrapText="1"/>
    </xf>
    <xf numFmtId="0" fontId="5" fillId="24" borderId="14" xfId="0" applyFont="1" applyFill="1" applyBorder="1" applyAlignment="1">
      <alignment horizontal="left" wrapText="1"/>
    </xf>
    <xf numFmtId="0" fontId="5" fillId="24" borderId="13" xfId="0" applyFont="1" applyFill="1" applyBorder="1" applyAlignment="1">
      <alignment horizontal="left" vertical="top" wrapText="1"/>
    </xf>
    <xf numFmtId="0" fontId="5" fillId="24" borderId="0" xfId="0" applyFont="1" applyFill="1" applyAlignment="1">
      <alignment horizontal="left" vertical="top" wrapText="1"/>
    </xf>
    <xf numFmtId="0" fontId="5" fillId="24" borderId="14" xfId="0" applyFont="1" applyFill="1" applyBorder="1" applyAlignment="1">
      <alignment horizontal="left" vertical="top" wrapText="1"/>
    </xf>
    <xf numFmtId="0" fontId="5" fillId="22" borderId="13" xfId="0" applyFont="1" applyFill="1" applyBorder="1" applyAlignment="1">
      <alignment horizontal="left" vertical="top" wrapText="1"/>
    </xf>
    <xf numFmtId="0" fontId="5" fillId="22" borderId="0" xfId="0" applyFont="1" applyFill="1" applyAlignment="1">
      <alignment horizontal="left" vertical="top" wrapText="1"/>
    </xf>
    <xf numFmtId="0" fontId="5" fillId="22" borderId="14" xfId="0" applyFont="1" applyFill="1" applyBorder="1" applyAlignment="1">
      <alignment horizontal="left" vertical="top" wrapText="1"/>
    </xf>
    <xf numFmtId="0" fontId="5" fillId="24" borderId="13" xfId="0" applyFont="1" applyFill="1" applyBorder="1" applyAlignment="1">
      <alignment horizontal="left" vertical="top"/>
    </xf>
    <xf numFmtId="0" fontId="5" fillId="24" borderId="0" xfId="0" applyFont="1" applyFill="1" applyAlignment="1">
      <alignment horizontal="left" vertical="top"/>
    </xf>
    <xf numFmtId="0" fontId="5" fillId="24" borderId="14" xfId="0" applyFont="1" applyFill="1" applyBorder="1" applyAlignment="1">
      <alignment horizontal="left" vertical="top"/>
    </xf>
    <xf numFmtId="0" fontId="5" fillId="24" borderId="13" xfId="0" quotePrefix="1" applyFont="1" applyFill="1" applyBorder="1" applyAlignment="1">
      <alignment horizontal="left" vertical="top" wrapText="1"/>
    </xf>
    <xf numFmtId="0" fontId="5" fillId="24" borderId="0" xfId="0" quotePrefix="1" applyFont="1" applyFill="1" applyAlignment="1">
      <alignment horizontal="left" vertical="top" wrapText="1"/>
    </xf>
    <xf numFmtId="0" fontId="5" fillId="24" borderId="14" xfId="0" quotePrefix="1" applyFont="1" applyFill="1" applyBorder="1" applyAlignment="1">
      <alignment horizontal="left" vertical="top" wrapText="1"/>
    </xf>
    <xf numFmtId="0" fontId="7" fillId="22" borderId="31" xfId="0" applyFont="1" applyFill="1" applyBorder="1" applyAlignment="1">
      <alignment horizontal="center"/>
    </xf>
    <xf numFmtId="0" fontId="7" fillId="22" borderId="38" xfId="0" applyFont="1" applyFill="1" applyBorder="1" applyAlignment="1">
      <alignment horizontal="center"/>
    </xf>
    <xf numFmtId="0" fontId="7" fillId="22" borderId="39" xfId="0" applyFont="1" applyFill="1" applyBorder="1" applyAlignment="1">
      <alignment horizontal="center"/>
    </xf>
    <xf numFmtId="0" fontId="7" fillId="22" borderId="32" xfId="0" applyFont="1" applyFill="1" applyBorder="1" applyAlignment="1">
      <alignment horizontal="center"/>
    </xf>
    <xf numFmtId="0" fontId="7" fillId="22" borderId="33" xfId="0" applyFont="1" applyFill="1" applyBorder="1" applyAlignment="1">
      <alignment horizontal="center"/>
    </xf>
    <xf numFmtId="0" fontId="5" fillId="22" borderId="40" xfId="0" applyFont="1" applyFill="1" applyBorder="1" applyAlignment="1">
      <alignment horizontal="center"/>
    </xf>
    <xf numFmtId="0" fontId="5" fillId="22" borderId="28" xfId="0" applyFont="1" applyFill="1" applyBorder="1" applyAlignment="1">
      <alignment horizontal="center"/>
    </xf>
    <xf numFmtId="0" fontId="5" fillId="22" borderId="28" xfId="0" quotePrefix="1" applyFont="1" applyFill="1" applyBorder="1" applyAlignment="1">
      <alignment horizontal="center"/>
    </xf>
    <xf numFmtId="0" fontId="5" fillId="22" borderId="41" xfId="0" quotePrefix="1" applyFont="1" applyFill="1" applyBorder="1" applyAlignment="1">
      <alignment horizontal="center"/>
    </xf>
    <xf numFmtId="0" fontId="5" fillId="22" borderId="13" xfId="0" quotePrefix="1" applyFont="1" applyFill="1" applyBorder="1" applyAlignment="1">
      <alignment horizontal="left" vertical="top" wrapText="1"/>
    </xf>
    <xf numFmtId="0" fontId="5" fillId="22" borderId="0" xfId="0" quotePrefix="1" applyFont="1" applyFill="1" applyAlignment="1">
      <alignment horizontal="left" vertical="top" wrapText="1"/>
    </xf>
    <xf numFmtId="0" fontId="5" fillId="22" borderId="14" xfId="0" quotePrefix="1" applyFont="1" applyFill="1" applyBorder="1" applyAlignment="1">
      <alignment horizontal="left" vertical="top" wrapText="1"/>
    </xf>
    <xf numFmtId="0" fontId="5" fillId="0" borderId="13" xfId="0" applyFont="1" applyBorder="1" applyAlignment="1">
      <alignment horizontal="left" vertical="top"/>
    </xf>
    <xf numFmtId="0" fontId="5" fillId="0" borderId="0" xfId="0" applyFont="1" applyAlignment="1">
      <alignment horizontal="left" vertical="top"/>
    </xf>
    <xf numFmtId="0" fontId="5" fillId="0" borderId="14" xfId="0" applyFont="1" applyBorder="1" applyAlignment="1">
      <alignment horizontal="left" vertical="top"/>
    </xf>
    <xf numFmtId="0" fontId="7" fillId="20" borderId="31" xfId="0" applyFont="1" applyFill="1" applyBorder="1" applyAlignment="1">
      <alignment horizontal="center"/>
    </xf>
    <xf numFmtId="0" fontId="7" fillId="20" borderId="38" xfId="0" applyFont="1" applyFill="1" applyBorder="1" applyAlignment="1">
      <alignment horizontal="center"/>
    </xf>
    <xf numFmtId="0" fontId="7" fillId="20" borderId="39" xfId="0" applyFont="1" applyFill="1" applyBorder="1" applyAlignment="1">
      <alignment horizontal="center"/>
    </xf>
    <xf numFmtId="0" fontId="7" fillId="20" borderId="32" xfId="0" applyFont="1" applyFill="1" applyBorder="1" applyAlignment="1">
      <alignment horizontal="center"/>
    </xf>
    <xf numFmtId="0" fontId="7" fillId="20" borderId="33" xfId="0" applyFont="1" applyFill="1" applyBorder="1" applyAlignment="1">
      <alignment horizontal="center"/>
    </xf>
    <xf numFmtId="0" fontId="5" fillId="20" borderId="43" xfId="0" applyFont="1" applyFill="1" applyBorder="1" applyAlignment="1">
      <alignment horizontal="center"/>
    </xf>
    <xf numFmtId="0" fontId="5" fillId="20" borderId="36" xfId="0" applyFont="1" applyFill="1" applyBorder="1" applyAlignment="1">
      <alignment horizontal="center"/>
    </xf>
    <xf numFmtId="0" fontId="5" fillId="20" borderId="36" xfId="0" quotePrefix="1" applyFont="1" applyFill="1" applyBorder="1" applyAlignment="1">
      <alignment horizontal="center"/>
    </xf>
    <xf numFmtId="0" fontId="5" fillId="20" borderId="44" xfId="0" quotePrefix="1" applyFont="1" applyFill="1" applyBorder="1" applyAlignment="1">
      <alignment horizontal="center"/>
    </xf>
    <xf numFmtId="0" fontId="5" fillId="0" borderId="13" xfId="0" applyFont="1" applyBorder="1" applyAlignment="1">
      <alignment horizontal="left" wrapText="1"/>
    </xf>
    <xf numFmtId="0" fontId="5" fillId="0" borderId="0" xfId="0" applyFont="1" applyAlignment="1">
      <alignment horizontal="left" wrapText="1"/>
    </xf>
    <xf numFmtId="0" fontId="5" fillId="0" borderId="14" xfId="0" applyFont="1" applyBorder="1" applyAlignment="1">
      <alignment horizontal="left" wrapText="1"/>
    </xf>
    <xf numFmtId="0" fontId="7" fillId="19" borderId="13" xfId="0" applyFont="1" applyFill="1" applyBorder="1" applyAlignment="1">
      <alignment horizontal="left" vertical="top" wrapText="1"/>
    </xf>
    <xf numFmtId="0" fontId="7" fillId="19" borderId="0" xfId="0" applyFont="1" applyFill="1" applyAlignment="1">
      <alignment horizontal="left" vertical="top" wrapText="1"/>
    </xf>
    <xf numFmtId="0" fontId="7" fillId="19" borderId="14" xfId="0" applyFont="1" applyFill="1" applyBorder="1" applyAlignment="1">
      <alignment horizontal="left" vertical="top" wrapText="1"/>
    </xf>
  </cellXfs>
  <cellStyles count="26">
    <cellStyle name="Akzent1" xfId="1" builtinId="29" customBuiltin="1"/>
    <cellStyle name="Akzent2" xfId="2" builtinId="33" customBuiltin="1"/>
    <cellStyle name="Akzent3" xfId="3" builtinId="37" customBuiltin="1"/>
    <cellStyle name="Akzent4" xfId="4" builtinId="41" customBuiltin="1"/>
    <cellStyle name="Akzent5" xfId="5" builtinId="45" customBuiltin="1"/>
    <cellStyle name="Akzent6" xfId="6" builtinId="49" customBuiltin="1"/>
    <cellStyle name="Ausgabe" xfId="7" builtinId="21" customBuiltin="1"/>
    <cellStyle name="Berechnung" xfId="8" builtinId="22" customBuiltin="1"/>
    <cellStyle name="Eingabe" xfId="9" builtinId="20" customBuiltin="1"/>
    <cellStyle name="Ergebnis" xfId="10" builtinId="25" customBuiltin="1"/>
    <cellStyle name="Erklärender Text" xfId="11" builtinId="53" customBuiltin="1"/>
    <cellStyle name="Euro" xfId="12" xr:uid="{00000000-0005-0000-0000-00000B000000}"/>
    <cellStyle name="Gut" xfId="13" builtinId="26" customBuiltin="1"/>
    <cellStyle name="Neutral" xfId="14" builtinId="28" customBuiltin="1"/>
    <cellStyle name="Notiz" xfId="15" builtinId="10" customBuiltin="1"/>
    <cellStyle name="Schlecht" xfId="16" builtinId="27" customBuiltin="1"/>
    <cellStyle name="Standard" xfId="0" builtinId="0"/>
    <cellStyle name="Standard 2" xfId="25" xr:uid="{00000000-0005-0000-0000-000011000000}"/>
    <cellStyle name="Überschrift" xfId="17" builtinId="15" customBuiltin="1"/>
    <cellStyle name="Überschrift 1" xfId="18" builtinId="16" customBuiltin="1"/>
    <cellStyle name="Überschrift 2" xfId="19" builtinId="17" customBuiltin="1"/>
    <cellStyle name="Überschrift 3" xfId="20" builtinId="18" customBuiltin="1"/>
    <cellStyle name="Überschrift 4" xfId="21" builtinId="19" customBuiltin="1"/>
    <cellStyle name="Verknüpfte Zelle" xfId="22" builtinId="24" customBuiltin="1"/>
    <cellStyle name="Warnender Text" xfId="23" builtinId="11" customBuiltin="1"/>
    <cellStyle name="Zelle überprüfen" xfId="24" builtinId="23" customBuiltin="1"/>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de-DE"/>
              <a:t>Normalverteilung N(2;0,33)</a:t>
            </a:r>
          </a:p>
        </c:rich>
      </c:tx>
      <c:layout>
        <c:manualLayout>
          <c:xMode val="edge"/>
          <c:yMode val="edge"/>
          <c:x val="0.33171572000101929"/>
          <c:y val="3.2745591939546598E-2"/>
        </c:manualLayout>
      </c:layout>
      <c:overlay val="0"/>
    </c:title>
    <c:autoTitleDeleted val="0"/>
    <c:plotArea>
      <c:layout>
        <c:manualLayout>
          <c:layoutTarget val="inner"/>
          <c:xMode val="edge"/>
          <c:yMode val="edge"/>
          <c:x val="0.10949315801544224"/>
          <c:y val="0.18156166480824568"/>
          <c:w val="0.76105819296859734"/>
          <c:h val="0.72603932713021957"/>
        </c:manualLayout>
      </c:layout>
      <c:lineChart>
        <c:grouping val="standard"/>
        <c:varyColors val="0"/>
        <c:ser>
          <c:idx val="0"/>
          <c:order val="0"/>
          <c:tx>
            <c:strRef>
              <c:f>'f(x) vs. F(x)'!$C$10</c:f>
              <c:strCache>
                <c:ptCount val="1"/>
                <c:pt idx="0">
                  <c:v>f(x)</c:v>
                </c:pt>
              </c:strCache>
            </c:strRef>
          </c:tx>
          <c:marker>
            <c:symbol val="none"/>
          </c:marker>
          <c:cat>
            <c:numRef>
              <c:f>'f(x) vs. F(x)'!$B$11:$B$35</c:f>
              <c:numCache>
                <c:formatCode>0.0</c:formatCode>
                <c:ptCount val="25"/>
                <c:pt idx="0">
                  <c:v>0.8</c:v>
                </c:pt>
                <c:pt idx="1">
                  <c:v>0.9</c:v>
                </c:pt>
                <c:pt idx="2">
                  <c:v>1</c:v>
                </c:pt>
                <c:pt idx="3">
                  <c:v>1.1000000000000001</c:v>
                </c:pt>
                <c:pt idx="4">
                  <c:v>1.2</c:v>
                </c:pt>
                <c:pt idx="5">
                  <c:v>1.3</c:v>
                </c:pt>
                <c:pt idx="6">
                  <c:v>1.4</c:v>
                </c:pt>
                <c:pt idx="7">
                  <c:v>1.5</c:v>
                </c:pt>
                <c:pt idx="8">
                  <c:v>1.6</c:v>
                </c:pt>
                <c:pt idx="9">
                  <c:v>1.7</c:v>
                </c:pt>
                <c:pt idx="10">
                  <c:v>1.8</c:v>
                </c:pt>
                <c:pt idx="11">
                  <c:v>1.9</c:v>
                </c:pt>
                <c:pt idx="12">
                  <c:v>2</c:v>
                </c:pt>
                <c:pt idx="13">
                  <c:v>2.1</c:v>
                </c:pt>
                <c:pt idx="14">
                  <c:v>2.2000000000000002</c:v>
                </c:pt>
                <c:pt idx="15">
                  <c:v>2.2999999999999998</c:v>
                </c:pt>
                <c:pt idx="16">
                  <c:v>2.4</c:v>
                </c:pt>
                <c:pt idx="17">
                  <c:v>2.5</c:v>
                </c:pt>
                <c:pt idx="18">
                  <c:v>2.6</c:v>
                </c:pt>
                <c:pt idx="19">
                  <c:v>2.7</c:v>
                </c:pt>
                <c:pt idx="20">
                  <c:v>2.8</c:v>
                </c:pt>
                <c:pt idx="21">
                  <c:v>2.9</c:v>
                </c:pt>
                <c:pt idx="22">
                  <c:v>3</c:v>
                </c:pt>
                <c:pt idx="23">
                  <c:v>3.1</c:v>
                </c:pt>
                <c:pt idx="24">
                  <c:v>3.2</c:v>
                </c:pt>
              </c:numCache>
            </c:numRef>
          </c:cat>
          <c:val>
            <c:numRef>
              <c:f>'f(x) vs. F(x)'!$C$11:$C$35</c:f>
              <c:numCache>
                <c:formatCode>0.000</c:formatCode>
                <c:ptCount val="25"/>
                <c:pt idx="0">
                  <c:v>1.6256522540663446E-3</c:v>
                </c:pt>
                <c:pt idx="1">
                  <c:v>4.6735727160336525E-3</c:v>
                </c:pt>
                <c:pt idx="2">
                  <c:v>1.2257170866322659E-2</c:v>
                </c:pt>
                <c:pt idx="3">
                  <c:v>2.9325900622606083E-2</c:v>
                </c:pt>
                <c:pt idx="4">
                  <c:v>6.4007720221826478E-2</c:v>
                </c:pt>
                <c:pt idx="5">
                  <c:v>0.12744806378007634</c:v>
                </c:pt>
                <c:pt idx="6">
                  <c:v>0.2315016054092931</c:v>
                </c:pt>
                <c:pt idx="7">
                  <c:v>0.38361418209103548</c:v>
                </c:pt>
                <c:pt idx="8">
                  <c:v>0.57990277133688217</c:v>
                </c:pt>
                <c:pt idx="9">
                  <c:v>0.7997156522537272</c:v>
                </c:pt>
                <c:pt idx="10">
                  <c:v>1.0060878181060859</c:v>
                </c:pt>
                <c:pt idx="11">
                  <c:v>1.1546651736923388</c:v>
                </c:pt>
                <c:pt idx="12">
                  <c:v>1.2089160012164628</c:v>
                </c:pt>
                <c:pt idx="13">
                  <c:v>1.1546651736923388</c:v>
                </c:pt>
                <c:pt idx="14">
                  <c:v>1.0060878181060857</c:v>
                </c:pt>
                <c:pt idx="15">
                  <c:v>0.79971565225372765</c:v>
                </c:pt>
                <c:pt idx="16">
                  <c:v>0.57990277133688217</c:v>
                </c:pt>
                <c:pt idx="17">
                  <c:v>0.38361418209103548</c:v>
                </c:pt>
                <c:pt idx="18">
                  <c:v>0.2315016054092931</c:v>
                </c:pt>
                <c:pt idx="19">
                  <c:v>0.1274480637800762</c:v>
                </c:pt>
                <c:pt idx="20">
                  <c:v>6.4007720221826617E-2</c:v>
                </c:pt>
                <c:pt idx="21">
                  <c:v>2.9325900622606083E-2</c:v>
                </c:pt>
                <c:pt idx="22">
                  <c:v>1.2257170866322659E-2</c:v>
                </c:pt>
                <c:pt idx="23">
                  <c:v>4.6735727160336525E-3</c:v>
                </c:pt>
                <c:pt idx="24">
                  <c:v>1.625652254066342E-3</c:v>
                </c:pt>
              </c:numCache>
            </c:numRef>
          </c:val>
          <c:smooth val="0"/>
          <c:extLst>
            <c:ext xmlns:c16="http://schemas.microsoft.com/office/drawing/2014/chart" uri="{C3380CC4-5D6E-409C-BE32-E72D297353CC}">
              <c16:uniqueId val="{00000000-BE16-44BE-95F7-B144F232A47D}"/>
            </c:ext>
          </c:extLst>
        </c:ser>
        <c:dLbls>
          <c:showLegendKey val="0"/>
          <c:showVal val="0"/>
          <c:showCatName val="0"/>
          <c:showSerName val="0"/>
          <c:showPercent val="0"/>
          <c:showBubbleSize val="0"/>
        </c:dLbls>
        <c:marker val="1"/>
        <c:smooth val="0"/>
        <c:axId val="178554368"/>
        <c:axId val="178556288"/>
      </c:lineChart>
      <c:lineChart>
        <c:grouping val="standard"/>
        <c:varyColors val="0"/>
        <c:ser>
          <c:idx val="1"/>
          <c:order val="1"/>
          <c:tx>
            <c:strRef>
              <c:f>'f(x) vs. F(x)'!$D$10</c:f>
              <c:strCache>
                <c:ptCount val="1"/>
                <c:pt idx="0">
                  <c:v>F(x)</c:v>
                </c:pt>
              </c:strCache>
            </c:strRef>
          </c:tx>
          <c:marker>
            <c:symbol val="none"/>
          </c:marker>
          <c:val>
            <c:numRef>
              <c:f>'f(x) vs. F(x)'!$D$11:$D$35</c:f>
              <c:numCache>
                <c:formatCode>0.000</c:formatCode>
                <c:ptCount val="25"/>
                <c:pt idx="0">
                  <c:v>1.3825695781905751E-4</c:v>
                </c:pt>
                <c:pt idx="1">
                  <c:v>4.2906033319683703E-4</c:v>
                </c:pt>
                <c:pt idx="2">
                  <c:v>1.2215424135802525E-3</c:v>
                </c:pt>
                <c:pt idx="3">
                  <c:v>3.1930116413535284E-3</c:v>
                </c:pt>
                <c:pt idx="4">
                  <c:v>7.6701806207409512E-3</c:v>
                </c:pt>
                <c:pt idx="5">
                  <c:v>1.6951977840391499E-2</c:v>
                </c:pt>
                <c:pt idx="6">
                  <c:v>3.45181739972076E-2</c:v>
                </c:pt>
                <c:pt idx="7">
                  <c:v>6.4867019147334434E-2</c:v>
                </c:pt>
                <c:pt idx="8">
                  <c:v>0.11273299250225365</c:v>
                </c:pt>
                <c:pt idx="9">
                  <c:v>0.18165107044344891</c:v>
                </c:pt>
                <c:pt idx="10">
                  <c:v>0.27223725448150549</c:v>
                </c:pt>
                <c:pt idx="11">
                  <c:v>0.38093338409412381</c:v>
                </c:pt>
                <c:pt idx="12">
                  <c:v>0.5</c:v>
                </c:pt>
                <c:pt idx="13">
                  <c:v>0.61906661590587619</c:v>
                </c:pt>
                <c:pt idx="14">
                  <c:v>0.72776274551849474</c:v>
                </c:pt>
                <c:pt idx="15">
                  <c:v>0.81834892955655092</c:v>
                </c:pt>
                <c:pt idx="16">
                  <c:v>0.88726700749774634</c:v>
                </c:pt>
                <c:pt idx="17">
                  <c:v>0.93513298085266561</c:v>
                </c:pt>
                <c:pt idx="18">
                  <c:v>0.96548182600279242</c:v>
                </c:pt>
                <c:pt idx="19">
                  <c:v>0.98304802215960851</c:v>
                </c:pt>
                <c:pt idx="20">
                  <c:v>0.99232981937925901</c:v>
                </c:pt>
                <c:pt idx="21">
                  <c:v>0.99680698835864645</c:v>
                </c:pt>
                <c:pt idx="22">
                  <c:v>0.9987784575864197</c:v>
                </c:pt>
                <c:pt idx="23">
                  <c:v>0.99957093966680322</c:v>
                </c:pt>
                <c:pt idx="24">
                  <c:v>0.99986174304218089</c:v>
                </c:pt>
              </c:numCache>
            </c:numRef>
          </c:val>
          <c:smooth val="0"/>
          <c:extLst>
            <c:ext xmlns:c16="http://schemas.microsoft.com/office/drawing/2014/chart" uri="{C3380CC4-5D6E-409C-BE32-E72D297353CC}">
              <c16:uniqueId val="{00000001-BE16-44BE-95F7-B144F232A47D}"/>
            </c:ext>
          </c:extLst>
        </c:ser>
        <c:dLbls>
          <c:showLegendKey val="0"/>
          <c:showVal val="0"/>
          <c:showCatName val="0"/>
          <c:showSerName val="0"/>
          <c:showPercent val="0"/>
          <c:showBubbleSize val="0"/>
        </c:dLbls>
        <c:marker val="1"/>
        <c:smooth val="0"/>
        <c:axId val="178566656"/>
        <c:axId val="178568192"/>
      </c:lineChart>
      <c:catAx>
        <c:axId val="178554368"/>
        <c:scaling>
          <c:orientation val="minMax"/>
        </c:scaling>
        <c:delete val="0"/>
        <c:axPos val="b"/>
        <c:title>
          <c:tx>
            <c:rich>
              <a:bodyPr/>
              <a:lstStyle/>
              <a:p>
                <a:pPr>
                  <a:defRPr/>
                </a:pPr>
                <a:r>
                  <a:rPr lang="de-DE"/>
                  <a:t>x</a:t>
                </a:r>
              </a:p>
            </c:rich>
          </c:tx>
          <c:layout>
            <c:manualLayout>
              <c:xMode val="edge"/>
              <c:yMode val="edge"/>
              <c:x val="0.50970941739078734"/>
              <c:y val="0.95596634537330272"/>
            </c:manualLayout>
          </c:layout>
          <c:overlay val="0"/>
        </c:title>
        <c:numFmt formatCode="0.0" sourceLinked="1"/>
        <c:majorTickMark val="out"/>
        <c:minorTickMark val="none"/>
        <c:tickLblPos val="nextTo"/>
        <c:txPr>
          <a:bodyPr rot="-5400000" vert="horz"/>
          <a:lstStyle/>
          <a:p>
            <a:pPr>
              <a:defRPr/>
            </a:pPr>
            <a:endParaRPr lang="de-DE"/>
          </a:p>
        </c:txPr>
        <c:crossAx val="178556288"/>
        <c:crosses val="autoZero"/>
        <c:auto val="1"/>
        <c:lblAlgn val="ctr"/>
        <c:lblOffset val="100"/>
        <c:tickLblSkip val="2"/>
        <c:tickMarkSkip val="1"/>
        <c:noMultiLvlLbl val="0"/>
      </c:catAx>
      <c:valAx>
        <c:axId val="178556288"/>
        <c:scaling>
          <c:orientation val="minMax"/>
        </c:scaling>
        <c:delete val="0"/>
        <c:axPos val="l"/>
        <c:majorGridlines/>
        <c:title>
          <c:tx>
            <c:rich>
              <a:bodyPr/>
              <a:lstStyle/>
              <a:p>
                <a:pPr>
                  <a:defRPr sz="1100"/>
                </a:pPr>
                <a:r>
                  <a:rPr lang="de-DE" sz="1100"/>
                  <a:t>f(x)</a:t>
                </a:r>
              </a:p>
            </c:rich>
          </c:tx>
          <c:layout>
            <c:manualLayout>
              <c:xMode val="edge"/>
              <c:yMode val="edge"/>
              <c:x val="2.5889967637540454E-2"/>
              <c:y val="0.4735521661807387"/>
            </c:manualLayout>
          </c:layout>
          <c:overlay val="0"/>
        </c:title>
        <c:numFmt formatCode="0.0" sourceLinked="0"/>
        <c:majorTickMark val="out"/>
        <c:minorTickMark val="none"/>
        <c:tickLblPos val="nextTo"/>
        <c:txPr>
          <a:bodyPr rot="0" vert="horz"/>
          <a:lstStyle/>
          <a:p>
            <a:pPr>
              <a:defRPr/>
            </a:pPr>
            <a:endParaRPr lang="de-DE"/>
          </a:p>
        </c:txPr>
        <c:crossAx val="178554368"/>
        <c:crosses val="autoZero"/>
        <c:crossBetween val="between"/>
      </c:valAx>
      <c:catAx>
        <c:axId val="178566656"/>
        <c:scaling>
          <c:orientation val="minMax"/>
        </c:scaling>
        <c:delete val="1"/>
        <c:axPos val="b"/>
        <c:majorTickMark val="out"/>
        <c:minorTickMark val="none"/>
        <c:tickLblPos val="nextTo"/>
        <c:crossAx val="178568192"/>
        <c:crosses val="autoZero"/>
        <c:auto val="1"/>
        <c:lblAlgn val="ctr"/>
        <c:lblOffset val="100"/>
        <c:noMultiLvlLbl val="0"/>
      </c:catAx>
      <c:valAx>
        <c:axId val="178568192"/>
        <c:scaling>
          <c:orientation val="minMax"/>
          <c:max val="1"/>
        </c:scaling>
        <c:delete val="0"/>
        <c:axPos val="r"/>
        <c:title>
          <c:tx>
            <c:rich>
              <a:bodyPr/>
              <a:lstStyle/>
              <a:p>
                <a:pPr>
                  <a:defRPr sz="1100"/>
                </a:pPr>
                <a:r>
                  <a:rPr lang="de-DE" sz="1100"/>
                  <a:t>F(x)</a:t>
                </a:r>
              </a:p>
            </c:rich>
          </c:tx>
          <c:layout>
            <c:manualLayout>
              <c:xMode val="edge"/>
              <c:yMode val="edge"/>
              <c:x val="0.93204019400487559"/>
              <c:y val="0.4766749242531011"/>
            </c:manualLayout>
          </c:layout>
          <c:overlay val="0"/>
        </c:title>
        <c:numFmt formatCode="0.0" sourceLinked="0"/>
        <c:majorTickMark val="cross"/>
        <c:minorTickMark val="none"/>
        <c:tickLblPos val="nextTo"/>
        <c:txPr>
          <a:bodyPr rot="0" vert="horz"/>
          <a:lstStyle/>
          <a:p>
            <a:pPr>
              <a:defRPr/>
            </a:pPr>
            <a:endParaRPr lang="de-DE"/>
          </a:p>
        </c:txPr>
        <c:crossAx val="178566656"/>
        <c:crosses val="max"/>
        <c:crossBetween val="between"/>
      </c:valAx>
    </c:plotArea>
    <c:legend>
      <c:legendPos val="r"/>
      <c:layout>
        <c:manualLayout>
          <c:xMode val="edge"/>
          <c:yMode val="edge"/>
          <c:x val="0.17799369738976809"/>
          <c:y val="0.2059289699064307"/>
          <c:w val="0.12729234088457389"/>
          <c:h val="0.1113013698630137"/>
        </c:manualLayout>
      </c:layout>
      <c:overlay val="0"/>
      <c:txPr>
        <a:bodyPr/>
        <a:lstStyle/>
        <a:p>
          <a:pPr>
            <a:defRPr sz="1400"/>
          </a:pPr>
          <a:endParaRPr lang="de-DE"/>
        </a:p>
      </c:txPr>
    </c:legend>
    <c:plotVisOnly val="1"/>
    <c:dispBlanksAs val="gap"/>
    <c:showDLblsOverMax val="0"/>
  </c:chart>
  <c:printSettings>
    <c:headerFooter alignWithMargins="0"/>
    <c:pageMargins b="0.984251969" l="0.78740157499999996" r="0.78740157499999996" t="0.984251969" header="0.4921259845" footer="0.492125984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de-DE"/>
              <a:t>Dichtefunktion f(x) </a:t>
            </a:r>
          </a:p>
        </c:rich>
      </c:tx>
      <c:layout>
        <c:manualLayout>
          <c:xMode val="edge"/>
          <c:yMode val="edge"/>
          <c:x val="0.38599332151543886"/>
          <c:y val="2.9561187664041994E-2"/>
        </c:manualLayout>
      </c:layout>
      <c:overlay val="0"/>
      <c:spPr>
        <a:noFill/>
        <a:ln w="25400">
          <a:noFill/>
        </a:ln>
      </c:spPr>
    </c:title>
    <c:autoTitleDeleted val="0"/>
    <c:plotArea>
      <c:layout>
        <c:manualLayout>
          <c:layoutTarget val="inner"/>
          <c:xMode val="edge"/>
          <c:yMode val="edge"/>
          <c:x val="0.17146596858638743"/>
          <c:y val="0.166015625"/>
          <c:w val="0.70811518324607325"/>
          <c:h val="0.666015625"/>
        </c:manualLayout>
      </c:layout>
      <c:lineChart>
        <c:grouping val="standard"/>
        <c:varyColors val="0"/>
        <c:ser>
          <c:idx val="0"/>
          <c:order val="0"/>
          <c:tx>
            <c:strRef>
              <c:f>Fraktilswert!$C$12</c:f>
              <c:strCache>
                <c:ptCount val="1"/>
                <c:pt idx="0">
                  <c:v>f(x) </c:v>
                </c:pt>
              </c:strCache>
            </c:strRef>
          </c:tx>
          <c:spPr>
            <a:ln w="38100">
              <a:solidFill>
                <a:srgbClr val="3366FF"/>
              </a:solidFill>
              <a:prstDash val="solid"/>
            </a:ln>
          </c:spPr>
          <c:marker>
            <c:symbol val="none"/>
          </c:marker>
          <c:cat>
            <c:numRef>
              <c:f>Fraktilswert!$A$13:$A$61</c:f>
              <c:numCache>
                <c:formatCode>General</c:formatCode>
                <c:ptCount val="49"/>
              </c:numCache>
            </c:numRef>
          </c:cat>
          <c:val>
            <c:numRef>
              <c:f>Fraktilswert!$C$13:$C$61</c:f>
              <c:numCache>
                <c:formatCode>General</c:formatCode>
                <c:ptCount val="49"/>
                <c:pt idx="0">
                  <c:v>2.2159242059690038E-3</c:v>
                </c:pt>
                <c:pt idx="1">
                  <c:v>3.1990601553617782E-3</c:v>
                </c:pt>
                <c:pt idx="2">
                  <c:v>4.5467812507955264E-3</c:v>
                </c:pt>
                <c:pt idx="3">
                  <c:v>6.3620907984157163E-3</c:v>
                </c:pt>
                <c:pt idx="4">
                  <c:v>8.7641502467842702E-3</c:v>
                </c:pt>
                <c:pt idx="5">
                  <c:v>1.1885950414956903E-2</c:v>
                </c:pt>
                <c:pt idx="6">
                  <c:v>1.5869825917833709E-2</c:v>
                </c:pt>
                <c:pt idx="7">
                  <c:v>2.0860492628169306E-2</c:v>
                </c:pt>
                <c:pt idx="8">
                  <c:v>2.6995483256594031E-2</c:v>
                </c:pt>
                <c:pt idx="9">
                  <c:v>3.4393137913345952E-2</c:v>
                </c:pt>
                <c:pt idx="10">
                  <c:v>4.3138659413255766E-2</c:v>
                </c:pt>
                <c:pt idx="11">
                  <c:v>5.3269134065292538E-2</c:v>
                </c:pt>
                <c:pt idx="12">
                  <c:v>6.4758797832945872E-2</c:v>
                </c:pt>
                <c:pt idx="13">
                  <c:v>7.750613272914661E-2</c:v>
                </c:pt>
                <c:pt idx="14">
                  <c:v>9.1324542694510957E-2</c:v>
                </c:pt>
                <c:pt idx="15">
                  <c:v>0.10593832288784974</c:v>
                </c:pt>
                <c:pt idx="16">
                  <c:v>0.12098536225957168</c:v>
                </c:pt>
                <c:pt idx="17">
                  <c:v>0.13602749918927176</c:v>
                </c:pt>
                <c:pt idx="18">
                  <c:v>0.15056871607740221</c:v>
                </c:pt>
                <c:pt idx="19">
                  <c:v>0.16408048427518754</c:v>
                </c:pt>
                <c:pt idx="20">
                  <c:v>0.17603266338214976</c:v>
                </c:pt>
                <c:pt idx="21">
                  <c:v>0.18592754693488447</c:v>
                </c:pt>
                <c:pt idx="22">
                  <c:v>0.19333405840142462</c:v>
                </c:pt>
                <c:pt idx="23">
                  <c:v>0.19791884347237476</c:v>
                </c:pt>
                <c:pt idx="24">
                  <c:v>0.19947114020071635</c:v>
                </c:pt>
                <c:pt idx="25">
                  <c:v>0.19791884347237476</c:v>
                </c:pt>
                <c:pt idx="26">
                  <c:v>0.19333405840142462</c:v>
                </c:pt>
                <c:pt idx="27">
                  <c:v>0.18592754693488447</c:v>
                </c:pt>
                <c:pt idx="28">
                  <c:v>0.17603266338214976</c:v>
                </c:pt>
                <c:pt idx="29">
                  <c:v>0.16408048427518754</c:v>
                </c:pt>
                <c:pt idx="30">
                  <c:v>0.15056871607740221</c:v>
                </c:pt>
                <c:pt idx="31">
                  <c:v>0.13602749918927176</c:v>
                </c:pt>
                <c:pt idx="32">
                  <c:v>0.12098536225957168</c:v>
                </c:pt>
                <c:pt idx="33">
                  <c:v>0.10593832288784974</c:v>
                </c:pt>
                <c:pt idx="34">
                  <c:v>9.1324542694510957E-2</c:v>
                </c:pt>
                <c:pt idx="35">
                  <c:v>7.750613272914661E-2</c:v>
                </c:pt>
                <c:pt idx="36">
                  <c:v>6.4758797832945872E-2</c:v>
                </c:pt>
                <c:pt idx="37">
                  <c:v>5.3269134065292538E-2</c:v>
                </c:pt>
                <c:pt idx="38">
                  <c:v>4.3138659413255766E-2</c:v>
                </c:pt>
                <c:pt idx="39">
                  <c:v>3.4393137913345952E-2</c:v>
                </c:pt>
                <c:pt idx="40">
                  <c:v>2.6995483256594031E-2</c:v>
                </c:pt>
                <c:pt idx="41">
                  <c:v>2.0860492628169306E-2</c:v>
                </c:pt>
                <c:pt idx="42">
                  <c:v>1.5869825917833709E-2</c:v>
                </c:pt>
                <c:pt idx="43">
                  <c:v>1.1885950414956903E-2</c:v>
                </c:pt>
                <c:pt idx="44">
                  <c:v>8.7641502467842702E-3</c:v>
                </c:pt>
                <c:pt idx="45">
                  <c:v>6.3620907984157163E-3</c:v>
                </c:pt>
                <c:pt idx="46">
                  <c:v>4.5467812507955264E-3</c:v>
                </c:pt>
                <c:pt idx="47">
                  <c:v>3.1990601553617782E-3</c:v>
                </c:pt>
                <c:pt idx="48">
                  <c:v>2.2159242059690038E-3</c:v>
                </c:pt>
              </c:numCache>
            </c:numRef>
          </c:val>
          <c:smooth val="0"/>
          <c:extLst>
            <c:ext xmlns:c16="http://schemas.microsoft.com/office/drawing/2014/chart" uri="{C3380CC4-5D6E-409C-BE32-E72D297353CC}">
              <c16:uniqueId val="{00000000-4373-48E9-8335-A7A044160884}"/>
            </c:ext>
          </c:extLst>
        </c:ser>
        <c:dLbls>
          <c:showLegendKey val="0"/>
          <c:showVal val="0"/>
          <c:showCatName val="0"/>
          <c:showSerName val="0"/>
          <c:showPercent val="0"/>
          <c:showBubbleSize val="0"/>
        </c:dLbls>
        <c:smooth val="0"/>
        <c:axId val="178848128"/>
        <c:axId val="178850048"/>
      </c:lineChart>
      <c:catAx>
        <c:axId val="178848128"/>
        <c:scaling>
          <c:orientation val="minMax"/>
        </c:scaling>
        <c:delete val="0"/>
        <c:axPos val="b"/>
        <c:title>
          <c:tx>
            <c:rich>
              <a:bodyPr/>
              <a:lstStyle/>
              <a:p>
                <a:pPr>
                  <a:defRPr sz="2350" b="1" i="0" u="none" strike="noStrike" baseline="0">
                    <a:solidFill>
                      <a:srgbClr val="000000"/>
                    </a:solidFill>
                    <a:latin typeface="Arial"/>
                    <a:ea typeface="Arial"/>
                    <a:cs typeface="Arial"/>
                  </a:defRPr>
                </a:pPr>
                <a:r>
                  <a:rPr lang="de-DE"/>
                  <a:t>x</a:t>
                </a:r>
              </a:p>
            </c:rich>
          </c:tx>
          <c:layout>
            <c:manualLayout>
              <c:xMode val="edge"/>
              <c:yMode val="edge"/>
              <c:x val="0.50785340314136129"/>
              <c:y val="0.8671875"/>
            </c:manualLayout>
          </c:layout>
          <c:overlay val="0"/>
          <c:spPr>
            <a:noFill/>
            <a:ln w="25400">
              <a:noFill/>
            </a:ln>
          </c:spPr>
        </c:title>
        <c:numFmt formatCode="General" sourceLinked="1"/>
        <c:majorTickMark val="out"/>
        <c:minorTickMark val="none"/>
        <c:tickLblPos val="none"/>
        <c:spPr>
          <a:ln w="3175">
            <a:solidFill>
              <a:srgbClr val="000000"/>
            </a:solidFill>
            <a:prstDash val="solid"/>
          </a:ln>
        </c:spPr>
        <c:crossAx val="178850048"/>
        <c:crosses val="autoZero"/>
        <c:auto val="1"/>
        <c:lblAlgn val="ctr"/>
        <c:lblOffset val="100"/>
        <c:tickMarkSkip val="1"/>
        <c:noMultiLvlLbl val="0"/>
      </c:catAx>
      <c:valAx>
        <c:axId val="178850048"/>
        <c:scaling>
          <c:orientation val="minMax"/>
        </c:scaling>
        <c:delete val="0"/>
        <c:axPos val="l"/>
        <c:majorGridlines>
          <c:spPr>
            <a:ln w="3175">
              <a:solidFill>
                <a:srgbClr val="000000"/>
              </a:solidFill>
              <a:prstDash val="solid"/>
            </a:ln>
          </c:spPr>
        </c:majorGridlines>
        <c:title>
          <c:tx>
            <c:rich>
              <a:bodyPr/>
              <a:lstStyle/>
              <a:p>
                <a:pPr>
                  <a:defRPr sz="2350" b="1" i="0" u="none" strike="noStrike" baseline="0">
                    <a:solidFill>
                      <a:srgbClr val="000000"/>
                    </a:solidFill>
                    <a:latin typeface="Arial"/>
                    <a:ea typeface="Arial"/>
                    <a:cs typeface="Arial"/>
                  </a:defRPr>
                </a:pPr>
                <a:r>
                  <a:rPr lang="de-DE"/>
                  <a:t>f(x)</a:t>
                </a:r>
              </a:p>
            </c:rich>
          </c:tx>
          <c:layout>
            <c:manualLayout>
              <c:xMode val="edge"/>
              <c:yMode val="edge"/>
              <c:x val="2.0942408376963352E-2"/>
              <c:y val="0.44335937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de-DE"/>
          </a:p>
        </c:txPr>
        <c:crossAx val="178848128"/>
        <c:crosses val="autoZero"/>
        <c:crossBetween val="between"/>
      </c:valAx>
      <c:spPr>
        <a:noFill/>
        <a:ln w="12700">
          <a:solidFill>
            <a:srgbClr val="808080"/>
          </a:solidFill>
          <a:prstDash val="solid"/>
        </a:ln>
      </c:spPr>
    </c:plotArea>
    <c:legend>
      <c:legendPos val="r"/>
      <c:layout>
        <c:manualLayout>
          <c:xMode val="edge"/>
          <c:yMode val="edge"/>
          <c:x val="0.89179831666386877"/>
          <c:y val="0.48074478298183598"/>
          <c:w val="9.4240918003618224E-2"/>
          <c:h val="5.4448994757611252E-2"/>
        </c:manualLayout>
      </c:layout>
      <c:overlay val="0"/>
      <c:spPr>
        <a:solidFill>
          <a:srgbClr val="FFFFFF"/>
        </a:solidFill>
        <a:ln w="3175">
          <a:solidFill>
            <a:srgbClr val="000000"/>
          </a:solidFill>
          <a:prstDash val="solid"/>
        </a:ln>
      </c:spPr>
      <c:txPr>
        <a:bodyPr/>
        <a:lstStyle/>
        <a:p>
          <a:pPr>
            <a:defRPr sz="108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4</xdr:col>
      <xdr:colOff>65088</xdr:colOff>
      <xdr:row>12</xdr:row>
      <xdr:rowOff>26047</xdr:rowOff>
    </xdr:from>
    <xdr:to>
      <xdr:col>10</xdr:col>
      <xdr:colOff>381000</xdr:colOff>
      <xdr:row>32</xdr:row>
      <xdr:rowOff>174625</xdr:rowOff>
    </xdr:to>
    <xdr:graphicFrame macro="">
      <xdr:nvGraphicFramePr>
        <xdr:cNvPr id="1047" name="Chart 2">
          <a:extLst>
            <a:ext uri="{FF2B5EF4-FFF2-40B4-BE49-F238E27FC236}">
              <a16:creationId xmlns:a16="http://schemas.microsoft.com/office/drawing/2014/main" id="{00000000-0008-0000-0100-000017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307958</xdr:colOff>
      <xdr:row>15</xdr:row>
      <xdr:rowOff>168162</xdr:rowOff>
    </xdr:from>
    <xdr:to>
      <xdr:col>11</xdr:col>
      <xdr:colOff>142858</xdr:colOff>
      <xdr:row>40</xdr:row>
      <xdr:rowOff>130969</xdr:rowOff>
    </xdr:to>
    <xdr:grpSp>
      <xdr:nvGrpSpPr>
        <xdr:cNvPr id="4" name="Gruppieren 3">
          <a:extLst>
            <a:ext uri="{FF2B5EF4-FFF2-40B4-BE49-F238E27FC236}">
              <a16:creationId xmlns:a16="http://schemas.microsoft.com/office/drawing/2014/main" id="{00000000-0008-0000-0200-000004000000}"/>
            </a:ext>
          </a:extLst>
        </xdr:cNvPr>
        <xdr:cNvGrpSpPr/>
      </xdr:nvGrpSpPr>
      <xdr:grpSpPr>
        <a:xfrm>
          <a:off x="2522521" y="3513818"/>
          <a:ext cx="5740400" cy="4725307"/>
          <a:chOff x="2727512" y="1212476"/>
          <a:chExt cx="7351806" cy="5868521"/>
        </a:xfrm>
      </xdr:grpSpPr>
      <xdr:graphicFrame macro="">
        <xdr:nvGraphicFramePr>
          <xdr:cNvPr id="3144" name="Chart 1">
            <a:extLst>
              <a:ext uri="{FF2B5EF4-FFF2-40B4-BE49-F238E27FC236}">
                <a16:creationId xmlns:a16="http://schemas.microsoft.com/office/drawing/2014/main" id="{00000000-0008-0000-0200-0000480C0000}"/>
              </a:ext>
            </a:extLst>
          </xdr:cNvPr>
          <xdr:cNvGraphicFramePr>
            <a:graphicFrameLocks/>
          </xdr:cNvGraphicFramePr>
        </xdr:nvGraphicFramePr>
        <xdr:xfrm>
          <a:off x="2727512" y="1212476"/>
          <a:ext cx="7351806" cy="5868521"/>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 name="Gruppieren 2">
            <a:extLst>
              <a:ext uri="{FF2B5EF4-FFF2-40B4-BE49-F238E27FC236}">
                <a16:creationId xmlns:a16="http://schemas.microsoft.com/office/drawing/2014/main" id="{00000000-0008-0000-0200-000003000000}"/>
              </a:ext>
            </a:extLst>
          </xdr:cNvPr>
          <xdr:cNvGrpSpPr/>
        </xdr:nvGrpSpPr>
        <xdr:grpSpPr>
          <a:xfrm>
            <a:off x="4374403" y="3066846"/>
            <a:ext cx="3548904" cy="3781815"/>
            <a:chOff x="4374403" y="3066846"/>
            <a:chExt cx="3548904" cy="3781815"/>
          </a:xfrm>
        </xdr:grpSpPr>
        <xdr:grpSp>
          <xdr:nvGrpSpPr>
            <xdr:cNvPr id="2" name="Gruppieren 1">
              <a:extLst>
                <a:ext uri="{FF2B5EF4-FFF2-40B4-BE49-F238E27FC236}">
                  <a16:creationId xmlns:a16="http://schemas.microsoft.com/office/drawing/2014/main" id="{00000000-0008-0000-0200-000002000000}"/>
                </a:ext>
              </a:extLst>
            </xdr:cNvPr>
            <xdr:cNvGrpSpPr/>
          </xdr:nvGrpSpPr>
          <xdr:grpSpPr>
            <a:xfrm>
              <a:off x="4374403" y="3066846"/>
              <a:ext cx="3122332" cy="3243560"/>
              <a:chOff x="4374403" y="3066846"/>
              <a:chExt cx="3122332" cy="3243560"/>
            </a:xfrm>
          </xdr:grpSpPr>
          <xdr:sp macro="" textlink="">
            <xdr:nvSpPr>
              <xdr:cNvPr id="3145" name="Line 4">
                <a:extLst>
                  <a:ext uri="{FF2B5EF4-FFF2-40B4-BE49-F238E27FC236}">
                    <a16:creationId xmlns:a16="http://schemas.microsoft.com/office/drawing/2014/main" id="{00000000-0008-0000-0200-0000490C0000}"/>
                  </a:ext>
                </a:extLst>
              </xdr:cNvPr>
              <xdr:cNvSpPr>
                <a:spLocks noChangeShapeType="1"/>
              </xdr:cNvSpPr>
            </xdr:nvSpPr>
            <xdr:spPr bwMode="auto">
              <a:xfrm flipH="1">
                <a:off x="7484035" y="4361703"/>
                <a:ext cx="12700" cy="1948703"/>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46" name="Line 5">
                <a:extLst>
                  <a:ext uri="{FF2B5EF4-FFF2-40B4-BE49-F238E27FC236}">
                    <a16:creationId xmlns:a16="http://schemas.microsoft.com/office/drawing/2014/main" id="{00000000-0008-0000-0200-00004A0C0000}"/>
                  </a:ext>
                </a:extLst>
              </xdr:cNvPr>
              <xdr:cNvSpPr>
                <a:spLocks noChangeShapeType="1"/>
              </xdr:cNvSpPr>
            </xdr:nvSpPr>
            <xdr:spPr bwMode="auto">
              <a:xfrm flipH="1">
                <a:off x="6689165" y="4868209"/>
                <a:ext cx="769470" cy="1209862"/>
              </a:xfrm>
              <a:prstGeom prst="line">
                <a:avLst/>
              </a:prstGeom>
              <a:noFill/>
              <a:ln w="28575">
                <a:solidFill>
                  <a:srgbClr val="FF0000"/>
                </a:solidFill>
                <a:round/>
                <a:headEnd/>
                <a:tailEnd/>
              </a:ln>
              <a:extLst>
                <a:ext uri="{909E8E84-426E-40DD-AFC4-6F175D3DCCD1}">
                  <a14:hiddenFill xmlns:a14="http://schemas.microsoft.com/office/drawing/2010/main">
                    <a:noFill/>
                  </a14:hiddenFill>
                </a:ext>
              </a:extLst>
            </xdr:spPr>
          </xdr:sp>
          <xdr:sp macro="" textlink="">
            <xdr:nvSpPr>
              <xdr:cNvPr id="3147" name="Line 7">
                <a:extLst>
                  <a:ext uri="{FF2B5EF4-FFF2-40B4-BE49-F238E27FC236}">
                    <a16:creationId xmlns:a16="http://schemas.microsoft.com/office/drawing/2014/main" id="{00000000-0008-0000-0200-00004B0C0000}"/>
                  </a:ext>
                </a:extLst>
              </xdr:cNvPr>
              <xdr:cNvSpPr>
                <a:spLocks noChangeShapeType="1"/>
              </xdr:cNvSpPr>
            </xdr:nvSpPr>
            <xdr:spPr bwMode="auto">
              <a:xfrm flipH="1">
                <a:off x="6251014" y="4272804"/>
                <a:ext cx="1169520" cy="1817969"/>
              </a:xfrm>
              <a:prstGeom prst="line">
                <a:avLst/>
              </a:prstGeom>
              <a:noFill/>
              <a:ln w="28575">
                <a:solidFill>
                  <a:srgbClr val="FF0000"/>
                </a:solidFill>
                <a:round/>
                <a:headEnd/>
                <a:tailEnd/>
              </a:ln>
              <a:extLst>
                <a:ext uri="{909E8E84-426E-40DD-AFC4-6F175D3DCCD1}">
                  <a14:hiddenFill xmlns:a14="http://schemas.microsoft.com/office/drawing/2010/main">
                    <a:noFill/>
                  </a14:hiddenFill>
                </a:ext>
              </a:extLst>
            </xdr:spPr>
          </xdr:sp>
          <xdr:sp macro="" textlink="">
            <xdr:nvSpPr>
              <xdr:cNvPr id="3148" name="Line 8">
                <a:extLst>
                  <a:ext uri="{FF2B5EF4-FFF2-40B4-BE49-F238E27FC236}">
                    <a16:creationId xmlns:a16="http://schemas.microsoft.com/office/drawing/2014/main" id="{00000000-0008-0000-0200-00004C0C0000}"/>
                  </a:ext>
                </a:extLst>
              </xdr:cNvPr>
              <xdr:cNvSpPr>
                <a:spLocks noChangeShapeType="1"/>
              </xdr:cNvSpPr>
            </xdr:nvSpPr>
            <xdr:spPr bwMode="auto">
              <a:xfrm flipH="1">
                <a:off x="5779994" y="3766297"/>
                <a:ext cx="1443691" cy="2330824"/>
              </a:xfrm>
              <a:prstGeom prst="line">
                <a:avLst/>
              </a:prstGeom>
              <a:noFill/>
              <a:ln w="28575">
                <a:solidFill>
                  <a:srgbClr val="FF0000"/>
                </a:solidFill>
                <a:round/>
                <a:headEnd/>
                <a:tailEnd/>
              </a:ln>
              <a:extLst>
                <a:ext uri="{909E8E84-426E-40DD-AFC4-6F175D3DCCD1}">
                  <a14:hiddenFill xmlns:a14="http://schemas.microsoft.com/office/drawing/2010/main">
                    <a:noFill/>
                  </a14:hiddenFill>
                </a:ext>
              </a:extLst>
            </xdr:spPr>
          </xdr:sp>
          <xdr:sp macro="" textlink="">
            <xdr:nvSpPr>
              <xdr:cNvPr id="3149" name="Line 9">
                <a:extLst>
                  <a:ext uri="{FF2B5EF4-FFF2-40B4-BE49-F238E27FC236}">
                    <a16:creationId xmlns:a16="http://schemas.microsoft.com/office/drawing/2014/main" id="{00000000-0008-0000-0200-00004D0C0000}"/>
                  </a:ext>
                </a:extLst>
              </xdr:cNvPr>
              <xdr:cNvSpPr>
                <a:spLocks noChangeShapeType="1"/>
              </xdr:cNvSpPr>
            </xdr:nvSpPr>
            <xdr:spPr bwMode="auto">
              <a:xfrm flipH="1">
                <a:off x="5213724" y="3304550"/>
                <a:ext cx="1762311" cy="2794032"/>
              </a:xfrm>
              <a:prstGeom prst="line">
                <a:avLst/>
              </a:prstGeom>
              <a:noFill/>
              <a:ln w="28575">
                <a:solidFill>
                  <a:srgbClr val="FF0000"/>
                </a:solidFill>
                <a:round/>
                <a:headEnd/>
                <a:tailEnd/>
              </a:ln>
              <a:extLst>
                <a:ext uri="{909E8E84-426E-40DD-AFC4-6F175D3DCCD1}">
                  <a14:hiddenFill xmlns:a14="http://schemas.microsoft.com/office/drawing/2010/main">
                    <a:noFill/>
                  </a14:hiddenFill>
                </a:ext>
              </a:extLst>
            </xdr:spPr>
          </xdr:sp>
          <xdr:sp macro="" textlink="">
            <xdr:nvSpPr>
              <xdr:cNvPr id="3150" name="Line 10">
                <a:extLst>
                  <a:ext uri="{FF2B5EF4-FFF2-40B4-BE49-F238E27FC236}">
                    <a16:creationId xmlns:a16="http://schemas.microsoft.com/office/drawing/2014/main" id="{00000000-0008-0000-0200-00004E0C0000}"/>
                  </a:ext>
                </a:extLst>
              </xdr:cNvPr>
              <xdr:cNvSpPr>
                <a:spLocks noChangeShapeType="1"/>
              </xdr:cNvSpPr>
            </xdr:nvSpPr>
            <xdr:spPr bwMode="auto">
              <a:xfrm flipH="1">
                <a:off x="4768739" y="3066846"/>
                <a:ext cx="1958041" cy="3008780"/>
              </a:xfrm>
              <a:prstGeom prst="line">
                <a:avLst/>
              </a:prstGeom>
              <a:noFill/>
              <a:ln w="28575">
                <a:solidFill>
                  <a:srgbClr val="FF0000"/>
                </a:solidFill>
                <a:round/>
                <a:headEnd/>
                <a:tailEnd/>
              </a:ln>
              <a:extLst>
                <a:ext uri="{909E8E84-426E-40DD-AFC4-6F175D3DCCD1}">
                  <a14:hiddenFill xmlns:a14="http://schemas.microsoft.com/office/drawing/2010/main">
                    <a:noFill/>
                  </a14:hiddenFill>
                </a:ext>
              </a:extLst>
            </xdr:spPr>
          </xdr:sp>
          <xdr:sp macro="" textlink="">
            <xdr:nvSpPr>
              <xdr:cNvPr id="3151" name="Line 11">
                <a:extLst>
                  <a:ext uri="{FF2B5EF4-FFF2-40B4-BE49-F238E27FC236}">
                    <a16:creationId xmlns:a16="http://schemas.microsoft.com/office/drawing/2014/main" id="{00000000-0008-0000-0200-00004F0C0000}"/>
                  </a:ext>
                </a:extLst>
              </xdr:cNvPr>
              <xdr:cNvSpPr>
                <a:spLocks noChangeShapeType="1"/>
              </xdr:cNvSpPr>
            </xdr:nvSpPr>
            <xdr:spPr bwMode="auto">
              <a:xfrm flipH="1">
                <a:off x="4374403" y="5982821"/>
                <a:ext cx="107950" cy="114300"/>
              </a:xfrm>
              <a:prstGeom prst="line">
                <a:avLst/>
              </a:prstGeom>
              <a:noFill/>
              <a:ln w="28575">
                <a:solidFill>
                  <a:srgbClr val="FF0000"/>
                </a:solidFill>
                <a:round/>
                <a:headEnd/>
                <a:tailEnd/>
              </a:ln>
              <a:extLst>
                <a:ext uri="{909E8E84-426E-40DD-AFC4-6F175D3DCCD1}">
                  <a14:hiddenFill xmlns:a14="http://schemas.microsoft.com/office/drawing/2010/main">
                    <a:noFill/>
                  </a14:hiddenFill>
                </a:ext>
              </a:extLst>
            </xdr:spPr>
          </xdr:sp>
          <xdr:sp macro="" textlink="">
            <xdr:nvSpPr>
              <xdr:cNvPr id="1039" name="Text Box 15">
                <a:extLst>
                  <a:ext uri="{FF2B5EF4-FFF2-40B4-BE49-F238E27FC236}">
                    <a16:creationId xmlns:a16="http://schemas.microsoft.com/office/drawing/2014/main" id="{00000000-0008-0000-0200-00000F040000}"/>
                  </a:ext>
                </a:extLst>
              </xdr:cNvPr>
              <xdr:cNvSpPr txBox="1">
                <a:spLocks noChangeArrowheads="1"/>
              </xdr:cNvSpPr>
            </xdr:nvSpPr>
            <xdr:spPr bwMode="auto">
              <a:xfrm>
                <a:off x="6209740" y="3992282"/>
                <a:ext cx="685800" cy="1054330"/>
              </a:xfrm>
              <a:prstGeom prst="rect">
                <a:avLst/>
              </a:prstGeom>
              <a:solidFill>
                <a:srgbClr val="FFFFFF">
                  <a:alpha val="0"/>
                </a:srgbClr>
              </a:solidFill>
              <a:ln w="9525">
                <a:noFill/>
                <a:miter lim="800000"/>
                <a:headEnd/>
                <a:tailEnd/>
              </a:ln>
            </xdr:spPr>
            <xdr:txBody>
              <a:bodyPr vertOverflow="clip" wrap="square" lIns="91440" tIns="73152" rIns="0" bIns="0" anchor="t" upright="1"/>
              <a:lstStyle/>
              <a:p>
                <a:pPr algn="l" rtl="0">
                  <a:defRPr sz="1000"/>
                </a:pPr>
                <a:r>
                  <a:rPr lang="el-GR" sz="4800" b="0" i="0" strike="noStrike">
                    <a:solidFill>
                      <a:srgbClr val="FF0000"/>
                    </a:solidFill>
                    <a:latin typeface="Arial"/>
                    <a:cs typeface="Arial"/>
                  </a:rPr>
                  <a:t>α</a:t>
                </a:r>
              </a:p>
            </xdr:txBody>
          </xdr:sp>
          <xdr:sp macro="" textlink="">
            <xdr:nvSpPr>
              <xdr:cNvPr id="3153" name="Line 27">
                <a:extLst>
                  <a:ext uri="{FF2B5EF4-FFF2-40B4-BE49-F238E27FC236}">
                    <a16:creationId xmlns:a16="http://schemas.microsoft.com/office/drawing/2014/main" id="{00000000-0008-0000-0200-0000510C0000}"/>
                  </a:ext>
                </a:extLst>
              </xdr:cNvPr>
              <xdr:cNvSpPr>
                <a:spLocks noChangeShapeType="1"/>
              </xdr:cNvSpPr>
            </xdr:nvSpPr>
            <xdr:spPr bwMode="auto">
              <a:xfrm flipH="1">
                <a:off x="7077145" y="5468985"/>
                <a:ext cx="381000" cy="608106"/>
              </a:xfrm>
              <a:prstGeom prst="line">
                <a:avLst/>
              </a:prstGeom>
              <a:noFill/>
              <a:ln w="28575">
                <a:solidFill>
                  <a:srgbClr val="FF0000"/>
                </a:solidFill>
                <a:round/>
                <a:headEnd/>
                <a:tailEnd/>
              </a:ln>
              <a:extLst>
                <a:ext uri="{909E8E84-426E-40DD-AFC4-6F175D3DCCD1}">
                  <a14:hiddenFill xmlns:a14="http://schemas.microsoft.com/office/drawing/2010/main">
                    <a:noFill/>
                  </a14:hiddenFill>
                </a:ext>
              </a:extLst>
            </xdr:spPr>
          </xdr:sp>
        </xdr:grpSp>
        <mc:AlternateContent xmlns:mc="http://schemas.openxmlformats.org/markup-compatibility/2006">
          <mc:Choice xmlns:a14="http://schemas.microsoft.com/office/drawing/2010/main" Requires="a14">
            <xdr:sp macro="" textlink="">
              <xdr:nvSpPr>
                <xdr:cNvPr id="3083" name="Object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7357036" y="6097121"/>
                  <a:ext cx="566271" cy="751540"/>
                </a:xfrm>
                <a:prstGeom prst="rect">
                  <a:avLst/>
                </a:prstGeom>
                <a:noFill/>
                <a:extLst>
                  <a:ext uri="{909E8E84-426E-40DD-AFC4-6F175D3DCCD1}">
                    <a14:hiddenFill>
                      <a:solidFill>
                        <a:srgbClr val="FFFFFF"/>
                      </a:solidFill>
                    </a14:hiddenFill>
                  </a:ext>
                </a:extLst>
              </xdr:spPr>
            </xdr:sp>
          </mc:Choice>
          <mc:Fallback/>
        </mc:AlternateContent>
      </xdr:grp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image" Target="../media/image1.wmf"/></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
  <sheetViews>
    <sheetView tabSelected="1" zoomScale="80" zoomScaleNormal="80" workbookViewId="0">
      <selection activeCell="B1" sqref="B1"/>
    </sheetView>
  </sheetViews>
  <sheetFormatPr baseColWidth="10" defaultRowHeight="12.75" x14ac:dyDescent="0.2"/>
  <cols>
    <col min="2" max="2" width="5.5703125" customWidth="1"/>
  </cols>
  <sheetData>
    <row r="1" spans="1:21" x14ac:dyDescent="0.2">
      <c r="A1" s="2"/>
      <c r="B1" s="2"/>
      <c r="C1" s="2"/>
      <c r="D1" s="2"/>
      <c r="E1" s="2"/>
      <c r="F1" s="2"/>
      <c r="G1" s="2"/>
      <c r="H1" s="2"/>
      <c r="I1" s="2"/>
      <c r="J1" s="2"/>
      <c r="K1" s="2"/>
    </row>
    <row r="2" spans="1:21" ht="18" x14ac:dyDescent="0.2">
      <c r="A2" s="2"/>
      <c r="B2" s="3" t="s">
        <v>24</v>
      </c>
      <c r="C2" s="4"/>
      <c r="D2" s="4"/>
      <c r="E2" s="4"/>
      <c r="F2" s="4"/>
      <c r="G2" s="4"/>
      <c r="H2" s="4"/>
      <c r="I2" s="4"/>
      <c r="J2" s="5"/>
      <c r="K2" s="2"/>
    </row>
    <row r="3" spans="1:21" ht="20.25" x14ac:dyDescent="0.2">
      <c r="A3" s="2"/>
      <c r="B3" s="6"/>
      <c r="C3" s="7"/>
      <c r="D3" s="7"/>
      <c r="E3" s="7"/>
      <c r="F3" s="7"/>
      <c r="G3" s="7"/>
      <c r="H3" s="7"/>
      <c r="I3" s="7"/>
      <c r="J3" s="8"/>
      <c r="K3" s="2"/>
      <c r="L3" s="108" t="s">
        <v>113</v>
      </c>
      <c r="M3" s="108"/>
      <c r="N3" s="108"/>
      <c r="O3" s="108"/>
      <c r="P3" s="108"/>
      <c r="Q3" s="108"/>
      <c r="R3" s="108"/>
      <c r="S3" s="108"/>
      <c r="T3" s="108"/>
      <c r="U3" s="108"/>
    </row>
    <row r="4" spans="1:21" ht="15.75" x14ac:dyDescent="0.2">
      <c r="A4" s="2"/>
      <c r="B4" s="9" t="s">
        <v>28</v>
      </c>
      <c r="C4" s="10"/>
      <c r="D4" s="10"/>
      <c r="E4" s="10"/>
      <c r="F4" s="10"/>
      <c r="G4" s="10"/>
      <c r="H4" s="10"/>
      <c r="I4" s="7"/>
      <c r="J4" s="8"/>
      <c r="K4" s="2"/>
      <c r="L4" s="108"/>
      <c r="M4" s="108"/>
      <c r="N4" s="108"/>
      <c r="O4" s="108"/>
      <c r="P4" s="108"/>
      <c r="Q4" s="108"/>
      <c r="R4" s="108"/>
      <c r="S4" s="108"/>
      <c r="T4" s="108"/>
      <c r="U4" s="108"/>
    </row>
    <row r="5" spans="1:21" ht="15.75" x14ac:dyDescent="0.25">
      <c r="A5" s="2"/>
      <c r="B5" s="11"/>
      <c r="C5" s="10" t="s">
        <v>30</v>
      </c>
      <c r="D5" s="10"/>
      <c r="E5" s="10"/>
      <c r="F5" s="10"/>
      <c r="G5" s="10"/>
      <c r="H5" s="10"/>
      <c r="I5" s="7"/>
      <c r="J5" s="8"/>
      <c r="K5" s="2"/>
      <c r="L5" s="108"/>
      <c r="M5" s="108"/>
      <c r="N5" s="108"/>
      <c r="O5" s="108"/>
      <c r="P5" s="108"/>
      <c r="Q5" s="108"/>
      <c r="R5" s="108"/>
      <c r="S5" s="108"/>
      <c r="T5" s="108"/>
      <c r="U5" s="108"/>
    </row>
    <row r="6" spans="1:21" ht="15.75" x14ac:dyDescent="0.2">
      <c r="A6" s="2"/>
      <c r="B6" s="9"/>
      <c r="C6" s="10" t="s">
        <v>31</v>
      </c>
      <c r="D6" s="10"/>
      <c r="E6" s="10"/>
      <c r="F6" s="10"/>
      <c r="G6" s="10"/>
      <c r="H6" s="10"/>
      <c r="I6" s="7"/>
      <c r="J6" s="8"/>
      <c r="K6" s="2"/>
      <c r="L6" s="108"/>
      <c r="M6" s="108"/>
      <c r="N6" s="108"/>
      <c r="O6" s="108"/>
      <c r="P6" s="108"/>
      <c r="Q6" s="108"/>
      <c r="R6" s="108"/>
      <c r="S6" s="108"/>
      <c r="T6" s="108"/>
      <c r="U6" s="108"/>
    </row>
    <row r="7" spans="1:21" ht="15.75" x14ac:dyDescent="0.25">
      <c r="A7" s="2"/>
      <c r="B7" s="11"/>
      <c r="C7" s="10"/>
      <c r="D7" s="10"/>
      <c r="E7" s="10"/>
      <c r="F7" s="10"/>
      <c r="G7" s="10"/>
      <c r="H7" s="10"/>
      <c r="I7" s="7"/>
      <c r="J7" s="8"/>
      <c r="K7" s="2"/>
      <c r="L7" s="108"/>
      <c r="M7" s="108"/>
      <c r="N7" s="108"/>
      <c r="O7" s="108"/>
      <c r="P7" s="108"/>
      <c r="Q7" s="108"/>
      <c r="R7" s="108"/>
      <c r="S7" s="108"/>
      <c r="T7" s="108"/>
      <c r="U7" s="108"/>
    </row>
    <row r="8" spans="1:21" ht="15.75" x14ac:dyDescent="0.25">
      <c r="A8" s="2"/>
      <c r="B8" s="11" t="s">
        <v>29</v>
      </c>
      <c r="C8" s="10"/>
      <c r="D8" s="10"/>
      <c r="E8" s="10"/>
      <c r="F8" s="10"/>
      <c r="G8" s="10"/>
      <c r="H8" s="10"/>
      <c r="I8" s="7"/>
      <c r="J8" s="8"/>
      <c r="K8" s="2"/>
      <c r="L8" s="108"/>
      <c r="M8" s="108"/>
      <c r="N8" s="108"/>
      <c r="O8" s="108"/>
      <c r="P8" s="108"/>
      <c r="Q8" s="108"/>
      <c r="R8" s="108"/>
      <c r="S8" s="108"/>
      <c r="T8" s="108"/>
      <c r="U8" s="108"/>
    </row>
    <row r="9" spans="1:21" ht="15.75" x14ac:dyDescent="0.25">
      <c r="A9" s="2"/>
      <c r="B9" s="11"/>
      <c r="C9" s="10"/>
      <c r="D9" s="10"/>
      <c r="E9" s="10"/>
      <c r="F9" s="10"/>
      <c r="G9" s="10"/>
      <c r="H9" s="10"/>
      <c r="I9" s="7"/>
      <c r="J9" s="8"/>
      <c r="K9" s="2"/>
      <c r="L9" s="108"/>
      <c r="M9" s="108"/>
      <c r="N9" s="108"/>
      <c r="O9" s="108"/>
      <c r="P9" s="108"/>
      <c r="Q9" s="108"/>
      <c r="R9" s="108"/>
      <c r="S9" s="108"/>
      <c r="T9" s="108"/>
      <c r="U9" s="108"/>
    </row>
    <row r="10" spans="1:21" ht="15.75" x14ac:dyDescent="0.25">
      <c r="A10" s="2"/>
      <c r="B10" s="11" t="s">
        <v>32</v>
      </c>
      <c r="C10" s="10"/>
      <c r="D10" s="10"/>
      <c r="E10" s="10"/>
      <c r="F10" s="10"/>
      <c r="G10" s="10"/>
      <c r="H10" s="10"/>
      <c r="I10" s="7"/>
      <c r="J10" s="8"/>
      <c r="K10" s="2"/>
      <c r="L10" s="108"/>
      <c r="M10" s="108"/>
      <c r="N10" s="108"/>
      <c r="O10" s="108"/>
      <c r="P10" s="108"/>
      <c r="Q10" s="108"/>
      <c r="R10" s="108"/>
      <c r="S10" s="108"/>
      <c r="T10" s="108"/>
      <c r="U10" s="108"/>
    </row>
    <row r="11" spans="1:21" ht="15.75" x14ac:dyDescent="0.25">
      <c r="A11" s="2"/>
      <c r="B11" s="11"/>
      <c r="C11" s="10"/>
      <c r="D11" s="10"/>
      <c r="E11" s="10"/>
      <c r="F11" s="10"/>
      <c r="G11" s="10"/>
      <c r="H11" s="10"/>
      <c r="I11" s="7"/>
      <c r="J11" s="8"/>
      <c r="K11" s="2"/>
      <c r="L11" s="108"/>
      <c r="M11" s="108"/>
      <c r="N11" s="108"/>
      <c r="O11" s="108"/>
      <c r="P11" s="108"/>
      <c r="Q11" s="108"/>
      <c r="R11" s="108"/>
      <c r="S11" s="108"/>
      <c r="T11" s="108"/>
      <c r="U11" s="108"/>
    </row>
    <row r="12" spans="1:21" ht="15.75" x14ac:dyDescent="0.25">
      <c r="A12" s="2"/>
      <c r="B12" s="11"/>
      <c r="C12" s="10"/>
      <c r="D12" s="10"/>
      <c r="E12" s="10"/>
      <c r="F12" s="10"/>
      <c r="G12" s="10"/>
      <c r="H12" s="10"/>
      <c r="I12" s="7"/>
      <c r="J12" s="8"/>
      <c r="K12" s="2"/>
      <c r="L12" s="108"/>
      <c r="M12" s="108"/>
      <c r="N12" s="108"/>
      <c r="O12" s="108"/>
      <c r="P12" s="108"/>
      <c r="Q12" s="108"/>
      <c r="R12" s="108"/>
      <c r="S12" s="108"/>
      <c r="T12" s="108"/>
      <c r="U12" s="108"/>
    </row>
    <row r="13" spans="1:21" ht="15.75" x14ac:dyDescent="0.25">
      <c r="A13" s="2"/>
      <c r="B13" s="11"/>
      <c r="C13" s="10"/>
      <c r="D13" s="10"/>
      <c r="E13" s="10"/>
      <c r="F13" s="10"/>
      <c r="G13" s="10"/>
      <c r="H13" s="10"/>
      <c r="I13" s="7"/>
      <c r="J13" s="8"/>
      <c r="K13" s="2"/>
      <c r="L13" s="108"/>
      <c r="M13" s="108"/>
      <c r="N13" s="108"/>
      <c r="O13" s="108"/>
      <c r="P13" s="108"/>
      <c r="Q13" s="108"/>
      <c r="R13" s="108"/>
      <c r="S13" s="108"/>
      <c r="T13" s="108"/>
      <c r="U13" s="108"/>
    </row>
    <row r="14" spans="1:21" ht="15.75" x14ac:dyDescent="0.25">
      <c r="A14" s="2"/>
      <c r="B14" s="11"/>
      <c r="C14" s="10"/>
      <c r="D14" s="10"/>
      <c r="E14" s="10"/>
      <c r="F14" s="10"/>
      <c r="G14" s="10"/>
      <c r="H14" s="10"/>
      <c r="I14" s="7"/>
      <c r="J14" s="8"/>
      <c r="K14" s="2"/>
      <c r="L14" s="108"/>
      <c r="M14" s="108"/>
      <c r="N14" s="108"/>
      <c r="O14" s="108"/>
      <c r="P14" s="108"/>
      <c r="Q14" s="108"/>
      <c r="R14" s="108"/>
      <c r="S14" s="108"/>
      <c r="T14" s="108"/>
      <c r="U14" s="108"/>
    </row>
    <row r="15" spans="1:21" x14ac:dyDescent="0.2">
      <c r="A15" s="2"/>
      <c r="B15" s="12"/>
      <c r="C15" s="7"/>
      <c r="D15" s="7"/>
      <c r="E15" s="7"/>
      <c r="F15" s="7"/>
      <c r="G15" s="7"/>
      <c r="H15" s="7"/>
      <c r="I15" s="7"/>
      <c r="J15" s="8"/>
      <c r="K15" s="2"/>
      <c r="L15" s="108"/>
      <c r="M15" s="108"/>
      <c r="N15" s="108"/>
      <c r="O15" s="108"/>
      <c r="P15" s="108"/>
      <c r="Q15" s="108"/>
      <c r="R15" s="108"/>
      <c r="S15" s="108"/>
      <c r="T15" s="108"/>
      <c r="U15" s="108"/>
    </row>
    <row r="16" spans="1:21" x14ac:dyDescent="0.2">
      <c r="A16" s="2"/>
      <c r="B16" s="12"/>
      <c r="C16" s="7"/>
      <c r="D16" s="7"/>
      <c r="E16" s="7"/>
      <c r="F16" s="7"/>
      <c r="G16" s="7"/>
      <c r="H16" s="7"/>
      <c r="I16" s="7"/>
      <c r="J16" s="8"/>
      <c r="K16" s="2"/>
      <c r="L16" s="108"/>
      <c r="M16" s="108"/>
      <c r="N16" s="108"/>
      <c r="O16" s="108"/>
      <c r="P16" s="108"/>
      <c r="Q16" s="108"/>
      <c r="R16" s="108"/>
      <c r="S16" s="108"/>
      <c r="T16" s="108"/>
      <c r="U16" s="108"/>
    </row>
    <row r="17" spans="1:21" ht="18" x14ac:dyDescent="0.2">
      <c r="A17" s="2"/>
      <c r="B17" s="13" t="s">
        <v>25</v>
      </c>
      <c r="C17" s="14"/>
      <c r="D17" s="14"/>
      <c r="E17" s="14"/>
      <c r="F17" s="14"/>
      <c r="G17" s="14"/>
      <c r="H17" s="14"/>
      <c r="I17" s="14"/>
      <c r="J17" s="15"/>
      <c r="K17" s="2"/>
      <c r="L17" s="108"/>
      <c r="M17" s="108"/>
      <c r="N17" s="108"/>
      <c r="O17" s="108"/>
      <c r="P17" s="108"/>
      <c r="Q17" s="108"/>
      <c r="R17" s="108"/>
      <c r="S17" s="108"/>
      <c r="T17" s="108"/>
      <c r="U17" s="108"/>
    </row>
    <row r="18" spans="1:21" ht="15.75" x14ac:dyDescent="0.2">
      <c r="A18" s="2"/>
      <c r="B18" s="12"/>
      <c r="C18" s="16" t="s">
        <v>26</v>
      </c>
      <c r="D18" s="7"/>
      <c r="E18" s="7"/>
      <c r="F18" s="7"/>
      <c r="G18" s="7"/>
      <c r="H18" s="7"/>
      <c r="I18" s="7"/>
      <c r="J18" s="8"/>
      <c r="K18" s="2"/>
      <c r="L18" s="108"/>
      <c r="M18" s="108"/>
      <c r="N18" s="108"/>
      <c r="O18" s="108"/>
      <c r="P18" s="108"/>
      <c r="Q18" s="108"/>
      <c r="R18" s="108"/>
      <c r="S18" s="108"/>
      <c r="T18" s="108"/>
      <c r="U18" s="108"/>
    </row>
    <row r="19" spans="1:21" ht="15.75" x14ac:dyDescent="0.2">
      <c r="A19" s="2"/>
      <c r="B19" s="12"/>
      <c r="C19" s="16" t="s">
        <v>27</v>
      </c>
      <c r="D19" s="7"/>
      <c r="E19" s="7"/>
      <c r="F19" s="7"/>
      <c r="G19" s="7"/>
      <c r="H19" s="7"/>
      <c r="I19" s="7"/>
      <c r="J19" s="8"/>
      <c r="K19" s="2"/>
    </row>
    <row r="20" spans="1:21" ht="15.75" x14ac:dyDescent="0.2">
      <c r="A20" s="2"/>
      <c r="B20" s="12"/>
      <c r="C20" s="16" t="s">
        <v>32</v>
      </c>
      <c r="D20" s="7"/>
      <c r="E20" s="7"/>
      <c r="F20" s="7"/>
      <c r="G20" s="7"/>
      <c r="H20" s="7"/>
      <c r="I20" s="7"/>
      <c r="J20" s="8"/>
      <c r="K20" s="2"/>
    </row>
    <row r="21" spans="1:21" ht="15.75" x14ac:dyDescent="0.2">
      <c r="A21" s="2"/>
      <c r="B21" s="12"/>
      <c r="C21" s="16" t="s">
        <v>33</v>
      </c>
      <c r="D21" s="7"/>
      <c r="E21" s="7"/>
      <c r="F21" s="7"/>
      <c r="G21" s="7"/>
      <c r="H21" s="7"/>
      <c r="I21" s="7"/>
      <c r="J21" s="8"/>
      <c r="K21" s="2"/>
    </row>
    <row r="22" spans="1:21" ht="15.75" x14ac:dyDescent="0.2">
      <c r="A22" s="2"/>
      <c r="B22" s="12"/>
      <c r="C22" s="16" t="s">
        <v>34</v>
      </c>
      <c r="D22" s="7"/>
      <c r="E22" s="7"/>
      <c r="F22" s="7"/>
      <c r="G22" s="7"/>
      <c r="H22" s="7"/>
      <c r="I22" s="7"/>
      <c r="J22" s="8"/>
      <c r="K22" s="2"/>
    </row>
    <row r="23" spans="1:21" ht="15.75" x14ac:dyDescent="0.2">
      <c r="A23" s="2"/>
      <c r="B23" s="12"/>
      <c r="C23" s="16"/>
      <c r="D23" s="7"/>
      <c r="E23" s="7"/>
      <c r="F23" s="7"/>
      <c r="G23" s="7"/>
      <c r="H23" s="7"/>
      <c r="I23" s="7"/>
      <c r="J23" s="8"/>
      <c r="K23" s="2"/>
    </row>
    <row r="24" spans="1:21" ht="15.75" x14ac:dyDescent="0.2">
      <c r="A24" s="2"/>
      <c r="B24" s="12"/>
      <c r="C24" s="16"/>
      <c r="D24" s="7"/>
      <c r="E24" s="7"/>
      <c r="F24" s="7"/>
      <c r="G24" s="7"/>
      <c r="H24" s="7"/>
      <c r="I24" s="7"/>
      <c r="J24" s="8"/>
      <c r="K24" s="2"/>
    </row>
    <row r="25" spans="1:21" ht="15.75" x14ac:dyDescent="0.2">
      <c r="A25" s="2"/>
      <c r="B25" s="12"/>
      <c r="C25" s="16"/>
      <c r="D25" s="7"/>
      <c r="E25" s="7"/>
      <c r="F25" s="7"/>
      <c r="G25" s="7"/>
      <c r="H25" s="7"/>
      <c r="I25" s="7"/>
      <c r="J25" s="8"/>
      <c r="K25" s="2"/>
    </row>
    <row r="26" spans="1:21" ht="15.75" x14ac:dyDescent="0.2">
      <c r="A26" s="2"/>
      <c r="B26" s="12"/>
      <c r="C26" s="16"/>
      <c r="D26" s="7"/>
      <c r="E26" s="7"/>
      <c r="F26" s="7"/>
      <c r="G26" s="7"/>
      <c r="H26" s="7"/>
      <c r="I26" s="7"/>
      <c r="J26" s="8"/>
      <c r="K26" s="2"/>
    </row>
    <row r="27" spans="1:21" ht="15.75" x14ac:dyDescent="0.2">
      <c r="A27" s="2"/>
      <c r="B27" s="17"/>
      <c r="C27" s="18"/>
      <c r="D27" s="19"/>
      <c r="E27" s="19"/>
      <c r="F27" s="19"/>
      <c r="G27" s="19"/>
      <c r="H27" s="19"/>
      <c r="I27" s="19"/>
      <c r="J27" s="20"/>
      <c r="K27" s="2"/>
    </row>
    <row r="28" spans="1:21" x14ac:dyDescent="0.2">
      <c r="A28" s="2"/>
      <c r="B28" s="2"/>
      <c r="C28" s="2"/>
      <c r="D28" s="2"/>
      <c r="E28" s="2"/>
      <c r="F28" s="2"/>
      <c r="G28" s="2"/>
      <c r="H28" s="2"/>
      <c r="I28" s="2"/>
      <c r="J28" s="2"/>
      <c r="K28" s="2"/>
    </row>
    <row r="29" spans="1:21" x14ac:dyDescent="0.2">
      <c r="A29" s="2"/>
      <c r="B29" s="2"/>
      <c r="C29" s="2"/>
      <c r="D29" s="2"/>
      <c r="E29" s="2"/>
      <c r="F29" s="2"/>
      <c r="G29" s="2"/>
      <c r="H29" s="2"/>
      <c r="I29" s="2"/>
      <c r="J29" s="2"/>
      <c r="K29" s="2"/>
    </row>
  </sheetData>
  <mergeCells count="1">
    <mergeCell ref="L3:U18"/>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35"/>
  <sheetViews>
    <sheetView zoomScale="80" zoomScaleNormal="80" workbookViewId="0">
      <selection activeCell="B1" sqref="B1"/>
    </sheetView>
  </sheetViews>
  <sheetFormatPr baseColWidth="10" defaultColWidth="10.85546875" defaultRowHeight="15" x14ac:dyDescent="0.2"/>
  <cols>
    <col min="1" max="3" width="10.85546875" style="21" customWidth="1"/>
    <col min="4" max="4" width="12.7109375" style="21" customWidth="1"/>
    <col min="5" max="7" width="10.85546875" style="21" customWidth="1"/>
    <col min="8" max="16384" width="10.85546875" style="21"/>
  </cols>
  <sheetData>
    <row r="2" spans="2:6" ht="20.25" x14ac:dyDescent="0.3">
      <c r="B2" s="22" t="s">
        <v>35</v>
      </c>
      <c r="C2" s="23"/>
      <c r="D2" s="23"/>
      <c r="E2" s="23"/>
      <c r="F2" s="23"/>
    </row>
    <row r="3" spans="2:6" ht="20.25" x14ac:dyDescent="0.3">
      <c r="B3" s="22" t="s">
        <v>36</v>
      </c>
      <c r="C3" s="23"/>
      <c r="D3" s="23"/>
      <c r="E3" s="23"/>
      <c r="F3" s="23"/>
    </row>
    <row r="5" spans="2:6" ht="16.5" thickBot="1" x14ac:dyDescent="0.3">
      <c r="B5" s="109" t="s">
        <v>37</v>
      </c>
      <c r="C5" s="109"/>
      <c r="D5" s="109"/>
      <c r="E5" s="1"/>
      <c r="F5" s="1"/>
    </row>
    <row r="6" spans="2:6" ht="15.75" thickBot="1" x14ac:dyDescent="0.25">
      <c r="B6" s="21" t="s">
        <v>38</v>
      </c>
      <c r="C6" s="110" t="s">
        <v>39</v>
      </c>
      <c r="D6" s="111"/>
      <c r="E6" s="25">
        <v>2</v>
      </c>
    </row>
    <row r="7" spans="2:6" ht="15.75" thickBot="1" x14ac:dyDescent="0.25">
      <c r="C7" s="112" t="s">
        <v>40</v>
      </c>
      <c r="D7" s="113"/>
      <c r="E7" s="24">
        <v>0.33</v>
      </c>
    </row>
    <row r="8" spans="2:6" ht="15.75" thickBot="1" x14ac:dyDescent="0.25"/>
    <row r="9" spans="2:6" ht="31.5" customHeight="1" thickBot="1" x14ac:dyDescent="0.25">
      <c r="C9" s="36" t="s">
        <v>41</v>
      </c>
      <c r="D9" s="37" t="s">
        <v>42</v>
      </c>
    </row>
    <row r="10" spans="2:6" ht="16.5" thickBot="1" x14ac:dyDescent="0.3">
      <c r="B10" s="33" t="s">
        <v>0</v>
      </c>
      <c r="C10" s="34" t="s">
        <v>3</v>
      </c>
      <c r="D10" s="35" t="s">
        <v>4</v>
      </c>
    </row>
    <row r="11" spans="2:6" x14ac:dyDescent="0.2">
      <c r="B11" s="27">
        <v>0.8</v>
      </c>
      <c r="C11" s="26">
        <f>_xlfn.NORM.DIST(B11,$E$6,$E$7,)</f>
        <v>1.6256522540663446E-3</v>
      </c>
      <c r="D11" s="28">
        <f>_xlfn.NORM.DIST(B11,$E$6,$E$7,1)</f>
        <v>1.3825695781905751E-4</v>
      </c>
    </row>
    <row r="12" spans="2:6" x14ac:dyDescent="0.2">
      <c r="B12" s="27">
        <v>0.9</v>
      </c>
      <c r="C12" s="26">
        <f t="shared" ref="C12:C35" si="0">_xlfn.NORM.DIST(B12,$E$6,$E$7,)</f>
        <v>4.6735727160336525E-3</v>
      </c>
      <c r="D12" s="28">
        <f t="shared" ref="D12:D35" si="1">_xlfn.NORM.DIST(B12,$E$6,$E$7,1)</f>
        <v>4.2906033319683703E-4</v>
      </c>
    </row>
    <row r="13" spans="2:6" x14ac:dyDescent="0.2">
      <c r="B13" s="27">
        <v>1</v>
      </c>
      <c r="C13" s="26">
        <f t="shared" si="0"/>
        <v>1.2257170866322659E-2</v>
      </c>
      <c r="D13" s="28">
        <f t="shared" si="1"/>
        <v>1.2215424135802525E-3</v>
      </c>
    </row>
    <row r="14" spans="2:6" x14ac:dyDescent="0.2">
      <c r="B14" s="27">
        <v>1.1000000000000001</v>
      </c>
      <c r="C14" s="26">
        <f t="shared" si="0"/>
        <v>2.9325900622606083E-2</v>
      </c>
      <c r="D14" s="28">
        <f t="shared" si="1"/>
        <v>3.1930116413535284E-3</v>
      </c>
    </row>
    <row r="15" spans="2:6" x14ac:dyDescent="0.2">
      <c r="B15" s="27">
        <v>1.2</v>
      </c>
      <c r="C15" s="26">
        <f t="shared" si="0"/>
        <v>6.4007720221826478E-2</v>
      </c>
      <c r="D15" s="28">
        <f t="shared" si="1"/>
        <v>7.6701806207409512E-3</v>
      </c>
    </row>
    <row r="16" spans="2:6" x14ac:dyDescent="0.2">
      <c r="B16" s="27">
        <v>1.3</v>
      </c>
      <c r="C16" s="26">
        <f t="shared" si="0"/>
        <v>0.12744806378007634</v>
      </c>
      <c r="D16" s="28">
        <f t="shared" si="1"/>
        <v>1.6951977840391499E-2</v>
      </c>
    </row>
    <row r="17" spans="2:4" x14ac:dyDescent="0.2">
      <c r="B17" s="27">
        <v>1.4</v>
      </c>
      <c r="C17" s="26">
        <f t="shared" si="0"/>
        <v>0.2315016054092931</v>
      </c>
      <c r="D17" s="28">
        <f t="shared" si="1"/>
        <v>3.45181739972076E-2</v>
      </c>
    </row>
    <row r="18" spans="2:4" x14ac:dyDescent="0.2">
      <c r="B18" s="27">
        <v>1.5</v>
      </c>
      <c r="C18" s="26">
        <f t="shared" si="0"/>
        <v>0.38361418209103548</v>
      </c>
      <c r="D18" s="28">
        <f t="shared" si="1"/>
        <v>6.4867019147334434E-2</v>
      </c>
    </row>
    <row r="19" spans="2:4" x14ac:dyDescent="0.2">
      <c r="B19" s="27">
        <v>1.6</v>
      </c>
      <c r="C19" s="26">
        <f t="shared" si="0"/>
        <v>0.57990277133688217</v>
      </c>
      <c r="D19" s="28">
        <f t="shared" si="1"/>
        <v>0.11273299250225365</v>
      </c>
    </row>
    <row r="20" spans="2:4" x14ac:dyDescent="0.2">
      <c r="B20" s="27">
        <v>1.7</v>
      </c>
      <c r="C20" s="26">
        <f t="shared" si="0"/>
        <v>0.7997156522537272</v>
      </c>
      <c r="D20" s="28">
        <f t="shared" si="1"/>
        <v>0.18165107044344891</v>
      </c>
    </row>
    <row r="21" spans="2:4" x14ac:dyDescent="0.2">
      <c r="B21" s="27">
        <v>1.8</v>
      </c>
      <c r="C21" s="26">
        <f t="shared" si="0"/>
        <v>1.0060878181060859</v>
      </c>
      <c r="D21" s="28">
        <f t="shared" si="1"/>
        <v>0.27223725448150549</v>
      </c>
    </row>
    <row r="22" spans="2:4" x14ac:dyDescent="0.2">
      <c r="B22" s="27">
        <v>1.9</v>
      </c>
      <c r="C22" s="26">
        <f t="shared" si="0"/>
        <v>1.1546651736923388</v>
      </c>
      <c r="D22" s="28">
        <f t="shared" si="1"/>
        <v>0.38093338409412381</v>
      </c>
    </row>
    <row r="23" spans="2:4" x14ac:dyDescent="0.2">
      <c r="B23" s="27">
        <v>2</v>
      </c>
      <c r="C23" s="26">
        <f t="shared" si="0"/>
        <v>1.2089160012164628</v>
      </c>
      <c r="D23" s="28">
        <f t="shared" si="1"/>
        <v>0.5</v>
      </c>
    </row>
    <row r="24" spans="2:4" x14ac:dyDescent="0.2">
      <c r="B24" s="27">
        <v>2.1</v>
      </c>
      <c r="C24" s="26">
        <f t="shared" si="0"/>
        <v>1.1546651736923388</v>
      </c>
      <c r="D24" s="28">
        <f t="shared" si="1"/>
        <v>0.61906661590587619</v>
      </c>
    </row>
    <row r="25" spans="2:4" x14ac:dyDescent="0.2">
      <c r="B25" s="27">
        <v>2.2000000000000002</v>
      </c>
      <c r="C25" s="26">
        <f t="shared" si="0"/>
        <v>1.0060878181060857</v>
      </c>
      <c r="D25" s="28">
        <f t="shared" si="1"/>
        <v>0.72776274551849474</v>
      </c>
    </row>
    <row r="26" spans="2:4" x14ac:dyDescent="0.2">
      <c r="B26" s="27">
        <v>2.2999999999999998</v>
      </c>
      <c r="C26" s="26">
        <f t="shared" si="0"/>
        <v>0.79971565225372765</v>
      </c>
      <c r="D26" s="28">
        <f t="shared" si="1"/>
        <v>0.81834892955655092</v>
      </c>
    </row>
    <row r="27" spans="2:4" x14ac:dyDescent="0.2">
      <c r="B27" s="27">
        <v>2.4</v>
      </c>
      <c r="C27" s="26">
        <f t="shared" si="0"/>
        <v>0.57990277133688217</v>
      </c>
      <c r="D27" s="28">
        <f t="shared" si="1"/>
        <v>0.88726700749774634</v>
      </c>
    </row>
    <row r="28" spans="2:4" x14ac:dyDescent="0.2">
      <c r="B28" s="27">
        <v>2.5</v>
      </c>
      <c r="C28" s="26">
        <f t="shared" si="0"/>
        <v>0.38361418209103548</v>
      </c>
      <c r="D28" s="28">
        <f t="shared" si="1"/>
        <v>0.93513298085266561</v>
      </c>
    </row>
    <row r="29" spans="2:4" x14ac:dyDescent="0.2">
      <c r="B29" s="27">
        <v>2.6</v>
      </c>
      <c r="C29" s="26">
        <f t="shared" si="0"/>
        <v>0.2315016054092931</v>
      </c>
      <c r="D29" s="28">
        <f t="shared" si="1"/>
        <v>0.96548182600279242</v>
      </c>
    </row>
    <row r="30" spans="2:4" x14ac:dyDescent="0.2">
      <c r="B30" s="27">
        <v>2.7</v>
      </c>
      <c r="C30" s="26">
        <f t="shared" si="0"/>
        <v>0.1274480637800762</v>
      </c>
      <c r="D30" s="28">
        <f t="shared" si="1"/>
        <v>0.98304802215960851</v>
      </c>
    </row>
    <row r="31" spans="2:4" x14ac:dyDescent="0.2">
      <c r="B31" s="27">
        <v>2.8</v>
      </c>
      <c r="C31" s="26">
        <f t="shared" si="0"/>
        <v>6.4007720221826617E-2</v>
      </c>
      <c r="D31" s="28">
        <f t="shared" si="1"/>
        <v>0.99232981937925901</v>
      </c>
    </row>
    <row r="32" spans="2:4" x14ac:dyDescent="0.2">
      <c r="B32" s="27">
        <v>2.9</v>
      </c>
      <c r="C32" s="26">
        <f t="shared" si="0"/>
        <v>2.9325900622606083E-2</v>
      </c>
      <c r="D32" s="28">
        <f t="shared" si="1"/>
        <v>0.99680698835864645</v>
      </c>
    </row>
    <row r="33" spans="2:4" x14ac:dyDescent="0.2">
      <c r="B33" s="27">
        <v>3</v>
      </c>
      <c r="C33" s="26">
        <f t="shared" si="0"/>
        <v>1.2257170866322659E-2</v>
      </c>
      <c r="D33" s="28">
        <f t="shared" si="1"/>
        <v>0.9987784575864197</v>
      </c>
    </row>
    <row r="34" spans="2:4" x14ac:dyDescent="0.2">
      <c r="B34" s="27">
        <v>3.1</v>
      </c>
      <c r="C34" s="26">
        <f t="shared" si="0"/>
        <v>4.6735727160336525E-3</v>
      </c>
      <c r="D34" s="28">
        <f t="shared" si="1"/>
        <v>0.99957093966680322</v>
      </c>
    </row>
    <row r="35" spans="2:4" ht="15.75" thickBot="1" x14ac:dyDescent="0.25">
      <c r="B35" s="29">
        <v>3.2</v>
      </c>
      <c r="C35" s="30">
        <f t="shared" si="0"/>
        <v>1.625652254066342E-3</v>
      </c>
      <c r="D35" s="31">
        <f t="shared" si="1"/>
        <v>0.99986174304218089</v>
      </c>
    </row>
  </sheetData>
  <mergeCells count="3">
    <mergeCell ref="B5:D5"/>
    <mergeCell ref="C6:D6"/>
    <mergeCell ref="C7:D7"/>
  </mergeCells>
  <phoneticPr fontId="2" type="noConversion"/>
  <pageMargins left="0.78740157499999996" right="0.78740157499999996" top="0.984251969" bottom="0.984251969" header="0.4921259845" footer="0.4921259845"/>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61"/>
  <sheetViews>
    <sheetView zoomScale="80" zoomScaleNormal="80" workbookViewId="0">
      <selection activeCell="B1" sqref="B1"/>
    </sheetView>
  </sheetViews>
  <sheetFormatPr baseColWidth="10" defaultColWidth="10.85546875" defaultRowHeight="15" x14ac:dyDescent="0.2"/>
  <cols>
    <col min="1" max="16" width="11" style="21" customWidth="1"/>
    <col min="17" max="16384" width="10.85546875" style="21"/>
  </cols>
  <sheetData>
    <row r="2" spans="2:10" ht="23.25" x14ac:dyDescent="0.4">
      <c r="B2" s="38" t="s">
        <v>44</v>
      </c>
      <c r="C2" s="23"/>
      <c r="D2" s="23"/>
      <c r="E2" s="23"/>
      <c r="F2" s="23"/>
      <c r="G2" s="23"/>
    </row>
    <row r="3" spans="2:10" ht="15.75" x14ac:dyDescent="0.25">
      <c r="F3" s="1"/>
    </row>
    <row r="4" spans="2:10" ht="15.75" x14ac:dyDescent="0.25">
      <c r="F4" s="1"/>
    </row>
    <row r="5" spans="2:10" ht="31.9" customHeight="1" x14ac:dyDescent="0.2">
      <c r="B5" s="116" t="s">
        <v>45</v>
      </c>
      <c r="C5" s="116"/>
      <c r="D5" s="116"/>
      <c r="E5" s="116"/>
      <c r="F5" s="116"/>
      <c r="G5" s="116"/>
      <c r="H5" s="116"/>
      <c r="I5" s="116"/>
      <c r="J5" s="116"/>
    </row>
    <row r="6" spans="2:10" ht="19.5" x14ac:dyDescent="0.35">
      <c r="B6" s="117" t="s">
        <v>43</v>
      </c>
      <c r="C6" s="117"/>
      <c r="D6" s="117"/>
      <c r="E6" s="117"/>
      <c r="F6" s="117"/>
      <c r="G6" s="117"/>
      <c r="H6" s="117"/>
      <c r="I6" s="47"/>
      <c r="J6" s="47"/>
    </row>
    <row r="7" spans="2:10" ht="15.75" x14ac:dyDescent="0.25">
      <c r="B7" s="47"/>
      <c r="C7" s="47"/>
      <c r="D7" s="47"/>
      <c r="E7" s="47"/>
      <c r="F7" s="48"/>
      <c r="G7" s="47"/>
      <c r="H7" s="47"/>
      <c r="I7" s="47"/>
      <c r="J7" s="47"/>
    </row>
    <row r="8" spans="2:10" x14ac:dyDescent="0.2">
      <c r="B8" s="117" t="s">
        <v>21</v>
      </c>
      <c r="C8" s="117"/>
      <c r="D8" s="117"/>
      <c r="E8" s="117"/>
      <c r="F8" s="117"/>
      <c r="G8" s="117"/>
      <c r="H8" s="117"/>
      <c r="I8" s="117"/>
      <c r="J8" s="117"/>
    </row>
    <row r="9" spans="2:10" x14ac:dyDescent="0.2">
      <c r="B9" s="118" t="s">
        <v>46</v>
      </c>
      <c r="C9" s="118"/>
      <c r="D9" s="118"/>
      <c r="E9" s="118"/>
      <c r="F9" s="118"/>
      <c r="G9" s="118"/>
      <c r="H9" s="118"/>
      <c r="I9" s="118"/>
      <c r="J9" s="118"/>
    </row>
    <row r="10" spans="2:10" ht="16.5" thickBot="1" x14ac:dyDescent="0.3">
      <c r="F10" s="1"/>
    </row>
    <row r="11" spans="2:10" ht="16.5" thickBot="1" x14ac:dyDescent="0.3">
      <c r="B11" s="114" t="s">
        <v>19</v>
      </c>
      <c r="C11" s="115"/>
    </row>
    <row r="12" spans="2:10" ht="16.5" thickBot="1" x14ac:dyDescent="0.3">
      <c r="B12" s="33" t="s">
        <v>0</v>
      </c>
      <c r="C12" s="46" t="s">
        <v>20</v>
      </c>
    </row>
    <row r="13" spans="2:10" x14ac:dyDescent="0.2">
      <c r="B13" s="40">
        <v>-2</v>
      </c>
      <c r="C13" s="43">
        <f>_xlfn.NORM.DIST(B13,4,2,)</f>
        <v>2.2159242059690038E-3</v>
      </c>
    </row>
    <row r="14" spans="2:10" x14ac:dyDescent="0.2">
      <c r="B14" s="40">
        <v>-1.75</v>
      </c>
      <c r="C14" s="43">
        <f t="shared" ref="C14:C61" si="0">_xlfn.NORM.DIST(B14,4,2,)</f>
        <v>3.1990601553617782E-3</v>
      </c>
    </row>
    <row r="15" spans="2:10" x14ac:dyDescent="0.2">
      <c r="B15" s="40">
        <v>-1.5</v>
      </c>
      <c r="C15" s="43">
        <f t="shared" si="0"/>
        <v>4.5467812507955264E-3</v>
      </c>
    </row>
    <row r="16" spans="2:10" x14ac:dyDescent="0.2">
      <c r="B16" s="40">
        <v>-1.25</v>
      </c>
      <c r="C16" s="43">
        <f t="shared" si="0"/>
        <v>6.3620907984157163E-3</v>
      </c>
    </row>
    <row r="17" spans="2:3" x14ac:dyDescent="0.2">
      <c r="B17" s="40">
        <v>-1</v>
      </c>
      <c r="C17" s="43">
        <f t="shared" si="0"/>
        <v>8.7641502467842702E-3</v>
      </c>
    </row>
    <row r="18" spans="2:3" x14ac:dyDescent="0.2">
      <c r="B18" s="40">
        <v>-0.75</v>
      </c>
      <c r="C18" s="43">
        <f t="shared" si="0"/>
        <v>1.1885950414956903E-2</v>
      </c>
    </row>
    <row r="19" spans="2:3" x14ac:dyDescent="0.2">
      <c r="B19" s="40">
        <v>-0.5</v>
      </c>
      <c r="C19" s="43">
        <f t="shared" si="0"/>
        <v>1.5869825917833709E-2</v>
      </c>
    </row>
    <row r="20" spans="2:3" x14ac:dyDescent="0.2">
      <c r="B20" s="40">
        <v>-0.25</v>
      </c>
      <c r="C20" s="43">
        <f t="shared" si="0"/>
        <v>2.0860492628169306E-2</v>
      </c>
    </row>
    <row r="21" spans="2:3" x14ac:dyDescent="0.2">
      <c r="B21" s="40">
        <v>0</v>
      </c>
      <c r="C21" s="43">
        <f t="shared" si="0"/>
        <v>2.6995483256594031E-2</v>
      </c>
    </row>
    <row r="22" spans="2:3" x14ac:dyDescent="0.2">
      <c r="B22" s="40">
        <v>0.25</v>
      </c>
      <c r="C22" s="43">
        <f t="shared" si="0"/>
        <v>3.4393137913345952E-2</v>
      </c>
    </row>
    <row r="23" spans="2:3" x14ac:dyDescent="0.2">
      <c r="B23" s="40">
        <v>0.5</v>
      </c>
      <c r="C23" s="43">
        <f t="shared" si="0"/>
        <v>4.3138659413255766E-2</v>
      </c>
    </row>
    <row r="24" spans="2:3" x14ac:dyDescent="0.2">
      <c r="B24" s="40">
        <v>0.75</v>
      </c>
      <c r="C24" s="43">
        <f t="shared" si="0"/>
        <v>5.3269134065292538E-2</v>
      </c>
    </row>
    <row r="25" spans="2:3" x14ac:dyDescent="0.2">
      <c r="B25" s="40">
        <v>1</v>
      </c>
      <c r="C25" s="43">
        <f t="shared" si="0"/>
        <v>6.4758797832945872E-2</v>
      </c>
    </row>
    <row r="26" spans="2:3" x14ac:dyDescent="0.2">
      <c r="B26" s="40">
        <v>1.25</v>
      </c>
      <c r="C26" s="43">
        <f t="shared" si="0"/>
        <v>7.750613272914661E-2</v>
      </c>
    </row>
    <row r="27" spans="2:3" x14ac:dyDescent="0.2">
      <c r="B27" s="40">
        <v>1.5</v>
      </c>
      <c r="C27" s="43">
        <f t="shared" si="0"/>
        <v>9.1324542694510957E-2</v>
      </c>
    </row>
    <row r="28" spans="2:3" x14ac:dyDescent="0.2">
      <c r="B28" s="40">
        <v>1.75</v>
      </c>
      <c r="C28" s="43">
        <f t="shared" si="0"/>
        <v>0.10593832288784974</v>
      </c>
    </row>
    <row r="29" spans="2:3" x14ac:dyDescent="0.2">
      <c r="B29" s="40">
        <v>2</v>
      </c>
      <c r="C29" s="43">
        <f t="shared" si="0"/>
        <v>0.12098536225957168</v>
      </c>
    </row>
    <row r="30" spans="2:3" x14ac:dyDescent="0.2">
      <c r="B30" s="40">
        <v>2.25</v>
      </c>
      <c r="C30" s="43">
        <f t="shared" si="0"/>
        <v>0.13602749918927176</v>
      </c>
    </row>
    <row r="31" spans="2:3" x14ac:dyDescent="0.2">
      <c r="B31" s="40">
        <v>2.5</v>
      </c>
      <c r="C31" s="43">
        <f t="shared" si="0"/>
        <v>0.15056871607740221</v>
      </c>
    </row>
    <row r="32" spans="2:3" x14ac:dyDescent="0.2">
      <c r="B32" s="40">
        <v>2.75</v>
      </c>
      <c r="C32" s="43">
        <f t="shared" si="0"/>
        <v>0.16408048427518754</v>
      </c>
    </row>
    <row r="33" spans="2:3" x14ac:dyDescent="0.2">
      <c r="B33" s="40">
        <v>3</v>
      </c>
      <c r="C33" s="43">
        <f t="shared" si="0"/>
        <v>0.17603266338214976</v>
      </c>
    </row>
    <row r="34" spans="2:3" x14ac:dyDescent="0.2">
      <c r="B34" s="40">
        <v>3.25</v>
      </c>
      <c r="C34" s="43">
        <f t="shared" si="0"/>
        <v>0.18592754693488447</v>
      </c>
    </row>
    <row r="35" spans="2:3" x14ac:dyDescent="0.2">
      <c r="B35" s="40">
        <v>3.5</v>
      </c>
      <c r="C35" s="43">
        <f t="shared" si="0"/>
        <v>0.19333405840142462</v>
      </c>
    </row>
    <row r="36" spans="2:3" x14ac:dyDescent="0.2">
      <c r="B36" s="40">
        <v>3.75</v>
      </c>
      <c r="C36" s="43">
        <f t="shared" si="0"/>
        <v>0.19791884347237476</v>
      </c>
    </row>
    <row r="37" spans="2:3" x14ac:dyDescent="0.2">
      <c r="B37" s="40">
        <v>4</v>
      </c>
      <c r="C37" s="43">
        <f t="shared" si="0"/>
        <v>0.19947114020071635</v>
      </c>
    </row>
    <row r="38" spans="2:3" x14ac:dyDescent="0.2">
      <c r="B38" s="40">
        <v>4.25</v>
      </c>
      <c r="C38" s="43">
        <f t="shared" si="0"/>
        <v>0.19791884347237476</v>
      </c>
    </row>
    <row r="39" spans="2:3" x14ac:dyDescent="0.2">
      <c r="B39" s="40">
        <v>4.5</v>
      </c>
      <c r="C39" s="43">
        <f t="shared" si="0"/>
        <v>0.19333405840142462</v>
      </c>
    </row>
    <row r="40" spans="2:3" x14ac:dyDescent="0.2">
      <c r="B40" s="40">
        <v>4.75</v>
      </c>
      <c r="C40" s="43">
        <f t="shared" si="0"/>
        <v>0.18592754693488447</v>
      </c>
    </row>
    <row r="41" spans="2:3" x14ac:dyDescent="0.2">
      <c r="B41" s="40">
        <v>5</v>
      </c>
      <c r="C41" s="43">
        <f t="shared" si="0"/>
        <v>0.17603266338214976</v>
      </c>
    </row>
    <row r="42" spans="2:3" x14ac:dyDescent="0.2">
      <c r="B42" s="40">
        <v>5.25</v>
      </c>
      <c r="C42" s="43">
        <f t="shared" si="0"/>
        <v>0.16408048427518754</v>
      </c>
    </row>
    <row r="43" spans="2:3" x14ac:dyDescent="0.2">
      <c r="B43" s="40">
        <v>5.5</v>
      </c>
      <c r="C43" s="43">
        <f t="shared" si="0"/>
        <v>0.15056871607740221</v>
      </c>
    </row>
    <row r="44" spans="2:3" x14ac:dyDescent="0.2">
      <c r="B44" s="40">
        <v>5.75</v>
      </c>
      <c r="C44" s="43">
        <f t="shared" si="0"/>
        <v>0.13602749918927176</v>
      </c>
    </row>
    <row r="45" spans="2:3" x14ac:dyDescent="0.2">
      <c r="B45" s="40">
        <v>6</v>
      </c>
      <c r="C45" s="43">
        <f t="shared" si="0"/>
        <v>0.12098536225957168</v>
      </c>
    </row>
    <row r="46" spans="2:3" x14ac:dyDescent="0.2">
      <c r="B46" s="40">
        <v>6.25</v>
      </c>
      <c r="C46" s="43">
        <f t="shared" si="0"/>
        <v>0.10593832288784974</v>
      </c>
    </row>
    <row r="47" spans="2:3" x14ac:dyDescent="0.2">
      <c r="B47" s="40">
        <v>6.5</v>
      </c>
      <c r="C47" s="43">
        <f t="shared" si="0"/>
        <v>9.1324542694510957E-2</v>
      </c>
    </row>
    <row r="48" spans="2:3" x14ac:dyDescent="0.2">
      <c r="B48" s="40">
        <v>6.75</v>
      </c>
      <c r="C48" s="43">
        <f t="shared" si="0"/>
        <v>7.750613272914661E-2</v>
      </c>
    </row>
    <row r="49" spans="2:3" x14ac:dyDescent="0.2">
      <c r="B49" s="40">
        <v>7</v>
      </c>
      <c r="C49" s="43">
        <f t="shared" si="0"/>
        <v>6.4758797832945872E-2</v>
      </c>
    </row>
    <row r="50" spans="2:3" x14ac:dyDescent="0.2">
      <c r="B50" s="40">
        <v>7.25</v>
      </c>
      <c r="C50" s="43">
        <f t="shared" si="0"/>
        <v>5.3269134065292538E-2</v>
      </c>
    </row>
    <row r="51" spans="2:3" x14ac:dyDescent="0.2">
      <c r="B51" s="40">
        <v>7.5</v>
      </c>
      <c r="C51" s="43">
        <f t="shared" si="0"/>
        <v>4.3138659413255766E-2</v>
      </c>
    </row>
    <row r="52" spans="2:3" x14ac:dyDescent="0.2">
      <c r="B52" s="40">
        <v>7.75</v>
      </c>
      <c r="C52" s="43">
        <f t="shared" si="0"/>
        <v>3.4393137913345952E-2</v>
      </c>
    </row>
    <row r="53" spans="2:3" x14ac:dyDescent="0.2">
      <c r="B53" s="40">
        <v>8</v>
      </c>
      <c r="C53" s="43">
        <f t="shared" si="0"/>
        <v>2.6995483256594031E-2</v>
      </c>
    </row>
    <row r="54" spans="2:3" x14ac:dyDescent="0.2">
      <c r="B54" s="40">
        <v>8.25</v>
      </c>
      <c r="C54" s="43">
        <f t="shared" si="0"/>
        <v>2.0860492628169306E-2</v>
      </c>
    </row>
    <row r="55" spans="2:3" x14ac:dyDescent="0.2">
      <c r="B55" s="40">
        <v>8.5</v>
      </c>
      <c r="C55" s="43">
        <f>_xlfn.NORM.DIST(B55,4,2,)</f>
        <v>1.5869825917833709E-2</v>
      </c>
    </row>
    <row r="56" spans="2:3" x14ac:dyDescent="0.2">
      <c r="B56" s="40">
        <v>8.75</v>
      </c>
      <c r="C56" s="43">
        <f t="shared" si="0"/>
        <v>1.1885950414956903E-2</v>
      </c>
    </row>
    <row r="57" spans="2:3" x14ac:dyDescent="0.2">
      <c r="B57" s="40">
        <v>9</v>
      </c>
      <c r="C57" s="43">
        <f t="shared" si="0"/>
        <v>8.7641502467842702E-3</v>
      </c>
    </row>
    <row r="58" spans="2:3" x14ac:dyDescent="0.2">
      <c r="B58" s="40">
        <v>9.25</v>
      </c>
      <c r="C58" s="43">
        <f t="shared" si="0"/>
        <v>6.3620907984157163E-3</v>
      </c>
    </row>
    <row r="59" spans="2:3" x14ac:dyDescent="0.2">
      <c r="B59" s="40">
        <v>9.5</v>
      </c>
      <c r="C59" s="43">
        <f t="shared" si="0"/>
        <v>4.5467812507955264E-3</v>
      </c>
    </row>
    <row r="60" spans="2:3" x14ac:dyDescent="0.2">
      <c r="B60" s="40">
        <v>9.75</v>
      </c>
      <c r="C60" s="43">
        <f t="shared" si="0"/>
        <v>3.1990601553617782E-3</v>
      </c>
    </row>
    <row r="61" spans="2:3" x14ac:dyDescent="0.2">
      <c r="B61" s="41">
        <v>10</v>
      </c>
      <c r="C61" s="44">
        <f t="shared" si="0"/>
        <v>2.2159242059690038E-3</v>
      </c>
    </row>
  </sheetData>
  <mergeCells count="5">
    <mergeCell ref="B11:C11"/>
    <mergeCell ref="B5:J5"/>
    <mergeCell ref="B6:H6"/>
    <mergeCell ref="B8:J8"/>
    <mergeCell ref="B9:J9"/>
  </mergeCells>
  <phoneticPr fontId="2" type="noConversion"/>
  <pageMargins left="0.78740157499999996" right="0.78740157499999996" top="0.984251969" bottom="0.984251969" header="0.4921259845" footer="0.4921259845"/>
  <headerFooter alignWithMargins="0"/>
  <drawing r:id="rId1"/>
  <legacyDrawing r:id="rId2"/>
  <oleObjects>
    <mc:AlternateContent xmlns:mc="http://schemas.openxmlformats.org/markup-compatibility/2006">
      <mc:Choice Requires="x14">
        <oleObject progId="Equation.3" shapeId="3083" r:id="rId3">
          <objectPr defaultSize="0" autoPict="0" r:id="rId4">
            <anchor moveWithCells="1" sizeWithCells="1">
              <from>
                <xdr:col>7</xdr:col>
                <xdr:colOff>742950</xdr:colOff>
                <xdr:row>35</xdr:row>
                <xdr:rowOff>161925</xdr:rowOff>
              </from>
              <to>
                <xdr:col>8</xdr:col>
                <xdr:colOff>419100</xdr:colOff>
                <xdr:row>38</xdr:row>
                <xdr:rowOff>171450</xdr:rowOff>
              </to>
            </anchor>
          </objectPr>
        </oleObject>
      </mc:Choice>
      <mc:Fallback>
        <oleObject progId="Equation.3" shapeId="3083" r:id="rId3"/>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103"/>
  <sheetViews>
    <sheetView zoomScale="80" zoomScaleNormal="80" workbookViewId="0">
      <selection activeCell="B1" sqref="B1"/>
    </sheetView>
  </sheetViews>
  <sheetFormatPr baseColWidth="10" defaultRowHeight="15" x14ac:dyDescent="0.2"/>
  <cols>
    <col min="1" max="1" width="10.7109375" style="21" customWidth="1"/>
    <col min="2" max="10" width="11.42578125" style="21" customWidth="1"/>
    <col min="11" max="11" width="5.5703125" style="21" customWidth="1"/>
  </cols>
  <sheetData>
    <row r="2" spans="2:10" ht="20.25" x14ac:dyDescent="0.3">
      <c r="B2" s="22" t="s">
        <v>57</v>
      </c>
      <c r="C2" s="23"/>
      <c r="D2" s="23"/>
    </row>
    <row r="4" spans="2:10" ht="18.75" thickBot="1" x14ac:dyDescent="0.3">
      <c r="B4" s="49" t="s">
        <v>47</v>
      </c>
      <c r="C4" s="23"/>
      <c r="D4" s="23"/>
    </row>
    <row r="5" spans="2:10" ht="15.75" x14ac:dyDescent="0.25">
      <c r="B5" s="50" t="s">
        <v>48</v>
      </c>
      <c r="C5" s="51"/>
      <c r="D5" s="51"/>
      <c r="E5" s="51"/>
      <c r="F5" s="51"/>
      <c r="G5" s="51"/>
      <c r="H5" s="51"/>
      <c r="I5" s="51"/>
      <c r="J5" s="52"/>
    </row>
    <row r="6" spans="2:10" ht="17.649999999999999" customHeight="1" x14ac:dyDescent="0.2">
      <c r="B6" s="149" t="s">
        <v>58</v>
      </c>
      <c r="C6" s="150"/>
      <c r="D6" s="150"/>
      <c r="E6" s="150"/>
      <c r="F6" s="150"/>
      <c r="G6" s="150"/>
      <c r="H6" s="150"/>
      <c r="I6" s="150"/>
      <c r="J6" s="151"/>
    </row>
    <row r="7" spans="2:10" ht="17.649999999999999" customHeight="1" x14ac:dyDescent="0.2">
      <c r="B7" s="85" t="s">
        <v>59</v>
      </c>
      <c r="C7" s="86"/>
      <c r="D7" s="86"/>
      <c r="E7" s="86"/>
      <c r="F7" s="86"/>
      <c r="G7" s="86"/>
      <c r="H7" s="86"/>
      <c r="I7" s="86"/>
      <c r="J7" s="87"/>
    </row>
    <row r="8" spans="2:10" ht="24.75" customHeight="1" x14ac:dyDescent="0.2">
      <c r="B8" s="53"/>
      <c r="J8" s="54"/>
    </row>
    <row r="9" spans="2:10" ht="15.75" x14ac:dyDescent="0.25">
      <c r="B9" s="55" t="s">
        <v>60</v>
      </c>
      <c r="C9" s="23"/>
      <c r="D9" s="23"/>
      <c r="E9" s="23"/>
      <c r="F9" s="23"/>
      <c r="G9" s="23"/>
      <c r="H9" s="23"/>
      <c r="I9" s="23"/>
      <c r="J9" s="56"/>
    </row>
    <row r="10" spans="2:10" x14ac:dyDescent="0.2">
      <c r="B10" s="53"/>
      <c r="C10" s="57" t="s">
        <v>61</v>
      </c>
      <c r="D10" s="58">
        <v>40</v>
      </c>
      <c r="J10" s="54"/>
    </row>
    <row r="11" spans="2:10" x14ac:dyDescent="0.2">
      <c r="B11" s="53"/>
      <c r="C11" s="57" t="s">
        <v>62</v>
      </c>
      <c r="D11" s="58">
        <v>8.4</v>
      </c>
      <c r="F11" s="58"/>
      <c r="J11" s="54"/>
    </row>
    <row r="12" spans="2:10" ht="15.75" thickBot="1" x14ac:dyDescent="0.25">
      <c r="B12" s="53"/>
      <c r="J12" s="54"/>
    </row>
    <row r="13" spans="2:10" ht="16.5" thickBot="1" x14ac:dyDescent="0.3">
      <c r="B13" s="53"/>
      <c r="C13" s="152" t="s">
        <v>0</v>
      </c>
      <c r="D13" s="153"/>
      <c r="E13" s="154" t="s">
        <v>112</v>
      </c>
      <c r="F13" s="155"/>
      <c r="G13" s="156"/>
      <c r="J13" s="54"/>
    </row>
    <row r="14" spans="2:10" ht="15.75" thickBot="1" x14ac:dyDescent="0.25">
      <c r="B14" s="53"/>
      <c r="C14" s="157">
        <v>37</v>
      </c>
      <c r="D14" s="158"/>
      <c r="E14" s="159" t="s">
        <v>63</v>
      </c>
      <c r="F14" s="159"/>
      <c r="G14" s="160"/>
      <c r="J14" s="90"/>
    </row>
    <row r="15" spans="2:10" ht="16.5" customHeight="1" x14ac:dyDescent="0.2">
      <c r="B15" s="53"/>
      <c r="C15" s="88"/>
      <c r="D15" s="88"/>
      <c r="E15" s="89"/>
      <c r="F15" s="89"/>
      <c r="G15" s="89"/>
      <c r="I15" s="91"/>
      <c r="J15" s="92"/>
    </row>
    <row r="16" spans="2:10" ht="16.5" customHeight="1" x14ac:dyDescent="0.25">
      <c r="B16" s="53"/>
      <c r="C16" s="59" t="s">
        <v>2</v>
      </c>
      <c r="E16" s="65"/>
      <c r="F16" s="65"/>
      <c r="G16" s="65"/>
      <c r="I16" s="91"/>
      <c r="J16" s="92"/>
    </row>
    <row r="17" spans="2:10" ht="31.5" customHeight="1" x14ac:dyDescent="0.2">
      <c r="B17" s="53"/>
      <c r="C17" s="116" t="s">
        <v>49</v>
      </c>
      <c r="D17" s="116"/>
      <c r="E17" s="116"/>
      <c r="F17" s="116"/>
      <c r="G17" s="116"/>
      <c r="H17" s="116"/>
      <c r="I17" s="116"/>
      <c r="J17" s="92"/>
    </row>
    <row r="18" spans="2:10" ht="16.5" customHeight="1" x14ac:dyDescent="0.2">
      <c r="B18" s="53"/>
      <c r="E18" s="65"/>
      <c r="F18" s="65"/>
      <c r="G18" s="65"/>
      <c r="I18" s="91"/>
      <c r="J18" s="92"/>
    </row>
    <row r="19" spans="2:10" ht="16.5" customHeight="1" thickBot="1" x14ac:dyDescent="0.25">
      <c r="B19" s="53"/>
      <c r="I19" s="91"/>
      <c r="J19" s="92"/>
    </row>
    <row r="20" spans="2:10" ht="16.5" customHeight="1" thickBot="1" x14ac:dyDescent="0.3">
      <c r="B20" s="53"/>
      <c r="C20" s="137" t="s">
        <v>0</v>
      </c>
      <c r="D20" s="138"/>
      <c r="E20" s="139" t="s">
        <v>1</v>
      </c>
      <c r="F20" s="140"/>
      <c r="G20" s="141"/>
      <c r="J20" s="54"/>
    </row>
    <row r="21" spans="2:10" ht="16.5" customHeight="1" x14ac:dyDescent="0.2">
      <c r="B21" s="53"/>
      <c r="C21" s="142">
        <v>37</v>
      </c>
      <c r="D21" s="143"/>
      <c r="E21" s="144" t="s">
        <v>64</v>
      </c>
      <c r="F21" s="144"/>
      <c r="G21" s="145"/>
      <c r="J21" s="54"/>
    </row>
    <row r="22" spans="2:10" ht="16.5" customHeight="1" x14ac:dyDescent="0.2">
      <c r="B22" s="53"/>
      <c r="J22" s="54"/>
    </row>
    <row r="23" spans="2:10" ht="16.5" customHeight="1" x14ac:dyDescent="0.25">
      <c r="B23" s="53"/>
      <c r="C23" s="60" t="s">
        <v>2</v>
      </c>
      <c r="J23" s="54"/>
    </row>
    <row r="24" spans="2:10" x14ac:dyDescent="0.2">
      <c r="B24" s="53"/>
      <c r="C24" s="118" t="s">
        <v>50</v>
      </c>
      <c r="D24" s="118"/>
      <c r="E24" s="118"/>
      <c r="F24" s="118"/>
      <c r="G24" s="118"/>
      <c r="H24" s="118"/>
      <c r="I24" s="118"/>
      <c r="J24" s="54"/>
    </row>
    <row r="25" spans="2:10" x14ac:dyDescent="0.2">
      <c r="B25" s="53"/>
      <c r="E25" s="65"/>
      <c r="F25" s="65"/>
      <c r="G25" s="65"/>
      <c r="I25" s="91"/>
      <c r="J25" s="92"/>
    </row>
    <row r="26" spans="2:10" x14ac:dyDescent="0.2">
      <c r="B26" s="53"/>
      <c r="E26" s="65"/>
      <c r="F26" s="65"/>
      <c r="G26" s="65"/>
      <c r="I26" s="91"/>
      <c r="J26" s="92"/>
    </row>
    <row r="27" spans="2:10" ht="31.15" customHeight="1" x14ac:dyDescent="0.2">
      <c r="B27" s="119" t="s">
        <v>65</v>
      </c>
      <c r="C27" s="120"/>
      <c r="D27" s="120"/>
      <c r="E27" s="120"/>
      <c r="F27" s="120"/>
      <c r="G27" s="120"/>
      <c r="H27" s="120"/>
      <c r="I27" s="120"/>
      <c r="J27" s="121"/>
    </row>
    <row r="28" spans="2:10" x14ac:dyDescent="0.2">
      <c r="B28" s="53"/>
      <c r="E28" s="65"/>
      <c r="F28" s="65"/>
      <c r="G28" s="65"/>
      <c r="I28" s="91"/>
      <c r="J28" s="92"/>
    </row>
    <row r="29" spans="2:10" x14ac:dyDescent="0.2">
      <c r="B29" s="53"/>
      <c r="I29" s="91"/>
      <c r="J29" s="92"/>
    </row>
    <row r="30" spans="2:10" x14ac:dyDescent="0.2">
      <c r="B30" s="53"/>
      <c r="E30" s="65"/>
      <c r="F30" s="65"/>
      <c r="G30" s="65"/>
      <c r="J30" s="54"/>
    </row>
    <row r="31" spans="2:10" ht="15.75" thickBot="1" x14ac:dyDescent="0.25">
      <c r="B31" s="61"/>
      <c r="C31" s="62"/>
      <c r="D31" s="63"/>
      <c r="E31" s="63"/>
      <c r="F31" s="63"/>
      <c r="G31" s="63"/>
      <c r="H31" s="63"/>
      <c r="I31" s="63"/>
      <c r="J31" s="64"/>
    </row>
    <row r="32" spans="2:10" x14ac:dyDescent="0.2">
      <c r="D32" s="65"/>
    </row>
    <row r="33" spans="2:10" x14ac:dyDescent="0.2">
      <c r="C33" s="57"/>
    </row>
    <row r="34" spans="2:10" ht="18.75" thickBot="1" x14ac:dyDescent="0.3">
      <c r="B34" s="49" t="s">
        <v>51</v>
      </c>
      <c r="C34" s="23"/>
      <c r="D34" s="23"/>
    </row>
    <row r="35" spans="2:10" ht="15.75" x14ac:dyDescent="0.25">
      <c r="B35" s="66" t="s">
        <v>52</v>
      </c>
      <c r="C35" s="67"/>
      <c r="D35" s="67"/>
      <c r="E35" s="67"/>
      <c r="F35" s="67"/>
      <c r="G35" s="67"/>
      <c r="H35" s="67"/>
      <c r="I35" s="67"/>
      <c r="J35" s="68"/>
    </row>
    <row r="36" spans="2:10" ht="30" customHeight="1" x14ac:dyDescent="0.2">
      <c r="B36" s="122" t="s">
        <v>66</v>
      </c>
      <c r="C36" s="123"/>
      <c r="D36" s="123"/>
      <c r="E36" s="123"/>
      <c r="F36" s="123"/>
      <c r="G36" s="123"/>
      <c r="H36" s="123"/>
      <c r="I36" s="123"/>
      <c r="J36" s="124"/>
    </row>
    <row r="37" spans="2:10" ht="15.75" thickBot="1" x14ac:dyDescent="0.25">
      <c r="B37" s="53"/>
      <c r="J37" s="54"/>
    </row>
    <row r="38" spans="2:10" ht="16.5" thickBot="1" x14ac:dyDescent="0.3">
      <c r="B38" s="53"/>
      <c r="C38" s="32" t="s">
        <v>0</v>
      </c>
      <c r="D38" s="45" t="s">
        <v>3</v>
      </c>
      <c r="E38" s="45" t="s">
        <v>4</v>
      </c>
      <c r="J38" s="54"/>
    </row>
    <row r="39" spans="2:10" x14ac:dyDescent="0.2">
      <c r="B39" s="53"/>
      <c r="C39" s="71">
        <v>9</v>
      </c>
      <c r="D39" s="72"/>
      <c r="E39" s="72"/>
      <c r="J39" s="54"/>
    </row>
    <row r="40" spans="2:10" x14ac:dyDescent="0.2">
      <c r="B40" s="53"/>
      <c r="C40" s="73">
        <v>16</v>
      </c>
      <c r="D40" s="74"/>
      <c r="E40" s="74"/>
      <c r="J40" s="54"/>
    </row>
    <row r="41" spans="2:10" x14ac:dyDescent="0.2">
      <c r="B41" s="53"/>
      <c r="C41" s="73">
        <v>23</v>
      </c>
      <c r="D41" s="74"/>
      <c r="E41" s="74"/>
      <c r="J41" s="54"/>
    </row>
    <row r="42" spans="2:10" x14ac:dyDescent="0.2">
      <c r="B42" s="53"/>
      <c r="C42" s="73">
        <v>30</v>
      </c>
      <c r="D42" s="74"/>
      <c r="E42" s="74"/>
      <c r="J42" s="54"/>
    </row>
    <row r="43" spans="2:10" x14ac:dyDescent="0.2">
      <c r="B43" s="53"/>
      <c r="C43" s="73">
        <v>35</v>
      </c>
      <c r="D43" s="74"/>
      <c r="E43" s="74"/>
      <c r="J43" s="54"/>
    </row>
    <row r="44" spans="2:10" x14ac:dyDescent="0.2">
      <c r="B44" s="53"/>
      <c r="C44" s="81">
        <v>60</v>
      </c>
      <c r="D44" s="93"/>
      <c r="E44" s="93"/>
      <c r="J44" s="54"/>
    </row>
    <row r="45" spans="2:10" x14ac:dyDescent="0.2">
      <c r="B45" s="53"/>
      <c r="J45" s="54"/>
    </row>
    <row r="46" spans="2:10" x14ac:dyDescent="0.2">
      <c r="B46" s="53"/>
      <c r="J46" s="54"/>
    </row>
    <row r="47" spans="2:10" ht="15.75" x14ac:dyDescent="0.25">
      <c r="B47" s="76" t="s">
        <v>53</v>
      </c>
      <c r="C47" s="77"/>
      <c r="D47" s="77"/>
      <c r="E47" s="77"/>
      <c r="F47" s="77"/>
      <c r="G47" s="77"/>
      <c r="H47" s="77"/>
      <c r="I47" s="77"/>
      <c r="J47" s="78"/>
    </row>
    <row r="48" spans="2:10" ht="15.75" x14ac:dyDescent="0.25">
      <c r="B48" s="79" t="s">
        <v>67</v>
      </c>
      <c r="C48" s="69"/>
      <c r="D48" s="69"/>
      <c r="E48" s="69"/>
      <c r="F48" s="69"/>
      <c r="G48" s="69"/>
      <c r="H48" s="69"/>
      <c r="I48" s="69"/>
      <c r="J48" s="70"/>
    </row>
    <row r="49" spans="2:10" x14ac:dyDescent="0.2">
      <c r="B49" s="53"/>
      <c r="J49" s="54"/>
    </row>
    <row r="50" spans="2:10" ht="15.75" x14ac:dyDescent="0.25">
      <c r="B50" s="53"/>
      <c r="C50" s="21" t="s">
        <v>68</v>
      </c>
      <c r="D50" s="94"/>
      <c r="G50" s="75"/>
      <c r="J50" s="54"/>
    </row>
    <row r="51" spans="2:10" x14ac:dyDescent="0.2">
      <c r="B51" s="53"/>
      <c r="C51" s="21" t="s">
        <v>69</v>
      </c>
      <c r="D51" s="58"/>
      <c r="G51" s="75"/>
      <c r="J51" s="54"/>
    </row>
    <row r="52" spans="2:10" x14ac:dyDescent="0.2">
      <c r="B52" s="53"/>
      <c r="C52" s="21" t="s">
        <v>70</v>
      </c>
      <c r="D52" s="58"/>
      <c r="G52" s="75"/>
      <c r="J52" s="54"/>
    </row>
    <row r="53" spans="2:10" x14ac:dyDescent="0.2">
      <c r="B53" s="53"/>
      <c r="C53" s="21" t="s">
        <v>6</v>
      </c>
      <c r="D53" s="58"/>
      <c r="G53" s="75"/>
      <c r="J53" s="54"/>
    </row>
    <row r="54" spans="2:10" x14ac:dyDescent="0.2">
      <c r="B54" s="53"/>
      <c r="C54" s="21" t="s">
        <v>5</v>
      </c>
      <c r="D54" s="58"/>
      <c r="G54" s="75"/>
      <c r="J54" s="54"/>
    </row>
    <row r="55" spans="2:10" x14ac:dyDescent="0.2">
      <c r="B55" s="53"/>
      <c r="C55" s="82"/>
      <c r="D55" s="58"/>
      <c r="J55" s="54"/>
    </row>
    <row r="56" spans="2:10" x14ac:dyDescent="0.2">
      <c r="B56" s="53"/>
      <c r="J56" s="54"/>
    </row>
    <row r="57" spans="2:10" x14ac:dyDescent="0.2">
      <c r="B57" s="53"/>
      <c r="J57" s="54"/>
    </row>
    <row r="58" spans="2:10" x14ac:dyDescent="0.2">
      <c r="B58" s="53"/>
      <c r="J58" s="54"/>
    </row>
    <row r="59" spans="2:10" ht="15.75" x14ac:dyDescent="0.25">
      <c r="B59" s="76" t="s">
        <v>54</v>
      </c>
      <c r="C59" s="77"/>
      <c r="D59" s="77"/>
      <c r="E59" s="77"/>
      <c r="F59" s="77"/>
      <c r="G59" s="77"/>
      <c r="H59" s="77"/>
      <c r="I59" s="77"/>
      <c r="J59" s="78"/>
    </row>
    <row r="60" spans="2:10" ht="31.15" customHeight="1" x14ac:dyDescent="0.2">
      <c r="B60" s="125" t="s">
        <v>71</v>
      </c>
      <c r="C60" s="126"/>
      <c r="D60" s="126"/>
      <c r="E60" s="126"/>
      <c r="F60" s="126"/>
      <c r="G60" s="126"/>
      <c r="H60" s="126"/>
      <c r="I60" s="126"/>
      <c r="J60" s="127"/>
    </row>
    <row r="61" spans="2:10" x14ac:dyDescent="0.2">
      <c r="B61" s="80"/>
      <c r="J61" s="54"/>
    </row>
    <row r="62" spans="2:10" ht="15.75" x14ac:dyDescent="0.25">
      <c r="B62" s="53"/>
      <c r="C62" s="21" t="s">
        <v>72</v>
      </c>
      <c r="D62" s="94"/>
      <c r="F62" s="75"/>
      <c r="J62" s="54"/>
    </row>
    <row r="63" spans="2:10" x14ac:dyDescent="0.2">
      <c r="B63" s="53"/>
      <c r="C63" s="58" t="s">
        <v>73</v>
      </c>
      <c r="D63" s="58"/>
      <c r="F63" s="75"/>
      <c r="J63" s="54"/>
    </row>
    <row r="64" spans="2:10" x14ac:dyDescent="0.2">
      <c r="B64" s="53"/>
      <c r="C64" s="58" t="s">
        <v>74</v>
      </c>
      <c r="D64" s="58"/>
      <c r="F64" s="75"/>
      <c r="J64" s="54"/>
    </row>
    <row r="65" spans="2:10" x14ac:dyDescent="0.2">
      <c r="B65" s="53"/>
      <c r="C65" s="82"/>
      <c r="D65" s="58"/>
      <c r="J65" s="54"/>
    </row>
    <row r="66" spans="2:10" x14ac:dyDescent="0.2">
      <c r="B66" s="53"/>
      <c r="C66" s="82"/>
      <c r="D66" s="58"/>
      <c r="J66" s="54"/>
    </row>
    <row r="67" spans="2:10" x14ac:dyDescent="0.2">
      <c r="B67" s="53"/>
      <c r="C67" s="82"/>
      <c r="D67" s="58"/>
      <c r="J67" s="54"/>
    </row>
    <row r="68" spans="2:10" x14ac:dyDescent="0.2">
      <c r="B68" s="53"/>
      <c r="C68" s="82"/>
      <c r="D68" s="58"/>
      <c r="J68" s="54"/>
    </row>
    <row r="69" spans="2:10" x14ac:dyDescent="0.2">
      <c r="B69" s="53"/>
      <c r="C69" s="82"/>
      <c r="D69" s="58"/>
      <c r="J69" s="54"/>
    </row>
    <row r="70" spans="2:10" x14ac:dyDescent="0.2">
      <c r="B70" s="53"/>
      <c r="C70" s="82"/>
      <c r="D70" s="58"/>
      <c r="J70" s="54"/>
    </row>
    <row r="71" spans="2:10" x14ac:dyDescent="0.2">
      <c r="B71" s="53"/>
      <c r="C71" s="82"/>
      <c r="D71" s="58"/>
      <c r="J71" s="54"/>
    </row>
    <row r="72" spans="2:10" x14ac:dyDescent="0.2">
      <c r="B72" s="53"/>
      <c r="C72" s="82"/>
      <c r="J72" s="54"/>
    </row>
    <row r="73" spans="2:10" x14ac:dyDescent="0.2">
      <c r="B73" s="53"/>
      <c r="J73" s="54"/>
    </row>
    <row r="74" spans="2:10" ht="15.75" x14ac:dyDescent="0.25">
      <c r="B74" s="76" t="s">
        <v>55</v>
      </c>
      <c r="C74" s="83"/>
      <c r="D74" s="83"/>
      <c r="E74" s="83"/>
      <c r="F74" s="83"/>
      <c r="G74" s="83"/>
      <c r="H74" s="83"/>
      <c r="I74" s="83"/>
      <c r="J74" s="84"/>
    </row>
    <row r="75" spans="2:10" ht="32.65" customHeight="1" x14ac:dyDescent="0.2">
      <c r="B75" s="134" t="s">
        <v>75</v>
      </c>
      <c r="C75" s="135"/>
      <c r="D75" s="135"/>
      <c r="E75" s="135"/>
      <c r="F75" s="135"/>
      <c r="G75" s="135"/>
      <c r="H75" s="135"/>
      <c r="I75" s="135"/>
      <c r="J75" s="136"/>
    </row>
    <row r="76" spans="2:10" x14ac:dyDescent="0.2">
      <c r="B76" s="53"/>
      <c r="J76" s="54"/>
    </row>
    <row r="77" spans="2:10" ht="15.75" x14ac:dyDescent="0.25">
      <c r="B77" s="53"/>
      <c r="C77" s="1"/>
      <c r="F77" s="1"/>
      <c r="J77" s="54"/>
    </row>
    <row r="78" spans="2:10" ht="15.75" x14ac:dyDescent="0.25">
      <c r="B78" s="53"/>
      <c r="C78" s="1"/>
      <c r="G78" s="1"/>
      <c r="J78" s="54"/>
    </row>
    <row r="79" spans="2:10" x14ac:dyDescent="0.2">
      <c r="B79" s="53"/>
      <c r="J79" s="54"/>
    </row>
    <row r="80" spans="2:10" x14ac:dyDescent="0.2">
      <c r="B80" s="53"/>
      <c r="J80" s="54"/>
    </row>
    <row r="81" spans="2:10" x14ac:dyDescent="0.2">
      <c r="B81" s="53"/>
      <c r="J81" s="54"/>
    </row>
    <row r="82" spans="2:10" x14ac:dyDescent="0.2">
      <c r="B82" s="53"/>
      <c r="J82" s="54"/>
    </row>
    <row r="83" spans="2:10" x14ac:dyDescent="0.2">
      <c r="B83" s="53"/>
      <c r="J83" s="54"/>
    </row>
    <row r="84" spans="2:10" x14ac:dyDescent="0.2">
      <c r="B84" s="53"/>
      <c r="J84" s="54"/>
    </row>
    <row r="85" spans="2:10" x14ac:dyDescent="0.2">
      <c r="B85" s="95"/>
      <c r="C85" s="91"/>
      <c r="D85" s="91"/>
      <c r="E85" s="91"/>
      <c r="F85" s="91"/>
      <c r="G85" s="91"/>
      <c r="H85" s="91"/>
      <c r="I85" s="91"/>
      <c r="J85" s="92"/>
    </row>
    <row r="86" spans="2:10" x14ac:dyDescent="0.2">
      <c r="B86" s="53"/>
      <c r="J86" s="54"/>
    </row>
    <row r="87" spans="2:10" x14ac:dyDescent="0.2">
      <c r="B87" s="53"/>
      <c r="J87" s="54"/>
    </row>
    <row r="88" spans="2:10" ht="15.75" x14ac:dyDescent="0.25">
      <c r="B88" s="76" t="s">
        <v>56</v>
      </c>
      <c r="C88" s="83"/>
      <c r="D88" s="83"/>
      <c r="E88" s="83"/>
      <c r="F88" s="83"/>
      <c r="G88" s="83"/>
      <c r="H88" s="83"/>
      <c r="I88" s="83"/>
      <c r="J88" s="84"/>
    </row>
    <row r="89" spans="2:10" ht="32.65" customHeight="1" x14ac:dyDescent="0.2">
      <c r="B89" s="146" t="s">
        <v>78</v>
      </c>
      <c r="C89" s="147"/>
      <c r="D89" s="147"/>
      <c r="E89" s="147"/>
      <c r="F89" s="147"/>
      <c r="G89" s="147"/>
      <c r="H89" s="147"/>
      <c r="I89" s="147"/>
      <c r="J89" s="148"/>
    </row>
    <row r="90" spans="2:10" x14ac:dyDescent="0.2">
      <c r="B90" s="100"/>
      <c r="C90" s="47" t="s">
        <v>7</v>
      </c>
      <c r="D90" s="47" t="s">
        <v>9</v>
      </c>
      <c r="E90" s="47"/>
      <c r="F90" s="47"/>
      <c r="G90" s="47"/>
      <c r="H90" s="47"/>
      <c r="I90" s="98"/>
      <c r="J90" s="99"/>
    </row>
    <row r="91" spans="2:10" ht="32.65" customHeight="1" x14ac:dyDescent="0.2">
      <c r="B91" s="128" t="s">
        <v>76</v>
      </c>
      <c r="C91" s="129"/>
      <c r="D91" s="129"/>
      <c r="E91" s="129"/>
      <c r="F91" s="129"/>
      <c r="G91" s="129"/>
      <c r="H91" s="129"/>
      <c r="I91" s="129"/>
      <c r="J91" s="130"/>
    </row>
    <row r="92" spans="2:10" ht="32.65" customHeight="1" x14ac:dyDescent="0.2">
      <c r="B92" s="128" t="s">
        <v>77</v>
      </c>
      <c r="C92" s="129"/>
      <c r="D92" s="129"/>
      <c r="E92" s="129"/>
      <c r="F92" s="129"/>
      <c r="G92" s="129"/>
      <c r="H92" s="129"/>
      <c r="I92" s="129"/>
      <c r="J92" s="130"/>
    </row>
    <row r="93" spans="2:10" x14ac:dyDescent="0.2">
      <c r="B93" s="96"/>
      <c r="C93" s="97" t="s">
        <v>8</v>
      </c>
      <c r="D93" s="98">
        <v>13.592242172276999</v>
      </c>
      <c r="E93" s="98"/>
      <c r="F93" s="98"/>
      <c r="G93" s="98"/>
      <c r="H93" s="98"/>
      <c r="I93" s="98"/>
      <c r="J93" s="99"/>
    </row>
    <row r="94" spans="2:10" x14ac:dyDescent="0.2">
      <c r="B94" s="96" t="s">
        <v>10</v>
      </c>
      <c r="C94" s="98"/>
      <c r="D94" s="98"/>
      <c r="E94" s="98"/>
      <c r="F94" s="98"/>
      <c r="G94" s="98"/>
      <c r="H94" s="98"/>
      <c r="I94" s="98"/>
      <c r="J94" s="99"/>
    </row>
    <row r="95" spans="2:10" x14ac:dyDescent="0.2">
      <c r="B95" s="102"/>
      <c r="C95" s="103"/>
      <c r="D95" s="103"/>
      <c r="E95" s="103"/>
      <c r="F95" s="103"/>
      <c r="G95" s="103"/>
      <c r="H95" s="103"/>
      <c r="I95" s="103"/>
      <c r="J95" s="104"/>
    </row>
    <row r="96" spans="2:10" ht="15.75" x14ac:dyDescent="0.25">
      <c r="B96" s="101" t="s">
        <v>79</v>
      </c>
      <c r="C96" s="69"/>
      <c r="D96" s="69"/>
      <c r="E96" s="69"/>
      <c r="F96" s="69"/>
      <c r="G96" s="69"/>
      <c r="H96" s="69"/>
      <c r="I96" s="69"/>
      <c r="J96" s="70"/>
    </row>
    <row r="97" spans="2:10" x14ac:dyDescent="0.2">
      <c r="B97" s="131" t="s">
        <v>80</v>
      </c>
      <c r="C97" s="132"/>
      <c r="D97" s="132"/>
      <c r="E97" s="132"/>
      <c r="F97" s="132"/>
      <c r="G97" s="132"/>
      <c r="H97" s="132"/>
      <c r="I97" s="132"/>
      <c r="J97" s="133"/>
    </row>
    <row r="98" spans="2:10" x14ac:dyDescent="0.2">
      <c r="B98" s="95"/>
      <c r="C98" s="91"/>
      <c r="D98" s="91"/>
      <c r="E98" s="91"/>
      <c r="F98" s="91"/>
      <c r="G98" s="91"/>
      <c r="H98" s="91"/>
      <c r="I98" s="91"/>
      <c r="J98" s="92"/>
    </row>
    <row r="99" spans="2:10" x14ac:dyDescent="0.2">
      <c r="B99" s="80"/>
      <c r="C99" s="21" t="s">
        <v>84</v>
      </c>
      <c r="E99" s="75"/>
      <c r="J99" s="54"/>
    </row>
    <row r="100" spans="2:10" x14ac:dyDescent="0.2">
      <c r="B100" s="80"/>
      <c r="C100" s="21" t="s">
        <v>81</v>
      </c>
      <c r="E100" s="75"/>
      <c r="J100" s="54"/>
    </row>
    <row r="101" spans="2:10" x14ac:dyDescent="0.2">
      <c r="B101" s="53"/>
      <c r="C101" s="21" t="s">
        <v>82</v>
      </c>
      <c r="E101" s="75"/>
      <c r="J101" s="54"/>
    </row>
    <row r="102" spans="2:10" x14ac:dyDescent="0.2">
      <c r="B102" s="53"/>
      <c r="C102" s="21" t="s">
        <v>83</v>
      </c>
      <c r="J102" s="54"/>
    </row>
    <row r="103" spans="2:10" ht="15.75" thickBot="1" x14ac:dyDescent="0.25">
      <c r="B103" s="61"/>
      <c r="C103" s="63"/>
      <c r="D103" s="63"/>
      <c r="E103" s="63"/>
      <c r="F103" s="63"/>
      <c r="G103" s="63"/>
      <c r="H103" s="63"/>
      <c r="I103" s="63"/>
      <c r="J103" s="64"/>
    </row>
  </sheetData>
  <mergeCells count="19">
    <mergeCell ref="B6:J6"/>
    <mergeCell ref="C13:D13"/>
    <mergeCell ref="E13:G13"/>
    <mergeCell ref="C14:D14"/>
    <mergeCell ref="E14:G14"/>
    <mergeCell ref="B91:J91"/>
    <mergeCell ref="B92:J92"/>
    <mergeCell ref="B97:J97"/>
    <mergeCell ref="B75:J75"/>
    <mergeCell ref="C20:D20"/>
    <mergeCell ref="E20:G20"/>
    <mergeCell ref="C21:D21"/>
    <mergeCell ref="E21:G21"/>
    <mergeCell ref="B89:J89"/>
    <mergeCell ref="C17:I17"/>
    <mergeCell ref="C24:I24"/>
    <mergeCell ref="B27:J27"/>
    <mergeCell ref="B36:J36"/>
    <mergeCell ref="B60:J60"/>
  </mergeCells>
  <phoneticPr fontId="2" type="noConversion"/>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K82"/>
  <sheetViews>
    <sheetView zoomScale="80" zoomScaleNormal="80" workbookViewId="0">
      <selection activeCell="B1" sqref="B1"/>
    </sheetView>
  </sheetViews>
  <sheetFormatPr baseColWidth="10" defaultRowHeight="15" x14ac:dyDescent="0.2"/>
  <cols>
    <col min="1" max="1" width="10.7109375" style="21" customWidth="1"/>
    <col min="2" max="10" width="11.42578125" style="21" customWidth="1"/>
    <col min="11" max="11" width="5.5703125" style="21" customWidth="1"/>
  </cols>
  <sheetData>
    <row r="2" spans="2:10" ht="20.25" x14ac:dyDescent="0.3">
      <c r="B2" s="22" t="s">
        <v>85</v>
      </c>
      <c r="C2" s="23"/>
      <c r="D2" s="23"/>
    </row>
    <row r="4" spans="2:10" ht="18.75" thickBot="1" x14ac:dyDescent="0.3">
      <c r="B4" s="49" t="s">
        <v>47</v>
      </c>
      <c r="C4" s="23"/>
      <c r="D4" s="23"/>
    </row>
    <row r="5" spans="2:10" ht="15.75" x14ac:dyDescent="0.25">
      <c r="B5" s="50" t="s">
        <v>48</v>
      </c>
      <c r="C5" s="51"/>
      <c r="D5" s="51"/>
      <c r="E5" s="51"/>
      <c r="F5" s="51"/>
      <c r="G5" s="51"/>
      <c r="H5" s="51"/>
      <c r="I5" s="51"/>
      <c r="J5" s="52"/>
    </row>
    <row r="6" spans="2:10" x14ac:dyDescent="0.2">
      <c r="B6" s="149" t="s">
        <v>99</v>
      </c>
      <c r="C6" s="150"/>
      <c r="D6" s="150"/>
      <c r="E6" s="150"/>
      <c r="F6" s="150"/>
      <c r="G6" s="150"/>
      <c r="H6" s="150"/>
      <c r="I6" s="150"/>
      <c r="J6" s="151"/>
    </row>
    <row r="7" spans="2:10" x14ac:dyDescent="0.2">
      <c r="B7" s="85" t="s">
        <v>100</v>
      </c>
      <c r="C7" s="86"/>
      <c r="D7" s="86"/>
      <c r="E7" s="86"/>
      <c r="F7" s="86"/>
      <c r="G7" s="86"/>
      <c r="H7" s="86"/>
      <c r="I7" s="86"/>
      <c r="J7" s="87"/>
    </row>
    <row r="8" spans="2:10" x14ac:dyDescent="0.2">
      <c r="B8" s="53"/>
      <c r="J8" s="54"/>
    </row>
    <row r="9" spans="2:10" ht="31.15" customHeight="1" x14ac:dyDescent="0.2">
      <c r="B9" s="164" t="s">
        <v>101</v>
      </c>
      <c r="C9" s="165"/>
      <c r="D9" s="165"/>
      <c r="E9" s="165"/>
      <c r="F9" s="165"/>
      <c r="G9" s="165"/>
      <c r="H9" s="165"/>
      <c r="I9" s="165"/>
      <c r="J9" s="166"/>
    </row>
    <row r="10" spans="2:10" x14ac:dyDescent="0.2">
      <c r="B10" s="53"/>
      <c r="C10" s="57"/>
      <c r="D10" s="58"/>
      <c r="J10" s="54"/>
    </row>
    <row r="11" spans="2:10" x14ac:dyDescent="0.2">
      <c r="B11" s="53"/>
      <c r="C11" s="57"/>
      <c r="D11" s="58"/>
      <c r="F11" s="58"/>
      <c r="J11" s="54"/>
    </row>
    <row r="12" spans="2:10" ht="15.75" thickBot="1" x14ac:dyDescent="0.25">
      <c r="B12" s="53"/>
      <c r="J12" s="54"/>
    </row>
    <row r="13" spans="2:10" ht="16.5" thickBot="1" x14ac:dyDescent="0.3">
      <c r="B13" s="53"/>
      <c r="C13" s="152" t="s">
        <v>0</v>
      </c>
      <c r="D13" s="153"/>
      <c r="E13" s="154" t="s">
        <v>112</v>
      </c>
      <c r="F13" s="155"/>
      <c r="G13" s="156"/>
      <c r="J13" s="54"/>
    </row>
    <row r="14" spans="2:10" ht="15.75" thickBot="1" x14ac:dyDescent="0.25">
      <c r="B14" s="53"/>
      <c r="C14" s="157">
        <v>1</v>
      </c>
      <c r="D14" s="158"/>
      <c r="E14" s="159" t="s">
        <v>102</v>
      </c>
      <c r="F14" s="159"/>
      <c r="G14" s="160"/>
      <c r="J14" s="54"/>
    </row>
    <row r="15" spans="2:10" ht="15.75" thickBot="1" x14ac:dyDescent="0.25">
      <c r="B15" s="53"/>
      <c r="C15" s="157">
        <v>2</v>
      </c>
      <c r="D15" s="158"/>
      <c r="E15" s="159" t="s">
        <v>103</v>
      </c>
      <c r="F15" s="159"/>
      <c r="G15" s="160"/>
      <c r="J15" s="54"/>
    </row>
    <row r="16" spans="2:10" ht="15.75" thickBot="1" x14ac:dyDescent="0.25">
      <c r="B16" s="53"/>
      <c r="C16" s="157">
        <v>6</v>
      </c>
      <c r="D16" s="158"/>
      <c r="E16" s="159" t="s">
        <v>104</v>
      </c>
      <c r="F16" s="159"/>
      <c r="G16" s="160"/>
      <c r="J16" s="54"/>
    </row>
    <row r="17" spans="2:10" ht="15.75" thickBot="1" x14ac:dyDescent="0.25">
      <c r="B17" s="53"/>
      <c r="C17" s="157">
        <v>9</v>
      </c>
      <c r="D17" s="158"/>
      <c r="E17" s="159" t="s">
        <v>105</v>
      </c>
      <c r="F17" s="159"/>
      <c r="G17" s="160"/>
      <c r="J17" s="54"/>
    </row>
    <row r="18" spans="2:10" ht="15.75" thickBot="1" x14ac:dyDescent="0.25">
      <c r="B18" s="53"/>
      <c r="C18" s="157">
        <v>17.5</v>
      </c>
      <c r="D18" s="158"/>
      <c r="E18" s="159" t="s">
        <v>106</v>
      </c>
      <c r="F18" s="159"/>
      <c r="G18" s="160"/>
      <c r="J18" s="90"/>
    </row>
    <row r="19" spans="2:10" x14ac:dyDescent="0.2">
      <c r="B19" s="53"/>
      <c r="C19" s="88"/>
      <c r="D19" s="88"/>
      <c r="E19" s="89"/>
      <c r="F19" s="89"/>
      <c r="G19" s="89"/>
      <c r="I19" s="91"/>
      <c r="J19" s="92"/>
    </row>
    <row r="20" spans="2:10" ht="15.75" x14ac:dyDescent="0.25">
      <c r="B20" s="53"/>
      <c r="C20" s="59" t="s">
        <v>2</v>
      </c>
      <c r="E20" s="65"/>
      <c r="F20" s="65"/>
      <c r="G20" s="65"/>
      <c r="I20" s="91"/>
      <c r="J20" s="92"/>
    </row>
    <row r="21" spans="2:10" x14ac:dyDescent="0.2">
      <c r="B21" s="53"/>
      <c r="C21" s="116" t="s">
        <v>49</v>
      </c>
      <c r="D21" s="116"/>
      <c r="E21" s="116"/>
      <c r="F21" s="116"/>
      <c r="G21" s="116"/>
      <c r="H21" s="116"/>
      <c r="I21" s="116"/>
      <c r="J21" s="92"/>
    </row>
    <row r="22" spans="2:10" x14ac:dyDescent="0.2">
      <c r="B22" s="53"/>
      <c r="E22" s="65"/>
      <c r="F22" s="65"/>
      <c r="G22" s="65"/>
      <c r="I22" s="91"/>
      <c r="J22" s="92"/>
    </row>
    <row r="23" spans="2:10" ht="15.75" thickBot="1" x14ac:dyDescent="0.25">
      <c r="B23" s="53"/>
      <c r="I23" s="91"/>
      <c r="J23" s="92"/>
    </row>
    <row r="24" spans="2:10" ht="16.5" thickBot="1" x14ac:dyDescent="0.3">
      <c r="B24" s="53"/>
      <c r="C24" s="137" t="s">
        <v>0</v>
      </c>
      <c r="D24" s="138"/>
      <c r="E24" s="139" t="s">
        <v>1</v>
      </c>
      <c r="F24" s="140"/>
      <c r="G24" s="141"/>
      <c r="J24" s="54"/>
    </row>
    <row r="25" spans="2:10" x14ac:dyDescent="0.2">
      <c r="B25" s="53"/>
      <c r="C25" s="142">
        <v>1</v>
      </c>
      <c r="D25" s="143"/>
      <c r="E25" s="144" t="s">
        <v>107</v>
      </c>
      <c r="F25" s="144"/>
      <c r="G25" s="145"/>
      <c r="J25" s="54"/>
    </row>
    <row r="26" spans="2:10" x14ac:dyDescent="0.2">
      <c r="B26" s="53"/>
      <c r="C26" s="142">
        <v>2</v>
      </c>
      <c r="D26" s="143"/>
      <c r="E26" s="144" t="s">
        <v>108</v>
      </c>
      <c r="F26" s="144"/>
      <c r="G26" s="145"/>
      <c r="J26" s="54"/>
    </row>
    <row r="27" spans="2:10" x14ac:dyDescent="0.2">
      <c r="B27" s="53"/>
      <c r="C27" s="142">
        <v>6</v>
      </c>
      <c r="D27" s="143"/>
      <c r="E27" s="144" t="s">
        <v>109</v>
      </c>
      <c r="F27" s="144"/>
      <c r="G27" s="145"/>
      <c r="J27" s="54"/>
    </row>
    <row r="28" spans="2:10" x14ac:dyDescent="0.2">
      <c r="B28" s="53"/>
      <c r="C28" s="142">
        <v>9</v>
      </c>
      <c r="D28" s="143"/>
      <c r="E28" s="144" t="s">
        <v>110</v>
      </c>
      <c r="F28" s="144"/>
      <c r="G28" s="145"/>
      <c r="J28" s="54"/>
    </row>
    <row r="29" spans="2:10" x14ac:dyDescent="0.2">
      <c r="B29" s="53"/>
      <c r="C29" s="142">
        <v>17.5</v>
      </c>
      <c r="D29" s="143"/>
      <c r="E29" s="144" t="s">
        <v>111</v>
      </c>
      <c r="F29" s="144"/>
      <c r="G29" s="145"/>
      <c r="J29" s="54"/>
    </row>
    <row r="30" spans="2:10" x14ac:dyDescent="0.2">
      <c r="B30" s="53"/>
      <c r="J30" s="54"/>
    </row>
    <row r="31" spans="2:10" ht="15.75" x14ac:dyDescent="0.25">
      <c r="B31" s="53"/>
      <c r="C31" s="60" t="s">
        <v>2</v>
      </c>
      <c r="J31" s="54"/>
    </row>
    <row r="32" spans="2:10" x14ac:dyDescent="0.2">
      <c r="B32" s="53"/>
      <c r="C32" s="118" t="s">
        <v>50</v>
      </c>
      <c r="D32" s="118"/>
      <c r="E32" s="118"/>
      <c r="F32" s="118"/>
      <c r="G32" s="118"/>
      <c r="H32" s="118"/>
      <c r="I32" s="118"/>
      <c r="J32" s="54"/>
    </row>
    <row r="33" spans="2:10" ht="15.75" thickBot="1" x14ac:dyDescent="0.25">
      <c r="B33" s="61"/>
      <c r="C33" s="62"/>
      <c r="D33" s="63"/>
      <c r="E33" s="63"/>
      <c r="F33" s="63"/>
      <c r="G33" s="63"/>
      <c r="H33" s="63"/>
      <c r="I33" s="63"/>
      <c r="J33" s="64"/>
    </row>
    <row r="34" spans="2:10" x14ac:dyDescent="0.2">
      <c r="D34" s="65"/>
    </row>
    <row r="35" spans="2:10" x14ac:dyDescent="0.2">
      <c r="C35" s="57"/>
    </row>
    <row r="36" spans="2:10" ht="18.75" thickBot="1" x14ac:dyDescent="0.3">
      <c r="B36" s="49" t="s">
        <v>51</v>
      </c>
      <c r="C36" s="23"/>
      <c r="D36" s="23"/>
    </row>
    <row r="37" spans="2:10" ht="15.75" x14ac:dyDescent="0.25">
      <c r="B37" s="66" t="s">
        <v>52</v>
      </c>
      <c r="C37" s="67"/>
      <c r="D37" s="67"/>
      <c r="E37" s="67"/>
      <c r="F37" s="67"/>
      <c r="G37" s="67"/>
      <c r="H37" s="67"/>
      <c r="I37" s="67"/>
      <c r="J37" s="68"/>
    </row>
    <row r="38" spans="2:10" x14ac:dyDescent="0.2">
      <c r="B38" s="122" t="s">
        <v>86</v>
      </c>
      <c r="C38" s="123"/>
      <c r="D38" s="123"/>
      <c r="E38" s="123"/>
      <c r="F38" s="123"/>
      <c r="G38" s="123"/>
      <c r="H38" s="123"/>
      <c r="I38" s="123"/>
      <c r="J38" s="124"/>
    </row>
    <row r="39" spans="2:10" x14ac:dyDescent="0.2">
      <c r="B39" s="149" t="s">
        <v>23</v>
      </c>
      <c r="C39" s="150"/>
      <c r="D39" s="150"/>
      <c r="E39" s="150"/>
      <c r="F39" s="150"/>
      <c r="G39" s="150"/>
      <c r="H39" s="150"/>
      <c r="I39" s="150"/>
      <c r="J39" s="151"/>
    </row>
    <row r="40" spans="2:10" ht="15.75" thickBot="1" x14ac:dyDescent="0.25">
      <c r="B40" s="53"/>
      <c r="J40" s="54"/>
    </row>
    <row r="41" spans="2:10" ht="16.5" thickBot="1" x14ac:dyDescent="0.3">
      <c r="B41" s="53"/>
      <c r="C41" s="32" t="s">
        <v>0</v>
      </c>
      <c r="D41" s="45" t="s">
        <v>3</v>
      </c>
      <c r="E41" s="45" t="s">
        <v>4</v>
      </c>
      <c r="J41" s="54"/>
    </row>
    <row r="42" spans="2:10" x14ac:dyDescent="0.2">
      <c r="B42" s="53"/>
      <c r="C42" s="71">
        <v>0.2</v>
      </c>
      <c r="D42" s="72"/>
      <c r="E42" s="72"/>
      <c r="J42" s="54"/>
    </row>
    <row r="43" spans="2:10" x14ac:dyDescent="0.2">
      <c r="B43" s="53"/>
      <c r="C43" s="73">
        <v>2</v>
      </c>
      <c r="D43" s="74"/>
      <c r="E43" s="74"/>
      <c r="J43" s="54"/>
    </row>
    <row r="44" spans="2:10" x14ac:dyDescent="0.2">
      <c r="B44" s="53"/>
      <c r="C44" s="73">
        <v>5</v>
      </c>
      <c r="D44" s="74"/>
      <c r="E44" s="74"/>
      <c r="J44" s="54"/>
    </row>
    <row r="45" spans="2:10" x14ac:dyDescent="0.2">
      <c r="B45" s="53"/>
      <c r="C45" s="81">
        <v>10</v>
      </c>
      <c r="D45" s="93"/>
      <c r="E45" s="93"/>
      <c r="J45" s="54"/>
    </row>
    <row r="46" spans="2:10" x14ac:dyDescent="0.2">
      <c r="B46" s="53"/>
      <c r="C46" s="82"/>
      <c r="D46" s="58"/>
      <c r="E46" s="58"/>
      <c r="J46" s="54"/>
    </row>
    <row r="47" spans="2:10" x14ac:dyDescent="0.2">
      <c r="B47" s="53" t="s">
        <v>16</v>
      </c>
      <c r="C47" s="82"/>
      <c r="D47" s="58"/>
      <c r="E47" s="58"/>
      <c r="J47" s="54"/>
    </row>
    <row r="48" spans="2:10" x14ac:dyDescent="0.2">
      <c r="B48" s="53"/>
      <c r="C48" s="75"/>
      <c r="J48" s="54"/>
    </row>
    <row r="49" spans="2:10" x14ac:dyDescent="0.2">
      <c r="B49" s="53"/>
      <c r="J49" s="54"/>
    </row>
    <row r="50" spans="2:10" ht="15.75" x14ac:dyDescent="0.25">
      <c r="B50" s="76" t="s">
        <v>53</v>
      </c>
      <c r="C50" s="77"/>
      <c r="D50" s="77"/>
      <c r="E50" s="77"/>
      <c r="F50" s="77"/>
      <c r="G50" s="77"/>
      <c r="H50" s="77"/>
      <c r="I50" s="77"/>
      <c r="J50" s="78"/>
    </row>
    <row r="51" spans="2:10" ht="33.4" customHeight="1" x14ac:dyDescent="0.2">
      <c r="B51" s="134" t="s">
        <v>87</v>
      </c>
      <c r="C51" s="135"/>
      <c r="D51" s="135"/>
      <c r="E51" s="135"/>
      <c r="F51" s="135"/>
      <c r="G51" s="135"/>
      <c r="H51" s="135"/>
      <c r="I51" s="135"/>
      <c r="J51" s="136"/>
    </row>
    <row r="52" spans="2:10" x14ac:dyDescent="0.2">
      <c r="B52" s="53"/>
      <c r="J52" s="54"/>
    </row>
    <row r="53" spans="2:10" ht="15.75" x14ac:dyDescent="0.25">
      <c r="B53" s="53"/>
      <c r="C53" s="21" t="s">
        <v>15</v>
      </c>
      <c r="D53" s="94"/>
      <c r="I53" s="75"/>
      <c r="J53" s="54"/>
    </row>
    <row r="54" spans="2:10" x14ac:dyDescent="0.2">
      <c r="B54" s="53"/>
      <c r="C54" s="21" t="s">
        <v>14</v>
      </c>
      <c r="D54" s="58"/>
      <c r="I54" s="75"/>
      <c r="J54" s="54"/>
    </row>
    <row r="55" spans="2:10" x14ac:dyDescent="0.2">
      <c r="B55" s="53"/>
      <c r="C55" s="21" t="s">
        <v>90</v>
      </c>
      <c r="D55" s="58"/>
      <c r="I55" s="75"/>
      <c r="J55" s="54"/>
    </row>
    <row r="56" spans="2:10" x14ac:dyDescent="0.2">
      <c r="B56" s="53"/>
      <c r="C56" s="21" t="s">
        <v>88</v>
      </c>
      <c r="D56" s="58"/>
      <c r="I56" s="75"/>
      <c r="J56" s="54"/>
    </row>
    <row r="57" spans="2:10" x14ac:dyDescent="0.2">
      <c r="B57" s="53"/>
      <c r="C57" s="21" t="s">
        <v>89</v>
      </c>
      <c r="D57" s="58"/>
      <c r="I57" s="75"/>
      <c r="J57" s="54"/>
    </row>
    <row r="58" spans="2:10" x14ac:dyDescent="0.2">
      <c r="B58" s="53"/>
      <c r="C58" s="21" t="s">
        <v>91</v>
      </c>
      <c r="D58" s="58"/>
      <c r="I58" s="75"/>
      <c r="J58" s="54"/>
    </row>
    <row r="59" spans="2:10" x14ac:dyDescent="0.2">
      <c r="B59" s="53"/>
      <c r="C59" s="21" t="s">
        <v>92</v>
      </c>
      <c r="I59" s="75"/>
      <c r="J59" s="54"/>
    </row>
    <row r="60" spans="2:10" x14ac:dyDescent="0.2">
      <c r="B60" s="53"/>
      <c r="J60" s="54"/>
    </row>
    <row r="61" spans="2:10" x14ac:dyDescent="0.2">
      <c r="B61" s="53"/>
      <c r="J61" s="54"/>
    </row>
    <row r="62" spans="2:10" ht="15.75" x14ac:dyDescent="0.25">
      <c r="B62" s="76" t="s">
        <v>54</v>
      </c>
      <c r="C62" s="77"/>
      <c r="D62" s="77"/>
      <c r="E62" s="77"/>
      <c r="F62" s="77"/>
      <c r="G62" s="77"/>
      <c r="H62" s="77"/>
      <c r="I62" s="77"/>
      <c r="J62" s="78"/>
    </row>
    <row r="63" spans="2:10" ht="31.9" customHeight="1" x14ac:dyDescent="0.2">
      <c r="B63" s="125" t="s">
        <v>93</v>
      </c>
      <c r="C63" s="126"/>
      <c r="D63" s="126"/>
      <c r="E63" s="126"/>
      <c r="F63" s="126"/>
      <c r="G63" s="126"/>
      <c r="H63" s="126"/>
      <c r="I63" s="126"/>
      <c r="J63" s="127"/>
    </row>
    <row r="64" spans="2:10" x14ac:dyDescent="0.2">
      <c r="B64" s="80"/>
      <c r="J64" s="54"/>
    </row>
    <row r="65" spans="2:10" ht="31.15" customHeight="1" x14ac:dyDescent="0.2">
      <c r="B65" s="119" t="s">
        <v>94</v>
      </c>
      <c r="C65" s="120"/>
      <c r="D65" s="120"/>
      <c r="E65" s="120"/>
      <c r="F65" s="120"/>
      <c r="G65" s="120"/>
      <c r="H65" s="120"/>
      <c r="I65" s="120"/>
      <c r="J65" s="121"/>
    </row>
    <row r="66" spans="2:10" x14ac:dyDescent="0.2">
      <c r="B66" s="53"/>
      <c r="C66" s="58"/>
      <c r="D66" s="58"/>
      <c r="J66" s="54"/>
    </row>
    <row r="67" spans="2:10" x14ac:dyDescent="0.2">
      <c r="B67" s="53"/>
      <c r="C67" s="58"/>
      <c r="E67" s="39" t="s">
        <v>12</v>
      </c>
      <c r="F67" s="42" t="s">
        <v>13</v>
      </c>
      <c r="J67" s="54"/>
    </row>
    <row r="68" spans="2:10" x14ac:dyDescent="0.2">
      <c r="B68" s="53"/>
      <c r="C68" s="82"/>
      <c r="E68" s="105"/>
      <c r="F68" s="106"/>
      <c r="J68" s="54"/>
    </row>
    <row r="69" spans="2:10" x14ac:dyDescent="0.2">
      <c r="B69" s="53"/>
      <c r="C69" s="82"/>
      <c r="D69" s="21" t="s">
        <v>17</v>
      </c>
      <c r="E69" s="107"/>
      <c r="F69" s="107"/>
      <c r="J69" s="54"/>
    </row>
    <row r="70" spans="2:10" x14ac:dyDescent="0.2">
      <c r="B70" s="53"/>
      <c r="C70" s="82"/>
      <c r="D70" s="58"/>
      <c r="J70" s="54"/>
    </row>
    <row r="71" spans="2:10" x14ac:dyDescent="0.2">
      <c r="B71" s="53" t="s">
        <v>22</v>
      </c>
      <c r="C71" s="82"/>
      <c r="D71" s="58"/>
      <c r="H71" s="21" t="s">
        <v>18</v>
      </c>
      <c r="J71" s="54"/>
    </row>
    <row r="72" spans="2:10" x14ac:dyDescent="0.2">
      <c r="B72" s="53" t="s">
        <v>96</v>
      </c>
      <c r="C72" s="82"/>
      <c r="D72" s="58"/>
      <c r="G72" s="75"/>
      <c r="H72" s="21">
        <f>ROUND(G72,3)</f>
        <v>0</v>
      </c>
      <c r="J72" s="54"/>
    </row>
    <row r="73" spans="2:10" x14ac:dyDescent="0.2">
      <c r="B73" s="53" t="s">
        <v>95</v>
      </c>
      <c r="C73" s="82"/>
      <c r="D73" s="58"/>
      <c r="G73" s="75"/>
      <c r="H73" s="21">
        <f>ROUND(G73,3)</f>
        <v>0</v>
      </c>
      <c r="J73" s="54"/>
    </row>
    <row r="74" spans="2:10" x14ac:dyDescent="0.2">
      <c r="B74" s="53" t="s">
        <v>97</v>
      </c>
      <c r="C74" s="82"/>
      <c r="D74" s="58"/>
      <c r="G74" s="75"/>
      <c r="H74" s="21">
        <f>ROUND(G74,3)</f>
        <v>0</v>
      </c>
      <c r="J74" s="54"/>
    </row>
    <row r="75" spans="2:10" x14ac:dyDescent="0.2">
      <c r="B75" s="53"/>
      <c r="C75" s="82"/>
      <c r="J75" s="54"/>
    </row>
    <row r="76" spans="2:10" ht="34.5" customHeight="1" x14ac:dyDescent="0.2">
      <c r="B76" s="161" t="s">
        <v>98</v>
      </c>
      <c r="C76" s="162"/>
      <c r="D76" s="162"/>
      <c r="E76" s="162"/>
      <c r="F76" s="162"/>
      <c r="G76" s="162"/>
      <c r="H76" s="162"/>
      <c r="I76" s="162"/>
      <c r="J76" s="163"/>
    </row>
    <row r="77" spans="2:10" ht="15.75" x14ac:dyDescent="0.25">
      <c r="B77" s="53"/>
      <c r="C77" s="1"/>
      <c r="F77" s="1"/>
      <c r="J77" s="54"/>
    </row>
    <row r="78" spans="2:10" ht="15.75" x14ac:dyDescent="0.25">
      <c r="B78" s="53"/>
      <c r="C78" s="1"/>
      <c r="E78" s="39" t="s">
        <v>12</v>
      </c>
      <c r="F78" s="42" t="s">
        <v>11</v>
      </c>
      <c r="G78" s="1"/>
      <c r="J78" s="54"/>
    </row>
    <row r="79" spans="2:10" x14ac:dyDescent="0.2">
      <c r="B79" s="53"/>
      <c r="E79" s="105"/>
      <c r="F79" s="106"/>
      <c r="J79" s="54"/>
    </row>
    <row r="80" spans="2:10" x14ac:dyDescent="0.2">
      <c r="B80" s="53"/>
      <c r="D80" s="21" t="s">
        <v>18</v>
      </c>
      <c r="E80" s="107"/>
      <c r="F80" s="107"/>
      <c r="J80" s="54"/>
    </row>
    <row r="81" spans="2:10" x14ac:dyDescent="0.2">
      <c r="B81" s="53"/>
      <c r="J81" s="54"/>
    </row>
    <row r="82" spans="2:10" ht="15.75" thickBot="1" x14ac:dyDescent="0.25">
      <c r="B82" s="61"/>
      <c r="C82" s="63"/>
      <c r="D82" s="63"/>
      <c r="E82" s="63"/>
      <c r="F82" s="63"/>
      <c r="G82" s="63"/>
      <c r="H82" s="63"/>
      <c r="I82" s="63"/>
      <c r="J82" s="64"/>
    </row>
  </sheetData>
  <mergeCells count="34">
    <mergeCell ref="E25:G25"/>
    <mergeCell ref="C26:D26"/>
    <mergeCell ref="E26:G26"/>
    <mergeCell ref="B6:J6"/>
    <mergeCell ref="C13:D13"/>
    <mergeCell ref="E13:G13"/>
    <mergeCell ref="C18:D18"/>
    <mergeCell ref="E18:G18"/>
    <mergeCell ref="C21:I21"/>
    <mergeCell ref="C16:D16"/>
    <mergeCell ref="E16:G16"/>
    <mergeCell ref="C17:D17"/>
    <mergeCell ref="E17:G17"/>
    <mergeCell ref="B51:J51"/>
    <mergeCell ref="B65:J65"/>
    <mergeCell ref="B76:J76"/>
    <mergeCell ref="B9:J9"/>
    <mergeCell ref="C14:D14"/>
    <mergeCell ref="E14:G14"/>
    <mergeCell ref="C15:D15"/>
    <mergeCell ref="E15:G15"/>
    <mergeCell ref="B38:J38"/>
    <mergeCell ref="B63:J63"/>
    <mergeCell ref="C24:D24"/>
    <mergeCell ref="E24:G24"/>
    <mergeCell ref="C29:D29"/>
    <mergeCell ref="E29:G29"/>
    <mergeCell ref="C32:I32"/>
    <mergeCell ref="C25:D25"/>
    <mergeCell ref="C27:D27"/>
    <mergeCell ref="E27:G27"/>
    <mergeCell ref="C28:D28"/>
    <mergeCell ref="E28:G28"/>
    <mergeCell ref="B39:J39"/>
  </mergeCells>
  <phoneticPr fontId="2"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Überblick</vt:lpstr>
      <vt:lpstr>f(x) vs. F(x)</vt:lpstr>
      <vt:lpstr>Fraktilswert</vt:lpstr>
      <vt:lpstr>X ~ N</vt:lpstr>
      <vt:lpstr>X ~ Exp</vt:lpstr>
    </vt:vector>
  </TitlesOfParts>
  <Company>Universitaet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Lennart Dröge</cp:lastModifiedBy>
  <dcterms:created xsi:type="dcterms:W3CDTF">2007-07-03T09:36:49Z</dcterms:created>
  <dcterms:modified xsi:type="dcterms:W3CDTF">2025-04-09T10:21:33Z</dcterms:modified>
</cp:coreProperties>
</file>