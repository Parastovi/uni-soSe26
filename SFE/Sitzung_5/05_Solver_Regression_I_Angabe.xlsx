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5/"/>
    </mc:Choice>
  </mc:AlternateContent>
  <xr:revisionPtr revIDLastSave="1729" documentId="13_ncr:1_{5F4D0D42-E17B-4D42-A580-99162B4EF5B3}" xr6:coauthVersionLast="47" xr6:coauthVersionMax="47" xr10:uidLastSave="{5B885252-E733-4044-982F-C6E19013398F}"/>
  <bookViews>
    <workbookView xWindow="-28920" yWindow="-30" windowWidth="29040" windowHeight="17520" activeTab="4" xr2:uid="{00000000-000D-0000-FFFF-FFFF00000000}"/>
  </bookViews>
  <sheets>
    <sheet name="Überblick" sheetId="14" r:id="rId1"/>
    <sheet name="Solver" sheetId="9" r:id="rId2"/>
    <sheet name="Beispiel Solver" sheetId="10" r:id="rId3"/>
    <sheet name="Aufgabe 1" sheetId="7" r:id="rId4"/>
    <sheet name="Regression mit Solver" sheetId="11" r:id="rId5"/>
    <sheet name="Aufgabe 2" sheetId="12" r:id="rId6"/>
    <sheet name="Aufgabe 3" sheetId="13" r:id="rId7"/>
  </sheets>
  <externalReferences>
    <externalReference r:id="rId8"/>
    <externalReference r:id="rId9"/>
    <externalReference r:id="rId10"/>
  </externalReferences>
  <definedNames>
    <definedName name="A" localSheetId="3">'[1]mit Solver'!$F$2</definedName>
    <definedName name="a">'[2]Regression mit Solver'!$F$2</definedName>
    <definedName name="b" localSheetId="3">'[1]mit Solver'!$F$3</definedName>
    <definedName name="b">'[2]Regression mit Solver'!$F$3</definedName>
    <definedName name="knie">'[3]Summewenn &amp; Zählenwenn'!$D$47:$D$53</definedName>
    <definedName name="schmerz?">'[3]Summewenn &amp; Zählenwenn'!$E$47:$E$53</definedName>
    <definedName name="solver_adj" localSheetId="3" hidden="1">'Aufgabe 1'!$F$28:$F$29</definedName>
    <definedName name="solver_adj" localSheetId="2" hidden="1">'Beispiel Solver'!$C$13:$C$15</definedName>
    <definedName name="solver_adj" localSheetId="4" hidden="1">'Regression mit Solver'!$G$18:$G$19</definedName>
    <definedName name="solver_adj" localSheetId="1" hidden="1">Solver!$C$107:$C$109</definedName>
    <definedName name="solver_cvg" localSheetId="3" hidden="1">0.0001</definedName>
    <definedName name="solver_cvg" localSheetId="2" hidden="1">0.0001</definedName>
    <definedName name="solver_cvg" localSheetId="4" hidden="1">0.0001</definedName>
    <definedName name="solver_cvg" localSheetId="1" hidden="1">0.0001</definedName>
    <definedName name="solver_drv" localSheetId="3" hidden="1">1</definedName>
    <definedName name="solver_drv" localSheetId="2" hidden="1">2</definedName>
    <definedName name="solver_drv" localSheetId="4" hidden="1">1</definedName>
    <definedName name="solver_drv" localSheetId="1" hidden="1">1</definedName>
    <definedName name="solver_eng" localSheetId="3" hidden="1">1</definedName>
    <definedName name="solver_eng" localSheetId="2" hidden="1">1</definedName>
    <definedName name="solver_eng" localSheetId="4" hidden="1">1</definedName>
    <definedName name="solver_eng" localSheetId="1" hidden="1">1</definedName>
    <definedName name="solver_est" localSheetId="3" hidden="1">1</definedName>
    <definedName name="solver_est" localSheetId="2" hidden="1">1</definedName>
    <definedName name="solver_est" localSheetId="4" hidden="1">1</definedName>
    <definedName name="solver_est" localSheetId="1" hidden="1">1</definedName>
    <definedName name="solver_itr" localSheetId="3" hidden="1">100</definedName>
    <definedName name="solver_itr" localSheetId="2" hidden="1">2147483647</definedName>
    <definedName name="solver_itr" localSheetId="4" hidden="1">100</definedName>
    <definedName name="solver_itr" localSheetId="1" hidden="1">100</definedName>
    <definedName name="solver_lhs0" localSheetId="1" hidden="1">Solver!$E$38</definedName>
    <definedName name="solver_lhs1" localSheetId="3" hidden="1">'Aufgabe 1'!$F$28:$F$29</definedName>
    <definedName name="solver_lhs1" localSheetId="2" hidden="1">'Beispiel Solver'!$C$13</definedName>
    <definedName name="solver_lhs1" localSheetId="4" hidden="1">'Regression mit Solver'!$G$18</definedName>
    <definedName name="solver_lhs1" localSheetId="1" hidden="1">Solver!$C$107</definedName>
    <definedName name="solver_lhs2" localSheetId="3" hidden="1">'Aufgabe 1'!$G$30</definedName>
    <definedName name="solver_lhs2" localSheetId="2" hidden="1">'Beispiel Solver'!$C$13:$C$15</definedName>
    <definedName name="solver_lhs2" localSheetId="4" hidden="1">'Regression mit Solver'!$G$19</definedName>
    <definedName name="solver_lhs2" localSheetId="1" hidden="1">Solver!$C$107:$C$109</definedName>
    <definedName name="solver_lhs3" localSheetId="3" hidden="1">'Aufgabe 1'!$H$28:$H$29</definedName>
    <definedName name="solver_lhs3" localSheetId="2" hidden="1">'Beispiel Solver'!$E$16</definedName>
    <definedName name="solver_lhs3" localSheetId="1" hidden="1">Solver!$E$110</definedName>
    <definedName name="solver_lin" localSheetId="3" hidden="1">2</definedName>
    <definedName name="solver_lin" localSheetId="4" hidden="1">2</definedName>
    <definedName name="solver_lin" localSheetId="1" hidden="1">2</definedName>
    <definedName name="solver_mip" localSheetId="3" hidden="1">2147483647</definedName>
    <definedName name="solver_mip" localSheetId="2" hidden="1">2147483647</definedName>
    <definedName name="solver_mip" localSheetId="4" hidden="1">2147483647</definedName>
    <definedName name="solver_mip" localSheetId="1" hidden="1">2147483647</definedName>
    <definedName name="solver_mni" localSheetId="3" hidden="1">30</definedName>
    <definedName name="solver_mni" localSheetId="2" hidden="1">30</definedName>
    <definedName name="solver_mni" localSheetId="4" hidden="1">30</definedName>
    <definedName name="solver_mni" localSheetId="1" hidden="1">30</definedName>
    <definedName name="solver_mrt" localSheetId="3" hidden="1">0.075</definedName>
    <definedName name="solver_mrt" localSheetId="2" hidden="1">0.075</definedName>
    <definedName name="solver_mrt" localSheetId="4" hidden="1">0.075</definedName>
    <definedName name="solver_mrt" localSheetId="1" hidden="1">0.075</definedName>
    <definedName name="solver_msl" localSheetId="3" hidden="1">2</definedName>
    <definedName name="solver_msl" localSheetId="2" hidden="1">2</definedName>
    <definedName name="solver_msl" localSheetId="4" hidden="1">2</definedName>
    <definedName name="solver_msl" localSheetId="1" hidden="1">2</definedName>
    <definedName name="solver_neg" localSheetId="3" hidden="1">2</definedName>
    <definedName name="solver_neg" localSheetId="2" hidden="1">1</definedName>
    <definedName name="solver_neg" localSheetId="4" hidden="1">2</definedName>
    <definedName name="solver_neg" localSheetId="1" hidden="1">2</definedName>
    <definedName name="solver_nod" localSheetId="3" hidden="1">2147483647</definedName>
    <definedName name="solver_nod" localSheetId="2" hidden="1">2147483647</definedName>
    <definedName name="solver_nod" localSheetId="4" hidden="1">2147483647</definedName>
    <definedName name="solver_nod" localSheetId="1" hidden="1">2147483647</definedName>
    <definedName name="solver_num" localSheetId="3" hidden="1">3</definedName>
    <definedName name="solver_num" localSheetId="2" hidden="1">3</definedName>
    <definedName name="solver_num" localSheetId="4" hidden="1">0</definedName>
    <definedName name="solver_num" localSheetId="1" hidden="1">3</definedName>
    <definedName name="solver_nwt" localSheetId="3" hidden="1">1</definedName>
    <definedName name="solver_nwt" localSheetId="2" hidden="1">1</definedName>
    <definedName name="solver_nwt" localSheetId="4" hidden="1">1</definedName>
    <definedName name="solver_nwt" localSheetId="1" hidden="1">1</definedName>
    <definedName name="solver_opt" localSheetId="3" hidden="1">'Aufgabe 1'!$H$31</definedName>
    <definedName name="solver_opt" localSheetId="2" hidden="1">'Beispiel Solver'!$C$23</definedName>
    <definedName name="solver_opt" localSheetId="4" hidden="1">'Regression mit Solver'!$D$26</definedName>
    <definedName name="solver_opt" localSheetId="1" hidden="1">Solver!$C$118</definedName>
    <definedName name="solver_pre" localSheetId="3" hidden="1">0.000001</definedName>
    <definedName name="solver_pre" localSheetId="2" hidden="1">0.000001</definedName>
    <definedName name="solver_pre" localSheetId="4" hidden="1">0.000001</definedName>
    <definedName name="solver_pre" localSheetId="1" hidden="1">0.000001</definedName>
    <definedName name="solver_rbv" localSheetId="3" hidden="1">1</definedName>
    <definedName name="solver_rbv" localSheetId="2" hidden="1">2</definedName>
    <definedName name="solver_rbv" localSheetId="4" hidden="1">1</definedName>
    <definedName name="solver_rbv" localSheetId="1" hidden="1">1</definedName>
    <definedName name="solver_rel0" localSheetId="1" hidden="1">1</definedName>
    <definedName name="solver_rel1" localSheetId="3" hidden="1">3</definedName>
    <definedName name="solver_rel1" localSheetId="2" hidden="1">1</definedName>
    <definedName name="solver_rel1" localSheetId="4" hidden="1">3</definedName>
    <definedName name="solver_rel1" localSheetId="1" hidden="1">1</definedName>
    <definedName name="solver_rel2" localSheetId="3" hidden="1">1</definedName>
    <definedName name="solver_rel2" localSheetId="2" hidden="1">3</definedName>
    <definedName name="solver_rel2" localSheetId="4" hidden="1">3</definedName>
    <definedName name="solver_rel2" localSheetId="1" hidden="1">3</definedName>
    <definedName name="solver_rel3" localSheetId="3" hidden="1">3</definedName>
    <definedName name="solver_rel3" localSheetId="2" hidden="1">1</definedName>
    <definedName name="solver_rel3" localSheetId="1" hidden="1">1</definedName>
    <definedName name="solver_rhs0" localSheetId="1" hidden="1">50</definedName>
    <definedName name="solver_rhs1" localSheetId="3" hidden="1">0</definedName>
    <definedName name="solver_rhs1" localSheetId="2" hidden="1">'Beispiel Solver'!$G$13</definedName>
    <definedName name="solver_rhs1" localSheetId="4" hidden="1">0.1</definedName>
    <definedName name="solver_rhs1" localSheetId="1" hidden="1">Solver!$G$107</definedName>
    <definedName name="solver_rhs2" localSheetId="3" hidden="1">30</definedName>
    <definedName name="solver_rhs2" localSheetId="2" hidden="1">0</definedName>
    <definedName name="solver_rhs2" localSheetId="4" hidden="1">0.1</definedName>
    <definedName name="solver_rhs2" localSheetId="1" hidden="1">0</definedName>
    <definedName name="solver_rhs3" localSheetId="3" hidden="1">1</definedName>
    <definedName name="solver_rhs3" localSheetId="2" hidden="1">50</definedName>
    <definedName name="solver_rhs3" localSheetId="1" hidden="1">50</definedName>
    <definedName name="solver_rlx" localSheetId="3" hidden="1">1</definedName>
    <definedName name="solver_rlx" localSheetId="2" hidden="1">2</definedName>
    <definedName name="solver_rlx" localSheetId="4" hidden="1">1</definedName>
    <definedName name="solver_rlx" localSheetId="1" hidden="1">1</definedName>
    <definedName name="solver_rsd" localSheetId="3" hidden="1">0</definedName>
    <definedName name="solver_rsd" localSheetId="2" hidden="1">0</definedName>
    <definedName name="solver_rsd" localSheetId="4" hidden="1">0</definedName>
    <definedName name="solver_rsd" localSheetId="1" hidden="1">0</definedName>
    <definedName name="solver_scl" localSheetId="3" hidden="1">2</definedName>
    <definedName name="solver_scl" localSheetId="2" hidden="1">2</definedName>
    <definedName name="solver_scl" localSheetId="4" hidden="1">2</definedName>
    <definedName name="solver_scl" localSheetId="1" hidden="1">2</definedName>
    <definedName name="solver_sho" localSheetId="3" hidden="1">2</definedName>
    <definedName name="solver_sho" localSheetId="2" hidden="1">2</definedName>
    <definedName name="solver_sho" localSheetId="4" hidden="1">2</definedName>
    <definedName name="solver_sho" localSheetId="1" hidden="1">2</definedName>
    <definedName name="solver_ssz" localSheetId="3" hidden="1">100</definedName>
    <definedName name="solver_ssz" localSheetId="2" hidden="1">100</definedName>
    <definedName name="solver_ssz" localSheetId="4" hidden="1">100</definedName>
    <definedName name="solver_ssz" localSheetId="1" hidden="1">100</definedName>
    <definedName name="solver_tim" localSheetId="3" hidden="1">100</definedName>
    <definedName name="solver_tim" localSheetId="2" hidden="1">2147483647</definedName>
    <definedName name="solver_tim" localSheetId="4" hidden="1">100</definedName>
    <definedName name="solver_tim" localSheetId="1" hidden="1">100</definedName>
    <definedName name="solver_tol" localSheetId="3" hidden="1">0.05</definedName>
    <definedName name="solver_tol" localSheetId="2" hidden="1">0.01</definedName>
    <definedName name="solver_tol" localSheetId="4" hidden="1">0.05</definedName>
    <definedName name="solver_tol" localSheetId="1" hidden="1">0.05</definedName>
    <definedName name="solver_typ" localSheetId="3" hidden="1">2</definedName>
    <definedName name="solver_typ" localSheetId="2" hidden="1">1</definedName>
    <definedName name="solver_typ" localSheetId="4" hidden="1">2</definedName>
    <definedName name="solver_typ" localSheetId="1" hidden="1">1</definedName>
    <definedName name="solver_val" localSheetId="3" hidden="1">0</definedName>
    <definedName name="solver_val" localSheetId="2" hidden="1">0</definedName>
    <definedName name="solver_val" localSheetId="4" hidden="1">0</definedName>
    <definedName name="solver_val" localSheetId="1" hidden="1">0</definedName>
    <definedName name="solver_ver" localSheetId="3" hidden="1">3</definedName>
    <definedName name="solver_ver" localSheetId="2" hidden="1">3</definedName>
    <definedName name="solver_ver" localSheetId="4" hidden="1">3</definedName>
    <definedName name="solver_ver" localSheetId="1" hidden="1">3</definedName>
    <definedName name="tag">'[3]Summewenn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5" i="13" l="1" a="1"/>
  <c r="I45" i="13" s="1"/>
  <c r="G45" i="13" a="1"/>
  <c r="G45" i="13" s="1"/>
  <c r="E45" i="13" a="1"/>
  <c r="E45" i="13" s="1"/>
  <c r="C45" i="13" a="1"/>
  <c r="C45" i="13" s="1"/>
  <c r="I38" i="13"/>
  <c r="G38" i="13"/>
  <c r="E38" i="13"/>
  <c r="C38" i="13"/>
  <c r="H35" i="13" a="1"/>
  <c r="H35" i="13" s="1"/>
  <c r="F35" i="13" a="1"/>
  <c r="F35" i="13" s="1"/>
  <c r="D35" i="13" a="1"/>
  <c r="D35" i="13" s="1"/>
  <c r="B35" i="13" a="1"/>
  <c r="B35" i="13" s="1"/>
  <c r="I30" i="13"/>
  <c r="G30" i="13"/>
  <c r="E30" i="13"/>
  <c r="C30" i="13"/>
  <c r="C27" i="13"/>
  <c r="D27" i="13"/>
  <c r="E27" i="13"/>
  <c r="F27" i="13"/>
  <c r="G27" i="13"/>
  <c r="H27" i="13"/>
  <c r="I27" i="13"/>
  <c r="B27" i="13"/>
  <c r="G39" i="12"/>
  <c r="G38" i="12"/>
  <c r="J30" i="12"/>
  <c r="J31" i="12"/>
  <c r="J32" i="12"/>
  <c r="J33" i="12"/>
  <c r="J34" i="12"/>
  <c r="J29" i="12"/>
  <c r="I29" i="12"/>
  <c r="I31" i="12"/>
  <c r="I32" i="12"/>
  <c r="I33" i="12"/>
  <c r="I34" i="12"/>
  <c r="I30" i="12"/>
  <c r="G30" i="12" a="1"/>
  <c r="G30" i="12" s="1"/>
  <c r="G31" i="12" a="1"/>
  <c r="G31" i="12" s="1"/>
  <c r="G32" i="12" a="1"/>
  <c r="G32" i="12" s="1"/>
  <c r="G33" i="12" a="1"/>
  <c r="G33" i="12" s="1"/>
  <c r="G34" i="12" a="1"/>
  <c r="G34" i="12" s="1"/>
  <c r="G29" i="12" a="1"/>
  <c r="G29" i="12" s="1"/>
  <c r="F30" i="12" a="1"/>
  <c r="F30" i="12" s="1"/>
  <c r="F31" i="12" a="1"/>
  <c r="F31" i="12"/>
  <c r="F32" i="12" a="1"/>
  <c r="F32" i="12" s="1"/>
  <c r="F33" i="12" a="1"/>
  <c r="F33" i="12" s="1"/>
  <c r="F34" i="12" a="1"/>
  <c r="F34" i="12" s="1"/>
  <c r="F29" i="12" a="1"/>
  <c r="F29" i="12" s="1"/>
  <c r="D23" i="12" a="1"/>
  <c r="D23" i="12" s="1"/>
  <c r="D22" i="12" a="1"/>
  <c r="D22" i="12" s="1"/>
  <c r="E67" i="11"/>
  <c r="E66" i="11" a="1"/>
  <c r="E66" i="11"/>
  <c r="F61" i="11"/>
  <c r="F60" i="11"/>
  <c r="F59" i="11"/>
  <c r="F58" i="11"/>
  <c r="G56" i="11" a="1"/>
  <c r="G56" i="11" s="1"/>
  <c r="D19" i="11"/>
  <c r="D20" i="11"/>
  <c r="D21" i="11"/>
  <c r="D22" i="11"/>
  <c r="D23" i="11"/>
  <c r="D24" i="11"/>
  <c r="D25" i="11"/>
  <c r="D18" i="11"/>
  <c r="H29" i="7"/>
  <c r="H28" i="7"/>
  <c r="G29" i="7"/>
  <c r="G28" i="7"/>
  <c r="E16" i="10" a="1"/>
  <c r="E16" i="10" s="1"/>
  <c r="C23" i="10" a="1"/>
  <c r="C23" i="10" s="1"/>
  <c r="C118" i="9" a="1"/>
  <c r="C118" i="9" s="1"/>
  <c r="C117" i="9" a="1"/>
  <c r="C117" i="9" s="1"/>
  <c r="C45" i="9" a="1"/>
  <c r="C45" i="9" s="1"/>
  <c r="D26" i="11" l="1"/>
  <c r="H31" i="7"/>
  <c r="G30" i="7"/>
  <c r="F15" i="10"/>
  <c r="F14" i="10"/>
  <c r="F13" i="10"/>
  <c r="E110" i="9" l="1" a="1"/>
  <c r="E110" i="9" s="1"/>
  <c r="F109" i="9"/>
  <c r="F108" i="9"/>
  <c r="F107" i="9"/>
  <c r="E38" i="9" l="1" a="1"/>
  <c r="E38" i="9" s="1"/>
  <c r="F37" i="9"/>
  <c r="F35" i="9"/>
  <c r="F36" i="9"/>
  <c r="D1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<sst xmlns="http://schemas.openxmlformats.org/spreadsheetml/2006/main" count="195" uniqueCount="141">
  <si>
    <t>Zielzelle</t>
  </si>
  <si>
    <t>Note</t>
  </si>
  <si>
    <t>Daten:</t>
  </si>
  <si>
    <t>verfügbare Lernzeit</t>
  </si>
  <si>
    <t>Klausur 1</t>
  </si>
  <si>
    <t>Klausur 2</t>
  </si>
  <si>
    <t>Notenverbesserung je Lernstunde</t>
  </si>
  <si>
    <t>Ziel:</t>
  </si>
  <si>
    <t>Nebenbedingungen:</t>
  </si>
  <si>
    <t>Höchstlernzeit</t>
  </si>
  <si>
    <t>Die Noten dürfen nicht kleiner als 1 sein.</t>
  </si>
  <si>
    <t>LPs</t>
  </si>
  <si>
    <t>Zusatzzeit</t>
  </si>
  <si>
    <t>Gesamtzeit</t>
  </si>
  <si>
    <t>Gesamtnote</t>
  </si>
  <si>
    <t>Verwendung des Solvers</t>
  </si>
  <si>
    <t>Veränderbare Zellen</t>
  </si>
  <si>
    <t>Nebenbedingungen</t>
  </si>
  <si>
    <t>Produkt 1</t>
  </si>
  <si>
    <t>Produkt 2</t>
  </si>
  <si>
    <t>Produkt 3</t>
  </si>
  <si>
    <t>Produktionsmenge</t>
  </si>
  <si>
    <t>Kosten</t>
  </si>
  <si>
    <t>Gewinn</t>
  </si>
  <si>
    <t>Gesamtgewinn</t>
  </si>
  <si>
    <t>Formel</t>
  </si>
  <si>
    <t>Kosten gesamt:</t>
  </si>
  <si>
    <t>Die Zielzelle und die veränderbaren Zellen werden als Zellbezüge eingegeben. Zudem wird festgelegt, dass der Zielwert maximiert werden soll.</t>
  </si>
  <si>
    <t>Parametereingabe in der Solvermaske:</t>
  </si>
  <si>
    <t>Hinweis: Die Eingabe über Zellbezüge ist grundsätzlich zu bevorzugen, da die Angaben so zu einem späteren Zeitpunkt leichter kontrolliert und verändert werden können.</t>
  </si>
  <si>
    <t>Nebenbedingungen werden in einem neuem Fenster hinzugefügt.</t>
  </si>
  <si>
    <t>Der Solver ist ein verstecktes aber nützliches Tool, um vielfältigste Optimierungsaufgaben zu lösen. Es kann damit (u.a.) der Wert einer Zielzelle maximiert oder minimiert werden. Der Solver ist in der Lage, bei der Bestimmung optimaler Werte eine oder mehrere Nebenbedingungen zu beachten. Zudem kann er die Aufgabe der Zielwertsuche übernehmen.</t>
  </si>
  <si>
    <t>Beispiel Solver</t>
  </si>
  <si>
    <t>Beachte:  In Abhängigkeit der Zielfunktion und des Startwerts kann die vom Solver gefundene Lösung u.U. nur ein lokales Optimum darstellen.</t>
  </si>
  <si>
    <t>Stimmen alle Eingaben mit der folgenden Abbildung überein, kann das Optimierungsmodell schließlich gelöst werden.</t>
  </si>
  <si>
    <t>Mindestlernzeit</t>
  </si>
  <si>
    <t>Die Zusatzzeit muss mindestens Null sein.</t>
  </si>
  <si>
    <t>verfügbare Zusatzzeit</t>
  </si>
  <si>
    <t>Die Gesamtnote ist zu minimieren!</t>
  </si>
  <si>
    <t>Marketingkosten:</t>
  </si>
  <si>
    <t>c) den Umsatz, mit dem bei Marketingkosten in Höhe von 4500 zu rechnen wäre?</t>
  </si>
  <si>
    <t>Bestimmtheitsmaß (Determinationskoeffizient)</t>
  </si>
  <si>
    <t>Bravais-Pearson-Korrelationskoeffizient</t>
  </si>
  <si>
    <t>Achsenabschnitt</t>
  </si>
  <si>
    <t>Steigung</t>
  </si>
  <si>
    <t>b</t>
  </si>
  <si>
    <t>m</t>
  </si>
  <si>
    <t>y = mx+b</t>
  </si>
  <si>
    <t>b) die Regressionsgerade, den Determinationskoeffizienten und den Bravais-Pearson-Korrelationskoeffizienten,</t>
  </si>
  <si>
    <t>Summe:</t>
  </si>
  <si>
    <t>Umsatz</t>
  </si>
  <si>
    <t>Marketing-kosten</t>
  </si>
  <si>
    <t>y</t>
  </si>
  <si>
    <t>x</t>
  </si>
  <si>
    <t>Determinationskoeffizient (z):</t>
  </si>
  <si>
    <t>Determinationskoeffizient (y):</t>
  </si>
  <si>
    <t>z^</t>
  </si>
  <si>
    <t>y^</t>
  </si>
  <si>
    <t>z</t>
  </si>
  <si>
    <t>"per Hand"</t>
  </si>
  <si>
    <t>mit TREND()</t>
  </si>
  <si>
    <t>Reg. für z:</t>
  </si>
  <si>
    <t>Reg. für y:</t>
  </si>
  <si>
    <t>a</t>
  </si>
  <si>
    <t>c) Berechnen und vergleichen Sie die jeweiligen Determinationskoeffizienten und veranschaulichen  Sie den Sachverhalt im Streuungsdiagramm.</t>
  </si>
  <si>
    <t>Für die Merkmale X, Y und Z sind die folgenden Ausprägungen beobachtet worden:</t>
  </si>
  <si>
    <t>linearer Trend:</t>
  </si>
  <si>
    <t>Bestimmtheitsmaß:</t>
  </si>
  <si>
    <t>e) Welchen Wert prognostizieren die Regressionsgeraden für x=12 ?</t>
  </si>
  <si>
    <t xml:space="preserve">d) Stelle jeden Datensatz in einem (eigenen) Streuungsdiagramm dar und füge eine (lineare) Trendlinie mit Angabe der Regressionsgleichung und des Bestimmtheitsmaßes ein. </t>
  </si>
  <si>
    <t>Aufgabe:</t>
  </si>
  <si>
    <t>Sollte der Eintrag dort nicht erscheinen, ist das Tool zuvor hinzuzufügen.</t>
  </si>
  <si>
    <t>b) Ermitteln Sie die theoretischen Werte für  y und z mittels einer Excel-Funktion und zusätzlich mit einer selbst erstellten Formel unter Verwendung der Regressionsgleichung (also "per Hand").</t>
  </si>
  <si>
    <t>Bestimmen Sie mit den nachfolgenden Daten …</t>
  </si>
  <si>
    <t>Themen in dieser Datei</t>
  </si>
  <si>
    <t>Tabellenblätter in dieser Datei</t>
  </si>
  <si>
    <t>Überblick</t>
  </si>
  <si>
    <t>Aufgabe 1</t>
  </si>
  <si>
    <t>Aufgabe 2</t>
  </si>
  <si>
    <t>Aufgabe 3</t>
  </si>
  <si>
    <t>Solver</t>
  </si>
  <si>
    <t>Excel-Solver - Eine Einführung</t>
  </si>
  <si>
    <t>Zu finden ist der Solver in der Registerkarte "Daten" --&gt; Gruppe "Analyse" --&gt; Solver</t>
  </si>
  <si>
    <t>Datei --&gt; Optionen --&gt; Kategorie „Add-Ins“ --&gt; Verwalten: „Excel-Add-Ins“, mit „Gehe zu…“ bestätigen --&gt; Checkbox bei „Solver“ setzen</t>
  </si>
  <si>
    <t>Anwendungsgebiet:</t>
  </si>
  <si>
    <t>Die Zielzelle beinhaltet den Wert, der optimiert werden soll. Beispiele hierfür wären die Minimierung einer Projektdauer oder die Maximierung des Unternehmensgewinns. Die Zielzelle muss eine Formel beinhalten, die insbesondere Bezug zu den veränderbaren Zellen besitzt.</t>
  </si>
  <si>
    <t>Die Werte dieser Zellen werden vom Solver angepasst, bis keine weitere Verbesserung der Zielzelle mehr möglich ist. Denkbar wäre, dass z.B. die optimale Aufteilung mehrerer Produkte gesucht ist, die auf einer Maschine bearbeitet werden müssen. In diesem Fall wären die Zellen, die die Bearbeitungszeiten der einzelnen Produkte beinhalten, variabel. Werden vor der Optimierung Werte in die veränderbaren Zellen eingetragen, kann man das Ergebnis des Startszenarios bereits ablesen.</t>
  </si>
  <si>
    <t>Optional können Nebenbedingungen eingegeben werden. Kann - etwa wie in untenstehendem Beispiel - nur eine begrenzte Anzahl von Produkt 1 hergestellt werden und dürfen die Gesamtkosten nicht höher als 50 sein, ist der Solver in der Lage, dies zu berücksichtigen.</t>
  </si>
  <si>
    <t>Einführungsbeispiel</t>
  </si>
  <si>
    <t>Angabe:</t>
  </si>
  <si>
    <r>
      <t xml:space="preserve">Angabe: </t>
    </r>
    <r>
      <rPr>
        <sz val="12"/>
        <rFont val="Arial"/>
        <family val="2"/>
      </rPr>
      <t>Auf einer Maschine werden drei Produkte gefertigt.</t>
    </r>
  </si>
  <si>
    <r>
      <rPr>
        <b/>
        <sz val="12"/>
        <rFont val="Arial"/>
        <family val="2"/>
      </rPr>
      <t>Aufgabe:</t>
    </r>
    <r>
      <rPr>
        <sz val="12"/>
        <rFont val="Arial"/>
        <family val="2"/>
      </rPr>
      <t xml:space="preserve"> Maximiere den Gesamtgewinn unter Einhaltung der Nebenbedingungen!</t>
    </r>
  </si>
  <si>
    <r>
      <t xml:space="preserve">Nebenbedingungen: </t>
    </r>
    <r>
      <rPr>
        <sz val="12"/>
        <rFont val="Arial"/>
        <family val="2"/>
      </rPr>
      <t>Gesamtkosten maximal 50 und maximale Stückzahl von Produkt 1 beträgt 5 (Stück).</t>
    </r>
  </si>
  <si>
    <t>max. Menge</t>
  </si>
  <si>
    <t>Preise</t>
  </si>
  <si>
    <t>=SUMME(C35:C37*F35:F37)</t>
  </si>
  <si>
    <t>Gesamtkosten max. 50:</t>
  </si>
  <si>
    <t>Produkt 1 max. 5 Stück</t>
  </si>
  <si>
    <t>Um zu vermeiden, dass der Solver unlogische Werte errechnet, muss zuletzt noch gefordert werden, dass die veränderbaren Zellen positiv sind (3. Nebenbedingung, s.u.). Ansonsten könnte der Gesamtgewinn theoretisch gesteigert werden, indem eine negative Menge eines nicht so lukrativen Produktes hergestellt wird.</t>
  </si>
  <si>
    <t>Ergebnis:</t>
  </si>
  <si>
    <t>=SUMME(C107:C109*F107:F109)</t>
  </si>
  <si>
    <t>Übungsbeispiel Solver</t>
  </si>
  <si>
    <t>Anwendungsgebiet und Funktionsweise des "Excel Solver"</t>
  </si>
  <si>
    <t>Regression mit Solver</t>
  </si>
  <si>
    <t>Regressionsanalyse mithilfe des Solvers</t>
  </si>
  <si>
    <t>Mindest-
lernzeit [h]</t>
  </si>
  <si>
    <t>Zeit je 
Klausur</t>
  </si>
  <si>
    <t xml:space="preserve">Ein Student befindet sich in der Klausurvorbereitung und hat noch 30 Stunden, bis die beiden Klausuren geschrieben werden. Er verfolgt das Ziel, dass seine Gesamtnote, die sich aus den Einzelnoten im Verhältnis der LPs ergibt, möglichst gut wird. AUCH WENN ES NICHT realistisch ist, wollen wir im Folgenden der Einfachheit halber annehmen, dass zwischen Lernzeit und erzielter Klausurnote ein linearer deterministischer Zusammenhang besteht. </t>
  </si>
  <si>
    <t>Da er unbedingt noch 10 LPs benötigt, muss er beide Klausuren bestehen. Um in Klausur 1 eine 4,0 zu erreichen, benötigt er 12 Stunden Lernaufwand und für die zweite Klausur 5 Stunden. Für beide Klausuren gilt: jede zusätzliche Stunde, die darüber hinaus aufgebracht wird, verbessert die Note der jeweiligen Klausur stets um 1/3 Notenstufen. Bsp.: 15 Stunden für Klausur 1 ergibt die Note 4,0 - (1/3) * 3 = 3,0.</t>
  </si>
  <si>
    <t>Wie ist die Lernzeit optimal zu verteilen?</t>
  </si>
  <si>
    <r>
      <t xml:space="preserve">a) Werte für </t>
    </r>
    <r>
      <rPr>
        <sz val="12"/>
        <rFont val="Calibri"/>
        <family val="2"/>
      </rPr>
      <t>β</t>
    </r>
    <r>
      <rPr>
        <vertAlign val="subscript"/>
        <sz val="12"/>
        <rFont val="Calibri"/>
        <family val="2"/>
      </rPr>
      <t>0</t>
    </r>
    <r>
      <rPr>
        <sz val="12"/>
        <rFont val="Arial"/>
        <family val="2"/>
      </rPr>
      <t xml:space="preserve"> und </t>
    </r>
    <r>
      <rPr>
        <sz val="12"/>
        <rFont val="Calibri"/>
        <family val="2"/>
      </rPr>
      <t>β</t>
    </r>
    <r>
      <rPr>
        <vertAlign val="subscript"/>
        <sz val="12"/>
        <rFont val="Calibri"/>
        <family val="2"/>
      </rPr>
      <t>1</t>
    </r>
    <r>
      <rPr>
        <sz val="12"/>
        <rFont val="Arial"/>
        <family val="2"/>
      </rPr>
      <t xml:space="preserve"> so, dass der Ausdruck </t>
    </r>
    <r>
      <rPr>
        <i/>
        <sz val="12"/>
        <rFont val="Arial"/>
        <family val="2"/>
      </rPr>
      <t>Q</t>
    </r>
    <r>
      <rPr>
        <sz val="12"/>
        <rFont val="Arial"/>
        <family val="2"/>
      </rPr>
      <t>(</t>
    </r>
    <r>
      <rPr>
        <sz val="12"/>
        <rFont val="Calibri"/>
        <family val="2"/>
      </rPr>
      <t>β</t>
    </r>
    <r>
      <rPr>
        <vertAlign val="subscript"/>
        <sz val="12"/>
        <rFont val="Calibri"/>
        <family val="2"/>
      </rPr>
      <t>0</t>
    </r>
    <r>
      <rPr>
        <sz val="12"/>
        <rFont val="Arial"/>
        <family val="2"/>
      </rPr>
      <t>,</t>
    </r>
    <r>
      <rPr>
        <sz val="12"/>
        <rFont val="Calibri"/>
        <family val="2"/>
      </rPr>
      <t>β</t>
    </r>
    <r>
      <rPr>
        <vertAlign val="subscript"/>
        <sz val="12"/>
        <rFont val="Calibri"/>
        <family val="2"/>
      </rPr>
      <t>1</t>
    </r>
    <r>
      <rPr>
        <sz val="12"/>
        <rFont val="Arial"/>
        <family val="2"/>
      </rPr>
      <t>) minimal wird,</t>
    </r>
  </si>
  <si>
    <t>Teilaufgabe a)</t>
  </si>
  <si>
    <t>Teilaufgabe b)</t>
  </si>
  <si>
    <t>Teilaufgabe c)</t>
  </si>
  <si>
    <t>u</t>
  </si>
  <si>
    <r>
      <t>[y</t>
    </r>
    <r>
      <rPr>
        <b/>
        <vertAlign val="subscript"/>
        <sz val="12"/>
        <rFont val="Arial"/>
        <family val="2"/>
      </rPr>
      <t>i</t>
    </r>
    <r>
      <rPr>
        <b/>
        <sz val="12"/>
        <rFont val="Arial"/>
        <family val="2"/>
      </rPr>
      <t>-(β</t>
    </r>
    <r>
      <rPr>
        <b/>
        <vertAlign val="subscript"/>
        <sz val="12"/>
        <rFont val="Arial"/>
        <family val="2"/>
      </rPr>
      <t>0</t>
    </r>
    <r>
      <rPr>
        <b/>
        <sz val="12"/>
        <rFont val="Arial"/>
        <family val="2"/>
      </rPr>
      <t>+β</t>
    </r>
    <r>
      <rPr>
        <b/>
        <vertAlign val="subscript"/>
        <sz val="12"/>
        <rFont val="Arial"/>
        <family val="2"/>
      </rPr>
      <t>1</t>
    </r>
    <r>
      <rPr>
        <b/>
        <sz val="12"/>
        <rFont val="Arial"/>
        <family val="2"/>
      </rPr>
      <t>x</t>
    </r>
    <r>
      <rPr>
        <b/>
        <vertAlign val="subscript"/>
        <sz val="12"/>
        <rFont val="Arial"/>
        <family val="2"/>
      </rPr>
      <t>i</t>
    </r>
    <r>
      <rPr>
        <b/>
        <sz val="12"/>
        <rFont val="Arial"/>
        <family val="2"/>
      </rPr>
      <t>)]^2</t>
    </r>
  </si>
  <si>
    <r>
      <t>β</t>
    </r>
    <r>
      <rPr>
        <b/>
        <vertAlign val="subscript"/>
        <sz val="12"/>
        <rFont val="Arial"/>
        <family val="2"/>
      </rPr>
      <t>0</t>
    </r>
  </si>
  <si>
    <r>
      <t>β</t>
    </r>
    <r>
      <rPr>
        <b/>
        <vertAlign val="subscript"/>
        <sz val="12"/>
        <rFont val="Arial"/>
        <family val="2"/>
      </rPr>
      <t>1</t>
    </r>
  </si>
  <si>
    <t>Umsatz (TREND):</t>
  </si>
  <si>
    <t>Umsatz (y = mx+b):</t>
  </si>
  <si>
    <t>Aufgaben:</t>
  </si>
  <si>
    <t>a) Stellen Sie die Regressionsgrade von Y (bzw. Z) bezüglich X auf. Das heißt X ist in beiden Regressionsgleichungen die unabhängige Variable.</t>
  </si>
  <si>
    <t>Diagramm:</t>
  </si>
  <si>
    <r>
      <t>x</t>
    </r>
    <r>
      <rPr>
        <b/>
        <vertAlign val="subscript"/>
        <sz val="12"/>
        <rFont val="Arial"/>
        <family val="2"/>
      </rPr>
      <t>1</t>
    </r>
  </si>
  <si>
    <r>
      <t>y</t>
    </r>
    <r>
      <rPr>
        <b/>
        <vertAlign val="subscript"/>
        <sz val="12"/>
        <rFont val="Arial"/>
        <family val="2"/>
      </rPr>
      <t>1</t>
    </r>
  </si>
  <si>
    <r>
      <t>x</t>
    </r>
    <r>
      <rPr>
        <b/>
        <vertAlign val="subscript"/>
        <sz val="12"/>
        <rFont val="Arial"/>
        <family val="2"/>
      </rPr>
      <t>2</t>
    </r>
  </si>
  <si>
    <r>
      <t>y</t>
    </r>
    <r>
      <rPr>
        <b/>
        <vertAlign val="subscript"/>
        <sz val="12"/>
        <rFont val="Arial"/>
        <family val="2"/>
      </rPr>
      <t>2</t>
    </r>
  </si>
  <si>
    <r>
      <t>x</t>
    </r>
    <r>
      <rPr>
        <b/>
        <vertAlign val="subscript"/>
        <sz val="12"/>
        <rFont val="Arial"/>
        <family val="2"/>
      </rPr>
      <t>3</t>
    </r>
  </si>
  <si>
    <r>
      <t>y</t>
    </r>
    <r>
      <rPr>
        <b/>
        <vertAlign val="subscript"/>
        <sz val="12"/>
        <rFont val="Arial"/>
        <family val="2"/>
      </rPr>
      <t>3</t>
    </r>
  </si>
  <si>
    <r>
      <t>x</t>
    </r>
    <r>
      <rPr>
        <b/>
        <vertAlign val="subscript"/>
        <sz val="12"/>
        <rFont val="Arial"/>
        <family val="2"/>
      </rPr>
      <t>4</t>
    </r>
  </si>
  <si>
    <r>
      <t>y</t>
    </r>
    <r>
      <rPr>
        <b/>
        <vertAlign val="subscript"/>
        <sz val="12"/>
        <rFont val="Arial"/>
        <family val="2"/>
      </rPr>
      <t>4</t>
    </r>
  </si>
  <si>
    <t>a) das arithmetische Mittel von x und auch von y,</t>
  </si>
  <si>
    <t>b) den Bravais-Pearson-Korrelationskoeffizienten,</t>
  </si>
  <si>
    <t>c) die Regressionsgerade (mit x als unabhängiger Variable) sowie das Bestimmtheitsmaß der Regression.</t>
  </si>
  <si>
    <r>
      <t>Teilaufgabe a) arithmetisches Mittel (jeweils von x</t>
    </r>
    <r>
      <rPr>
        <b/>
        <vertAlign val="subscript"/>
        <sz val="12"/>
        <rFont val="Arial"/>
        <family val="2"/>
      </rPr>
      <t>i</t>
    </r>
    <r>
      <rPr>
        <b/>
        <sz val="12"/>
        <rFont val="Arial"/>
        <family val="2"/>
      </rPr>
      <t xml:space="preserve"> und y</t>
    </r>
    <r>
      <rPr>
        <b/>
        <vertAlign val="subscript"/>
        <sz val="12"/>
        <rFont val="Arial"/>
        <family val="2"/>
      </rPr>
      <t>i</t>
    </r>
    <r>
      <rPr>
        <b/>
        <sz val="12"/>
        <rFont val="Arial"/>
        <family val="2"/>
      </rPr>
      <t>)</t>
    </r>
  </si>
  <si>
    <r>
      <t>Teilaufgabe b) Korrelationskoeffizienten -  jeweils von x</t>
    </r>
    <r>
      <rPr>
        <b/>
        <vertAlign val="subscript"/>
        <sz val="12"/>
        <rFont val="Arial"/>
        <family val="2"/>
      </rPr>
      <t>i</t>
    </r>
    <r>
      <rPr>
        <b/>
        <sz val="12"/>
        <rFont val="Arial"/>
        <family val="2"/>
      </rPr>
      <t xml:space="preserve"> und y</t>
    </r>
    <r>
      <rPr>
        <b/>
        <vertAlign val="subscript"/>
        <sz val="12"/>
        <rFont val="Arial"/>
        <family val="2"/>
      </rPr>
      <t>i</t>
    </r>
    <r>
      <rPr>
        <b/>
        <sz val="12"/>
        <rFont val="Arial"/>
        <family val="2"/>
      </rPr>
      <t>:</t>
    </r>
  </si>
  <si>
    <t>Teilaufgabe c) Regressionskoeffizienten:</t>
  </si>
  <si>
    <t>Teilaufgabe e)</t>
  </si>
  <si>
    <t>Teilaufgabe d) siehe rechts</t>
  </si>
  <si>
    <t>Diese Datensätze stammen von Anscombe (1973).
Bestimme für jeden der vier Datensätze…</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</si>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</sst>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00"/>
    <numFmt numFmtId="166" formatCode="_(* #,##0.00_);_(* \(#,##0.00\);_(* &quot;-&quot;??_);_(@_)"/>
  </numFmts>
  <fonts count="33" x14ac:knownFonts="1">
    <font>
      <sz val="10"/>
      <name val="Arial"/>
    </font>
    <font>
      <sz val="12"/>
      <name val="Arial"/>
      <family val="2"/>
    </font>
    <font>
      <b/>
      <sz val="12"/>
      <name val="Arial"/>
      <family val="2"/>
    </font>
    <font>
      <sz val="8"/>
      <name val="Arial"/>
      <family val="2"/>
    </font>
    <font>
      <b/>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0"/>
      <name val="Arial"/>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8"/>
      <name val="Arial"/>
      <family val="2"/>
    </font>
    <font>
      <b/>
      <u/>
      <sz val="14"/>
      <name val="Arial"/>
      <family val="2"/>
    </font>
    <font>
      <b/>
      <u/>
      <sz val="16"/>
      <name val="Arial"/>
      <family val="2"/>
    </font>
    <font>
      <u/>
      <sz val="16"/>
      <name val="Arial"/>
      <family val="2"/>
    </font>
    <font>
      <u/>
      <sz val="12"/>
      <name val="Arial"/>
      <family val="2"/>
    </font>
    <font>
      <b/>
      <vertAlign val="subscript"/>
      <sz val="12"/>
      <name val="Arial"/>
      <family val="2"/>
    </font>
    <font>
      <sz val="12"/>
      <name val="Calibri"/>
      <family val="2"/>
    </font>
    <font>
      <vertAlign val="subscript"/>
      <sz val="12"/>
      <name val="Calibri"/>
      <family val="2"/>
    </font>
    <font>
      <i/>
      <sz val="12"/>
      <name val="Arial"/>
      <family val="2"/>
    </font>
    <font>
      <sz val="20"/>
      <name val="Times New Roman"/>
      <family val="1"/>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11"/>
        <bgColor indexed="64"/>
      </patternFill>
    </fill>
    <fill>
      <patternFill patternType="solid">
        <fgColor indexed="27"/>
        <bgColor indexed="64"/>
      </patternFill>
    </fill>
    <fill>
      <patternFill patternType="solid">
        <fgColor indexed="40"/>
        <bgColor indexed="64"/>
      </patternFill>
    </fill>
    <fill>
      <patternFill patternType="solid">
        <fgColor indexed="3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99"/>
        <bgColor indexed="64"/>
      </patternFill>
    </fill>
  </fills>
  <borders count="76">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hair">
        <color indexed="64"/>
      </left>
      <right style="medium">
        <color indexed="64"/>
      </right>
      <top/>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48">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20" borderId="1" applyNumberFormat="0" applyAlignment="0" applyProtection="0"/>
    <xf numFmtId="0" fontId="8" fillId="20" borderId="2" applyNumberFormat="0" applyAlignment="0" applyProtection="0"/>
    <xf numFmtId="0" fontId="9" fillId="7"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21" borderId="0" applyNumberFormat="0" applyBorder="0" applyAlignment="0" applyProtection="0"/>
    <xf numFmtId="0" fontId="14" fillId="22" borderId="4" applyNumberFormat="0" applyFont="0" applyAlignment="0" applyProtection="0"/>
    <xf numFmtId="0" fontId="15" fillId="3" borderId="0" applyNumberFormat="0" applyBorder="0" applyAlignment="0" applyProtection="0"/>
    <xf numFmtId="0" fontId="16" fillId="0" borderId="0" applyNumberFormat="0" applyFill="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0" borderId="8" applyNumberFormat="0" applyFill="0" applyAlignment="0" applyProtection="0"/>
    <xf numFmtId="0" fontId="21" fillId="0" borderId="0" applyNumberFormat="0" applyFill="0" applyBorder="0" applyAlignment="0" applyProtection="0"/>
    <xf numFmtId="0" fontId="22" fillId="23" borderId="9" applyNumberFormat="0" applyAlignment="0" applyProtection="0"/>
    <xf numFmtId="0" fontId="14" fillId="0" borderId="0"/>
    <xf numFmtId="166"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2" fillId="0" borderId="0"/>
  </cellStyleXfs>
  <cellXfs count="307">
    <xf numFmtId="0" fontId="0" fillId="0" borderId="0" xfId="0"/>
    <xf numFmtId="0" fontId="2" fillId="0" borderId="24" xfId="0" applyFont="1" applyBorder="1"/>
    <xf numFmtId="0" fontId="2" fillId="0" borderId="13" xfId="0" applyFont="1" applyBorder="1"/>
    <xf numFmtId="0" fontId="2" fillId="0" borderId="30" xfId="0" applyFont="1" applyBorder="1"/>
    <xf numFmtId="0" fontId="2" fillId="0" borderId="31" xfId="0" applyFont="1" applyBorder="1"/>
    <xf numFmtId="0" fontId="2" fillId="0" borderId="0" xfId="0" applyFont="1"/>
    <xf numFmtId="0" fontId="2" fillId="0" borderId="0" xfId="0" applyFont="1" applyAlignment="1">
      <alignment horizontal="center"/>
    </xf>
    <xf numFmtId="0" fontId="2" fillId="0" borderId="19" xfId="0" applyFont="1" applyBorder="1"/>
    <xf numFmtId="0" fontId="1" fillId="0" borderId="0" xfId="0" applyFont="1" applyAlignment="1">
      <alignment horizontal="center" vertical="center"/>
    </xf>
    <xf numFmtId="0" fontId="1" fillId="0" borderId="25" xfId="0" applyFont="1" applyBorder="1" applyAlignment="1">
      <alignment horizontal="center" vertical="center"/>
    </xf>
    <xf numFmtId="0" fontId="1" fillId="0" borderId="20"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 fillId="0" borderId="34" xfId="0" applyFont="1" applyBorder="1" applyAlignment="1">
      <alignment horizontal="center" vertical="center"/>
    </xf>
    <xf numFmtId="0" fontId="1" fillId="25" borderId="35" xfId="0" applyFont="1" applyFill="1" applyBorder="1" applyAlignment="1">
      <alignment horizontal="center" vertical="center"/>
    </xf>
    <xf numFmtId="0" fontId="1" fillId="25" borderId="32" xfId="0" applyFont="1" applyFill="1" applyBorder="1" applyAlignment="1">
      <alignment horizontal="center" vertical="center"/>
    </xf>
    <xf numFmtId="0" fontId="1" fillId="25" borderId="33" xfId="0" applyFont="1" applyFill="1" applyBorder="1" applyAlignment="1">
      <alignment horizontal="center" vertical="center"/>
    </xf>
    <xf numFmtId="0" fontId="1" fillId="28" borderId="36" xfId="0" applyFont="1" applyFill="1" applyBorder="1" applyAlignment="1">
      <alignment vertical="center"/>
    </xf>
    <xf numFmtId="0" fontId="2" fillId="0" borderId="13" xfId="0" applyFont="1" applyBorder="1" applyAlignment="1">
      <alignment vertical="center"/>
    </xf>
    <xf numFmtId="0" fontId="1" fillId="0" borderId="13" xfId="0" applyFont="1" applyBorder="1" applyAlignment="1">
      <alignment vertical="center"/>
    </xf>
    <xf numFmtId="0" fontId="1" fillId="0" borderId="0" xfId="0" applyFont="1" applyAlignment="1">
      <alignment vertical="center"/>
    </xf>
    <xf numFmtId="0" fontId="2" fillId="0" borderId="24"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1" fillId="0" borderId="14" xfId="0" applyFont="1" applyBorder="1" applyAlignment="1">
      <alignment vertical="center"/>
    </xf>
    <xf numFmtId="0" fontId="1" fillId="0" borderId="0" xfId="0" applyFont="1" applyAlignment="1">
      <alignment vertical="center" wrapText="1"/>
    </xf>
    <xf numFmtId="0" fontId="1" fillId="0" borderId="0" xfId="0" applyFont="1"/>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1" fillId="0" borderId="22" xfId="0" applyFont="1" applyBorder="1" applyAlignment="1">
      <alignment vertical="center"/>
    </xf>
    <xf numFmtId="0" fontId="1" fillId="0" borderId="23" xfId="0" applyFont="1" applyBorder="1" applyAlignment="1">
      <alignment vertical="center"/>
    </xf>
    <xf numFmtId="0" fontId="24" fillId="32" borderId="15" xfId="42" applyFont="1" applyFill="1" applyBorder="1" applyAlignment="1">
      <alignment vertical="center"/>
    </xf>
    <xf numFmtId="0" fontId="14" fillId="32" borderId="16" xfId="42" applyFill="1" applyBorder="1"/>
    <xf numFmtId="0" fontId="14" fillId="32" borderId="17" xfId="42" applyFill="1" applyBorder="1"/>
    <xf numFmtId="0" fontId="14" fillId="0" borderId="0" xfId="42"/>
    <xf numFmtId="0" fontId="25" fillId="33" borderId="37" xfId="42" applyFont="1" applyFill="1" applyBorder="1" applyAlignment="1">
      <alignment vertical="center"/>
    </xf>
    <xf numFmtId="0" fontId="14" fillId="33" borderId="0" xfId="42" applyFill="1"/>
    <xf numFmtId="0" fontId="14" fillId="33" borderId="25" xfId="42" applyFill="1" applyBorder="1"/>
    <xf numFmtId="0" fontId="2" fillId="33" borderId="37" xfId="42" applyFont="1" applyFill="1" applyBorder="1" applyAlignment="1">
      <alignment vertical="center"/>
    </xf>
    <xf numFmtId="0" fontId="1" fillId="33" borderId="0" xfId="42" applyFont="1" applyFill="1"/>
    <xf numFmtId="0" fontId="2" fillId="33" borderId="37" xfId="42" applyFont="1" applyFill="1" applyBorder="1"/>
    <xf numFmtId="0" fontId="14" fillId="33" borderId="37" xfId="42" applyFill="1" applyBorder="1"/>
    <xf numFmtId="0" fontId="24" fillId="32" borderId="37" xfId="42" applyFont="1" applyFill="1" applyBorder="1" applyAlignment="1">
      <alignment vertical="center"/>
    </xf>
    <xf numFmtId="0" fontId="14" fillId="32" borderId="0" xfId="42" applyFill="1"/>
    <xf numFmtId="0" fontId="14" fillId="32" borderId="25" xfId="42" applyFill="1" applyBorder="1"/>
    <xf numFmtId="0" fontId="2" fillId="33" borderId="0" xfId="42" applyFont="1" applyFill="1" applyAlignment="1">
      <alignment vertical="center"/>
    </xf>
    <xf numFmtId="0" fontId="14" fillId="33" borderId="18" xfId="42" applyFill="1" applyBorder="1"/>
    <xf numFmtId="0" fontId="2" fillId="33" borderId="19" xfId="42" applyFont="1" applyFill="1" applyBorder="1" applyAlignment="1">
      <alignment vertical="center"/>
    </xf>
    <xf numFmtId="0" fontId="14" fillId="33" borderId="19" xfId="42" applyFill="1" applyBorder="1"/>
    <xf numFmtId="0" fontId="14" fillId="33" borderId="20" xfId="42" applyFill="1" applyBorder="1"/>
    <xf numFmtId="0" fontId="25" fillId="32" borderId="0" xfId="0" applyFont="1" applyFill="1" applyAlignment="1">
      <alignment vertical="center"/>
    </xf>
    <xf numFmtId="0" fontId="26" fillId="32" borderId="0" xfId="0" applyFont="1" applyFill="1" applyAlignment="1">
      <alignment vertical="center"/>
    </xf>
    <xf numFmtId="0" fontId="2" fillId="32" borderId="0" xfId="0" applyFont="1" applyFill="1" applyAlignment="1">
      <alignment vertical="center"/>
    </xf>
    <xf numFmtId="0" fontId="2" fillId="32" borderId="13" xfId="0" applyFont="1" applyFill="1" applyBorder="1" applyAlignment="1">
      <alignment vertical="center"/>
    </xf>
    <xf numFmtId="0" fontId="1" fillId="32" borderId="0" xfId="0" applyFont="1" applyFill="1" applyAlignment="1">
      <alignment vertical="center"/>
    </xf>
    <xf numFmtId="0" fontId="2" fillId="35" borderId="13" xfId="0" applyFont="1" applyFill="1" applyBorder="1" applyAlignment="1">
      <alignment vertical="center"/>
    </xf>
    <xf numFmtId="0" fontId="1" fillId="35" borderId="0" xfId="0" applyFont="1" applyFill="1" applyAlignment="1">
      <alignment vertical="center"/>
    </xf>
    <xf numFmtId="0" fontId="2" fillId="0" borderId="0" xfId="0" applyFont="1" applyAlignment="1">
      <alignment vertical="center"/>
    </xf>
    <xf numFmtId="0" fontId="2" fillId="36" borderId="0" xfId="0" applyFont="1" applyFill="1" applyAlignment="1">
      <alignment vertical="center"/>
    </xf>
    <xf numFmtId="0" fontId="1" fillId="37" borderId="0" xfId="0" applyFont="1" applyFill="1"/>
    <xf numFmtId="0" fontId="2" fillId="37" borderId="0" xfId="0" applyFont="1" applyFill="1" applyAlignment="1">
      <alignment vertical="center"/>
    </xf>
    <xf numFmtId="0" fontId="2" fillId="38" borderId="0" xfId="0" applyFont="1" applyFill="1" applyAlignment="1">
      <alignment vertical="center"/>
    </xf>
    <xf numFmtId="0" fontId="2" fillId="38" borderId="28" xfId="0" applyFont="1" applyFill="1" applyBorder="1" applyAlignment="1">
      <alignment horizontal="center" vertical="center"/>
    </xf>
    <xf numFmtId="0" fontId="2" fillId="32" borderId="10" xfId="0" applyFont="1" applyFill="1" applyBorder="1" applyAlignment="1">
      <alignment vertical="center"/>
    </xf>
    <xf numFmtId="0" fontId="2" fillId="32" borderId="11" xfId="0" applyFont="1" applyFill="1" applyBorder="1" applyAlignment="1">
      <alignment vertical="center"/>
    </xf>
    <xf numFmtId="0" fontId="2" fillId="32" borderId="12" xfId="0" applyFont="1" applyFill="1" applyBorder="1" applyAlignment="1">
      <alignment vertical="center"/>
    </xf>
    <xf numFmtId="0" fontId="1" fillId="32" borderId="14" xfId="0" applyFont="1" applyFill="1" applyBorder="1" applyAlignment="1">
      <alignment vertical="center"/>
    </xf>
    <xf numFmtId="0" fontId="1" fillId="35" borderId="14" xfId="0" applyFont="1" applyFill="1" applyBorder="1" applyAlignment="1">
      <alignment vertical="center"/>
    </xf>
    <xf numFmtId="0" fontId="2" fillId="32" borderId="14" xfId="0" applyFont="1" applyFill="1" applyBorder="1" applyAlignment="1">
      <alignment vertical="center"/>
    </xf>
    <xf numFmtId="0" fontId="2" fillId="36" borderId="13" xfId="0" applyFont="1" applyFill="1" applyBorder="1" applyAlignment="1">
      <alignment vertical="center"/>
    </xf>
    <xf numFmtId="0" fontId="2" fillId="36" borderId="14" xfId="0" applyFont="1" applyFill="1" applyBorder="1" applyAlignment="1">
      <alignment vertical="center"/>
    </xf>
    <xf numFmtId="0" fontId="1" fillId="37" borderId="13" xfId="0" applyFont="1" applyFill="1" applyBorder="1"/>
    <xf numFmtId="0" fontId="2" fillId="37" borderId="14" xfId="0" applyFont="1" applyFill="1" applyBorder="1" applyAlignment="1">
      <alignment vertical="center"/>
    </xf>
    <xf numFmtId="0" fontId="2" fillId="38" borderId="13" xfId="0" applyFont="1" applyFill="1" applyBorder="1" applyAlignment="1">
      <alignment vertical="center"/>
    </xf>
    <xf numFmtId="0" fontId="2" fillId="38" borderId="14" xfId="0" applyFont="1" applyFill="1" applyBorder="1" applyAlignment="1">
      <alignment vertical="center"/>
    </xf>
    <xf numFmtId="0" fontId="2" fillId="0" borderId="42" xfId="0" applyFont="1" applyBorder="1" applyAlignment="1">
      <alignment vertical="center"/>
    </xf>
    <xf numFmtId="0" fontId="1" fillId="28" borderId="40" xfId="0" applyFont="1" applyFill="1" applyBorder="1" applyAlignment="1">
      <alignment vertical="center"/>
    </xf>
    <xf numFmtId="0" fontId="1" fillId="0" borderId="22" xfId="0" applyFont="1" applyBorder="1"/>
    <xf numFmtId="0" fontId="1" fillId="0" borderId="14" xfId="0" applyFont="1" applyBorder="1"/>
    <xf numFmtId="0" fontId="1" fillId="32" borderId="0" xfId="0" applyFont="1" applyFill="1"/>
    <xf numFmtId="0" fontId="25" fillId="32" borderId="0" xfId="0" applyFont="1" applyFill="1"/>
    <xf numFmtId="0" fontId="26" fillId="32" borderId="0" xfId="0" applyFont="1" applyFill="1"/>
    <xf numFmtId="0" fontId="2" fillId="36" borderId="10" xfId="0" applyFont="1" applyFill="1" applyBorder="1" applyAlignment="1">
      <alignment vertical="center"/>
    </xf>
    <xf numFmtId="0" fontId="2" fillId="36" borderId="11" xfId="0" applyFont="1" applyFill="1" applyBorder="1" applyAlignment="1">
      <alignment vertical="center"/>
    </xf>
    <xf numFmtId="0" fontId="2" fillId="36" borderId="12" xfId="0" applyFont="1" applyFill="1" applyBorder="1" applyAlignment="1">
      <alignment vertical="center"/>
    </xf>
    <xf numFmtId="0" fontId="1" fillId="28" borderId="41" xfId="0" applyFont="1" applyFill="1" applyBorder="1" applyAlignment="1">
      <alignment vertical="center"/>
    </xf>
    <xf numFmtId="0" fontId="1" fillId="0" borderId="22" xfId="0" quotePrefix="1" applyFont="1" applyBorder="1" applyAlignment="1">
      <alignment vertical="center"/>
    </xf>
    <xf numFmtId="0" fontId="4" fillId="33" borderId="37" xfId="42" applyFont="1" applyFill="1" applyBorder="1"/>
    <xf numFmtId="0" fontId="1" fillId="0" borderId="13" xfId="0" applyFont="1" applyBorder="1"/>
    <xf numFmtId="0" fontId="1" fillId="0" borderId="16" xfId="0" applyFont="1" applyBorder="1"/>
    <xf numFmtId="0" fontId="1" fillId="0" borderId="17" xfId="0" applyFont="1" applyBorder="1"/>
    <xf numFmtId="0" fontId="1" fillId="24" borderId="25" xfId="0" applyFont="1" applyFill="1" applyBorder="1"/>
    <xf numFmtId="2" fontId="1" fillId="24" borderId="25" xfId="0" applyNumberFormat="1" applyFont="1" applyFill="1" applyBorder="1"/>
    <xf numFmtId="0" fontId="1" fillId="0" borderId="26" xfId="0" applyFont="1" applyBorder="1"/>
    <xf numFmtId="0" fontId="1" fillId="0" borderId="19" xfId="0" applyFont="1" applyBorder="1"/>
    <xf numFmtId="0" fontId="1" fillId="0" borderId="20" xfId="0" applyFont="1" applyBorder="1"/>
    <xf numFmtId="0" fontId="1" fillId="0" borderId="25" xfId="0" applyFont="1" applyBorder="1"/>
    <xf numFmtId="0" fontId="1" fillId="24" borderId="13" xfId="0" applyFont="1" applyFill="1" applyBorder="1"/>
    <xf numFmtId="0" fontId="1" fillId="24" borderId="0" xfId="0" applyFont="1" applyFill="1"/>
    <xf numFmtId="0" fontId="1" fillId="24" borderId="26" xfId="0" applyFont="1" applyFill="1" applyBorder="1"/>
    <xf numFmtId="0" fontId="1" fillId="24" borderId="19" xfId="0" applyFont="1" applyFill="1" applyBorder="1"/>
    <xf numFmtId="0" fontId="1" fillId="24" borderId="20" xfId="0" applyFont="1" applyFill="1" applyBorder="1"/>
    <xf numFmtId="0" fontId="1" fillId="0" borderId="27" xfId="0" applyFont="1" applyBorder="1" applyAlignment="1">
      <alignment horizontal="center"/>
    </xf>
    <xf numFmtId="0" fontId="1" fillId="0" borderId="0" xfId="0" applyFont="1" applyAlignment="1">
      <alignment horizontal="center"/>
    </xf>
    <xf numFmtId="0" fontId="1" fillId="25" borderId="0" xfId="0" applyFont="1" applyFill="1" applyAlignment="1">
      <alignment horizontal="center"/>
    </xf>
    <xf numFmtId="0" fontId="1" fillId="0" borderId="19" xfId="0" applyFont="1" applyBorder="1" applyAlignment="1">
      <alignment horizontal="center"/>
    </xf>
    <xf numFmtId="0" fontId="1" fillId="25" borderId="19" xfId="0" applyFont="1" applyFill="1" applyBorder="1" applyAlignment="1">
      <alignment horizontal="center"/>
    </xf>
    <xf numFmtId="0" fontId="1" fillId="0" borderId="30" xfId="0" applyFont="1" applyBorder="1"/>
    <xf numFmtId="0" fontId="1" fillId="0" borderId="31" xfId="0" applyFont="1" applyBorder="1"/>
    <xf numFmtId="0" fontId="1" fillId="0" borderId="21" xfId="0" applyFont="1" applyBorder="1"/>
    <xf numFmtId="0" fontId="1" fillId="0" borderId="23" xfId="0" applyFont="1" applyBorder="1"/>
    <xf numFmtId="0" fontId="1" fillId="0" borderId="27" xfId="0" applyFont="1" applyBorder="1" applyAlignment="1">
      <alignment horizontal="center" vertical="center"/>
    </xf>
    <xf numFmtId="0" fontId="2" fillId="0" borderId="28" xfId="0" applyFont="1" applyBorder="1" applyAlignment="1">
      <alignment horizontal="center" vertical="center" wrapText="1"/>
    </xf>
    <xf numFmtId="0" fontId="2" fillId="0" borderId="54" xfId="0" applyFont="1" applyBorder="1" applyAlignment="1">
      <alignment horizontal="center" vertical="center"/>
    </xf>
    <xf numFmtId="0" fontId="1" fillId="0" borderId="14" xfId="0" applyFont="1" applyBorder="1" applyAlignment="1">
      <alignment horizontal="center"/>
    </xf>
    <xf numFmtId="0" fontId="2" fillId="26" borderId="56" xfId="0" applyFont="1" applyFill="1" applyBorder="1" applyAlignment="1">
      <alignment horizontal="center"/>
    </xf>
    <xf numFmtId="0" fontId="2" fillId="36" borderId="10" xfId="0" applyFont="1" applyFill="1" applyBorder="1"/>
    <xf numFmtId="0" fontId="1" fillId="36" borderId="11" xfId="0" applyFont="1" applyFill="1" applyBorder="1"/>
    <xf numFmtId="0" fontId="1" fillId="36" borderId="12" xfId="0" applyFont="1" applyFill="1" applyBorder="1"/>
    <xf numFmtId="0" fontId="1" fillId="37" borderId="14" xfId="0" applyFont="1" applyFill="1" applyBorder="1"/>
    <xf numFmtId="0" fontId="2" fillId="37" borderId="13" xfId="0" applyFont="1" applyFill="1" applyBorder="1"/>
    <xf numFmtId="3" fontId="1" fillId="0" borderId="32" xfId="0" applyNumberFormat="1" applyFont="1" applyBorder="1" applyAlignment="1">
      <alignment horizontal="center"/>
    </xf>
    <xf numFmtId="0" fontId="1" fillId="0" borderId="36" xfId="0" applyFont="1" applyBorder="1" applyAlignment="1">
      <alignment horizontal="center"/>
    </xf>
    <xf numFmtId="0" fontId="1" fillId="0" borderId="34" xfId="0" applyFont="1" applyBorder="1" applyAlignment="1">
      <alignment horizontal="center"/>
    </xf>
    <xf numFmtId="0" fontId="1" fillId="34" borderId="34" xfId="0" applyFont="1" applyFill="1" applyBorder="1" applyAlignment="1">
      <alignment horizontal="center"/>
    </xf>
    <xf numFmtId="0" fontId="1" fillId="34" borderId="29" xfId="0" applyFont="1" applyFill="1" applyBorder="1" applyAlignment="1">
      <alignment horizontal="center"/>
    </xf>
    <xf numFmtId="0" fontId="1" fillId="39" borderId="25" xfId="0" applyFont="1" applyFill="1" applyBorder="1"/>
    <xf numFmtId="0" fontId="2" fillId="0" borderId="59" xfId="0" applyFont="1" applyBorder="1"/>
    <xf numFmtId="0" fontId="1" fillId="39" borderId="60" xfId="0" applyFont="1" applyFill="1" applyBorder="1"/>
    <xf numFmtId="0" fontId="2" fillId="0" borderId="62" xfId="0" applyFont="1" applyBorder="1" applyAlignment="1">
      <alignment horizontal="right"/>
    </xf>
    <xf numFmtId="0" fontId="2" fillId="0" borderId="53" xfId="0" applyFont="1" applyBorder="1" applyAlignment="1">
      <alignment horizontal="right"/>
    </xf>
    <xf numFmtId="0" fontId="1" fillId="39" borderId="23" xfId="0" applyFont="1" applyFill="1" applyBorder="1"/>
    <xf numFmtId="0" fontId="2" fillId="0" borderId="59" xfId="0" applyFont="1" applyBorder="1" applyAlignment="1">
      <alignment horizontal="center"/>
    </xf>
    <xf numFmtId="0" fontId="2" fillId="0" borderId="60" xfId="0" applyFont="1" applyBorder="1" applyAlignment="1">
      <alignment horizontal="center"/>
    </xf>
    <xf numFmtId="0" fontId="1" fillId="39" borderId="21" xfId="0" applyFont="1" applyFill="1" applyBorder="1"/>
    <xf numFmtId="0" fontId="1" fillId="39" borderId="61" xfId="0" applyFont="1" applyFill="1" applyBorder="1"/>
    <xf numFmtId="0" fontId="1" fillId="39" borderId="63" xfId="0" applyFont="1" applyFill="1" applyBorder="1"/>
    <xf numFmtId="0" fontId="1" fillId="39" borderId="62" xfId="0" applyFont="1" applyFill="1" applyBorder="1"/>
    <xf numFmtId="4" fontId="1" fillId="0" borderId="61" xfId="0" applyNumberFormat="1" applyFont="1" applyBorder="1"/>
    <xf numFmtId="4" fontId="1" fillId="39" borderId="63" xfId="0" applyNumberFormat="1" applyFont="1" applyFill="1" applyBorder="1"/>
    <xf numFmtId="4" fontId="1" fillId="39" borderId="62" xfId="0" applyNumberFormat="1" applyFont="1" applyFill="1" applyBorder="1"/>
    <xf numFmtId="0" fontId="2" fillId="32" borderId="13" xfId="0" applyFont="1" applyFill="1" applyBorder="1"/>
    <xf numFmtId="0" fontId="2" fillId="32" borderId="0" xfId="0" applyFont="1" applyFill="1"/>
    <xf numFmtId="0" fontId="2" fillId="32" borderId="14" xfId="0" applyFont="1" applyFill="1" applyBorder="1"/>
    <xf numFmtId="0" fontId="1" fillId="34" borderId="64" xfId="0" applyFont="1" applyFill="1" applyBorder="1" applyAlignment="1">
      <alignment horizontal="center"/>
    </xf>
    <xf numFmtId="3" fontId="1" fillId="0" borderId="13" xfId="0" applyNumberFormat="1" applyFont="1" applyBorder="1" applyAlignment="1">
      <alignment horizontal="center"/>
    </xf>
    <xf numFmtId="0" fontId="1" fillId="0" borderId="0" xfId="0" applyFont="1" applyAlignment="1">
      <alignment horizontal="center" wrapText="1"/>
    </xf>
    <xf numFmtId="3" fontId="1" fillId="0" borderId="26" xfId="0" applyNumberFormat="1" applyFont="1" applyBorder="1" applyAlignment="1">
      <alignment horizontal="center"/>
    </xf>
    <xf numFmtId="0" fontId="1" fillId="0" borderId="0" xfId="0" applyFont="1" applyAlignment="1">
      <alignment horizontal="right"/>
    </xf>
    <xf numFmtId="0" fontId="2" fillId="0" borderId="0" xfId="0" applyFont="1" applyAlignment="1">
      <alignment horizontal="center" vertical="center" wrapText="1"/>
    </xf>
    <xf numFmtId="0" fontId="2" fillId="34" borderId="0" xfId="0" applyFont="1" applyFill="1" applyAlignment="1">
      <alignment horizontal="center"/>
    </xf>
    <xf numFmtId="0" fontId="1" fillId="0" borderId="0" xfId="0" applyFont="1" applyAlignment="1">
      <alignment wrapText="1"/>
    </xf>
    <xf numFmtId="14" fontId="1" fillId="0" borderId="0" xfId="0" applyNumberFormat="1" applyFont="1" applyAlignment="1">
      <alignment wrapText="1"/>
    </xf>
    <xf numFmtId="0" fontId="2" fillId="36" borderId="11" xfId="0" applyFont="1" applyFill="1" applyBorder="1"/>
    <xf numFmtId="0" fontId="2" fillId="36" borderId="12" xfId="0" applyFont="1" applyFill="1" applyBorder="1"/>
    <xf numFmtId="0" fontId="2" fillId="0" borderId="45" xfId="0" applyFont="1" applyBorder="1" applyAlignment="1">
      <alignment horizontal="center"/>
    </xf>
    <xf numFmtId="0" fontId="2" fillId="0" borderId="44" xfId="0" applyFont="1" applyBorder="1" applyAlignment="1">
      <alignment horizontal="center"/>
    </xf>
    <xf numFmtId="0" fontId="2" fillId="0" borderId="43" xfId="0" applyFont="1" applyBorder="1" applyAlignment="1">
      <alignment horizontal="center"/>
    </xf>
    <xf numFmtId="0" fontId="1" fillId="0" borderId="42" xfId="0" applyFont="1" applyBorder="1" applyAlignment="1">
      <alignment horizontal="center"/>
    </xf>
    <xf numFmtId="0" fontId="1" fillId="0" borderId="41" xfId="0" applyFont="1" applyBorder="1" applyAlignment="1">
      <alignment horizontal="center"/>
    </xf>
    <xf numFmtId="0" fontId="1" fillId="27" borderId="39" xfId="0" applyFont="1" applyFill="1" applyBorder="1" applyAlignment="1">
      <alignment horizontal="center"/>
    </xf>
    <xf numFmtId="0" fontId="1" fillId="27" borderId="38" xfId="0" applyFont="1" applyFill="1" applyBorder="1" applyAlignment="1">
      <alignment horizontal="center"/>
    </xf>
    <xf numFmtId="0" fontId="1" fillId="0" borderId="40" xfId="0" applyFont="1" applyBorder="1" applyAlignment="1">
      <alignment horizontal="center"/>
    </xf>
    <xf numFmtId="0" fontId="1" fillId="38" borderId="27" xfId="0" applyFont="1" applyFill="1" applyBorder="1" applyAlignment="1">
      <alignment horizontal="center"/>
    </xf>
    <xf numFmtId="0" fontId="1" fillId="38" borderId="34" xfId="0" applyFont="1" applyFill="1" applyBorder="1" applyAlignment="1">
      <alignment horizontal="center"/>
    </xf>
    <xf numFmtId="0" fontId="1" fillId="38" borderId="47" xfId="0" applyFont="1" applyFill="1" applyBorder="1" applyAlignment="1">
      <alignment horizontal="center"/>
    </xf>
    <xf numFmtId="0" fontId="1" fillId="38" borderId="42" xfId="0" applyFont="1" applyFill="1" applyBorder="1" applyAlignment="1">
      <alignment horizontal="center"/>
    </xf>
    <xf numFmtId="0" fontId="1" fillId="38" borderId="41" xfId="0" applyFont="1" applyFill="1" applyBorder="1" applyAlignment="1">
      <alignment horizontal="center"/>
    </xf>
    <xf numFmtId="0" fontId="1" fillId="38" borderId="46" xfId="0" applyFont="1" applyFill="1" applyBorder="1" applyAlignment="1">
      <alignment horizontal="center"/>
    </xf>
    <xf numFmtId="0" fontId="1" fillId="0" borderId="13" xfId="0" applyFont="1" applyBorder="1" applyAlignment="1">
      <alignment wrapText="1"/>
    </xf>
    <xf numFmtId="0" fontId="1" fillId="0" borderId="14" xfId="0" applyFont="1" applyBorder="1" applyAlignment="1">
      <alignment wrapText="1"/>
    </xf>
    <xf numFmtId="0" fontId="2" fillId="0" borderId="13" xfId="0" applyFont="1" applyBorder="1" applyAlignment="1">
      <alignment wrapText="1"/>
    </xf>
    <xf numFmtId="0" fontId="27" fillId="0" borderId="13" xfId="0" applyFont="1" applyBorder="1"/>
    <xf numFmtId="0" fontId="1" fillId="25" borderId="34" xfId="0" applyFont="1" applyFill="1" applyBorder="1"/>
    <xf numFmtId="0" fontId="1" fillId="39" borderId="65" xfId="0" applyFont="1" applyFill="1" applyBorder="1"/>
    <xf numFmtId="0" fontId="2" fillId="34" borderId="59" xfId="0" applyFont="1" applyFill="1" applyBorder="1" applyAlignment="1">
      <alignment horizontal="center"/>
    </xf>
    <xf numFmtId="0" fontId="2" fillId="34" borderId="60" xfId="0" applyFont="1" applyFill="1" applyBorder="1" applyAlignment="1">
      <alignment horizontal="center"/>
    </xf>
    <xf numFmtId="0" fontId="2" fillId="34" borderId="53" xfId="0" applyFont="1" applyFill="1" applyBorder="1" applyAlignment="1">
      <alignment horizontal="center"/>
    </xf>
    <xf numFmtId="0" fontId="1" fillId="24" borderId="65" xfId="0" applyFont="1" applyFill="1" applyBorder="1"/>
    <xf numFmtId="0" fontId="1" fillId="27" borderId="65" xfId="0" applyFont="1" applyFill="1" applyBorder="1" applyAlignment="1">
      <alignment horizontal="center"/>
    </xf>
    <xf numFmtId="0" fontId="2" fillId="0" borderId="53" xfId="0" applyFont="1" applyBorder="1" applyAlignment="1">
      <alignment horizontal="center"/>
    </xf>
    <xf numFmtId="0" fontId="1" fillId="27" borderId="66" xfId="0" applyFont="1" applyFill="1" applyBorder="1" applyAlignment="1">
      <alignment horizontal="center"/>
    </xf>
    <xf numFmtId="0" fontId="1" fillId="38" borderId="31" xfId="0" applyFont="1" applyFill="1" applyBorder="1" applyAlignment="1">
      <alignment horizontal="center"/>
    </xf>
    <xf numFmtId="0" fontId="1" fillId="38" borderId="33" xfId="0" applyFont="1" applyFill="1" applyBorder="1" applyAlignment="1">
      <alignment horizontal="center"/>
    </xf>
    <xf numFmtId="0" fontId="1" fillId="38" borderId="67" xfId="0" applyFont="1" applyFill="1" applyBorder="1" applyAlignment="1">
      <alignment horizontal="center"/>
    </xf>
    <xf numFmtId="0" fontId="2" fillId="38" borderId="68" xfId="0" applyFont="1" applyFill="1" applyBorder="1" applyAlignment="1">
      <alignment horizontal="center"/>
    </xf>
    <xf numFmtId="0" fontId="2" fillId="38" borderId="69" xfId="0" applyFont="1" applyFill="1" applyBorder="1" applyAlignment="1">
      <alignment horizontal="center"/>
    </xf>
    <xf numFmtId="0" fontId="2" fillId="38" borderId="70" xfId="0" applyFont="1" applyFill="1" applyBorder="1" applyAlignment="1">
      <alignment horizontal="center"/>
    </xf>
    <xf numFmtId="2" fontId="1" fillId="30" borderId="48" xfId="0" applyNumberFormat="1" applyFont="1" applyFill="1" applyBorder="1"/>
    <xf numFmtId="2" fontId="1" fillId="24" borderId="48" xfId="0" applyNumberFormat="1" applyFont="1" applyFill="1" applyBorder="1"/>
    <xf numFmtId="2" fontId="1" fillId="29" borderId="48" xfId="0" applyNumberFormat="1" applyFont="1" applyFill="1" applyBorder="1"/>
    <xf numFmtId="0" fontId="2" fillId="0" borderId="14" xfId="0" applyFont="1" applyBorder="1"/>
    <xf numFmtId="2" fontId="1" fillId="0" borderId="0" xfId="0" applyNumberFormat="1" applyFont="1"/>
    <xf numFmtId="0" fontId="1" fillId="30" borderId="0" xfId="0" applyFont="1" applyFill="1"/>
    <xf numFmtId="2" fontId="1" fillId="30" borderId="52" xfId="0" applyNumberFormat="1" applyFont="1" applyFill="1" applyBorder="1" applyAlignment="1">
      <alignment horizontal="center"/>
    </xf>
    <xf numFmtId="2" fontId="1" fillId="30" borderId="51" xfId="0" applyNumberFormat="1" applyFont="1" applyFill="1" applyBorder="1" applyAlignment="1">
      <alignment horizontal="center"/>
    </xf>
    <xf numFmtId="2" fontId="1" fillId="24" borderId="52" xfId="0" applyNumberFormat="1" applyFont="1" applyFill="1" applyBorder="1" applyAlignment="1">
      <alignment horizontal="center"/>
    </xf>
    <xf numFmtId="2" fontId="1" fillId="24" borderId="51" xfId="0" applyNumberFormat="1" applyFont="1" applyFill="1" applyBorder="1" applyAlignment="1">
      <alignment horizontal="center"/>
    </xf>
    <xf numFmtId="2" fontId="1" fillId="29" borderId="52" xfId="0" applyNumberFormat="1" applyFont="1" applyFill="1" applyBorder="1" applyAlignment="1">
      <alignment horizontal="center"/>
    </xf>
    <xf numFmtId="2" fontId="1" fillId="29" borderId="51" xfId="0" applyNumberFormat="1" applyFont="1" applyFill="1" applyBorder="1" applyAlignment="1">
      <alignment horizontal="center"/>
    </xf>
    <xf numFmtId="2" fontId="1" fillId="31" borderId="52" xfId="0" applyNumberFormat="1" applyFont="1" applyFill="1" applyBorder="1" applyAlignment="1">
      <alignment horizontal="center"/>
    </xf>
    <xf numFmtId="2" fontId="1" fillId="31" borderId="51" xfId="0" applyNumberFormat="1" applyFont="1" applyFill="1" applyBorder="1" applyAlignment="1">
      <alignment horizontal="center"/>
    </xf>
    <xf numFmtId="2" fontId="1" fillId="30" borderId="50" xfId="0" applyNumberFormat="1" applyFont="1" applyFill="1" applyBorder="1" applyAlignment="1">
      <alignment horizontal="center"/>
    </xf>
    <xf numFmtId="2" fontId="1" fillId="30" borderId="49" xfId="0" applyNumberFormat="1" applyFont="1" applyFill="1" applyBorder="1" applyAlignment="1">
      <alignment horizontal="center"/>
    </xf>
    <xf numFmtId="2" fontId="1" fillId="24" borderId="50" xfId="0" applyNumberFormat="1" applyFont="1" applyFill="1" applyBorder="1" applyAlignment="1">
      <alignment horizontal="center"/>
    </xf>
    <xf numFmtId="2" fontId="1" fillId="24" borderId="49" xfId="0" applyNumberFormat="1" applyFont="1" applyFill="1" applyBorder="1" applyAlignment="1">
      <alignment horizontal="center"/>
    </xf>
    <xf numFmtId="2" fontId="1" fillId="29" borderId="50" xfId="0" applyNumberFormat="1" applyFont="1" applyFill="1" applyBorder="1" applyAlignment="1">
      <alignment horizontal="center"/>
    </xf>
    <xf numFmtId="2" fontId="1" fillId="29" borderId="49" xfId="0" applyNumberFormat="1" applyFont="1" applyFill="1" applyBorder="1" applyAlignment="1">
      <alignment horizontal="center"/>
    </xf>
    <xf numFmtId="2" fontId="1" fillId="31" borderId="50" xfId="0" applyNumberFormat="1" applyFont="1" applyFill="1" applyBorder="1" applyAlignment="1">
      <alignment horizontal="center"/>
    </xf>
    <xf numFmtId="2" fontId="1" fillId="31" borderId="49" xfId="0" applyNumberFormat="1" applyFont="1" applyFill="1" applyBorder="1" applyAlignment="1">
      <alignment horizontal="center"/>
    </xf>
    <xf numFmtId="0" fontId="1" fillId="32" borderId="14" xfId="0" applyFont="1" applyFill="1" applyBorder="1"/>
    <xf numFmtId="2" fontId="1" fillId="30" borderId="71" xfId="0" applyNumberFormat="1" applyFont="1" applyFill="1" applyBorder="1"/>
    <xf numFmtId="2" fontId="1" fillId="31" borderId="48" xfId="0" applyNumberFormat="1" applyFont="1" applyFill="1" applyBorder="1"/>
    <xf numFmtId="165" fontId="1" fillId="0" borderId="0" xfId="0" applyNumberFormat="1" applyFont="1"/>
    <xf numFmtId="2" fontId="1" fillId="0" borderId="13" xfId="0" applyNumberFormat="1" applyFont="1" applyBorder="1"/>
    <xf numFmtId="2" fontId="1" fillId="0" borderId="14" xfId="0" applyNumberFormat="1" applyFont="1" applyBorder="1"/>
    <xf numFmtId="0" fontId="1" fillId="30" borderId="22" xfId="0" applyFont="1" applyFill="1" applyBorder="1"/>
    <xf numFmtId="2" fontId="1" fillId="30" borderId="72" xfId="0" applyNumberFormat="1" applyFont="1" applyFill="1" applyBorder="1" applyAlignment="1">
      <alignment horizontal="center"/>
    </xf>
    <xf numFmtId="2" fontId="1" fillId="30" borderId="73" xfId="0" applyNumberFormat="1" applyFont="1" applyFill="1" applyBorder="1" applyAlignment="1">
      <alignment horizontal="center"/>
    </xf>
    <xf numFmtId="2" fontId="1" fillId="24" borderId="72" xfId="0" applyNumberFormat="1" applyFont="1" applyFill="1" applyBorder="1" applyAlignment="1">
      <alignment horizontal="center"/>
    </xf>
    <xf numFmtId="2" fontId="1" fillId="24" borderId="73" xfId="0" applyNumberFormat="1" applyFont="1" applyFill="1" applyBorder="1" applyAlignment="1">
      <alignment horizontal="center"/>
    </xf>
    <xf numFmtId="2" fontId="1" fillId="29" borderId="72" xfId="0" applyNumberFormat="1" applyFont="1" applyFill="1" applyBorder="1" applyAlignment="1">
      <alignment horizontal="center"/>
    </xf>
    <xf numFmtId="2" fontId="1" fillId="29" borderId="73" xfId="0" applyNumberFormat="1" applyFont="1" applyFill="1" applyBorder="1" applyAlignment="1">
      <alignment horizontal="center"/>
    </xf>
    <xf numFmtId="2" fontId="1" fillId="31" borderId="72" xfId="0" applyNumberFormat="1" applyFont="1" applyFill="1" applyBorder="1" applyAlignment="1">
      <alignment horizontal="center"/>
    </xf>
    <xf numFmtId="2" fontId="1" fillId="31" borderId="73" xfId="0" applyNumberFormat="1" applyFont="1" applyFill="1" applyBorder="1" applyAlignment="1">
      <alignment horizontal="center"/>
    </xf>
    <xf numFmtId="0" fontId="2" fillId="30" borderId="74" xfId="0" applyFont="1" applyFill="1" applyBorder="1" applyAlignment="1">
      <alignment horizontal="center"/>
    </xf>
    <xf numFmtId="0" fontId="2" fillId="30" borderId="75" xfId="0" applyFont="1" applyFill="1" applyBorder="1" applyAlignment="1">
      <alignment horizontal="center"/>
    </xf>
    <xf numFmtId="0" fontId="2" fillId="24" borderId="74" xfId="0" applyFont="1" applyFill="1" applyBorder="1" applyAlignment="1">
      <alignment horizontal="center"/>
    </xf>
    <xf numFmtId="0" fontId="2" fillId="24" borderId="75" xfId="0" applyFont="1" applyFill="1" applyBorder="1" applyAlignment="1">
      <alignment horizontal="center"/>
    </xf>
    <xf numFmtId="0" fontId="2" fillId="29" borderId="74" xfId="0" applyFont="1" applyFill="1" applyBorder="1" applyAlignment="1">
      <alignment horizontal="center"/>
    </xf>
    <xf numFmtId="0" fontId="2" fillId="29" borderId="75" xfId="0" applyFont="1" applyFill="1" applyBorder="1" applyAlignment="1">
      <alignment horizontal="center"/>
    </xf>
    <xf numFmtId="0" fontId="2" fillId="31" borderId="74" xfId="0" applyFont="1" applyFill="1" applyBorder="1" applyAlignment="1">
      <alignment horizontal="center"/>
    </xf>
    <xf numFmtId="0" fontId="2" fillId="31" borderId="75" xfId="0" applyFont="1" applyFill="1" applyBorder="1" applyAlignment="1">
      <alignment horizontal="center"/>
    </xf>
    <xf numFmtId="0" fontId="2" fillId="0" borderId="26"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0" xfId="0" quotePrefix="1"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13" xfId="0" applyFont="1" applyBorder="1" applyAlignment="1">
      <alignment horizontal="left" wrapText="1"/>
    </xf>
    <xf numFmtId="0" fontId="1" fillId="0" borderId="0" xfId="0" applyFont="1" applyAlignment="1">
      <alignment horizontal="left" wrapText="1"/>
    </xf>
    <xf numFmtId="0" fontId="1" fillId="0" borderId="14" xfId="0" applyFont="1" applyBorder="1" applyAlignment="1">
      <alignment horizontal="left" wrapText="1"/>
    </xf>
    <xf numFmtId="0" fontId="1" fillId="0" borderId="13" xfId="0" applyFont="1" applyBorder="1" applyAlignment="1">
      <alignment wrapText="1"/>
    </xf>
    <xf numFmtId="0" fontId="1" fillId="0" borderId="0" xfId="0" applyFont="1" applyAlignment="1">
      <alignment wrapText="1"/>
    </xf>
    <xf numFmtId="0" fontId="1" fillId="0" borderId="14" xfId="0" applyFont="1" applyBorder="1" applyAlignment="1">
      <alignment wrapText="1"/>
    </xf>
    <xf numFmtId="0" fontId="1" fillId="0" borderId="13" xfId="0" applyFont="1" applyBorder="1" applyAlignment="1">
      <alignment horizontal="left" vertical="top" wrapText="1"/>
    </xf>
    <xf numFmtId="0" fontId="1" fillId="0" borderId="0" xfId="0" applyFont="1" applyAlignment="1">
      <alignment horizontal="left" vertical="top" wrapText="1"/>
    </xf>
    <xf numFmtId="0" fontId="1" fillId="0" borderId="14" xfId="0" applyFont="1" applyBorder="1" applyAlignment="1">
      <alignment horizontal="left" vertical="top" wrapText="1"/>
    </xf>
    <xf numFmtId="0" fontId="1" fillId="0" borderId="13" xfId="0" applyFont="1" applyBorder="1" applyAlignment="1">
      <alignment horizontal="left" vertical="top"/>
    </xf>
    <xf numFmtId="0" fontId="1" fillId="0" borderId="0" xfId="0" applyFont="1" applyAlignment="1">
      <alignment horizontal="left" vertical="top"/>
    </xf>
    <xf numFmtId="0" fontId="1" fillId="0" borderId="14" xfId="0" applyFont="1" applyBorder="1" applyAlignment="1">
      <alignment horizontal="left" vertical="top"/>
    </xf>
    <xf numFmtId="0" fontId="1" fillId="0" borderId="21" xfId="0" applyFont="1" applyBorder="1" applyAlignment="1">
      <alignment horizontal="left"/>
    </xf>
    <xf numFmtId="0" fontId="1" fillId="0" borderId="22" xfId="0" applyFont="1" applyBorder="1" applyAlignment="1">
      <alignment horizontal="left"/>
    </xf>
    <xf numFmtId="0" fontId="1" fillId="0" borderId="23" xfId="0" applyFont="1" applyBorder="1" applyAlignment="1">
      <alignment horizontal="left"/>
    </xf>
    <xf numFmtId="0" fontId="32" fillId="0" borderId="0" xfId="42" applyFont="1" applyAlignment="1">
      <alignment horizontal="left" vertical="center" wrapText="1"/>
    </xf>
    <xf numFmtId="0" fontId="2" fillId="0" borderId="36"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1" fillId="28" borderId="57" xfId="0" quotePrefix="1" applyFont="1" applyFill="1" applyBorder="1" applyAlignment="1">
      <alignment horizontal="center" vertical="center"/>
    </xf>
    <xf numFmtId="0" fontId="1" fillId="28" borderId="22" xfId="0" quotePrefix="1" applyFont="1" applyFill="1" applyBorder="1" applyAlignment="1">
      <alignment horizontal="center" vertical="center"/>
    </xf>
    <xf numFmtId="0" fontId="1" fillId="28" borderId="58" xfId="0" quotePrefix="1" applyFont="1" applyFill="1" applyBorder="1" applyAlignment="1">
      <alignment horizontal="center" vertical="center"/>
    </xf>
    <xf numFmtId="0" fontId="2" fillId="38" borderId="36" xfId="0" applyFont="1" applyFill="1" applyBorder="1" applyAlignment="1">
      <alignment horizontal="center" vertical="center"/>
    </xf>
    <xf numFmtId="0" fontId="2" fillId="38" borderId="54" xfId="0" applyFont="1" applyFill="1" applyBorder="1" applyAlignment="1">
      <alignment horizontal="center" vertical="center"/>
    </xf>
    <xf numFmtId="0" fontId="1" fillId="38" borderId="15" xfId="0" applyFont="1" applyFill="1" applyBorder="1" applyAlignment="1">
      <alignment horizontal="center" vertical="center"/>
    </xf>
    <xf numFmtId="0" fontId="1" fillId="38" borderId="55" xfId="0" applyFont="1" applyFill="1" applyBorder="1" applyAlignment="1">
      <alignment horizontal="center" vertical="center"/>
    </xf>
    <xf numFmtId="0" fontId="1" fillId="38" borderId="37" xfId="0" applyFont="1" applyFill="1" applyBorder="1" applyAlignment="1">
      <alignment horizontal="center" vertical="center"/>
    </xf>
    <xf numFmtId="0" fontId="1" fillId="38" borderId="14" xfId="0" applyFont="1" applyFill="1" applyBorder="1" applyAlignment="1">
      <alignment horizontal="center" vertical="center"/>
    </xf>
    <xf numFmtId="0" fontId="1" fillId="38" borderId="18" xfId="0" applyFont="1" applyFill="1" applyBorder="1" applyAlignment="1">
      <alignment horizontal="center" vertical="center"/>
    </xf>
    <xf numFmtId="0" fontId="1" fillId="38" borderId="56" xfId="0" applyFont="1" applyFill="1" applyBorder="1" applyAlignment="1">
      <alignment horizontal="center" vertical="center"/>
    </xf>
    <xf numFmtId="0" fontId="2" fillId="0" borderId="16" xfId="0" applyFont="1" applyBorder="1" applyAlignment="1">
      <alignment horizontal="right" vertical="center"/>
    </xf>
    <xf numFmtId="0" fontId="1" fillId="35" borderId="13" xfId="0" applyFont="1" applyFill="1" applyBorder="1" applyAlignment="1">
      <alignment horizontal="left" vertical="top" wrapText="1"/>
    </xf>
    <xf numFmtId="0" fontId="1" fillId="35" borderId="0" xfId="0" applyFont="1" applyFill="1" applyAlignment="1">
      <alignment horizontal="left" vertical="top" wrapText="1"/>
    </xf>
    <xf numFmtId="0" fontId="1" fillId="35" borderId="14" xfId="0" applyFont="1" applyFill="1" applyBorder="1" applyAlignment="1">
      <alignment horizontal="left" vertical="top" wrapText="1"/>
    </xf>
    <xf numFmtId="0" fontId="1" fillId="35" borderId="13" xfId="0" applyFont="1" applyFill="1" applyBorder="1" applyAlignment="1">
      <alignment horizontal="left" vertical="top"/>
    </xf>
    <xf numFmtId="0" fontId="1" fillId="35" borderId="0" xfId="0" applyFont="1" applyFill="1" applyAlignment="1">
      <alignment horizontal="left" vertical="top"/>
    </xf>
    <xf numFmtId="0" fontId="1" fillId="35" borderId="14" xfId="0" applyFont="1" applyFill="1" applyBorder="1" applyAlignment="1">
      <alignment horizontal="left" vertical="top"/>
    </xf>
    <xf numFmtId="0" fontId="1" fillId="34" borderId="13" xfId="0" applyFont="1" applyFill="1" applyBorder="1" applyAlignment="1">
      <alignment horizontal="left" vertical="top" wrapText="1"/>
    </xf>
    <xf numFmtId="0" fontId="1" fillId="34" borderId="0" xfId="0" applyFont="1" applyFill="1" applyAlignment="1">
      <alignment horizontal="left" vertical="top" wrapText="1"/>
    </xf>
    <xf numFmtId="0" fontId="1" fillId="34" borderId="14" xfId="0" applyFont="1" applyFill="1" applyBorder="1" applyAlignment="1">
      <alignment horizontal="left" vertical="top" wrapText="1"/>
    </xf>
    <xf numFmtId="0" fontId="1" fillId="28" borderId="18" xfId="0" quotePrefix="1" applyFont="1" applyFill="1" applyBorder="1" applyAlignment="1">
      <alignment horizontal="center" vertical="center"/>
    </xf>
    <xf numFmtId="0" fontId="1" fillId="28" borderId="19" xfId="0" quotePrefix="1" applyFont="1" applyFill="1" applyBorder="1" applyAlignment="1">
      <alignment horizontal="center" vertical="center"/>
    </xf>
    <xf numFmtId="0" fontId="1" fillId="28" borderId="20" xfId="0" quotePrefix="1" applyFont="1" applyFill="1" applyBorder="1" applyAlignment="1">
      <alignment horizontal="center" vertical="center"/>
    </xf>
    <xf numFmtId="0" fontId="2" fillId="0" borderId="13" xfId="0" applyFont="1" applyBorder="1" applyAlignment="1">
      <alignment horizontal="right"/>
    </xf>
    <xf numFmtId="0" fontId="2" fillId="0" borderId="0" xfId="0" applyFont="1" applyAlignment="1">
      <alignment horizontal="right"/>
    </xf>
    <xf numFmtId="0" fontId="2" fillId="0" borderId="21" xfId="0" applyFont="1" applyBorder="1" applyAlignment="1">
      <alignment horizontal="right"/>
    </xf>
    <xf numFmtId="0" fontId="2" fillId="0" borderId="22" xfId="0" applyFont="1" applyBorder="1" applyAlignment="1">
      <alignment horizontal="right"/>
    </xf>
    <xf numFmtId="0" fontId="1" fillId="0" borderId="10" xfId="0" applyFont="1" applyBorder="1" applyAlignment="1">
      <alignment horizontal="right"/>
    </xf>
    <xf numFmtId="0" fontId="1" fillId="0" borderId="11" xfId="0" applyFont="1" applyBorder="1" applyAlignment="1">
      <alignment horizontal="right"/>
    </xf>
    <xf numFmtId="0" fontId="1" fillId="0" borderId="13" xfId="0" applyFont="1" applyBorder="1" applyAlignment="1">
      <alignment horizontal="right"/>
    </xf>
    <xf numFmtId="0" fontId="1" fillId="0" borderId="0" xfId="0" applyFont="1" applyAlignment="1">
      <alignment horizontal="right"/>
    </xf>
    <xf numFmtId="0" fontId="1" fillId="0" borderId="21" xfId="0" applyFont="1" applyBorder="1" applyAlignment="1">
      <alignment horizontal="right"/>
    </xf>
    <xf numFmtId="0" fontId="1" fillId="0" borderId="22" xfId="0" applyFont="1" applyBorder="1" applyAlignment="1">
      <alignment horizontal="right"/>
    </xf>
    <xf numFmtId="0" fontId="1" fillId="0" borderId="13" xfId="0" applyFont="1" applyBorder="1" applyAlignment="1">
      <alignment horizontal="left"/>
    </xf>
    <xf numFmtId="0" fontId="1" fillId="0" borderId="0" xfId="0" applyFont="1" applyAlignment="1">
      <alignment horizontal="left"/>
    </xf>
    <xf numFmtId="0" fontId="1" fillId="0" borderId="14" xfId="0" applyFont="1" applyBorder="1" applyAlignment="1">
      <alignment horizontal="left"/>
    </xf>
    <xf numFmtId="0" fontId="2" fillId="0" borderId="10" xfId="0" applyFont="1" applyBorder="1" applyAlignment="1">
      <alignment horizontal="right"/>
    </xf>
    <xf numFmtId="0" fontId="2" fillId="0" borderId="11" xfId="0" applyFont="1" applyBorder="1" applyAlignment="1">
      <alignment horizontal="right"/>
    </xf>
    <xf numFmtId="0" fontId="2" fillId="32" borderId="13" xfId="0" applyFont="1" applyFill="1" applyBorder="1" applyAlignment="1">
      <alignment horizontal="left" wrapText="1"/>
    </xf>
    <xf numFmtId="0" fontId="2" fillId="32" borderId="0" xfId="0" applyFont="1" applyFill="1" applyAlignment="1">
      <alignment horizontal="left" wrapText="1"/>
    </xf>
    <xf numFmtId="0" fontId="2" fillId="32" borderId="14" xfId="0" applyFont="1" applyFill="1" applyBorder="1" applyAlignment="1">
      <alignment horizontal="left" wrapText="1"/>
    </xf>
    <xf numFmtId="0" fontId="1" fillId="0" borderId="25" xfId="0" applyFont="1" applyBorder="1" applyAlignment="1">
      <alignment horizontal="right"/>
    </xf>
    <xf numFmtId="0" fontId="1" fillId="0" borderId="22" xfId="0" applyFont="1" applyBorder="1" applyAlignment="1">
      <alignment horizontal="center"/>
    </xf>
    <xf numFmtId="0" fontId="2" fillId="36" borderId="10" xfId="0" applyFont="1" applyFill="1" applyBorder="1" applyAlignment="1">
      <alignment horizontal="left"/>
    </xf>
    <xf numFmtId="0" fontId="2" fillId="36" borderId="11" xfId="0" applyFont="1" applyFill="1" applyBorder="1" applyAlignment="1">
      <alignment horizontal="left"/>
    </xf>
    <xf numFmtId="0" fontId="2" fillId="36" borderId="12" xfId="0" applyFont="1" applyFill="1" applyBorder="1" applyAlignment="1">
      <alignment horizontal="left"/>
    </xf>
    <xf numFmtId="0" fontId="2" fillId="37" borderId="13" xfId="0" applyFont="1" applyFill="1" applyBorder="1" applyAlignment="1">
      <alignment horizontal="left"/>
    </xf>
    <xf numFmtId="0" fontId="2" fillId="37" borderId="0" xfId="0" applyFont="1" applyFill="1" applyAlignment="1">
      <alignment horizontal="left"/>
    </xf>
    <xf numFmtId="0" fontId="2" fillId="37" borderId="14" xfId="0" applyFont="1" applyFill="1" applyBorder="1" applyAlignment="1">
      <alignment horizontal="left"/>
    </xf>
  </cellXfs>
  <cellStyles count="48">
    <cellStyle name="20 % - Akzent1" xfId="1" builtinId="30" customBuiltin="1"/>
    <cellStyle name="20 % - Akzent2" xfId="2" builtinId="34" customBuiltin="1"/>
    <cellStyle name="20 % - Akzent3" xfId="3" builtinId="38" customBuiltin="1"/>
    <cellStyle name="20 % - Akzent4" xfId="4" builtinId="42" customBuiltin="1"/>
    <cellStyle name="20 % - Akzent5" xfId="5" builtinId="46" customBuiltin="1"/>
    <cellStyle name="20 % - Akzent6" xfId="6" builtinId="50" customBuiltin="1"/>
    <cellStyle name="40 % - Akzent1" xfId="7" builtinId="31" customBuiltin="1"/>
    <cellStyle name="40 % - Akzent2" xfId="8" builtinId="35" customBuiltin="1"/>
    <cellStyle name="40 % - Akzent3" xfId="9" builtinId="39" customBuiltin="1"/>
    <cellStyle name="40 % - Akzent4" xfId="10" builtinId="43" customBuiltin="1"/>
    <cellStyle name="40 % - Akzent5" xfId="11" builtinId="47" customBuiltin="1"/>
    <cellStyle name="40 % - Akzent6" xfId="12" builtinId="51" customBuiltin="1"/>
    <cellStyle name="60 % - Akzent1" xfId="13" builtinId="32" customBuiltin="1"/>
    <cellStyle name="60 % - Akzent2" xfId="14" builtinId="36" customBuiltin="1"/>
    <cellStyle name="60 % - Akzent3" xfId="15" builtinId="40" customBuiltin="1"/>
    <cellStyle name="60 % - Akzent4" xfId="16" builtinId="44" customBuiltin="1"/>
    <cellStyle name="60 % - Akzent5" xfId="17" builtinId="48" customBuiltin="1"/>
    <cellStyle name="60 % - Akzent6" xfId="18" builtinId="52" customBuiltin="1"/>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25" builtinId="21" customBuiltin="1"/>
    <cellStyle name="Berechnung" xfId="26" builtinId="22" customBuiltin="1"/>
    <cellStyle name="Comma_loan" xfId="43" xr:uid="{00000000-0005-0000-0000-00001A000000}"/>
    <cellStyle name="Dezimal 2" xfId="44" xr:uid="{00000000-0005-0000-0000-00001B000000}"/>
    <cellStyle name="Eingabe" xfId="27" builtinId="20" customBuiltin="1"/>
    <cellStyle name="Ergebnis" xfId="28" builtinId="25" customBuiltin="1"/>
    <cellStyle name="Erklärender Text" xfId="29" builtinId="53" customBuiltin="1"/>
    <cellStyle name="Gut" xfId="30" builtinId="26" customBuiltin="1"/>
    <cellStyle name="Neutral" xfId="31" builtinId="28" customBuiltin="1"/>
    <cellStyle name="Normal_loan" xfId="45" xr:uid="{00000000-0005-0000-0000-000021000000}"/>
    <cellStyle name="Notiz" xfId="32" builtinId="10" customBuiltin="1"/>
    <cellStyle name="Schlecht" xfId="33" builtinId="27" customBuiltin="1"/>
    <cellStyle name="Standard" xfId="0" builtinId="0"/>
    <cellStyle name="Standard 2" xfId="42" xr:uid="{00000000-0005-0000-0000-000025000000}"/>
    <cellStyle name="Standard 3" xfId="46" xr:uid="{00000000-0005-0000-0000-000026000000}"/>
    <cellStyle name="Title" xfId="47" xr:uid="{00000000-0005-0000-0000-000027000000}"/>
    <cellStyle name="Überschrift" xfId="34" builtinId="15" customBuiltin="1"/>
    <cellStyle name="Überschrift 1" xfId="35" builtinId="16" customBuiltin="1"/>
    <cellStyle name="Überschrift 2" xfId="36" builtinId="17" customBuiltin="1"/>
    <cellStyle name="Überschrift 3" xfId="37" builtinId="18" customBuiltin="1"/>
    <cellStyle name="Überschrift 4" xfId="38" builtinId="19" customBuiltin="1"/>
    <cellStyle name="Verknüpfte Zelle" xfId="39" builtinId="24" customBuiltin="1"/>
    <cellStyle name="Warnender Text" xfId="40" builtinId="11" customBuiltin="1"/>
    <cellStyle name="Zelle überprüfen" xfId="41" builtinId="23" customBuiltin="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Streuungsdiagramm</a:t>
            </a:r>
          </a:p>
        </c:rich>
      </c:tx>
      <c:layout>
        <c:manualLayout>
          <c:xMode val="edge"/>
          <c:yMode val="edge"/>
          <c:x val="0.3689326218216244"/>
          <c:y val="3.3333416800422684E-2"/>
        </c:manualLayout>
      </c:layout>
      <c:overlay val="0"/>
    </c:title>
    <c:autoTitleDeleted val="0"/>
    <c:plotArea>
      <c:layout>
        <c:manualLayout>
          <c:layoutTarget val="inner"/>
          <c:xMode val="edge"/>
          <c:yMode val="edge"/>
          <c:x val="0.15048567469039945"/>
          <c:y val="0.17948762892535289"/>
          <c:w val="0.69579397975130797"/>
          <c:h val="0.64359135514662269"/>
        </c:manualLayout>
      </c:layout>
      <c:scatterChart>
        <c:scatterStyle val="lineMarker"/>
        <c:varyColors val="0"/>
        <c:ser>
          <c:idx val="0"/>
          <c:order val="0"/>
          <c:spPr>
            <a:ln w="28575">
              <a:noFill/>
            </a:ln>
          </c:spPr>
          <c:trendline>
            <c:trendlineType val="linear"/>
            <c:dispRSqr val="1"/>
            <c:dispEq val="1"/>
            <c:trendlineLbl>
              <c:numFmt formatCode="General" sourceLinked="0"/>
            </c:trendlineLbl>
          </c:trendline>
          <c:xVal>
            <c:numLit>
              <c:formatCode>General</c:formatCode>
              <c:ptCount val="8"/>
              <c:pt idx="0">
                <c:v>1400</c:v>
              </c:pt>
              <c:pt idx="1">
                <c:v>1800</c:v>
              </c:pt>
              <c:pt idx="2">
                <c:v>1900</c:v>
              </c:pt>
              <c:pt idx="3">
                <c:v>2400</c:v>
              </c:pt>
              <c:pt idx="4">
                <c:v>2800</c:v>
              </c:pt>
              <c:pt idx="5">
                <c:v>3200</c:v>
              </c:pt>
              <c:pt idx="6">
                <c:v>3600</c:v>
              </c:pt>
              <c:pt idx="7">
                <c:v>4000</c:v>
              </c:pt>
            </c:numLit>
          </c:xVal>
          <c:yVal>
            <c:numLit>
              <c:formatCode>General</c:formatCode>
              <c:ptCount val="8"/>
              <c:pt idx="0">
                <c:v>210000</c:v>
              </c:pt>
              <c:pt idx="1">
                <c:v>220000</c:v>
              </c:pt>
              <c:pt idx="2">
                <c:v>240000</c:v>
              </c:pt>
              <c:pt idx="3">
                <c:v>241000</c:v>
              </c:pt>
              <c:pt idx="4">
                <c:v>320000</c:v>
              </c:pt>
              <c:pt idx="5">
                <c:v>400000</c:v>
              </c:pt>
              <c:pt idx="6">
                <c:v>410000</c:v>
              </c:pt>
              <c:pt idx="7">
                <c:v>480000</c:v>
              </c:pt>
            </c:numLit>
          </c:yVal>
          <c:smooth val="0"/>
          <c:extLst>
            <c:ext xmlns:c16="http://schemas.microsoft.com/office/drawing/2014/chart" uri="{C3380CC4-5D6E-409C-BE32-E72D297353CC}">
              <c16:uniqueId val="{00000000-203A-4DC2-B7C4-8C5616497CCA}"/>
            </c:ext>
          </c:extLst>
        </c:ser>
        <c:dLbls>
          <c:showLegendKey val="0"/>
          <c:showVal val="0"/>
          <c:showCatName val="0"/>
          <c:showSerName val="0"/>
          <c:showPercent val="0"/>
          <c:showBubbleSize val="0"/>
        </c:dLbls>
        <c:axId val="186245120"/>
        <c:axId val="186247040"/>
      </c:scatterChart>
      <c:valAx>
        <c:axId val="186245120"/>
        <c:scaling>
          <c:orientation val="minMax"/>
          <c:min val="1000"/>
        </c:scaling>
        <c:delete val="0"/>
        <c:axPos val="b"/>
        <c:title>
          <c:tx>
            <c:rich>
              <a:bodyPr/>
              <a:lstStyle/>
              <a:p>
                <a:pPr>
                  <a:defRPr/>
                </a:pPr>
                <a:r>
                  <a:rPr lang="de-DE"/>
                  <a:t>Marketingkosten</a:t>
                </a:r>
              </a:p>
            </c:rich>
          </c:tx>
          <c:layout>
            <c:manualLayout>
              <c:xMode val="edge"/>
              <c:yMode val="edge"/>
              <c:x val="0.41100388571356383"/>
              <c:y val="0.9025663625960586"/>
            </c:manualLayout>
          </c:layout>
          <c:overlay val="0"/>
        </c:title>
        <c:numFmt formatCode="General" sourceLinked="1"/>
        <c:majorTickMark val="out"/>
        <c:minorTickMark val="none"/>
        <c:tickLblPos val="nextTo"/>
        <c:txPr>
          <a:bodyPr rot="0" vert="horz"/>
          <a:lstStyle/>
          <a:p>
            <a:pPr>
              <a:defRPr/>
            </a:pPr>
            <a:endParaRPr lang="de-DE"/>
          </a:p>
        </c:txPr>
        <c:crossAx val="186247040"/>
        <c:crosses val="autoZero"/>
        <c:crossBetween val="midCat"/>
      </c:valAx>
      <c:valAx>
        <c:axId val="186247040"/>
        <c:scaling>
          <c:orientation val="minMax"/>
          <c:min val="150000"/>
        </c:scaling>
        <c:delete val="0"/>
        <c:axPos val="l"/>
        <c:majorGridlines/>
        <c:title>
          <c:tx>
            <c:rich>
              <a:bodyPr/>
              <a:lstStyle/>
              <a:p>
                <a:pPr>
                  <a:defRPr/>
                </a:pPr>
                <a:r>
                  <a:rPr lang="de-DE"/>
                  <a:t>Umsatz</a:t>
                </a:r>
              </a:p>
            </c:rich>
          </c:tx>
          <c:layout>
            <c:manualLayout>
              <c:xMode val="edge"/>
              <c:yMode val="edge"/>
              <c:x val="2.589000854888588E-2"/>
              <c:y val="0.43589852739014379"/>
            </c:manualLayout>
          </c:layout>
          <c:overlay val="0"/>
        </c:title>
        <c:numFmt formatCode="General" sourceLinked="1"/>
        <c:majorTickMark val="out"/>
        <c:minorTickMark val="none"/>
        <c:tickLblPos val="nextTo"/>
        <c:txPr>
          <a:bodyPr rot="0" vert="horz"/>
          <a:lstStyle/>
          <a:p>
            <a:pPr>
              <a:defRPr/>
            </a:pPr>
            <a:endParaRPr lang="de-DE"/>
          </a:p>
        </c:txPr>
        <c:crossAx val="186245120"/>
        <c:crosses val="autoZero"/>
        <c:crossBetween val="midCat"/>
      </c:valAx>
    </c:plotArea>
    <c:legend>
      <c:legendPos val="r"/>
      <c:layout>
        <c:manualLayout>
          <c:xMode val="edge"/>
          <c:yMode val="edge"/>
          <c:x val="0.86571321914418908"/>
          <c:y val="0.47144884182053665"/>
          <c:w val="0.12575350076830252"/>
          <c:h val="5.6410397662253774E-2"/>
        </c:manualLayout>
      </c:layout>
      <c:overlay val="0"/>
    </c:legend>
    <c:plotVisOnly val="1"/>
    <c:dispBlanksAs val="gap"/>
    <c:showDLblsOverMax val="0"/>
  </c:chart>
  <c:printSettings>
    <c:headerFooter alignWithMargins="0"/>
    <c:pageMargins b="0.98425196899999956" l="0.78740157499999996" r="0.78740157499999996" t="0.98425196899999956" header="0.4921259845000005" footer="0.49212598450000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y</c:v>
          </c:tx>
          <c:spPr>
            <a:ln w="28575" cap="rnd">
              <a:noFill/>
              <a:round/>
            </a:ln>
            <a:effectLst/>
          </c:spPr>
          <c:marker>
            <c:symbol val="circle"/>
            <c:size val="5"/>
            <c:spPr>
              <a:solidFill>
                <a:schemeClr val="accent1"/>
              </a:solidFill>
              <a:ln w="9525">
                <a:solidFill>
                  <a:schemeClr val="accent1"/>
                </a:solidFill>
              </a:ln>
              <a:effectLst/>
            </c:spPr>
          </c:marker>
          <c:xVal>
            <c:numRef>
              <c:f>'Aufgabe 2'!$C$8:$C$13</c:f>
              <c:numCache>
                <c:formatCode>General</c:formatCode>
                <c:ptCount val="6"/>
                <c:pt idx="0">
                  <c:v>1</c:v>
                </c:pt>
                <c:pt idx="1">
                  <c:v>2</c:v>
                </c:pt>
                <c:pt idx="2">
                  <c:v>3</c:v>
                </c:pt>
                <c:pt idx="3">
                  <c:v>4</c:v>
                </c:pt>
                <c:pt idx="4">
                  <c:v>5</c:v>
                </c:pt>
                <c:pt idx="5">
                  <c:v>6</c:v>
                </c:pt>
              </c:numCache>
            </c:numRef>
          </c:xVal>
          <c:yVal>
            <c:numRef>
              <c:f>'Aufgabe 2'!$D$8:$D$13</c:f>
              <c:numCache>
                <c:formatCode>General</c:formatCode>
                <c:ptCount val="6"/>
                <c:pt idx="0">
                  <c:v>3</c:v>
                </c:pt>
                <c:pt idx="1">
                  <c:v>7</c:v>
                </c:pt>
                <c:pt idx="2">
                  <c:v>4</c:v>
                </c:pt>
                <c:pt idx="3">
                  <c:v>8</c:v>
                </c:pt>
                <c:pt idx="4">
                  <c:v>5</c:v>
                </c:pt>
                <c:pt idx="5">
                  <c:v>9</c:v>
                </c:pt>
              </c:numCache>
            </c:numRef>
          </c:yVal>
          <c:smooth val="0"/>
          <c:extLst>
            <c:ext xmlns:c16="http://schemas.microsoft.com/office/drawing/2014/chart" uri="{C3380CC4-5D6E-409C-BE32-E72D297353CC}">
              <c16:uniqueId val="{00000000-8104-4749-A40E-3539337FBCD4}"/>
            </c:ext>
          </c:extLst>
        </c:ser>
        <c:ser>
          <c:idx val="1"/>
          <c:order val="1"/>
          <c:tx>
            <c:v>z</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'Aufgabe 2'!$C$8:$C$13</c:f>
              <c:numCache>
                <c:formatCode>General</c:formatCode>
                <c:ptCount val="6"/>
                <c:pt idx="0">
                  <c:v>1</c:v>
                </c:pt>
                <c:pt idx="1">
                  <c:v>2</c:v>
                </c:pt>
                <c:pt idx="2">
                  <c:v>3</c:v>
                </c:pt>
                <c:pt idx="3">
                  <c:v>4</c:v>
                </c:pt>
                <c:pt idx="4">
                  <c:v>5</c:v>
                </c:pt>
                <c:pt idx="5">
                  <c:v>6</c:v>
                </c:pt>
              </c:numCache>
            </c:numRef>
          </c:xVal>
          <c:yVal>
            <c:numRef>
              <c:f>'Aufgabe 2'!$E$8:$E$13</c:f>
              <c:numCache>
                <c:formatCode>General</c:formatCode>
                <c:ptCount val="6"/>
                <c:pt idx="0">
                  <c:v>3.9</c:v>
                </c:pt>
                <c:pt idx="1">
                  <c:v>5</c:v>
                </c:pt>
                <c:pt idx="2">
                  <c:v>5.5</c:v>
                </c:pt>
                <c:pt idx="3">
                  <c:v>6.5</c:v>
                </c:pt>
                <c:pt idx="4">
                  <c:v>7</c:v>
                </c:pt>
                <c:pt idx="5">
                  <c:v>8.1</c:v>
                </c:pt>
              </c:numCache>
            </c:numRef>
          </c:yVal>
          <c:smooth val="0"/>
          <c:extLst>
            <c:ext xmlns:c16="http://schemas.microsoft.com/office/drawing/2014/chart" uri="{C3380CC4-5D6E-409C-BE32-E72D297353CC}">
              <c16:uniqueId val="{00000001-8104-4749-A40E-3539337FBCD4}"/>
            </c:ext>
          </c:extLst>
        </c:ser>
        <c:dLbls>
          <c:showLegendKey val="0"/>
          <c:showVal val="0"/>
          <c:showCatName val="0"/>
          <c:showSerName val="0"/>
          <c:showPercent val="0"/>
          <c:showBubbleSize val="0"/>
        </c:dLbls>
        <c:axId val="1563008511"/>
        <c:axId val="1563008991"/>
      </c:scatterChart>
      <c:valAx>
        <c:axId val="1563008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3008991"/>
        <c:crosses val="autoZero"/>
        <c:crossBetween val="midCat"/>
      </c:valAx>
      <c:valAx>
        <c:axId val="156300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30085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Datensatz</a:t>
            </a:r>
            <a:r>
              <a:rPr lang="de-DE" b="1" baseline="0"/>
              <a:t> 1</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y1</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0361089238845146"/>
                  <c:y val="-5.10728346456692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'Aufgabe 3'!$B$13:$B$23</c:f>
              <c:numCache>
                <c:formatCode>0.00</c:formatCode>
                <c:ptCount val="11"/>
                <c:pt idx="0">
                  <c:v>10</c:v>
                </c:pt>
                <c:pt idx="1">
                  <c:v>8</c:v>
                </c:pt>
                <c:pt idx="2">
                  <c:v>13</c:v>
                </c:pt>
                <c:pt idx="3">
                  <c:v>9</c:v>
                </c:pt>
                <c:pt idx="4">
                  <c:v>11</c:v>
                </c:pt>
                <c:pt idx="5">
                  <c:v>14</c:v>
                </c:pt>
                <c:pt idx="6">
                  <c:v>6</c:v>
                </c:pt>
                <c:pt idx="7">
                  <c:v>4</c:v>
                </c:pt>
                <c:pt idx="8">
                  <c:v>12</c:v>
                </c:pt>
                <c:pt idx="9">
                  <c:v>7</c:v>
                </c:pt>
                <c:pt idx="10">
                  <c:v>5</c:v>
                </c:pt>
              </c:numCache>
            </c:numRef>
          </c:xVal>
          <c:yVal>
            <c:numRef>
              <c:f>'Aufgabe 3'!$C$13:$C$23</c:f>
              <c:numCache>
                <c:formatCode>0.00</c:formatCode>
                <c:ptCount val="11"/>
                <c:pt idx="0">
                  <c:v>8.0399999999999991</c:v>
                </c:pt>
                <c:pt idx="1">
                  <c:v>6.95</c:v>
                </c:pt>
                <c:pt idx="2">
                  <c:v>7.58</c:v>
                </c:pt>
                <c:pt idx="3">
                  <c:v>8.81</c:v>
                </c:pt>
                <c:pt idx="4">
                  <c:v>8.33</c:v>
                </c:pt>
                <c:pt idx="5">
                  <c:v>9.9600000000000009</c:v>
                </c:pt>
                <c:pt idx="6">
                  <c:v>7.24</c:v>
                </c:pt>
                <c:pt idx="7">
                  <c:v>4.26</c:v>
                </c:pt>
                <c:pt idx="8">
                  <c:v>10.84</c:v>
                </c:pt>
                <c:pt idx="9">
                  <c:v>4.82</c:v>
                </c:pt>
                <c:pt idx="10">
                  <c:v>5.68</c:v>
                </c:pt>
              </c:numCache>
            </c:numRef>
          </c:yVal>
          <c:smooth val="0"/>
          <c:extLst>
            <c:ext xmlns:c16="http://schemas.microsoft.com/office/drawing/2014/chart" uri="{C3380CC4-5D6E-409C-BE32-E72D297353CC}">
              <c16:uniqueId val="{00000000-0752-456A-A0D2-2302A1C62A2C}"/>
            </c:ext>
          </c:extLst>
        </c:ser>
        <c:dLbls>
          <c:showLegendKey val="0"/>
          <c:showVal val="0"/>
          <c:showCatName val="0"/>
          <c:showSerName val="0"/>
          <c:showPercent val="0"/>
          <c:showBubbleSize val="0"/>
        </c:dLbls>
        <c:axId val="12341039"/>
        <c:axId val="12340559"/>
      </c:scatterChart>
      <c:valAx>
        <c:axId val="123410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40559"/>
        <c:crosses val="autoZero"/>
        <c:crossBetween val="midCat"/>
      </c:valAx>
      <c:valAx>
        <c:axId val="12340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41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Datensatz</a:t>
            </a:r>
            <a:r>
              <a:rPr lang="de-DE" b="1" baseline="0"/>
              <a:t> 2</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8150481189851271E-2"/>
          <c:y val="0.17171296296296296"/>
          <c:w val="0.58517519685039365"/>
          <c:h val="0.72088764946048411"/>
        </c:manualLayout>
      </c:layout>
      <c:scatterChart>
        <c:scatterStyle val="lineMarker"/>
        <c:varyColors val="0"/>
        <c:ser>
          <c:idx val="0"/>
          <c:order val="0"/>
          <c:tx>
            <c:v>y2</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73709536307962"/>
                  <c:y val="-3.493146689997083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'Aufgabe 3'!$D$13:$D$23</c:f>
              <c:numCache>
                <c:formatCode>0.00</c:formatCode>
                <c:ptCount val="11"/>
                <c:pt idx="0">
                  <c:v>4</c:v>
                </c:pt>
                <c:pt idx="1">
                  <c:v>5</c:v>
                </c:pt>
                <c:pt idx="2">
                  <c:v>6</c:v>
                </c:pt>
                <c:pt idx="3">
                  <c:v>7</c:v>
                </c:pt>
                <c:pt idx="4">
                  <c:v>10</c:v>
                </c:pt>
                <c:pt idx="5">
                  <c:v>9</c:v>
                </c:pt>
                <c:pt idx="6">
                  <c:v>8</c:v>
                </c:pt>
                <c:pt idx="7">
                  <c:v>11</c:v>
                </c:pt>
                <c:pt idx="8">
                  <c:v>12</c:v>
                </c:pt>
                <c:pt idx="9">
                  <c:v>13</c:v>
                </c:pt>
                <c:pt idx="10">
                  <c:v>14</c:v>
                </c:pt>
              </c:numCache>
            </c:numRef>
          </c:xVal>
          <c:yVal>
            <c:numRef>
              <c:f>'Aufgabe 3'!$E$13:$E$23</c:f>
              <c:numCache>
                <c:formatCode>0.00</c:formatCode>
                <c:ptCount val="11"/>
                <c:pt idx="0">
                  <c:v>3.1</c:v>
                </c:pt>
                <c:pt idx="1">
                  <c:v>4.74</c:v>
                </c:pt>
                <c:pt idx="2">
                  <c:v>6.13</c:v>
                </c:pt>
                <c:pt idx="3">
                  <c:v>7.26</c:v>
                </c:pt>
                <c:pt idx="4">
                  <c:v>9.14</c:v>
                </c:pt>
                <c:pt idx="5">
                  <c:v>8.77</c:v>
                </c:pt>
                <c:pt idx="6">
                  <c:v>8.14</c:v>
                </c:pt>
                <c:pt idx="7">
                  <c:v>9.26</c:v>
                </c:pt>
                <c:pt idx="8">
                  <c:v>9.1300000000000008</c:v>
                </c:pt>
                <c:pt idx="9">
                  <c:v>8.74</c:v>
                </c:pt>
                <c:pt idx="10">
                  <c:v>8.1</c:v>
                </c:pt>
              </c:numCache>
            </c:numRef>
          </c:yVal>
          <c:smooth val="0"/>
          <c:extLst>
            <c:ext xmlns:c16="http://schemas.microsoft.com/office/drawing/2014/chart" uri="{C3380CC4-5D6E-409C-BE32-E72D297353CC}">
              <c16:uniqueId val="{00000000-FFC0-4983-A0B2-FB7A4EC9FB08}"/>
            </c:ext>
          </c:extLst>
        </c:ser>
        <c:dLbls>
          <c:showLegendKey val="0"/>
          <c:showVal val="0"/>
          <c:showCatName val="0"/>
          <c:showSerName val="0"/>
          <c:showPercent val="0"/>
          <c:showBubbleSize val="0"/>
        </c:dLbls>
        <c:axId val="93984080"/>
        <c:axId val="93986000"/>
      </c:scatterChart>
      <c:valAx>
        <c:axId val="939840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3986000"/>
        <c:crosses val="autoZero"/>
        <c:crossBetween val="midCat"/>
      </c:valAx>
      <c:valAx>
        <c:axId val="93986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3984080"/>
        <c:crosses val="autoZero"/>
        <c:crossBetween val="midCat"/>
      </c:valAx>
      <c:spPr>
        <a:noFill/>
        <a:ln>
          <a:noFill/>
        </a:ln>
        <a:effectLst/>
      </c:spPr>
    </c:plotArea>
    <c:legend>
      <c:legendPos val="r"/>
      <c:layout>
        <c:manualLayout>
          <c:xMode val="edge"/>
          <c:yMode val="edge"/>
          <c:x val="0.73955489938757657"/>
          <c:y val="0.48226778944298632"/>
          <c:w val="0.2437784339457567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Datensatz</a:t>
            </a:r>
            <a:r>
              <a:rPr lang="de-DE" b="1" baseline="0"/>
              <a:t> 3</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y3</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0638867016622923"/>
                  <c:y val="-5.129155730533683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'Aufgabe 3'!$F$13:$F$23</c:f>
              <c:numCache>
                <c:formatCode>0.00</c:formatCode>
                <c:ptCount val="11"/>
                <c:pt idx="0">
                  <c:v>8</c:v>
                </c:pt>
                <c:pt idx="1">
                  <c:v>10</c:v>
                </c:pt>
                <c:pt idx="2">
                  <c:v>9</c:v>
                </c:pt>
                <c:pt idx="3">
                  <c:v>11</c:v>
                </c:pt>
                <c:pt idx="4">
                  <c:v>13</c:v>
                </c:pt>
                <c:pt idx="5">
                  <c:v>14</c:v>
                </c:pt>
                <c:pt idx="6">
                  <c:v>6</c:v>
                </c:pt>
                <c:pt idx="7">
                  <c:v>4</c:v>
                </c:pt>
                <c:pt idx="8">
                  <c:v>5</c:v>
                </c:pt>
                <c:pt idx="9">
                  <c:v>7</c:v>
                </c:pt>
                <c:pt idx="10">
                  <c:v>12</c:v>
                </c:pt>
              </c:numCache>
            </c:numRef>
          </c:xVal>
          <c:yVal>
            <c:numRef>
              <c:f>'Aufgabe 3'!$G$13:$G$23</c:f>
              <c:numCache>
                <c:formatCode>0.00</c:formatCode>
                <c:ptCount val="11"/>
                <c:pt idx="0">
                  <c:v>6.77</c:v>
                </c:pt>
                <c:pt idx="1">
                  <c:v>7.46</c:v>
                </c:pt>
                <c:pt idx="2">
                  <c:v>7.11</c:v>
                </c:pt>
                <c:pt idx="3">
                  <c:v>7.81</c:v>
                </c:pt>
                <c:pt idx="4">
                  <c:v>12.75</c:v>
                </c:pt>
                <c:pt idx="5">
                  <c:v>8.84</c:v>
                </c:pt>
                <c:pt idx="6">
                  <c:v>6.08</c:v>
                </c:pt>
                <c:pt idx="7">
                  <c:v>5.39</c:v>
                </c:pt>
                <c:pt idx="8">
                  <c:v>5.73</c:v>
                </c:pt>
                <c:pt idx="9">
                  <c:v>6.42</c:v>
                </c:pt>
                <c:pt idx="10">
                  <c:v>8.15</c:v>
                </c:pt>
              </c:numCache>
            </c:numRef>
          </c:yVal>
          <c:smooth val="0"/>
          <c:extLst>
            <c:ext xmlns:c16="http://schemas.microsoft.com/office/drawing/2014/chart" uri="{C3380CC4-5D6E-409C-BE32-E72D297353CC}">
              <c16:uniqueId val="{00000000-B841-45CF-BB74-B3E39437471E}"/>
            </c:ext>
          </c:extLst>
        </c:ser>
        <c:dLbls>
          <c:showLegendKey val="0"/>
          <c:showVal val="0"/>
          <c:showCatName val="0"/>
          <c:showSerName val="0"/>
          <c:showPercent val="0"/>
          <c:showBubbleSize val="0"/>
        </c:dLbls>
        <c:axId val="322863440"/>
        <c:axId val="322855760"/>
      </c:scatterChart>
      <c:valAx>
        <c:axId val="322863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22855760"/>
        <c:crosses val="autoZero"/>
        <c:crossBetween val="midCat"/>
      </c:valAx>
      <c:valAx>
        <c:axId val="322855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2286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Datensatz</a:t>
            </a:r>
            <a:r>
              <a:rPr lang="de-DE" b="1" baseline="0"/>
              <a:t> 4</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8469706911636045"/>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'Aufgabe 3'!$H$13:$H$23</c:f>
              <c:numCache>
                <c:formatCode>0.00</c:formatCode>
                <c:ptCount val="11"/>
                <c:pt idx="0">
                  <c:v>8</c:v>
                </c:pt>
                <c:pt idx="1">
                  <c:v>8</c:v>
                </c:pt>
                <c:pt idx="2">
                  <c:v>8</c:v>
                </c:pt>
                <c:pt idx="3">
                  <c:v>8</c:v>
                </c:pt>
                <c:pt idx="4">
                  <c:v>8</c:v>
                </c:pt>
                <c:pt idx="5">
                  <c:v>8</c:v>
                </c:pt>
                <c:pt idx="6">
                  <c:v>8</c:v>
                </c:pt>
                <c:pt idx="7">
                  <c:v>19</c:v>
                </c:pt>
                <c:pt idx="8">
                  <c:v>8</c:v>
                </c:pt>
                <c:pt idx="9">
                  <c:v>8</c:v>
                </c:pt>
                <c:pt idx="10">
                  <c:v>8</c:v>
                </c:pt>
              </c:numCache>
            </c:numRef>
          </c:xVal>
          <c:yVal>
            <c:numRef>
              <c:f>'Aufgabe 3'!$I$13:$I$23</c:f>
              <c:numCache>
                <c:formatCode>0.00</c:formatCode>
                <c:ptCount val="11"/>
                <c:pt idx="0">
                  <c:v>6.58</c:v>
                </c:pt>
                <c:pt idx="1">
                  <c:v>5.76</c:v>
                </c:pt>
                <c:pt idx="2">
                  <c:v>7.71</c:v>
                </c:pt>
                <c:pt idx="3">
                  <c:v>8.84</c:v>
                </c:pt>
                <c:pt idx="4">
                  <c:v>8.4700000000000006</c:v>
                </c:pt>
                <c:pt idx="5">
                  <c:v>7.04</c:v>
                </c:pt>
                <c:pt idx="6">
                  <c:v>5.25</c:v>
                </c:pt>
                <c:pt idx="7">
                  <c:v>12.5</c:v>
                </c:pt>
                <c:pt idx="8">
                  <c:v>5.55</c:v>
                </c:pt>
                <c:pt idx="9">
                  <c:v>7.91</c:v>
                </c:pt>
                <c:pt idx="10">
                  <c:v>6.89</c:v>
                </c:pt>
              </c:numCache>
            </c:numRef>
          </c:yVal>
          <c:smooth val="0"/>
          <c:extLst>
            <c:ext xmlns:c16="http://schemas.microsoft.com/office/drawing/2014/chart" uri="{C3380CC4-5D6E-409C-BE32-E72D297353CC}">
              <c16:uniqueId val="{00000000-9301-4E50-934E-8CA480B76871}"/>
            </c:ext>
          </c:extLst>
        </c:ser>
        <c:dLbls>
          <c:showLegendKey val="0"/>
          <c:showVal val="0"/>
          <c:showCatName val="0"/>
          <c:showSerName val="0"/>
          <c:showPercent val="0"/>
          <c:showBubbleSize val="0"/>
        </c:dLbls>
        <c:axId val="1077516959"/>
        <c:axId val="1077511199"/>
      </c:scatterChart>
      <c:valAx>
        <c:axId val="10775169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77511199"/>
        <c:crosses val="autoZero"/>
        <c:crossBetween val="midCat"/>
      </c:valAx>
      <c:valAx>
        <c:axId val="107751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77516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611187</xdr:colOff>
      <xdr:row>42</xdr:row>
      <xdr:rowOff>23813</xdr:rowOff>
    </xdr:from>
    <xdr:to>
      <xdr:col>2</xdr:col>
      <xdr:colOff>1047750</xdr:colOff>
      <xdr:row>44</xdr:row>
      <xdr:rowOff>133350</xdr:rowOff>
    </xdr:to>
    <xdr:sp macro="" textlink="">
      <xdr:nvSpPr>
        <xdr:cNvPr id="6149" name="Line 5">
          <a:extLst>
            <a:ext uri="{FF2B5EF4-FFF2-40B4-BE49-F238E27FC236}">
              <a16:creationId xmlns:a16="http://schemas.microsoft.com/office/drawing/2014/main" id="{00000000-0008-0000-0100-000005180000}"/>
            </a:ext>
          </a:extLst>
        </xdr:cNvPr>
        <xdr:cNvSpPr>
          <a:spLocks noChangeShapeType="1"/>
        </xdr:cNvSpPr>
      </xdr:nvSpPr>
      <xdr:spPr bwMode="auto">
        <a:xfrm>
          <a:off x="2635250" y="11168063"/>
          <a:ext cx="436563" cy="506412"/>
        </a:xfrm>
        <a:prstGeom prst="line">
          <a:avLst/>
        </a:prstGeom>
        <a:noFill/>
        <a:ln w="9525">
          <a:solidFill>
            <a:srgbClr val="000000"/>
          </a:solidFill>
          <a:round/>
          <a:headEnd/>
          <a:tailEnd type="triangle" w="med" len="med"/>
        </a:ln>
      </xdr:spPr>
    </xdr:sp>
    <xdr:clientData/>
  </xdr:twoCellAnchor>
  <xdr:twoCellAnchor>
    <xdr:from>
      <xdr:col>2</xdr:col>
      <xdr:colOff>160338</xdr:colOff>
      <xdr:row>40</xdr:row>
      <xdr:rowOff>66676</xdr:rowOff>
    </xdr:from>
    <xdr:to>
      <xdr:col>2</xdr:col>
      <xdr:colOff>969963</xdr:colOff>
      <xdr:row>41</xdr:row>
      <xdr:rowOff>142875</xdr:rowOff>
    </xdr:to>
    <xdr:sp macro="" textlink="">
      <xdr:nvSpPr>
        <xdr:cNvPr id="6151" name="Text Box 7">
          <a:extLst>
            <a:ext uri="{FF2B5EF4-FFF2-40B4-BE49-F238E27FC236}">
              <a16:creationId xmlns:a16="http://schemas.microsoft.com/office/drawing/2014/main" id="{00000000-0008-0000-0100-000007180000}"/>
            </a:ext>
          </a:extLst>
        </xdr:cNvPr>
        <xdr:cNvSpPr txBox="1">
          <a:spLocks noChangeArrowheads="1"/>
        </xdr:cNvSpPr>
      </xdr:nvSpPr>
      <xdr:spPr bwMode="auto">
        <a:xfrm>
          <a:off x="2184401" y="10814051"/>
          <a:ext cx="809625" cy="274637"/>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29</xdr:row>
      <xdr:rowOff>80963</xdr:rowOff>
    </xdr:from>
    <xdr:to>
      <xdr:col>3</xdr:col>
      <xdr:colOff>757238</xdr:colOff>
      <xdr:row>30</xdr:row>
      <xdr:rowOff>128587</xdr:rowOff>
    </xdr:to>
    <xdr:sp macro="" textlink="">
      <xdr:nvSpPr>
        <xdr:cNvPr id="6152" name="Text Box 8">
          <a:extLst>
            <a:ext uri="{FF2B5EF4-FFF2-40B4-BE49-F238E27FC236}">
              <a16:creationId xmlns:a16="http://schemas.microsoft.com/office/drawing/2014/main" id="{00000000-0008-0000-0100-000008180000}"/>
            </a:ext>
          </a:extLst>
        </xdr:cNvPr>
        <xdr:cNvSpPr txBox="1">
          <a:spLocks noChangeArrowheads="1"/>
        </xdr:cNvSpPr>
      </xdr:nvSpPr>
      <xdr:spPr bwMode="auto">
        <a:xfrm>
          <a:off x="2617788" y="8843963"/>
          <a:ext cx="1758950" cy="246062"/>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40</xdr:row>
      <xdr:rowOff>107950</xdr:rowOff>
    </xdr:from>
    <xdr:to>
      <xdr:col>7</xdr:col>
      <xdr:colOff>271462</xdr:colOff>
      <xdr:row>41</xdr:row>
      <xdr:rowOff>158750</xdr:rowOff>
    </xdr:to>
    <xdr:sp macro="" textlink="">
      <xdr:nvSpPr>
        <xdr:cNvPr id="6153" name="Text Box 9">
          <a:extLst>
            <a:ext uri="{FF2B5EF4-FFF2-40B4-BE49-F238E27FC236}">
              <a16:creationId xmlns:a16="http://schemas.microsoft.com/office/drawing/2014/main" id="{00000000-0008-0000-0100-000009180000}"/>
            </a:ext>
          </a:extLst>
        </xdr:cNvPr>
        <xdr:cNvSpPr txBox="1">
          <a:spLocks noChangeArrowheads="1"/>
        </xdr:cNvSpPr>
      </xdr:nvSpPr>
      <xdr:spPr bwMode="auto">
        <a:xfrm>
          <a:off x="4699000" y="10855325"/>
          <a:ext cx="2771775" cy="249238"/>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37</xdr:row>
      <xdr:rowOff>55562</xdr:rowOff>
    </xdr:from>
    <xdr:to>
      <xdr:col>6</xdr:col>
      <xdr:colOff>706438</xdr:colOff>
      <xdr:row>40</xdr:row>
      <xdr:rowOff>96836</xdr:rowOff>
    </xdr:to>
    <xdr:sp macro="" textlink="">
      <xdr:nvSpPr>
        <xdr:cNvPr id="6154" name="Line 10">
          <a:extLst>
            <a:ext uri="{FF2B5EF4-FFF2-40B4-BE49-F238E27FC236}">
              <a16:creationId xmlns:a16="http://schemas.microsoft.com/office/drawing/2014/main" id="{00000000-0008-0000-0100-00000A180000}"/>
            </a:ext>
          </a:extLst>
        </xdr:cNvPr>
        <xdr:cNvSpPr>
          <a:spLocks noChangeShapeType="1"/>
        </xdr:cNvSpPr>
      </xdr:nvSpPr>
      <xdr:spPr bwMode="auto">
        <a:xfrm flipV="1">
          <a:off x="6318250" y="10406062"/>
          <a:ext cx="785813" cy="636587"/>
        </a:xfrm>
        <a:prstGeom prst="line">
          <a:avLst/>
        </a:prstGeom>
        <a:noFill/>
        <a:ln w="9525">
          <a:solidFill>
            <a:srgbClr val="000000"/>
          </a:solidFill>
          <a:round/>
          <a:headEnd/>
          <a:tailEnd type="triangle" w="med" len="med"/>
        </a:ln>
      </xdr:spPr>
    </xdr:sp>
    <xdr:clientData/>
  </xdr:twoCellAnchor>
  <xdr:twoCellAnchor>
    <xdr:from>
      <xdr:col>4</xdr:col>
      <xdr:colOff>576260</xdr:colOff>
      <xdr:row>38</xdr:row>
      <xdr:rowOff>17462</xdr:rowOff>
    </xdr:from>
    <xdr:to>
      <xdr:col>4</xdr:col>
      <xdr:colOff>1111249</xdr:colOff>
      <xdr:row>40</xdr:row>
      <xdr:rowOff>79375</xdr:rowOff>
    </xdr:to>
    <xdr:sp macro="" textlink="">
      <xdr:nvSpPr>
        <xdr:cNvPr id="6155" name="Line 11">
          <a:extLst>
            <a:ext uri="{FF2B5EF4-FFF2-40B4-BE49-F238E27FC236}">
              <a16:creationId xmlns:a16="http://schemas.microsoft.com/office/drawing/2014/main" id="{00000000-0008-0000-0100-00000B180000}"/>
            </a:ext>
          </a:extLst>
        </xdr:cNvPr>
        <xdr:cNvSpPr>
          <a:spLocks noChangeShapeType="1"/>
        </xdr:cNvSpPr>
      </xdr:nvSpPr>
      <xdr:spPr bwMode="auto">
        <a:xfrm flipH="1" flipV="1">
          <a:off x="4997448" y="10566400"/>
          <a:ext cx="534989" cy="458788"/>
        </a:xfrm>
        <a:prstGeom prst="line">
          <a:avLst/>
        </a:prstGeom>
        <a:noFill/>
        <a:ln w="9525">
          <a:solidFill>
            <a:srgbClr val="000000"/>
          </a:solidFill>
          <a:round/>
          <a:headEnd/>
          <a:tailEnd type="triangle" w="med" len="med"/>
        </a:ln>
      </xdr:spPr>
    </xdr:sp>
    <xdr:clientData/>
  </xdr:twoCellAnchor>
  <xdr:twoCellAnchor>
    <xdr:from>
      <xdr:col>2</xdr:col>
      <xdr:colOff>809625</xdr:colOff>
      <xdr:row>30</xdr:row>
      <xdr:rowOff>166686</xdr:rowOff>
    </xdr:from>
    <xdr:to>
      <xdr:col>2</xdr:col>
      <xdr:colOff>1254125</xdr:colOff>
      <xdr:row>32</xdr:row>
      <xdr:rowOff>190498</xdr:rowOff>
    </xdr:to>
    <xdr:sp macro="" textlink="">
      <xdr:nvSpPr>
        <xdr:cNvPr id="6156" name="Line 12">
          <a:extLst>
            <a:ext uri="{FF2B5EF4-FFF2-40B4-BE49-F238E27FC236}">
              <a16:creationId xmlns:a16="http://schemas.microsoft.com/office/drawing/2014/main" id="{00000000-0008-0000-0100-00000C180000}"/>
            </a:ext>
          </a:extLst>
        </xdr:cNvPr>
        <xdr:cNvSpPr>
          <a:spLocks noChangeShapeType="1"/>
        </xdr:cNvSpPr>
      </xdr:nvSpPr>
      <xdr:spPr bwMode="auto">
        <a:xfrm flipH="1">
          <a:off x="2833688" y="9128124"/>
          <a:ext cx="444500" cy="420687"/>
        </a:xfrm>
        <a:prstGeom prst="line">
          <a:avLst/>
        </a:prstGeom>
        <a:noFill/>
        <a:ln w="9525">
          <a:solidFill>
            <a:srgbClr val="000000"/>
          </a:solidFill>
          <a:round/>
          <a:headEnd/>
          <a:tailEnd type="triangle" w="med" len="med"/>
        </a:ln>
      </xdr:spPr>
    </xdr:sp>
    <xdr:clientData/>
  </xdr:twoCellAnchor>
  <xdr:twoCellAnchor>
    <xdr:from>
      <xdr:col>2</xdr:col>
      <xdr:colOff>611187</xdr:colOff>
      <xdr:row>114</xdr:row>
      <xdr:rowOff>23813</xdr:rowOff>
    </xdr:from>
    <xdr:to>
      <xdr:col>2</xdr:col>
      <xdr:colOff>1047750</xdr:colOff>
      <xdr:row>116</xdr:row>
      <xdr:rowOff>133350</xdr:rowOff>
    </xdr:to>
    <xdr:sp macro="" textlink="">
      <xdr:nvSpPr>
        <xdr:cNvPr id="17" name="Line 5">
          <a:extLst>
            <a:ext uri="{FF2B5EF4-FFF2-40B4-BE49-F238E27FC236}">
              <a16:creationId xmlns:a16="http://schemas.microsoft.com/office/drawing/2014/main" id="{00000000-0008-0000-0100-000011000000}"/>
            </a:ext>
          </a:extLst>
        </xdr:cNvPr>
        <xdr:cNvSpPr>
          <a:spLocks noChangeShapeType="1"/>
        </xdr:cNvSpPr>
      </xdr:nvSpPr>
      <xdr:spPr bwMode="auto">
        <a:xfrm>
          <a:off x="2635250" y="11168063"/>
          <a:ext cx="436563" cy="506412"/>
        </a:xfrm>
        <a:prstGeom prst="line">
          <a:avLst/>
        </a:prstGeom>
        <a:noFill/>
        <a:ln w="9525">
          <a:solidFill>
            <a:srgbClr val="000000"/>
          </a:solidFill>
          <a:round/>
          <a:headEnd/>
          <a:tailEnd type="triangle" w="med" len="med"/>
        </a:ln>
      </xdr:spPr>
      <xdr:txBody>
        <a:bodyPr/>
        <a:lstStyle/>
        <a:p>
          <a:endParaRPr lang="de-DE"/>
        </a:p>
      </xdr:txBody>
    </xdr:sp>
    <xdr:clientData/>
  </xdr:twoCellAnchor>
  <xdr:twoCellAnchor>
    <xdr:from>
      <xdr:col>2</xdr:col>
      <xdr:colOff>160338</xdr:colOff>
      <xdr:row>112</xdr:row>
      <xdr:rowOff>66676</xdr:rowOff>
    </xdr:from>
    <xdr:to>
      <xdr:col>2</xdr:col>
      <xdr:colOff>969963</xdr:colOff>
      <xdr:row>113</xdr:row>
      <xdr:rowOff>142875</xdr:rowOff>
    </xdr:to>
    <xdr:sp macro="" textlink="">
      <xdr:nvSpPr>
        <xdr:cNvPr id="18" name="Text Box 7">
          <a:extLst>
            <a:ext uri="{FF2B5EF4-FFF2-40B4-BE49-F238E27FC236}">
              <a16:creationId xmlns:a16="http://schemas.microsoft.com/office/drawing/2014/main" id="{00000000-0008-0000-0100-000012000000}"/>
            </a:ext>
          </a:extLst>
        </xdr:cNvPr>
        <xdr:cNvSpPr txBox="1">
          <a:spLocks noChangeArrowheads="1"/>
        </xdr:cNvSpPr>
      </xdr:nvSpPr>
      <xdr:spPr bwMode="auto">
        <a:xfrm>
          <a:off x="2184401" y="10814051"/>
          <a:ext cx="809625" cy="274637"/>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101</xdr:row>
      <xdr:rowOff>80963</xdr:rowOff>
    </xdr:from>
    <xdr:to>
      <xdr:col>3</xdr:col>
      <xdr:colOff>757238</xdr:colOff>
      <xdr:row>102</xdr:row>
      <xdr:rowOff>128587</xdr:rowOff>
    </xdr:to>
    <xdr:sp macro="" textlink="">
      <xdr:nvSpPr>
        <xdr:cNvPr id="19" name="Text Box 8">
          <a:extLst>
            <a:ext uri="{FF2B5EF4-FFF2-40B4-BE49-F238E27FC236}">
              <a16:creationId xmlns:a16="http://schemas.microsoft.com/office/drawing/2014/main" id="{00000000-0008-0000-0100-000013000000}"/>
            </a:ext>
          </a:extLst>
        </xdr:cNvPr>
        <xdr:cNvSpPr txBox="1">
          <a:spLocks noChangeArrowheads="1"/>
        </xdr:cNvSpPr>
      </xdr:nvSpPr>
      <xdr:spPr bwMode="auto">
        <a:xfrm>
          <a:off x="2617788" y="8645526"/>
          <a:ext cx="1758950" cy="246061"/>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112</xdr:row>
      <xdr:rowOff>107950</xdr:rowOff>
    </xdr:from>
    <xdr:to>
      <xdr:col>7</xdr:col>
      <xdr:colOff>271462</xdr:colOff>
      <xdr:row>113</xdr:row>
      <xdr:rowOff>158750</xdr:rowOff>
    </xdr:to>
    <xdr:sp macro="" textlink="">
      <xdr:nvSpPr>
        <xdr:cNvPr id="20" name="Text Box 9">
          <a:extLst>
            <a:ext uri="{FF2B5EF4-FFF2-40B4-BE49-F238E27FC236}">
              <a16:creationId xmlns:a16="http://schemas.microsoft.com/office/drawing/2014/main" id="{00000000-0008-0000-0100-000014000000}"/>
            </a:ext>
          </a:extLst>
        </xdr:cNvPr>
        <xdr:cNvSpPr txBox="1">
          <a:spLocks noChangeArrowheads="1"/>
        </xdr:cNvSpPr>
      </xdr:nvSpPr>
      <xdr:spPr bwMode="auto">
        <a:xfrm>
          <a:off x="4699000" y="10855325"/>
          <a:ext cx="2771775" cy="249238"/>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109</xdr:row>
      <xdr:rowOff>55562</xdr:rowOff>
    </xdr:from>
    <xdr:to>
      <xdr:col>6</xdr:col>
      <xdr:colOff>706438</xdr:colOff>
      <xdr:row>112</xdr:row>
      <xdr:rowOff>96836</xdr:rowOff>
    </xdr:to>
    <xdr:sp macro="" textlink="">
      <xdr:nvSpPr>
        <xdr:cNvPr id="22" name="Line 10">
          <a:extLst>
            <a:ext uri="{FF2B5EF4-FFF2-40B4-BE49-F238E27FC236}">
              <a16:creationId xmlns:a16="http://schemas.microsoft.com/office/drawing/2014/main" id="{00000000-0008-0000-0100-000016000000}"/>
            </a:ext>
          </a:extLst>
        </xdr:cNvPr>
        <xdr:cNvSpPr>
          <a:spLocks noChangeShapeType="1"/>
        </xdr:cNvSpPr>
      </xdr:nvSpPr>
      <xdr:spPr bwMode="auto">
        <a:xfrm flipV="1">
          <a:off x="6318250" y="10207625"/>
          <a:ext cx="785813" cy="636586"/>
        </a:xfrm>
        <a:prstGeom prst="line">
          <a:avLst/>
        </a:prstGeom>
        <a:noFill/>
        <a:ln w="9525">
          <a:solidFill>
            <a:srgbClr val="000000"/>
          </a:solidFill>
          <a:round/>
          <a:headEnd/>
          <a:tailEnd type="triangle" w="med" len="med"/>
        </a:ln>
      </xdr:spPr>
    </xdr:sp>
    <xdr:clientData/>
  </xdr:twoCellAnchor>
  <xdr:twoCellAnchor>
    <xdr:from>
      <xdr:col>4</xdr:col>
      <xdr:colOff>576260</xdr:colOff>
      <xdr:row>110</xdr:row>
      <xdr:rowOff>17462</xdr:rowOff>
    </xdr:from>
    <xdr:to>
      <xdr:col>4</xdr:col>
      <xdr:colOff>1111249</xdr:colOff>
      <xdr:row>112</xdr:row>
      <xdr:rowOff>79375</xdr:rowOff>
    </xdr:to>
    <xdr:sp macro="" textlink="">
      <xdr:nvSpPr>
        <xdr:cNvPr id="27" name="Line 11">
          <a:extLst>
            <a:ext uri="{FF2B5EF4-FFF2-40B4-BE49-F238E27FC236}">
              <a16:creationId xmlns:a16="http://schemas.microsoft.com/office/drawing/2014/main" id="{00000000-0008-0000-0100-00001B000000}"/>
            </a:ext>
          </a:extLst>
        </xdr:cNvPr>
        <xdr:cNvSpPr>
          <a:spLocks noChangeShapeType="1"/>
        </xdr:cNvSpPr>
      </xdr:nvSpPr>
      <xdr:spPr bwMode="auto">
        <a:xfrm flipH="1" flipV="1">
          <a:off x="4997448" y="10367962"/>
          <a:ext cx="534989" cy="458788"/>
        </a:xfrm>
        <a:prstGeom prst="line">
          <a:avLst/>
        </a:prstGeom>
        <a:noFill/>
        <a:ln w="9525">
          <a:solidFill>
            <a:srgbClr val="000000"/>
          </a:solidFill>
          <a:round/>
          <a:headEnd/>
          <a:tailEnd type="triangle" w="med" len="med"/>
        </a:ln>
      </xdr:spPr>
    </xdr:sp>
    <xdr:clientData/>
  </xdr:twoCellAnchor>
  <xdr:twoCellAnchor>
    <xdr:from>
      <xdr:col>2</xdr:col>
      <xdr:colOff>809625</xdr:colOff>
      <xdr:row>102</xdr:row>
      <xdr:rowOff>166686</xdr:rowOff>
    </xdr:from>
    <xdr:to>
      <xdr:col>2</xdr:col>
      <xdr:colOff>1254125</xdr:colOff>
      <xdr:row>104</xdr:row>
      <xdr:rowOff>190498</xdr:rowOff>
    </xdr:to>
    <xdr:sp macro="" textlink="">
      <xdr:nvSpPr>
        <xdr:cNvPr id="28" name="Line 12">
          <a:extLst>
            <a:ext uri="{FF2B5EF4-FFF2-40B4-BE49-F238E27FC236}">
              <a16:creationId xmlns:a16="http://schemas.microsoft.com/office/drawing/2014/main" id="{00000000-0008-0000-0100-00001C000000}"/>
            </a:ext>
          </a:extLst>
        </xdr:cNvPr>
        <xdr:cNvSpPr>
          <a:spLocks noChangeShapeType="1"/>
        </xdr:cNvSpPr>
      </xdr:nvSpPr>
      <xdr:spPr bwMode="auto">
        <a:xfrm flipH="1">
          <a:off x="2833688" y="8929686"/>
          <a:ext cx="444500" cy="420687"/>
        </a:xfrm>
        <a:prstGeom prst="line">
          <a:avLst/>
        </a:prstGeom>
        <a:noFill/>
        <a:ln w="9525">
          <a:solidFill>
            <a:srgbClr val="000000"/>
          </a:solidFill>
          <a:round/>
          <a:headEnd/>
          <a:tailEnd type="triangle" w="med" len="med"/>
        </a:ln>
      </xdr:spPr>
    </xdr:sp>
    <xdr:clientData/>
  </xdr:twoCellAnchor>
  <xdr:twoCellAnchor editAs="oneCell">
    <xdr:from>
      <xdr:col>1</xdr:col>
      <xdr:colOff>823024</xdr:colOff>
      <xdr:row>51</xdr:row>
      <xdr:rowOff>31751</xdr:rowOff>
    </xdr:from>
    <xdr:to>
      <xdr:col>7</xdr:col>
      <xdr:colOff>60840</xdr:colOff>
      <xdr:row>59</xdr:row>
      <xdr:rowOff>71438</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624712" y="13176251"/>
          <a:ext cx="5635441" cy="1627187"/>
        </a:xfrm>
        <a:prstGeom prst="rect">
          <a:avLst/>
        </a:prstGeom>
      </xdr:spPr>
    </xdr:pic>
    <xdr:clientData/>
  </xdr:twoCellAnchor>
  <xdr:twoCellAnchor editAs="oneCell">
    <xdr:from>
      <xdr:col>2</xdr:col>
      <xdr:colOff>643453</xdr:colOff>
      <xdr:row>65</xdr:row>
      <xdr:rowOff>190501</xdr:rowOff>
    </xdr:from>
    <xdr:to>
      <xdr:col>5</xdr:col>
      <xdr:colOff>621410</xdr:colOff>
      <xdr:row>71</xdr:row>
      <xdr:rowOff>155635</xdr:rowOff>
    </xdr:to>
    <xdr:pic>
      <xdr:nvPicPr>
        <xdr:cNvPr id="3" name="Grafik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667516" y="16113126"/>
          <a:ext cx="3549832" cy="1155759"/>
        </a:xfrm>
        <a:prstGeom prst="rect">
          <a:avLst/>
        </a:prstGeom>
      </xdr:spPr>
    </xdr:pic>
    <xdr:clientData/>
  </xdr:twoCellAnchor>
  <xdr:twoCellAnchor editAs="oneCell">
    <xdr:from>
      <xdr:col>2</xdr:col>
      <xdr:colOff>659329</xdr:colOff>
      <xdr:row>73</xdr:row>
      <xdr:rowOff>150813</xdr:rowOff>
    </xdr:from>
    <xdr:to>
      <xdr:col>5</xdr:col>
      <xdr:colOff>605535</xdr:colOff>
      <xdr:row>79</xdr:row>
      <xdr:rowOff>128648</xdr:rowOff>
    </xdr:to>
    <xdr:pic>
      <xdr:nvPicPr>
        <xdr:cNvPr id="4" name="Grafik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2683392" y="17660938"/>
          <a:ext cx="3518081" cy="1168460"/>
        </a:xfrm>
        <a:prstGeom prst="rect">
          <a:avLst/>
        </a:prstGeom>
      </xdr:spPr>
    </xdr:pic>
    <xdr:clientData/>
  </xdr:twoCellAnchor>
  <xdr:twoCellAnchor editAs="oneCell">
    <xdr:from>
      <xdr:col>1</xdr:col>
      <xdr:colOff>936625</xdr:colOff>
      <xdr:row>86</xdr:row>
      <xdr:rowOff>7936</xdr:rowOff>
    </xdr:from>
    <xdr:to>
      <xdr:col>6</xdr:col>
      <xdr:colOff>748927</xdr:colOff>
      <xdr:row>95</xdr:row>
      <xdr:rowOff>55562</xdr:rowOff>
    </xdr:to>
    <xdr:pic>
      <xdr:nvPicPr>
        <xdr:cNvPr id="5" name="Grafik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738313" y="20923249"/>
          <a:ext cx="5408239" cy="18335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611187</xdr:colOff>
      <xdr:row>20</xdr:row>
      <xdr:rowOff>23813</xdr:rowOff>
    </xdr:from>
    <xdr:to>
      <xdr:col>2</xdr:col>
      <xdr:colOff>1047750</xdr:colOff>
      <xdr:row>22</xdr:row>
      <xdr:rowOff>133350</xdr:rowOff>
    </xdr:to>
    <xdr:sp macro="" textlink="">
      <xdr:nvSpPr>
        <xdr:cNvPr id="9" name="Line 5">
          <a:extLst>
            <a:ext uri="{FF2B5EF4-FFF2-40B4-BE49-F238E27FC236}">
              <a16:creationId xmlns:a16="http://schemas.microsoft.com/office/drawing/2014/main" id="{00000000-0008-0000-0200-000009000000}"/>
            </a:ext>
          </a:extLst>
        </xdr:cNvPr>
        <xdr:cNvSpPr>
          <a:spLocks noChangeShapeType="1"/>
        </xdr:cNvSpPr>
      </xdr:nvSpPr>
      <xdr:spPr bwMode="auto">
        <a:xfrm>
          <a:off x="2636837" y="11117263"/>
          <a:ext cx="436563" cy="503237"/>
        </a:xfrm>
        <a:prstGeom prst="line">
          <a:avLst/>
        </a:prstGeom>
        <a:noFill/>
        <a:ln w="9525">
          <a:solidFill>
            <a:srgbClr val="000000"/>
          </a:solidFill>
          <a:round/>
          <a:headEnd/>
          <a:tailEnd type="triangle" w="med" len="med"/>
        </a:ln>
      </xdr:spPr>
    </xdr:sp>
    <xdr:clientData/>
  </xdr:twoCellAnchor>
  <xdr:twoCellAnchor>
    <xdr:from>
      <xdr:col>2</xdr:col>
      <xdr:colOff>160338</xdr:colOff>
      <xdr:row>18</xdr:row>
      <xdr:rowOff>66676</xdr:rowOff>
    </xdr:from>
    <xdr:to>
      <xdr:col>2</xdr:col>
      <xdr:colOff>969963</xdr:colOff>
      <xdr:row>19</xdr:row>
      <xdr:rowOff>142875</xdr:rowOff>
    </xdr:to>
    <xdr:sp macro="" textlink="">
      <xdr:nvSpPr>
        <xdr:cNvPr id="10" name="Text Box 7">
          <a:extLst>
            <a:ext uri="{FF2B5EF4-FFF2-40B4-BE49-F238E27FC236}">
              <a16:creationId xmlns:a16="http://schemas.microsoft.com/office/drawing/2014/main" id="{00000000-0008-0000-0200-00000A000000}"/>
            </a:ext>
          </a:extLst>
        </xdr:cNvPr>
        <xdr:cNvSpPr txBox="1">
          <a:spLocks noChangeArrowheads="1"/>
        </xdr:cNvSpPr>
      </xdr:nvSpPr>
      <xdr:spPr bwMode="auto">
        <a:xfrm>
          <a:off x="2185988" y="10766426"/>
          <a:ext cx="809625" cy="273049"/>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7</xdr:row>
      <xdr:rowOff>80963</xdr:rowOff>
    </xdr:from>
    <xdr:to>
      <xdr:col>3</xdr:col>
      <xdr:colOff>757238</xdr:colOff>
      <xdr:row>8</xdr:row>
      <xdr:rowOff>128587</xdr:rowOff>
    </xdr:to>
    <xdr:sp macro="" textlink="">
      <xdr:nvSpPr>
        <xdr:cNvPr id="11" name="Text Box 8">
          <a:extLst>
            <a:ext uri="{FF2B5EF4-FFF2-40B4-BE49-F238E27FC236}">
              <a16:creationId xmlns:a16="http://schemas.microsoft.com/office/drawing/2014/main" id="{00000000-0008-0000-0200-00000B000000}"/>
            </a:ext>
          </a:extLst>
        </xdr:cNvPr>
        <xdr:cNvSpPr txBox="1">
          <a:spLocks noChangeArrowheads="1"/>
        </xdr:cNvSpPr>
      </xdr:nvSpPr>
      <xdr:spPr bwMode="auto">
        <a:xfrm>
          <a:off x="2619375" y="8615363"/>
          <a:ext cx="1757363" cy="244474"/>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18</xdr:row>
      <xdr:rowOff>107950</xdr:rowOff>
    </xdr:from>
    <xdr:to>
      <xdr:col>7</xdr:col>
      <xdr:colOff>271462</xdr:colOff>
      <xdr:row>19</xdr:row>
      <xdr:rowOff>158750</xdr:rowOff>
    </xdr:to>
    <xdr:sp macro="" textlink="">
      <xdr:nvSpPr>
        <xdr:cNvPr id="12" name="Text Box 9">
          <a:extLst>
            <a:ext uri="{FF2B5EF4-FFF2-40B4-BE49-F238E27FC236}">
              <a16:creationId xmlns:a16="http://schemas.microsoft.com/office/drawing/2014/main" id="{00000000-0008-0000-0200-00000C000000}"/>
            </a:ext>
          </a:extLst>
        </xdr:cNvPr>
        <xdr:cNvSpPr txBox="1">
          <a:spLocks noChangeArrowheads="1"/>
        </xdr:cNvSpPr>
      </xdr:nvSpPr>
      <xdr:spPr bwMode="auto">
        <a:xfrm>
          <a:off x="4697412" y="10807700"/>
          <a:ext cx="2768600" cy="247650"/>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15</xdr:row>
      <xdr:rowOff>55562</xdr:rowOff>
    </xdr:from>
    <xdr:to>
      <xdr:col>6</xdr:col>
      <xdr:colOff>706438</xdr:colOff>
      <xdr:row>18</xdr:row>
      <xdr:rowOff>96836</xdr:rowOff>
    </xdr:to>
    <xdr:sp macro="" textlink="">
      <xdr:nvSpPr>
        <xdr:cNvPr id="13" name="Line 10">
          <a:extLst>
            <a:ext uri="{FF2B5EF4-FFF2-40B4-BE49-F238E27FC236}">
              <a16:creationId xmlns:a16="http://schemas.microsoft.com/office/drawing/2014/main" id="{00000000-0008-0000-0200-00000D000000}"/>
            </a:ext>
          </a:extLst>
        </xdr:cNvPr>
        <xdr:cNvSpPr>
          <a:spLocks noChangeShapeType="1"/>
        </xdr:cNvSpPr>
      </xdr:nvSpPr>
      <xdr:spPr bwMode="auto">
        <a:xfrm flipV="1">
          <a:off x="6316662" y="10164762"/>
          <a:ext cx="784226" cy="631824"/>
        </a:xfrm>
        <a:prstGeom prst="line">
          <a:avLst/>
        </a:prstGeom>
        <a:noFill/>
        <a:ln w="9525">
          <a:solidFill>
            <a:srgbClr val="000000"/>
          </a:solidFill>
          <a:round/>
          <a:headEnd/>
          <a:tailEnd type="triangle" w="med" len="med"/>
        </a:ln>
      </xdr:spPr>
    </xdr:sp>
    <xdr:clientData/>
  </xdr:twoCellAnchor>
  <xdr:twoCellAnchor>
    <xdr:from>
      <xdr:col>4</xdr:col>
      <xdr:colOff>576260</xdr:colOff>
      <xdr:row>16</xdr:row>
      <xdr:rowOff>17462</xdr:rowOff>
    </xdr:from>
    <xdr:to>
      <xdr:col>4</xdr:col>
      <xdr:colOff>1111249</xdr:colOff>
      <xdr:row>18</xdr:row>
      <xdr:rowOff>79375</xdr:rowOff>
    </xdr:to>
    <xdr:sp macro="" textlink="">
      <xdr:nvSpPr>
        <xdr:cNvPr id="14" name="Line 11">
          <a:extLst>
            <a:ext uri="{FF2B5EF4-FFF2-40B4-BE49-F238E27FC236}">
              <a16:creationId xmlns:a16="http://schemas.microsoft.com/office/drawing/2014/main" id="{00000000-0008-0000-0200-00000E000000}"/>
            </a:ext>
          </a:extLst>
        </xdr:cNvPr>
        <xdr:cNvSpPr>
          <a:spLocks noChangeShapeType="1"/>
        </xdr:cNvSpPr>
      </xdr:nvSpPr>
      <xdr:spPr bwMode="auto">
        <a:xfrm flipH="1" flipV="1">
          <a:off x="4995860" y="10323512"/>
          <a:ext cx="534989" cy="455613"/>
        </a:xfrm>
        <a:prstGeom prst="line">
          <a:avLst/>
        </a:prstGeom>
        <a:noFill/>
        <a:ln w="9525">
          <a:solidFill>
            <a:srgbClr val="000000"/>
          </a:solidFill>
          <a:round/>
          <a:headEnd/>
          <a:tailEnd type="triangle" w="med" len="med"/>
        </a:ln>
      </xdr:spPr>
    </xdr:sp>
    <xdr:clientData/>
  </xdr:twoCellAnchor>
  <xdr:twoCellAnchor>
    <xdr:from>
      <xdr:col>2</xdr:col>
      <xdr:colOff>809625</xdr:colOff>
      <xdr:row>8</xdr:row>
      <xdr:rowOff>166686</xdr:rowOff>
    </xdr:from>
    <xdr:to>
      <xdr:col>2</xdr:col>
      <xdr:colOff>1254125</xdr:colOff>
      <xdr:row>10</xdr:row>
      <xdr:rowOff>190498</xdr:rowOff>
    </xdr:to>
    <xdr:sp macro="" textlink="">
      <xdr:nvSpPr>
        <xdr:cNvPr id="15" name="Line 12">
          <a:extLst>
            <a:ext uri="{FF2B5EF4-FFF2-40B4-BE49-F238E27FC236}">
              <a16:creationId xmlns:a16="http://schemas.microsoft.com/office/drawing/2014/main" id="{00000000-0008-0000-0200-00000F000000}"/>
            </a:ext>
          </a:extLst>
        </xdr:cNvPr>
        <xdr:cNvSpPr>
          <a:spLocks noChangeShapeType="1"/>
        </xdr:cNvSpPr>
      </xdr:nvSpPr>
      <xdr:spPr bwMode="auto">
        <a:xfrm flipH="1">
          <a:off x="2835275" y="8897936"/>
          <a:ext cx="444500" cy="417512"/>
        </a:xfrm>
        <a:prstGeom prst="line">
          <a:avLst/>
        </a:prstGeom>
        <a:noFill/>
        <a:ln w="9525">
          <a:solidFill>
            <a:srgbClr val="000000"/>
          </a:solidFill>
          <a:round/>
          <a:headEnd/>
          <a:tailEnd type="triangle" w="med" len="me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800100</xdr:colOff>
      <xdr:row>21</xdr:row>
      <xdr:rowOff>0</xdr:rowOff>
    </xdr:from>
    <xdr:to>
      <xdr:col>7</xdr:col>
      <xdr:colOff>276225</xdr:colOff>
      <xdr:row>23</xdr:row>
      <xdr:rowOff>19050</xdr:rowOff>
    </xdr:to>
    <xdr:sp macro="" textlink="">
      <xdr:nvSpPr>
        <xdr:cNvPr id="5121" name="Text Box 1">
          <a:extLst>
            <a:ext uri="{FF2B5EF4-FFF2-40B4-BE49-F238E27FC236}">
              <a16:creationId xmlns:a16="http://schemas.microsoft.com/office/drawing/2014/main" id="{00000000-0008-0000-0300-000001140000}"/>
            </a:ext>
          </a:extLst>
        </xdr:cNvPr>
        <xdr:cNvSpPr txBox="1">
          <a:spLocks noChangeArrowheads="1"/>
        </xdr:cNvSpPr>
      </xdr:nvSpPr>
      <xdr:spPr bwMode="auto">
        <a:xfrm>
          <a:off x="5591175" y="3971925"/>
          <a:ext cx="146685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Variable Zellen</a:t>
          </a:r>
        </a:p>
        <a:p>
          <a:pPr algn="l" rtl="0">
            <a:defRPr sz="1000"/>
          </a:pPr>
          <a:r>
            <a:rPr lang="de-DE" sz="1000" b="0" i="0" u="none" strike="noStrike" baseline="0">
              <a:solidFill>
                <a:srgbClr val="000000"/>
              </a:solidFill>
              <a:latin typeface="Arial"/>
              <a:cs typeface="Arial"/>
            </a:rPr>
            <a:t>(Entscheidungsvariablen)</a:t>
          </a:r>
        </a:p>
      </xdr:txBody>
    </xdr:sp>
    <xdr:clientData/>
  </xdr:twoCellAnchor>
  <xdr:twoCellAnchor>
    <xdr:from>
      <xdr:col>5</xdr:col>
      <xdr:colOff>923925</xdr:colOff>
      <xdr:row>23</xdr:row>
      <xdr:rowOff>28575</xdr:rowOff>
    </xdr:from>
    <xdr:to>
      <xdr:col>6</xdr:col>
      <xdr:colOff>238125</xdr:colOff>
      <xdr:row>27</xdr:row>
      <xdr:rowOff>66675</xdr:rowOff>
    </xdr:to>
    <xdr:sp macro="" textlink="">
      <xdr:nvSpPr>
        <xdr:cNvPr id="4098" name="Line 4">
          <a:extLst>
            <a:ext uri="{FF2B5EF4-FFF2-40B4-BE49-F238E27FC236}">
              <a16:creationId xmlns:a16="http://schemas.microsoft.com/office/drawing/2014/main" id="{00000000-0008-0000-0300-000002100000}"/>
            </a:ext>
          </a:extLst>
        </xdr:cNvPr>
        <xdr:cNvSpPr>
          <a:spLocks noChangeShapeType="1"/>
        </xdr:cNvSpPr>
      </xdr:nvSpPr>
      <xdr:spPr bwMode="auto">
        <a:xfrm flipH="1">
          <a:off x="6305550" y="5495925"/>
          <a:ext cx="371475" cy="809625"/>
        </a:xfrm>
        <a:prstGeom prst="line">
          <a:avLst/>
        </a:prstGeom>
        <a:noFill/>
        <a:ln w="9525">
          <a:solidFill>
            <a:srgbClr val="000000"/>
          </a:solidFill>
          <a:round/>
          <a:headEnd/>
          <a:tailEnd type="triangle" w="med" len="med"/>
        </a:ln>
      </xdr:spPr>
    </xdr:sp>
    <xdr:clientData/>
  </xdr:twoCellAnchor>
  <xdr:twoCellAnchor>
    <xdr:from>
      <xdr:col>6</xdr:col>
      <xdr:colOff>131763</xdr:colOff>
      <xdr:row>32</xdr:row>
      <xdr:rowOff>47625</xdr:rowOff>
    </xdr:from>
    <xdr:to>
      <xdr:col>6</xdr:col>
      <xdr:colOff>798513</xdr:colOff>
      <xdr:row>33</xdr:row>
      <xdr:rowOff>150813</xdr:rowOff>
    </xdr:to>
    <xdr:sp macro="" textlink="">
      <xdr:nvSpPr>
        <xdr:cNvPr id="5125" name="Text Box 5">
          <a:extLst>
            <a:ext uri="{FF2B5EF4-FFF2-40B4-BE49-F238E27FC236}">
              <a16:creationId xmlns:a16="http://schemas.microsoft.com/office/drawing/2014/main" id="{00000000-0008-0000-0300-000005140000}"/>
            </a:ext>
          </a:extLst>
        </xdr:cNvPr>
        <xdr:cNvSpPr txBox="1">
          <a:spLocks noChangeArrowheads="1"/>
        </xdr:cNvSpPr>
      </xdr:nvSpPr>
      <xdr:spPr bwMode="auto">
        <a:xfrm>
          <a:off x="6259513" y="8104188"/>
          <a:ext cx="666750" cy="30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strike="noStrike">
              <a:solidFill>
                <a:srgbClr val="000000"/>
              </a:solidFill>
              <a:latin typeface="Arial"/>
              <a:cs typeface="Arial"/>
            </a:rPr>
            <a:t>Zielzelle</a:t>
          </a:r>
        </a:p>
      </xdr:txBody>
    </xdr:sp>
    <xdr:clientData/>
  </xdr:twoCellAnchor>
  <xdr:twoCellAnchor>
    <xdr:from>
      <xdr:col>6</xdr:col>
      <xdr:colOff>500063</xdr:colOff>
      <xdr:row>30</xdr:row>
      <xdr:rowOff>93662</xdr:rowOff>
    </xdr:from>
    <xdr:to>
      <xdr:col>6</xdr:col>
      <xdr:colOff>1062038</xdr:colOff>
      <xdr:row>32</xdr:row>
      <xdr:rowOff>39687</xdr:rowOff>
    </xdr:to>
    <xdr:sp macro="" textlink="">
      <xdr:nvSpPr>
        <xdr:cNvPr id="4100" name="Line 6">
          <a:extLst>
            <a:ext uri="{FF2B5EF4-FFF2-40B4-BE49-F238E27FC236}">
              <a16:creationId xmlns:a16="http://schemas.microsoft.com/office/drawing/2014/main" id="{00000000-0008-0000-0300-000004100000}"/>
            </a:ext>
          </a:extLst>
        </xdr:cNvPr>
        <xdr:cNvSpPr>
          <a:spLocks noChangeShapeType="1"/>
        </xdr:cNvSpPr>
      </xdr:nvSpPr>
      <xdr:spPr bwMode="auto">
        <a:xfrm flipV="1">
          <a:off x="6627813" y="7753350"/>
          <a:ext cx="561975" cy="342900"/>
        </a:xfrm>
        <a:prstGeom prst="line">
          <a:avLst/>
        </a:prstGeom>
        <a:noFill/>
        <a:ln w="9525">
          <a:solidFill>
            <a:srgbClr val="000000"/>
          </a:solidFill>
          <a:round/>
          <a:headEnd/>
          <a:tailEnd type="triangle" w="med" len="me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7939</xdr:colOff>
      <xdr:row>28</xdr:row>
      <xdr:rowOff>30163</xdr:rowOff>
    </xdr:from>
    <xdr:to>
      <xdr:col>9</xdr:col>
      <xdr:colOff>107951</xdr:colOff>
      <xdr:row>51</xdr:row>
      <xdr:rowOff>11113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642938</xdr:colOff>
      <xdr:row>6</xdr:row>
      <xdr:rowOff>47626</xdr:rowOff>
    </xdr:from>
    <xdr:to>
      <xdr:col>6</xdr:col>
      <xdr:colOff>413468</xdr:colOff>
      <xdr:row>9</xdr:row>
      <xdr:rowOff>127001</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881313" y="1293814"/>
          <a:ext cx="2645493" cy="650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255983</xdr:colOff>
      <xdr:row>40</xdr:row>
      <xdr:rowOff>57149</xdr:rowOff>
    </xdr:from>
    <xdr:to>
      <xdr:col>9</xdr:col>
      <xdr:colOff>577452</xdr:colOff>
      <xdr:row>54</xdr:row>
      <xdr:rowOff>133349</xdr:rowOff>
    </xdr:to>
    <xdr:graphicFrame macro="">
      <xdr:nvGraphicFramePr>
        <xdr:cNvPr id="2" name="Diagramm 1">
          <a:extLst>
            <a:ext uri="{FF2B5EF4-FFF2-40B4-BE49-F238E27FC236}">
              <a16:creationId xmlns:a16="http://schemas.microsoft.com/office/drawing/2014/main" id="{FC1E2366-C102-E285-9828-E5F3A93C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565547</xdr:colOff>
      <xdr:row>11</xdr:row>
      <xdr:rowOff>211931</xdr:rowOff>
    </xdr:from>
    <xdr:to>
      <xdr:col>16</xdr:col>
      <xdr:colOff>65484</xdr:colOff>
      <xdr:row>25</xdr:row>
      <xdr:rowOff>38100</xdr:rowOff>
    </xdr:to>
    <xdr:graphicFrame macro="">
      <xdr:nvGraphicFramePr>
        <xdr:cNvPr id="2" name="Diagramm 1">
          <a:extLst>
            <a:ext uri="{FF2B5EF4-FFF2-40B4-BE49-F238E27FC236}">
              <a16:creationId xmlns:a16="http://schemas.microsoft.com/office/drawing/2014/main" id="{EDD5FCDC-495A-6CA4-2EC1-5D1CF163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500063</xdr:colOff>
      <xdr:row>26</xdr:row>
      <xdr:rowOff>57150</xdr:rowOff>
    </xdr:from>
    <xdr:to>
      <xdr:col>16</xdr:col>
      <xdr:colOff>0</xdr:colOff>
      <xdr:row>40</xdr:row>
      <xdr:rowOff>50006</xdr:rowOff>
    </xdr:to>
    <xdr:graphicFrame macro="">
      <xdr:nvGraphicFramePr>
        <xdr:cNvPr id="3" name="Diagramm 2">
          <a:extLst>
            <a:ext uri="{FF2B5EF4-FFF2-40B4-BE49-F238E27FC236}">
              <a16:creationId xmlns:a16="http://schemas.microsoft.com/office/drawing/2014/main" id="{CCF106AC-C1D3-D8D2-D6A7-8CC22BAB7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482203</xdr:colOff>
      <xdr:row>40</xdr:row>
      <xdr:rowOff>188118</xdr:rowOff>
    </xdr:from>
    <xdr:to>
      <xdr:col>15</xdr:col>
      <xdr:colOff>708422</xdr:colOff>
      <xdr:row>55</xdr:row>
      <xdr:rowOff>14287</xdr:rowOff>
    </xdr:to>
    <xdr:graphicFrame macro="">
      <xdr:nvGraphicFramePr>
        <xdr:cNvPr id="4" name="Diagramm 3">
          <a:extLst>
            <a:ext uri="{FF2B5EF4-FFF2-40B4-BE49-F238E27FC236}">
              <a16:creationId xmlns:a16="http://schemas.microsoft.com/office/drawing/2014/main" id="{E5915BEC-8D75-B3E6-E870-AC4586DEB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488157</xdr:colOff>
      <xdr:row>55</xdr:row>
      <xdr:rowOff>152400</xdr:rowOff>
    </xdr:from>
    <xdr:to>
      <xdr:col>15</xdr:col>
      <xdr:colOff>714376</xdr:colOff>
      <xdr:row>70</xdr:row>
      <xdr:rowOff>38100</xdr:rowOff>
    </xdr:to>
    <xdr:graphicFrame macro="">
      <xdr:nvGraphicFramePr>
        <xdr:cNvPr id="5" name="Diagramm 4">
          <a:extLst>
            <a:ext uri="{FF2B5EF4-FFF2-40B4-BE49-F238E27FC236}">
              <a16:creationId xmlns:a16="http://schemas.microsoft.com/office/drawing/2014/main" id="{A29BC1A4-F9AD-404F-9593-55462ADD7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10_&#220;aufgabe_11%20_und_13_Zusatzaufg_Regression_LS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ohne Solver"/>
      <sheetName val="Regression mit Solver"/>
      <sheetName val="Aufgabe 13"/>
      <sheetName val="Anscombe"/>
      <sheetName val="Diagramm 1"/>
      <sheetName val="Diagramm 2"/>
      <sheetName val="Diagramm 3"/>
      <sheetName val="Diagramm 4"/>
    </sheetNames>
    <sheetDataSet>
      <sheetData sheetId="0"/>
      <sheetData sheetId="1">
        <row r="2">
          <cell r="F2">
            <v>28630.767708431271</v>
          </cell>
        </row>
        <row r="3">
          <cell r="F3">
            <v>108.62345076879393</v>
          </cell>
        </row>
      </sheetData>
      <sheetData sheetId="2"/>
      <sheetData sheetId="3"/>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0FE16CB-1D0F-4C5D-9567-5F1EDFECB9E2}">
  <we:reference id="wa200009404" version="1.0.0.8" store="de-DE" storeType="OMEX"/>
  <we:alternateReferences>
    <we:reference id="WA200009404" version="1.0.0.8"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5925964-1DAD-4D7D-92EA-DFDDA3469392}">
  <we:reference id="wa200010215" version="1.0.0.0" store="de-DE"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zoomScale="80" zoomScaleNormal="80" workbookViewId="0">
      <selection activeCell="B1" sqref="B1"/>
    </sheetView>
  </sheetViews>
  <sheetFormatPr baseColWidth="10" defaultColWidth="11.5703125" defaultRowHeight="12.75" x14ac:dyDescent="0.2"/>
  <cols>
    <col min="1" max="1" width="11.5703125" style="34"/>
    <col min="2" max="2" width="5.5703125" style="34" customWidth="1"/>
    <col min="3" max="16384" width="11.5703125" style="34"/>
  </cols>
  <sheetData>
    <row r="2" spans="2:21" ht="18" x14ac:dyDescent="0.2">
      <c r="B2" s="31" t="s">
        <v>74</v>
      </c>
      <c r="C2" s="32"/>
      <c r="D2" s="32"/>
      <c r="E2" s="32"/>
      <c r="F2" s="32"/>
      <c r="G2" s="32"/>
      <c r="H2" s="32"/>
      <c r="I2" s="32"/>
      <c r="J2" s="33"/>
    </row>
    <row r="3" spans="2:21" ht="20.25" x14ac:dyDescent="0.2">
      <c r="B3" s="35"/>
      <c r="C3" s="36"/>
      <c r="D3" s="36"/>
      <c r="E3" s="36"/>
      <c r="F3" s="36"/>
      <c r="G3" s="36"/>
      <c r="H3" s="36"/>
      <c r="I3" s="36"/>
      <c r="J3" s="37"/>
      <c r="L3" s="253" t="s">
        <v>140</v>
      </c>
      <c r="M3" s="253"/>
      <c r="N3" s="253"/>
      <c r="O3" s="253"/>
      <c r="P3" s="253"/>
      <c r="Q3" s="253"/>
      <c r="R3" s="253"/>
      <c r="S3" s="253"/>
      <c r="T3" s="253"/>
      <c r="U3" s="253"/>
    </row>
    <row r="4" spans="2:21" ht="15.75" x14ac:dyDescent="0.2">
      <c r="B4" s="38" t="s">
        <v>80</v>
      </c>
      <c r="C4" s="39"/>
      <c r="D4" s="39"/>
      <c r="E4" s="39"/>
      <c r="F4" s="39"/>
      <c r="G4" s="39"/>
      <c r="H4" s="39"/>
      <c r="I4" s="36"/>
      <c r="J4" s="37"/>
      <c r="L4" s="253"/>
      <c r="M4" s="253"/>
      <c r="N4" s="253"/>
      <c r="O4" s="253"/>
      <c r="P4" s="253"/>
      <c r="Q4" s="253"/>
      <c r="R4" s="253"/>
      <c r="S4" s="253"/>
      <c r="T4" s="253"/>
      <c r="U4" s="253"/>
    </row>
    <row r="5" spans="2:21" ht="15.75" x14ac:dyDescent="0.25">
      <c r="B5" s="40"/>
      <c r="C5" s="39" t="s">
        <v>102</v>
      </c>
      <c r="D5" s="39"/>
      <c r="E5" s="39"/>
      <c r="F5" s="39"/>
      <c r="G5" s="39"/>
      <c r="H5" s="39"/>
      <c r="I5" s="36"/>
      <c r="J5" s="37"/>
      <c r="L5" s="253"/>
      <c r="M5" s="253"/>
      <c r="N5" s="253"/>
      <c r="O5" s="253"/>
      <c r="P5" s="253"/>
      <c r="Q5" s="253"/>
      <c r="R5" s="253"/>
      <c r="S5" s="253"/>
      <c r="T5" s="253"/>
      <c r="U5" s="253"/>
    </row>
    <row r="6" spans="2:21" ht="15.75" x14ac:dyDescent="0.2">
      <c r="B6" s="38"/>
      <c r="C6" s="39" t="s">
        <v>88</v>
      </c>
      <c r="D6" s="39"/>
      <c r="E6" s="39"/>
      <c r="F6" s="39"/>
      <c r="G6" s="39"/>
      <c r="H6" s="39"/>
      <c r="I6" s="36"/>
      <c r="J6" s="37"/>
      <c r="L6" s="253"/>
      <c r="M6" s="253"/>
      <c r="N6" s="253"/>
      <c r="O6" s="253"/>
      <c r="P6" s="253"/>
      <c r="Q6" s="253"/>
      <c r="R6" s="253"/>
      <c r="S6" s="253"/>
      <c r="T6" s="253"/>
      <c r="U6" s="253"/>
    </row>
    <row r="7" spans="2:21" ht="15.75" x14ac:dyDescent="0.25">
      <c r="B7" s="40"/>
      <c r="C7" s="39"/>
      <c r="D7" s="39"/>
      <c r="E7" s="39"/>
      <c r="F7" s="39"/>
      <c r="G7" s="39"/>
      <c r="H7" s="39"/>
      <c r="I7" s="36"/>
      <c r="J7" s="37"/>
      <c r="L7" s="253"/>
      <c r="M7" s="253"/>
      <c r="N7" s="253"/>
      <c r="O7" s="253"/>
      <c r="P7" s="253"/>
      <c r="Q7" s="253"/>
      <c r="R7" s="253"/>
      <c r="S7" s="253"/>
      <c r="T7" s="253"/>
      <c r="U7" s="253"/>
    </row>
    <row r="8" spans="2:21" ht="15.75" x14ac:dyDescent="0.25">
      <c r="B8" s="40" t="s">
        <v>104</v>
      </c>
      <c r="C8" s="39"/>
      <c r="D8" s="39"/>
      <c r="E8" s="39"/>
      <c r="F8" s="39"/>
      <c r="G8" s="39"/>
      <c r="H8" s="39"/>
      <c r="I8" s="36"/>
      <c r="J8" s="37"/>
      <c r="L8" s="253"/>
      <c r="M8" s="253"/>
      <c r="N8" s="253"/>
      <c r="O8" s="253"/>
      <c r="P8" s="253"/>
      <c r="Q8" s="253"/>
      <c r="R8" s="253"/>
      <c r="S8" s="253"/>
      <c r="T8" s="253"/>
      <c r="U8" s="253"/>
    </row>
    <row r="9" spans="2:21" ht="15.75" x14ac:dyDescent="0.25">
      <c r="B9" s="40"/>
      <c r="C9" s="39"/>
      <c r="D9" s="39"/>
      <c r="E9" s="39"/>
      <c r="F9" s="39"/>
      <c r="G9" s="39"/>
      <c r="H9" s="39"/>
      <c r="I9" s="36"/>
      <c r="J9" s="37"/>
      <c r="L9" s="253"/>
      <c r="M9" s="253"/>
      <c r="N9" s="253"/>
      <c r="O9" s="253"/>
      <c r="P9" s="253"/>
      <c r="Q9" s="253"/>
      <c r="R9" s="253"/>
      <c r="S9" s="253"/>
      <c r="T9" s="253"/>
      <c r="U9" s="253"/>
    </row>
    <row r="10" spans="2:21" ht="15.75" x14ac:dyDescent="0.25">
      <c r="B10" s="40"/>
      <c r="C10" s="39"/>
      <c r="D10" s="39"/>
      <c r="E10" s="39"/>
      <c r="F10" s="39"/>
      <c r="G10" s="39"/>
      <c r="H10" s="39"/>
      <c r="I10" s="36"/>
      <c r="J10" s="37"/>
      <c r="L10" s="253"/>
      <c r="M10" s="253"/>
      <c r="N10" s="253"/>
      <c r="O10" s="253"/>
      <c r="P10" s="253"/>
      <c r="Q10" s="253"/>
      <c r="R10" s="253"/>
      <c r="S10" s="253"/>
      <c r="T10" s="253"/>
      <c r="U10" s="253"/>
    </row>
    <row r="11" spans="2:21" ht="15.75" x14ac:dyDescent="0.25">
      <c r="B11" s="40"/>
      <c r="C11" s="39"/>
      <c r="D11" s="39"/>
      <c r="E11" s="39"/>
      <c r="F11" s="39"/>
      <c r="G11" s="39"/>
      <c r="H11" s="39"/>
      <c r="I11" s="36"/>
      <c r="J11" s="37"/>
      <c r="L11" s="253"/>
      <c r="M11" s="253"/>
      <c r="N11" s="253"/>
      <c r="O11" s="253"/>
      <c r="P11" s="253"/>
      <c r="Q11" s="253"/>
      <c r="R11" s="253"/>
      <c r="S11" s="253"/>
      <c r="T11" s="253"/>
      <c r="U11" s="253"/>
    </row>
    <row r="12" spans="2:21" ht="15.75" x14ac:dyDescent="0.25">
      <c r="B12" s="40"/>
      <c r="C12" s="39"/>
      <c r="D12" s="39"/>
      <c r="E12" s="39"/>
      <c r="F12" s="39"/>
      <c r="G12" s="39"/>
      <c r="H12" s="39"/>
      <c r="I12" s="36"/>
      <c r="J12" s="37"/>
      <c r="L12" s="253"/>
      <c r="M12" s="253"/>
      <c r="N12" s="253"/>
      <c r="O12" s="253"/>
      <c r="P12" s="253"/>
      <c r="Q12" s="253"/>
      <c r="R12" s="253"/>
      <c r="S12" s="253"/>
      <c r="T12" s="253"/>
      <c r="U12" s="253"/>
    </row>
    <row r="13" spans="2:21" ht="15.75" x14ac:dyDescent="0.25">
      <c r="B13" s="40"/>
      <c r="C13" s="39"/>
      <c r="D13" s="39"/>
      <c r="E13" s="39"/>
      <c r="F13" s="39"/>
      <c r="G13" s="39"/>
      <c r="H13" s="39"/>
      <c r="I13" s="36"/>
      <c r="J13" s="37"/>
      <c r="L13" s="253"/>
      <c r="M13" s="253"/>
      <c r="N13" s="253"/>
      <c r="O13" s="253"/>
      <c r="P13" s="253"/>
      <c r="Q13" s="253"/>
      <c r="R13" s="253"/>
      <c r="S13" s="253"/>
      <c r="T13" s="253"/>
      <c r="U13" s="253"/>
    </row>
    <row r="14" spans="2:21" ht="15.75" x14ac:dyDescent="0.25">
      <c r="B14" s="40"/>
      <c r="C14" s="39"/>
      <c r="D14" s="39"/>
      <c r="E14" s="39"/>
      <c r="F14" s="39"/>
      <c r="G14" s="39"/>
      <c r="H14" s="39"/>
      <c r="I14" s="36"/>
      <c r="J14" s="37"/>
      <c r="L14" s="253"/>
      <c r="M14" s="253"/>
      <c r="N14" s="253"/>
      <c r="O14" s="253"/>
      <c r="P14" s="253"/>
      <c r="Q14" s="253"/>
      <c r="R14" s="253"/>
      <c r="S14" s="253"/>
      <c r="T14" s="253"/>
      <c r="U14" s="253"/>
    </row>
    <row r="15" spans="2:21" ht="15.75" x14ac:dyDescent="0.25">
      <c r="B15" s="40"/>
      <c r="C15" s="39"/>
      <c r="D15" s="39"/>
      <c r="E15" s="39"/>
      <c r="F15" s="39"/>
      <c r="G15" s="39"/>
      <c r="H15" s="39"/>
      <c r="I15" s="36"/>
      <c r="J15" s="37"/>
      <c r="L15" s="253"/>
      <c r="M15" s="253"/>
      <c r="N15" s="253"/>
      <c r="O15" s="253"/>
      <c r="P15" s="253"/>
      <c r="Q15" s="253"/>
      <c r="R15" s="253"/>
      <c r="S15" s="253"/>
      <c r="T15" s="253"/>
      <c r="U15" s="253"/>
    </row>
    <row r="16" spans="2:21" x14ac:dyDescent="0.2">
      <c r="B16" s="87"/>
      <c r="C16" s="36"/>
      <c r="D16" s="36"/>
      <c r="E16" s="36"/>
      <c r="F16" s="36"/>
      <c r="G16" s="36"/>
      <c r="H16" s="36"/>
      <c r="I16" s="36"/>
      <c r="J16" s="37"/>
      <c r="L16" s="253"/>
      <c r="M16" s="253"/>
      <c r="N16" s="253"/>
      <c r="O16" s="253"/>
      <c r="P16" s="253"/>
      <c r="Q16" s="253"/>
      <c r="R16" s="253"/>
      <c r="S16" s="253"/>
      <c r="T16" s="253"/>
      <c r="U16" s="253"/>
    </row>
    <row r="17" spans="2:21" x14ac:dyDescent="0.2">
      <c r="B17" s="87"/>
      <c r="C17" s="36"/>
      <c r="D17" s="36"/>
      <c r="E17" s="36"/>
      <c r="F17" s="36"/>
      <c r="G17" s="36"/>
      <c r="H17" s="36"/>
      <c r="I17" s="36"/>
      <c r="J17" s="37"/>
      <c r="L17" s="253"/>
      <c r="M17" s="253"/>
      <c r="N17" s="253"/>
      <c r="O17" s="253"/>
      <c r="P17" s="253"/>
      <c r="Q17" s="253"/>
      <c r="R17" s="253"/>
      <c r="S17" s="253"/>
      <c r="T17" s="253"/>
      <c r="U17" s="253"/>
    </row>
    <row r="18" spans="2:21" ht="18" x14ac:dyDescent="0.2">
      <c r="B18" s="42" t="s">
        <v>75</v>
      </c>
      <c r="C18" s="43"/>
      <c r="D18" s="43"/>
      <c r="E18" s="43"/>
      <c r="F18" s="43"/>
      <c r="G18" s="43"/>
      <c r="H18" s="43"/>
      <c r="I18" s="43"/>
      <c r="J18" s="44"/>
      <c r="L18" s="253"/>
      <c r="M18" s="253"/>
      <c r="N18" s="253"/>
      <c r="O18" s="253"/>
      <c r="P18" s="253"/>
      <c r="Q18" s="253"/>
      <c r="R18" s="253"/>
      <c r="S18" s="253"/>
      <c r="T18" s="253"/>
      <c r="U18" s="253"/>
    </row>
    <row r="19" spans="2:21" ht="15.75" x14ac:dyDescent="0.2">
      <c r="B19" s="41"/>
      <c r="C19" s="45" t="s">
        <v>76</v>
      </c>
      <c r="D19" s="36"/>
      <c r="E19" s="36"/>
      <c r="F19" s="36"/>
      <c r="G19" s="36"/>
      <c r="H19" s="36"/>
      <c r="I19" s="36"/>
      <c r="J19" s="37"/>
    </row>
    <row r="20" spans="2:21" ht="15.75" x14ac:dyDescent="0.2">
      <c r="B20" s="41"/>
      <c r="C20" s="45" t="s">
        <v>80</v>
      </c>
      <c r="D20" s="36"/>
      <c r="E20" s="36"/>
      <c r="F20" s="36"/>
      <c r="G20" s="36"/>
      <c r="H20" s="36"/>
      <c r="I20" s="36"/>
      <c r="J20" s="37"/>
    </row>
    <row r="21" spans="2:21" ht="15.75" x14ac:dyDescent="0.2">
      <c r="B21" s="41"/>
      <c r="C21" s="45" t="s">
        <v>32</v>
      </c>
      <c r="D21" s="36"/>
      <c r="E21" s="36"/>
      <c r="F21" s="36"/>
      <c r="G21" s="36"/>
      <c r="H21" s="36"/>
      <c r="I21" s="36"/>
      <c r="J21" s="37"/>
    </row>
    <row r="22" spans="2:21" ht="15.75" x14ac:dyDescent="0.2">
      <c r="B22" s="41"/>
      <c r="C22" s="45" t="s">
        <v>77</v>
      </c>
      <c r="D22" s="36"/>
      <c r="E22" s="36"/>
      <c r="F22" s="36"/>
      <c r="G22" s="36"/>
      <c r="H22" s="36"/>
      <c r="I22" s="36"/>
      <c r="J22" s="37"/>
    </row>
    <row r="23" spans="2:21" ht="15.75" x14ac:dyDescent="0.2">
      <c r="B23" s="41"/>
      <c r="C23" s="45" t="s">
        <v>103</v>
      </c>
      <c r="D23" s="36"/>
      <c r="E23" s="36"/>
      <c r="F23" s="36"/>
      <c r="G23" s="36"/>
      <c r="H23" s="36"/>
      <c r="I23" s="36"/>
      <c r="J23" s="37"/>
    </row>
    <row r="24" spans="2:21" ht="15.75" x14ac:dyDescent="0.2">
      <c r="B24" s="41"/>
      <c r="C24" s="45" t="s">
        <v>78</v>
      </c>
      <c r="D24" s="36"/>
      <c r="E24" s="36"/>
      <c r="F24" s="36"/>
      <c r="G24" s="36"/>
      <c r="H24" s="36"/>
      <c r="I24" s="36"/>
      <c r="J24" s="37"/>
    </row>
    <row r="25" spans="2:21" ht="15.75" x14ac:dyDescent="0.2">
      <c r="B25" s="41"/>
      <c r="C25" s="45" t="s">
        <v>79</v>
      </c>
      <c r="D25" s="36"/>
      <c r="E25" s="36"/>
      <c r="F25" s="36"/>
      <c r="G25" s="36"/>
      <c r="H25" s="36"/>
      <c r="I25" s="36"/>
      <c r="J25" s="37"/>
    </row>
    <row r="26" spans="2:21" ht="15.75" x14ac:dyDescent="0.2">
      <c r="B26" s="41"/>
      <c r="C26" s="45"/>
      <c r="D26" s="36"/>
      <c r="E26" s="36"/>
      <c r="F26" s="36"/>
      <c r="G26" s="36"/>
      <c r="H26" s="36"/>
      <c r="I26" s="36"/>
      <c r="J26" s="37"/>
    </row>
    <row r="27" spans="2:21" ht="15.75" x14ac:dyDescent="0.2">
      <c r="B27" s="41"/>
      <c r="C27" s="45"/>
      <c r="D27" s="36"/>
      <c r="E27" s="36"/>
      <c r="F27" s="36"/>
      <c r="G27" s="36"/>
      <c r="H27" s="36"/>
      <c r="I27" s="36"/>
      <c r="J27" s="37"/>
    </row>
    <row r="28" spans="2:21" ht="15.75" x14ac:dyDescent="0.2">
      <c r="B28" s="46"/>
      <c r="C28" s="47"/>
      <c r="D28" s="48"/>
      <c r="E28" s="48"/>
      <c r="F28" s="48"/>
      <c r="G28" s="48"/>
      <c r="H28" s="48"/>
      <c r="I28" s="48"/>
      <c r="J28" s="49"/>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R118"/>
  <sheetViews>
    <sheetView topLeftCell="A104" zoomScale="115" zoomScaleNormal="115" workbookViewId="0">
      <selection activeCell="C117" sqref="C117"/>
    </sheetView>
  </sheetViews>
  <sheetFormatPr baseColWidth="10" defaultColWidth="11.42578125" defaultRowHeight="15" x14ac:dyDescent="0.2"/>
  <cols>
    <col min="1" max="1" width="11.42578125" style="20"/>
    <col min="2" max="2" width="17.5703125" style="20" customWidth="1"/>
    <col min="3" max="3" width="22.7109375" style="20" customWidth="1"/>
    <col min="4" max="4" width="11.42578125" style="20"/>
    <col min="5" max="5" width="16.7109375" style="20" bestFit="1" customWidth="1"/>
    <col min="6" max="7" width="11.42578125" style="20"/>
    <col min="8" max="8" width="13" style="20" customWidth="1"/>
    <col min="9" max="9" width="25.28515625" style="20" customWidth="1"/>
    <col min="10" max="12" width="11.42578125" style="20"/>
    <col min="13" max="13" width="14.5703125" style="20" customWidth="1"/>
    <col min="14" max="16384" width="11.42578125" style="20"/>
  </cols>
  <sheetData>
    <row r="2" spans="2:14" ht="20.25" x14ac:dyDescent="0.2">
      <c r="B2" s="50" t="s">
        <v>81</v>
      </c>
      <c r="C2" s="51"/>
      <c r="D2" s="51"/>
    </row>
    <row r="3" spans="2:14" ht="15.75" thickBot="1" x14ac:dyDescent="0.25"/>
    <row r="4" spans="2:14" ht="15.75" x14ac:dyDescent="0.2">
      <c r="B4" s="63" t="s">
        <v>84</v>
      </c>
      <c r="C4" s="64"/>
      <c r="D4" s="64"/>
      <c r="E4" s="64"/>
      <c r="F4" s="64"/>
      <c r="G4" s="64"/>
      <c r="H4" s="65"/>
    </row>
    <row r="5" spans="2:14" ht="66.400000000000006" customHeight="1" x14ac:dyDescent="0.2">
      <c r="B5" s="244" t="s">
        <v>31</v>
      </c>
      <c r="C5" s="245"/>
      <c r="D5" s="245"/>
      <c r="E5" s="245"/>
      <c r="F5" s="245"/>
      <c r="G5" s="245"/>
      <c r="H5" s="246"/>
    </row>
    <row r="6" spans="2:14" x14ac:dyDescent="0.2">
      <c r="B6" s="19" t="s">
        <v>82</v>
      </c>
      <c r="H6" s="24"/>
    </row>
    <row r="7" spans="2:14" x14ac:dyDescent="0.2">
      <c r="B7" s="19"/>
      <c r="H7" s="24"/>
    </row>
    <row r="8" spans="2:14" x14ac:dyDescent="0.2">
      <c r="B8" s="247" t="s">
        <v>71</v>
      </c>
      <c r="C8" s="248"/>
      <c r="D8" s="248"/>
      <c r="E8" s="248"/>
      <c r="F8" s="248"/>
      <c r="G8" s="248"/>
      <c r="H8" s="249"/>
    </row>
    <row r="9" spans="2:14" ht="34.5" customHeight="1" x14ac:dyDescent="0.2">
      <c r="B9" s="244" t="s">
        <v>83</v>
      </c>
      <c r="C9" s="245"/>
      <c r="D9" s="245"/>
      <c r="E9" s="245"/>
      <c r="F9" s="245"/>
      <c r="G9" s="245"/>
      <c r="H9" s="246"/>
    </row>
    <row r="10" spans="2:14" x14ac:dyDescent="0.2">
      <c r="B10" s="19"/>
      <c r="H10" s="24"/>
    </row>
    <row r="11" spans="2:14" ht="15.75" x14ac:dyDescent="0.2">
      <c r="B11" s="53" t="s">
        <v>15</v>
      </c>
      <c r="C11" s="54"/>
      <c r="D11" s="54"/>
      <c r="E11" s="54"/>
      <c r="F11" s="54"/>
      <c r="G11" s="54"/>
      <c r="H11" s="66"/>
    </row>
    <row r="12" spans="2:14" x14ac:dyDescent="0.2">
      <c r="B12" s="19"/>
      <c r="H12" s="24"/>
    </row>
    <row r="13" spans="2:14" ht="15.75" x14ac:dyDescent="0.2">
      <c r="B13" s="55" t="s">
        <v>0</v>
      </c>
      <c r="C13" s="56"/>
      <c r="D13" s="56"/>
      <c r="E13" s="56"/>
      <c r="F13" s="56"/>
      <c r="G13" s="56"/>
      <c r="H13" s="67"/>
    </row>
    <row r="14" spans="2:14" ht="48.75" customHeight="1" x14ac:dyDescent="0.2">
      <c r="B14" s="244" t="s">
        <v>85</v>
      </c>
      <c r="C14" s="245"/>
      <c r="D14" s="245"/>
      <c r="E14" s="245"/>
      <c r="F14" s="245"/>
      <c r="G14" s="245"/>
      <c r="H14" s="246"/>
      <c r="I14" s="25"/>
      <c r="J14" s="25"/>
      <c r="K14" s="25"/>
      <c r="L14" s="25"/>
      <c r="M14" s="25"/>
      <c r="N14" s="25"/>
    </row>
    <row r="15" spans="2:14" x14ac:dyDescent="0.2">
      <c r="B15" s="19"/>
      <c r="H15" s="24"/>
    </row>
    <row r="16" spans="2:14" ht="15.75" x14ac:dyDescent="0.2">
      <c r="B16" s="55" t="s">
        <v>16</v>
      </c>
      <c r="C16" s="56"/>
      <c r="D16" s="56"/>
      <c r="E16" s="56"/>
      <c r="F16" s="56"/>
      <c r="G16" s="56"/>
      <c r="H16" s="67"/>
    </row>
    <row r="17" spans="2:18" ht="80.650000000000006" customHeight="1" x14ac:dyDescent="0.2">
      <c r="B17" s="244" t="s">
        <v>86</v>
      </c>
      <c r="C17" s="245"/>
      <c r="D17" s="245"/>
      <c r="E17" s="245"/>
      <c r="F17" s="245"/>
      <c r="G17" s="245"/>
      <c r="H17" s="246"/>
      <c r="N17" s="25"/>
    </row>
    <row r="18" spans="2:18" x14ac:dyDescent="0.2">
      <c r="B18" s="19"/>
      <c r="H18" s="24"/>
    </row>
    <row r="19" spans="2:18" ht="15.75" x14ac:dyDescent="0.2">
      <c r="B19" s="55" t="s">
        <v>17</v>
      </c>
      <c r="C19" s="56"/>
      <c r="D19" s="56"/>
      <c r="E19" s="56"/>
      <c r="F19" s="56"/>
      <c r="G19" s="56"/>
      <c r="H19" s="67"/>
    </row>
    <row r="20" spans="2:18" ht="46.9" customHeight="1" x14ac:dyDescent="0.2">
      <c r="B20" s="244" t="s">
        <v>87</v>
      </c>
      <c r="C20" s="245"/>
      <c r="D20" s="245"/>
      <c r="E20" s="245"/>
      <c r="F20" s="245"/>
      <c r="G20" s="245"/>
      <c r="H20" s="246"/>
      <c r="N20" s="25"/>
    </row>
    <row r="21" spans="2:18" x14ac:dyDescent="0.2">
      <c r="B21" s="19"/>
      <c r="H21" s="24"/>
    </row>
    <row r="22" spans="2:18" ht="33.4" customHeight="1" x14ac:dyDescent="0.2">
      <c r="B22" s="275" t="s">
        <v>33</v>
      </c>
      <c r="C22" s="276"/>
      <c r="D22" s="276"/>
      <c r="E22" s="276"/>
      <c r="F22" s="276"/>
      <c r="G22" s="276"/>
      <c r="H22" s="277"/>
    </row>
    <row r="23" spans="2:18" x14ac:dyDescent="0.2">
      <c r="B23" s="19"/>
      <c r="H23" s="24"/>
      <c r="L23" s="26"/>
      <c r="M23"/>
      <c r="N23"/>
      <c r="O23"/>
      <c r="P23"/>
      <c r="Q23"/>
      <c r="R23"/>
    </row>
    <row r="24" spans="2:18" x14ac:dyDescent="0.2">
      <c r="B24" s="19"/>
      <c r="H24" s="24"/>
      <c r="M24"/>
      <c r="N24"/>
      <c r="O24"/>
      <c r="P24"/>
      <c r="Q24"/>
    </row>
    <row r="25" spans="2:18" ht="15.75" x14ac:dyDescent="0.2">
      <c r="B25" s="53" t="s">
        <v>88</v>
      </c>
      <c r="C25" s="52"/>
      <c r="D25" s="52"/>
      <c r="E25" s="52"/>
      <c r="F25" s="52"/>
      <c r="G25" s="52"/>
      <c r="H25" s="68"/>
      <c r="L25"/>
      <c r="M25"/>
      <c r="N25"/>
      <c r="O25"/>
      <c r="P25"/>
      <c r="Q25"/>
    </row>
    <row r="26" spans="2:18" ht="15.75" x14ac:dyDescent="0.2">
      <c r="B26" s="69" t="s">
        <v>90</v>
      </c>
      <c r="C26" s="58"/>
      <c r="D26" s="58"/>
      <c r="E26" s="58"/>
      <c r="F26" s="58"/>
      <c r="G26" s="58"/>
      <c r="H26" s="70"/>
    </row>
    <row r="27" spans="2:18" ht="15.75" x14ac:dyDescent="0.25">
      <c r="B27" s="71" t="s">
        <v>91</v>
      </c>
      <c r="C27" s="60"/>
      <c r="D27" s="60"/>
      <c r="E27" s="60"/>
      <c r="F27" s="60"/>
      <c r="G27" s="60"/>
      <c r="H27" s="72"/>
    </row>
    <row r="28" spans="2:18" ht="15.75" x14ac:dyDescent="0.2">
      <c r="B28" s="73" t="s">
        <v>92</v>
      </c>
      <c r="C28" s="61"/>
      <c r="D28" s="61"/>
      <c r="E28" s="61"/>
      <c r="F28" s="61"/>
      <c r="G28" s="61"/>
      <c r="H28" s="74"/>
    </row>
    <row r="29" spans="2:18" ht="15.75" x14ac:dyDescent="0.2">
      <c r="B29" s="18"/>
      <c r="H29" s="24"/>
    </row>
    <row r="30" spans="2:18" x14ac:dyDescent="0.2">
      <c r="B30" s="19"/>
      <c r="H30" s="24"/>
    </row>
    <row r="31" spans="2:18" x14ac:dyDescent="0.2">
      <c r="B31" s="19"/>
      <c r="H31" s="24"/>
    </row>
    <row r="32" spans="2:18" x14ac:dyDescent="0.2">
      <c r="B32" s="19"/>
      <c r="H32" s="24"/>
    </row>
    <row r="33" spans="2:8" x14ac:dyDescent="0.2">
      <c r="B33" s="19"/>
      <c r="H33" s="24"/>
    </row>
    <row r="34" spans="2:8" ht="15.75" x14ac:dyDescent="0.2">
      <c r="B34" s="19"/>
      <c r="C34" s="13" t="s">
        <v>21</v>
      </c>
      <c r="D34" s="13" t="s">
        <v>94</v>
      </c>
      <c r="E34" s="13" t="s">
        <v>22</v>
      </c>
      <c r="F34" s="28" t="s">
        <v>23</v>
      </c>
      <c r="G34" s="260" t="s">
        <v>93</v>
      </c>
      <c r="H34" s="261"/>
    </row>
    <row r="35" spans="2:8" ht="15.75" x14ac:dyDescent="0.2">
      <c r="B35" s="21" t="s">
        <v>18</v>
      </c>
      <c r="C35" s="14">
        <v>1</v>
      </c>
      <c r="D35" s="11">
        <v>9</v>
      </c>
      <c r="E35" s="11">
        <v>4</v>
      </c>
      <c r="F35" s="9">
        <f>D35-E35</f>
        <v>5</v>
      </c>
      <c r="G35" s="262">
        <v>5</v>
      </c>
      <c r="H35" s="263"/>
    </row>
    <row r="36" spans="2:8" ht="15.75" x14ac:dyDescent="0.2">
      <c r="B36" s="18" t="s">
        <v>19</v>
      </c>
      <c r="C36" s="15">
        <v>2</v>
      </c>
      <c r="D36" s="11">
        <v>5</v>
      </c>
      <c r="E36" s="11">
        <v>3</v>
      </c>
      <c r="F36" s="9">
        <f>D36-E36</f>
        <v>2</v>
      </c>
      <c r="G36" s="264"/>
      <c r="H36" s="265"/>
    </row>
    <row r="37" spans="2:8" ht="15.75" x14ac:dyDescent="0.2">
      <c r="B37" s="22" t="s">
        <v>20</v>
      </c>
      <c r="C37" s="16">
        <v>3</v>
      </c>
      <c r="D37" s="12">
        <v>6</v>
      </c>
      <c r="E37" s="12">
        <v>3</v>
      </c>
      <c r="F37" s="10">
        <f>D37-E37</f>
        <v>3</v>
      </c>
      <c r="G37" s="266"/>
      <c r="H37" s="267"/>
    </row>
    <row r="38" spans="2:8" ht="15.75" x14ac:dyDescent="0.2">
      <c r="B38" s="18"/>
      <c r="C38" s="268" t="s">
        <v>26</v>
      </c>
      <c r="D38" s="268"/>
      <c r="E38" s="62">
        <f t="array" ref="E38">SUM(C35:C37*E35:E37)</f>
        <v>19</v>
      </c>
      <c r="F38" s="8"/>
      <c r="H38" s="24"/>
    </row>
    <row r="39" spans="2:8" ht="15.75" x14ac:dyDescent="0.2">
      <c r="B39" s="18"/>
      <c r="H39" s="24"/>
    </row>
    <row r="40" spans="2:8" ht="15.75" x14ac:dyDescent="0.2">
      <c r="B40" s="18"/>
      <c r="H40" s="24"/>
    </row>
    <row r="41" spans="2:8" ht="15.75" x14ac:dyDescent="0.2">
      <c r="B41" s="18"/>
      <c r="C41" s="57"/>
      <c r="D41" s="57"/>
      <c r="E41" s="57"/>
      <c r="H41" s="24"/>
    </row>
    <row r="42" spans="2:8" ht="15.75" x14ac:dyDescent="0.2">
      <c r="B42" s="18"/>
      <c r="H42" s="24"/>
    </row>
    <row r="43" spans="2:8" ht="15.75" x14ac:dyDescent="0.2">
      <c r="B43" s="18"/>
      <c r="H43" s="24"/>
    </row>
    <row r="44" spans="2:8" ht="15.75" x14ac:dyDescent="0.2">
      <c r="B44" s="18"/>
      <c r="D44" s="254" t="s">
        <v>25</v>
      </c>
      <c r="E44" s="255"/>
      <c r="F44" s="256"/>
      <c r="H44" s="24"/>
    </row>
    <row r="45" spans="2:8" ht="15.75" x14ac:dyDescent="0.2">
      <c r="B45" s="23" t="s">
        <v>24</v>
      </c>
      <c r="C45" s="17" cm="1">
        <f t="array" ref="C45">SUM(C35:C37*F35:F37)</f>
        <v>18</v>
      </c>
      <c r="D45" s="278" t="s">
        <v>95</v>
      </c>
      <c r="E45" s="279"/>
      <c r="F45" s="280"/>
      <c r="H45" s="24"/>
    </row>
    <row r="46" spans="2:8" x14ac:dyDescent="0.2">
      <c r="B46" s="19"/>
      <c r="H46" s="24"/>
    </row>
    <row r="47" spans="2:8" x14ac:dyDescent="0.2">
      <c r="B47" s="19"/>
      <c r="H47" s="24"/>
    </row>
    <row r="48" spans="2:8" ht="15.75" x14ac:dyDescent="0.2">
      <c r="B48" s="53" t="s">
        <v>28</v>
      </c>
      <c r="C48" s="54"/>
      <c r="D48" s="54"/>
      <c r="E48" s="54"/>
      <c r="F48" s="54"/>
      <c r="G48" s="54"/>
      <c r="H48" s="66"/>
    </row>
    <row r="49" spans="2:8" ht="31.9" customHeight="1" x14ac:dyDescent="0.2">
      <c r="B49" s="269" t="s">
        <v>27</v>
      </c>
      <c r="C49" s="270"/>
      <c r="D49" s="270"/>
      <c r="E49" s="270"/>
      <c r="F49" s="270"/>
      <c r="G49" s="270"/>
      <c r="H49" s="271"/>
    </row>
    <row r="50" spans="2:8" x14ac:dyDescent="0.2">
      <c r="B50" s="19"/>
      <c r="H50" s="24"/>
    </row>
    <row r="51" spans="2:8" x14ac:dyDescent="0.2">
      <c r="B51" s="19"/>
      <c r="H51" s="24"/>
    </row>
    <row r="52" spans="2:8" x14ac:dyDescent="0.2">
      <c r="B52" s="19"/>
      <c r="H52" s="24"/>
    </row>
    <row r="53" spans="2:8" x14ac:dyDescent="0.2">
      <c r="B53" s="19"/>
      <c r="H53" s="24"/>
    </row>
    <row r="54" spans="2:8" x14ac:dyDescent="0.2">
      <c r="B54" s="19"/>
      <c r="H54" s="24"/>
    </row>
    <row r="55" spans="2:8" x14ac:dyDescent="0.2">
      <c r="B55" s="19"/>
      <c r="H55" s="24"/>
    </row>
    <row r="56" spans="2:8" x14ac:dyDescent="0.2">
      <c r="B56" s="19"/>
      <c r="H56" s="24"/>
    </row>
    <row r="57" spans="2:8" x14ac:dyDescent="0.2">
      <c r="B57" s="19"/>
      <c r="H57" s="24"/>
    </row>
    <row r="58" spans="2:8" x14ac:dyDescent="0.2">
      <c r="B58" s="19"/>
      <c r="H58" s="24"/>
    </row>
    <row r="59" spans="2:8" x14ac:dyDescent="0.2">
      <c r="B59" s="19"/>
      <c r="H59" s="24"/>
    </row>
    <row r="60" spans="2:8" x14ac:dyDescent="0.2">
      <c r="B60" s="19"/>
      <c r="H60" s="24"/>
    </row>
    <row r="61" spans="2:8" x14ac:dyDescent="0.2">
      <c r="B61" s="19"/>
      <c r="H61" s="24"/>
    </row>
    <row r="62" spans="2:8" x14ac:dyDescent="0.2">
      <c r="B62" s="19"/>
      <c r="H62" s="24"/>
    </row>
    <row r="63" spans="2:8" x14ac:dyDescent="0.2">
      <c r="B63" s="19"/>
      <c r="H63" s="24"/>
    </row>
    <row r="64" spans="2:8" x14ac:dyDescent="0.2">
      <c r="B64" s="272" t="s">
        <v>30</v>
      </c>
      <c r="C64" s="273"/>
      <c r="D64" s="273"/>
      <c r="E64" s="273"/>
      <c r="F64" s="273"/>
      <c r="G64" s="273"/>
      <c r="H64" s="274"/>
    </row>
    <row r="65" spans="2:8" x14ac:dyDescent="0.2">
      <c r="B65" s="19" t="s">
        <v>96</v>
      </c>
      <c r="H65" s="24"/>
    </row>
    <row r="66" spans="2:8" x14ac:dyDescent="0.2">
      <c r="B66" s="19"/>
      <c r="H66" s="24"/>
    </row>
    <row r="67" spans="2:8" x14ac:dyDescent="0.2">
      <c r="B67" s="19"/>
      <c r="H67" s="24"/>
    </row>
    <row r="68" spans="2:8" x14ac:dyDescent="0.2">
      <c r="B68" s="19"/>
      <c r="H68" s="24"/>
    </row>
    <row r="69" spans="2:8" x14ac:dyDescent="0.2">
      <c r="B69" s="19"/>
      <c r="H69" s="24"/>
    </row>
    <row r="70" spans="2:8" x14ac:dyDescent="0.2">
      <c r="B70" s="19"/>
      <c r="H70" s="24"/>
    </row>
    <row r="71" spans="2:8" x14ac:dyDescent="0.2">
      <c r="B71" s="19"/>
      <c r="H71" s="24"/>
    </row>
    <row r="72" spans="2:8" x14ac:dyDescent="0.2">
      <c r="B72" s="19"/>
      <c r="H72" s="24"/>
    </row>
    <row r="73" spans="2:8" x14ac:dyDescent="0.2">
      <c r="B73" s="19" t="s">
        <v>97</v>
      </c>
      <c r="H73" s="24"/>
    </row>
    <row r="74" spans="2:8" x14ac:dyDescent="0.2">
      <c r="B74" s="19"/>
      <c r="H74" s="24"/>
    </row>
    <row r="75" spans="2:8" x14ac:dyDescent="0.2">
      <c r="B75" s="19"/>
      <c r="H75" s="24"/>
    </row>
    <row r="76" spans="2:8" x14ac:dyDescent="0.2">
      <c r="B76" s="19"/>
      <c r="H76" s="24"/>
    </row>
    <row r="77" spans="2:8" x14ac:dyDescent="0.2">
      <c r="B77" s="19"/>
      <c r="H77" s="24"/>
    </row>
    <row r="78" spans="2:8" x14ac:dyDescent="0.2">
      <c r="B78" s="19"/>
      <c r="H78" s="24"/>
    </row>
    <row r="79" spans="2:8" x14ac:dyDescent="0.2">
      <c r="B79" s="19"/>
      <c r="H79" s="24"/>
    </row>
    <row r="80" spans="2:8" x14ac:dyDescent="0.2">
      <c r="B80" s="19"/>
      <c r="H80" s="24"/>
    </row>
    <row r="81" spans="2:8" x14ac:dyDescent="0.2">
      <c r="B81" s="19"/>
      <c r="H81" s="24"/>
    </row>
    <row r="82" spans="2:8" ht="32.25" customHeight="1" x14ac:dyDescent="0.2">
      <c r="B82" s="275" t="s">
        <v>29</v>
      </c>
      <c r="C82" s="276"/>
      <c r="D82" s="276"/>
      <c r="E82" s="276"/>
      <c r="F82" s="276"/>
      <c r="G82" s="276"/>
      <c r="H82" s="277"/>
    </row>
    <row r="83" spans="2:8" x14ac:dyDescent="0.2">
      <c r="B83" s="19"/>
      <c r="H83" s="24"/>
    </row>
    <row r="84" spans="2:8" ht="64.5" customHeight="1" x14ac:dyDescent="0.2">
      <c r="B84" s="244" t="s">
        <v>98</v>
      </c>
      <c r="C84" s="245"/>
      <c r="D84" s="245"/>
      <c r="E84" s="245"/>
      <c r="F84" s="245"/>
      <c r="G84" s="245"/>
      <c r="H84" s="246"/>
    </row>
    <row r="85" spans="2:8" x14ac:dyDescent="0.2">
      <c r="B85" s="19"/>
      <c r="H85" s="24"/>
    </row>
    <row r="86" spans="2:8" x14ac:dyDescent="0.2">
      <c r="B86" s="19"/>
      <c r="H86" s="24"/>
    </row>
    <row r="87" spans="2:8" x14ac:dyDescent="0.2">
      <c r="B87" s="19"/>
      <c r="H87" s="24"/>
    </row>
    <row r="88" spans="2:8" x14ac:dyDescent="0.2">
      <c r="B88" s="19"/>
      <c r="H88" s="24"/>
    </row>
    <row r="89" spans="2:8" x14ac:dyDescent="0.2">
      <c r="B89" s="19"/>
      <c r="H89" s="24"/>
    </row>
    <row r="90" spans="2:8" x14ac:dyDescent="0.2">
      <c r="B90" s="19"/>
      <c r="H90" s="24"/>
    </row>
    <row r="91" spans="2:8" x14ac:dyDescent="0.2">
      <c r="B91" s="19"/>
      <c r="H91" s="24"/>
    </row>
    <row r="92" spans="2:8" x14ac:dyDescent="0.2">
      <c r="B92" s="19"/>
      <c r="H92" s="24"/>
    </row>
    <row r="93" spans="2:8" x14ac:dyDescent="0.2">
      <c r="B93" s="19"/>
      <c r="H93" s="24"/>
    </row>
    <row r="94" spans="2:8" x14ac:dyDescent="0.2">
      <c r="B94" s="19"/>
      <c r="H94" s="24"/>
    </row>
    <row r="95" spans="2:8" x14ac:dyDescent="0.2">
      <c r="B95" s="19"/>
      <c r="H95" s="24"/>
    </row>
    <row r="96" spans="2:8" x14ac:dyDescent="0.2">
      <c r="B96" s="19"/>
      <c r="H96" s="24"/>
    </row>
    <row r="97" spans="2:8" x14ac:dyDescent="0.2">
      <c r="B97" s="19"/>
      <c r="H97" s="24"/>
    </row>
    <row r="98" spans="2:8" ht="31.15" customHeight="1" x14ac:dyDescent="0.2">
      <c r="B98" s="244" t="s">
        <v>34</v>
      </c>
      <c r="C98" s="245"/>
      <c r="D98" s="245"/>
      <c r="E98" s="245"/>
      <c r="F98" s="245"/>
      <c r="G98" s="245"/>
      <c r="H98" s="246"/>
    </row>
    <row r="99" spans="2:8" x14ac:dyDescent="0.2">
      <c r="B99" s="19"/>
      <c r="H99" s="24"/>
    </row>
    <row r="100" spans="2:8" ht="15.75" x14ac:dyDescent="0.2">
      <c r="B100" s="53" t="s">
        <v>99</v>
      </c>
      <c r="C100" s="52"/>
      <c r="D100" s="52"/>
      <c r="E100" s="52"/>
      <c r="F100" s="52"/>
      <c r="G100" s="52"/>
      <c r="H100" s="68"/>
    </row>
    <row r="101" spans="2:8" x14ac:dyDescent="0.2">
      <c r="B101" s="19"/>
      <c r="H101" s="24"/>
    </row>
    <row r="102" spans="2:8" x14ac:dyDescent="0.2">
      <c r="B102" s="19"/>
      <c r="H102" s="24"/>
    </row>
    <row r="103" spans="2:8" x14ac:dyDescent="0.2">
      <c r="B103" s="19"/>
      <c r="H103" s="24"/>
    </row>
    <row r="104" spans="2:8" x14ac:dyDescent="0.2">
      <c r="B104" s="19"/>
      <c r="H104" s="24"/>
    </row>
    <row r="105" spans="2:8" x14ac:dyDescent="0.2">
      <c r="B105" s="19"/>
      <c r="H105" s="24"/>
    </row>
    <row r="106" spans="2:8" ht="15.75" x14ac:dyDescent="0.2">
      <c r="B106" s="19"/>
      <c r="C106" s="13" t="s">
        <v>21</v>
      </c>
      <c r="D106" s="13" t="s">
        <v>94</v>
      </c>
      <c r="E106" s="13" t="s">
        <v>22</v>
      </c>
      <c r="F106" s="28" t="s">
        <v>23</v>
      </c>
      <c r="G106" s="260" t="s">
        <v>93</v>
      </c>
      <c r="H106" s="261"/>
    </row>
    <row r="107" spans="2:8" ht="15.75" x14ac:dyDescent="0.2">
      <c r="B107" s="21" t="s">
        <v>18</v>
      </c>
      <c r="C107" s="14">
        <v>5</v>
      </c>
      <c r="D107" s="11">
        <v>9</v>
      </c>
      <c r="E107" s="11">
        <v>4</v>
      </c>
      <c r="F107" s="9">
        <f>D107-E107</f>
        <v>5</v>
      </c>
      <c r="G107" s="262">
        <v>5</v>
      </c>
      <c r="H107" s="263"/>
    </row>
    <row r="108" spans="2:8" ht="15.75" x14ac:dyDescent="0.2">
      <c r="B108" s="18" t="s">
        <v>19</v>
      </c>
      <c r="C108" s="15">
        <v>0</v>
      </c>
      <c r="D108" s="11">
        <v>5</v>
      </c>
      <c r="E108" s="11">
        <v>3</v>
      </c>
      <c r="F108" s="9">
        <f>D108-E108</f>
        <v>2</v>
      </c>
      <c r="G108" s="264"/>
      <c r="H108" s="265"/>
    </row>
    <row r="109" spans="2:8" ht="15.75" x14ac:dyDescent="0.2">
      <c r="B109" s="22" t="s">
        <v>20</v>
      </c>
      <c r="C109" s="16">
        <v>10.000000000000004</v>
      </c>
      <c r="D109" s="12">
        <v>6</v>
      </c>
      <c r="E109" s="12">
        <v>3</v>
      </c>
      <c r="F109" s="10">
        <f>D109-E109</f>
        <v>3</v>
      </c>
      <c r="G109" s="266"/>
      <c r="H109" s="267"/>
    </row>
    <row r="110" spans="2:8" ht="15.75" x14ac:dyDescent="0.2">
      <c r="B110" s="18"/>
      <c r="C110" s="268" t="s">
        <v>26</v>
      </c>
      <c r="D110" s="268"/>
      <c r="E110" s="62">
        <f t="array" ref="E110">SUM(C107:C109*E107:E109)</f>
        <v>50.000000000000014</v>
      </c>
      <c r="F110" s="8"/>
      <c r="H110" s="24"/>
    </row>
    <row r="111" spans="2:8" ht="15.75" x14ac:dyDescent="0.2">
      <c r="B111" s="18"/>
      <c r="H111" s="24"/>
    </row>
    <row r="112" spans="2:8" ht="15.75" x14ac:dyDescent="0.2">
      <c r="B112" s="18"/>
      <c r="H112" s="24"/>
    </row>
    <row r="113" spans="2:8" ht="15.75" x14ac:dyDescent="0.2">
      <c r="B113" s="18"/>
      <c r="C113" s="57"/>
      <c r="D113" s="57"/>
      <c r="E113" s="57"/>
      <c r="H113" s="24"/>
    </row>
    <row r="114" spans="2:8" ht="15.75" x14ac:dyDescent="0.2">
      <c r="B114" s="18"/>
      <c r="H114" s="24"/>
    </row>
    <row r="115" spans="2:8" ht="15.75" x14ac:dyDescent="0.2">
      <c r="B115" s="18"/>
      <c r="H115" s="24"/>
    </row>
    <row r="116" spans="2:8" ht="15.75" x14ac:dyDescent="0.2">
      <c r="B116" s="18"/>
      <c r="D116" s="254" t="s">
        <v>25</v>
      </c>
      <c r="E116" s="255"/>
      <c r="F116" s="256"/>
      <c r="H116" s="24"/>
    </row>
    <row r="117" spans="2:8" ht="16.5" thickBot="1" x14ac:dyDescent="0.25">
      <c r="B117" s="75" t="s">
        <v>24</v>
      </c>
      <c r="C117" s="76" cm="1">
        <f t="array" ref="C117">SUM(C107:C109*F107:F109)</f>
        <v>55.000000000000014</v>
      </c>
      <c r="D117" s="257" t="s">
        <v>100</v>
      </c>
      <c r="E117" s="258"/>
      <c r="F117" s="259"/>
      <c r="G117" s="29"/>
      <c r="H117" s="30"/>
    </row>
    <row r="118" spans="2:8" x14ac:dyDescent="0.2">
      <c r="C118" s="20" cm="1">
        <f t="array" ref="C118">SUM(C107:C109*F107:F109)</f>
        <v>55.000000000000014</v>
      </c>
    </row>
  </sheetData>
  <mergeCells count="26">
    <mergeCell ref="D45:F45"/>
    <mergeCell ref="D44:F44"/>
    <mergeCell ref="B5:H5"/>
    <mergeCell ref="B9:H9"/>
    <mergeCell ref="B8:H8"/>
    <mergeCell ref="B14:H14"/>
    <mergeCell ref="B17:H17"/>
    <mergeCell ref="B20:H20"/>
    <mergeCell ref="B22:H22"/>
    <mergeCell ref="C38:D38"/>
    <mergeCell ref="G34:H34"/>
    <mergeCell ref="G35:H35"/>
    <mergeCell ref="G36:H36"/>
    <mergeCell ref="G37:H37"/>
    <mergeCell ref="B49:H49"/>
    <mergeCell ref="B64:H64"/>
    <mergeCell ref="B82:H82"/>
    <mergeCell ref="B84:H84"/>
    <mergeCell ref="B98:H98"/>
    <mergeCell ref="D116:F116"/>
    <mergeCell ref="D117:F117"/>
    <mergeCell ref="G106:H106"/>
    <mergeCell ref="G107:H107"/>
    <mergeCell ref="G108:H108"/>
    <mergeCell ref="G109:H109"/>
    <mergeCell ref="C110:D110"/>
  </mergeCells>
  <phoneticPr fontId="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3"/>
  <sheetViews>
    <sheetView zoomScale="80" zoomScaleNormal="80" workbookViewId="0">
      <selection activeCell="C23" sqref="C23"/>
    </sheetView>
  </sheetViews>
  <sheetFormatPr baseColWidth="10" defaultColWidth="10.85546875" defaultRowHeight="15" x14ac:dyDescent="0.2"/>
  <cols>
    <col min="1" max="1" width="10.85546875" style="26"/>
    <col min="2" max="2" width="18.42578125" style="26" customWidth="1"/>
    <col min="3" max="3" width="23.28515625" style="26" customWidth="1"/>
    <col min="4" max="4" width="10.85546875" style="26"/>
    <col min="5" max="5" width="17" style="26" bestFit="1" customWidth="1"/>
    <col min="6" max="6" width="14.28515625" style="26" customWidth="1"/>
    <col min="7" max="7" width="14.140625" style="26" customWidth="1"/>
    <col min="8" max="16384" width="10.85546875" style="26"/>
  </cols>
  <sheetData>
    <row r="2" spans="2:8" ht="20.25" x14ac:dyDescent="0.3">
      <c r="B2" s="80" t="s">
        <v>101</v>
      </c>
      <c r="C2" s="81"/>
      <c r="D2" s="81"/>
    </row>
    <row r="3" spans="2:8" ht="15.75" thickBot="1" x14ac:dyDescent="0.25"/>
    <row r="4" spans="2:8" ht="15.75" x14ac:dyDescent="0.2">
      <c r="B4" s="82" t="s">
        <v>90</v>
      </c>
      <c r="C4" s="83"/>
      <c r="D4" s="83"/>
      <c r="E4" s="83"/>
      <c r="F4" s="83"/>
      <c r="G4" s="83"/>
      <c r="H4" s="84"/>
    </row>
    <row r="5" spans="2:8" ht="15.75" x14ac:dyDescent="0.25">
      <c r="B5" s="71" t="s">
        <v>91</v>
      </c>
      <c r="C5" s="60"/>
      <c r="D5" s="60"/>
      <c r="E5" s="60"/>
      <c r="F5" s="60"/>
      <c r="G5" s="60"/>
      <c r="H5" s="72"/>
    </row>
    <row r="6" spans="2:8" ht="15.75" x14ac:dyDescent="0.2">
      <c r="B6" s="73" t="s">
        <v>92</v>
      </c>
      <c r="C6" s="61"/>
      <c r="D6" s="61"/>
      <c r="E6" s="61"/>
      <c r="F6" s="61"/>
      <c r="G6" s="61"/>
      <c r="H6" s="74"/>
    </row>
    <row r="7" spans="2:8" ht="15.75" x14ac:dyDescent="0.2">
      <c r="B7" s="18"/>
      <c r="C7" s="20"/>
      <c r="D7" s="20"/>
      <c r="E7" s="20"/>
      <c r="F7" s="20"/>
      <c r="G7" s="20"/>
      <c r="H7" s="24"/>
    </row>
    <row r="8" spans="2:8" x14ac:dyDescent="0.2">
      <c r="B8" s="19"/>
      <c r="C8" s="20"/>
      <c r="D8" s="20"/>
      <c r="E8" s="20"/>
      <c r="F8" s="20"/>
      <c r="G8" s="20"/>
      <c r="H8" s="24"/>
    </row>
    <row r="9" spans="2:8" x14ac:dyDescent="0.2">
      <c r="B9" s="19"/>
      <c r="C9" s="20"/>
      <c r="D9" s="20"/>
      <c r="E9" s="20"/>
      <c r="F9" s="20"/>
      <c r="G9" s="20"/>
      <c r="H9" s="24"/>
    </row>
    <row r="10" spans="2:8" x14ac:dyDescent="0.2">
      <c r="B10" s="19"/>
      <c r="C10" s="20"/>
      <c r="D10" s="20"/>
      <c r="E10" s="20"/>
      <c r="F10" s="20"/>
      <c r="G10" s="20"/>
      <c r="H10" s="24"/>
    </row>
    <row r="11" spans="2:8" x14ac:dyDescent="0.2">
      <c r="B11" s="19"/>
      <c r="C11" s="20"/>
      <c r="D11" s="20"/>
      <c r="E11" s="20"/>
      <c r="F11" s="20"/>
      <c r="G11" s="20"/>
      <c r="H11" s="24"/>
    </row>
    <row r="12" spans="2:8" ht="15.75" x14ac:dyDescent="0.2">
      <c r="B12" s="19"/>
      <c r="C12" s="13" t="s">
        <v>21</v>
      </c>
      <c r="D12" s="13" t="s">
        <v>94</v>
      </c>
      <c r="E12" s="13" t="s">
        <v>22</v>
      </c>
      <c r="F12" s="28" t="s">
        <v>23</v>
      </c>
      <c r="G12" s="260" t="s">
        <v>93</v>
      </c>
      <c r="H12" s="261"/>
    </row>
    <row r="13" spans="2:8" ht="15.75" x14ac:dyDescent="0.2">
      <c r="B13" s="21" t="s">
        <v>18</v>
      </c>
      <c r="C13" s="14">
        <v>5</v>
      </c>
      <c r="D13" s="11">
        <v>9</v>
      </c>
      <c r="E13" s="11">
        <v>4</v>
      </c>
      <c r="F13" s="9">
        <f>D13-E13</f>
        <v>5</v>
      </c>
      <c r="G13" s="262">
        <v>5</v>
      </c>
      <c r="H13" s="263"/>
    </row>
    <row r="14" spans="2:8" ht="15.75" x14ac:dyDescent="0.2">
      <c r="B14" s="18" t="s">
        <v>19</v>
      </c>
      <c r="C14" s="15">
        <v>0</v>
      </c>
      <c r="D14" s="11">
        <v>5</v>
      </c>
      <c r="E14" s="11">
        <v>3</v>
      </c>
      <c r="F14" s="9">
        <f>D14-E14</f>
        <v>2</v>
      </c>
      <c r="G14" s="264"/>
      <c r="H14" s="265"/>
    </row>
    <row r="15" spans="2:8" ht="15.75" x14ac:dyDescent="0.2">
      <c r="B15" s="22" t="s">
        <v>20</v>
      </c>
      <c r="C15" s="16">
        <v>10</v>
      </c>
      <c r="D15" s="12">
        <v>6</v>
      </c>
      <c r="E15" s="12">
        <v>3</v>
      </c>
      <c r="F15" s="10">
        <f>D15-E15</f>
        <v>3</v>
      </c>
      <c r="G15" s="266"/>
      <c r="H15" s="267"/>
    </row>
    <row r="16" spans="2:8" ht="15.75" x14ac:dyDescent="0.2">
      <c r="B16" s="18"/>
      <c r="C16" s="268" t="s">
        <v>26</v>
      </c>
      <c r="D16" s="268"/>
      <c r="E16" s="62" cm="1">
        <f t="array" ref="E16">SUM($E$13:$E$15*C13:C15)</f>
        <v>50</v>
      </c>
      <c r="F16" s="8"/>
      <c r="G16" s="20"/>
      <c r="H16" s="24"/>
    </row>
    <row r="17" spans="2:8" ht="15.75" x14ac:dyDescent="0.2">
      <c r="B17" s="18"/>
      <c r="C17" s="20"/>
      <c r="D17" s="20"/>
      <c r="E17" s="20"/>
      <c r="F17" s="20"/>
      <c r="G17" s="20"/>
      <c r="H17" s="24"/>
    </row>
    <row r="18" spans="2:8" ht="15.75" x14ac:dyDescent="0.2">
      <c r="B18" s="18"/>
      <c r="C18" s="20"/>
      <c r="D18" s="20"/>
      <c r="E18" s="20"/>
      <c r="F18" s="20"/>
      <c r="G18" s="20"/>
      <c r="H18" s="24"/>
    </row>
    <row r="19" spans="2:8" ht="15.75" x14ac:dyDescent="0.2">
      <c r="B19" s="18"/>
      <c r="C19" s="57"/>
      <c r="D19" s="57"/>
      <c r="E19" s="57"/>
      <c r="F19" s="20"/>
      <c r="G19" s="20"/>
      <c r="H19" s="24"/>
    </row>
    <row r="20" spans="2:8" ht="15.75" x14ac:dyDescent="0.2">
      <c r="B20" s="18"/>
      <c r="C20" s="20"/>
      <c r="D20" s="20"/>
      <c r="E20" s="20"/>
      <c r="F20" s="20"/>
      <c r="G20" s="20"/>
      <c r="H20" s="24"/>
    </row>
    <row r="21" spans="2:8" ht="15.75" x14ac:dyDescent="0.2">
      <c r="B21" s="18"/>
      <c r="C21" s="20"/>
      <c r="D21" s="20"/>
      <c r="E21" s="20"/>
      <c r="F21" s="20"/>
      <c r="G21" s="20"/>
      <c r="H21" s="24"/>
    </row>
    <row r="22" spans="2:8" ht="15.75" x14ac:dyDescent="0.2">
      <c r="B22" s="18"/>
      <c r="C22" s="20"/>
      <c r="D22" s="57"/>
      <c r="E22" s="57"/>
      <c r="F22" s="57"/>
      <c r="G22" s="20"/>
      <c r="H22" s="24"/>
    </row>
    <row r="23" spans="2:8" ht="16.5" thickBot="1" x14ac:dyDescent="0.25">
      <c r="B23" s="75" t="s">
        <v>24</v>
      </c>
      <c r="C23" s="85" cm="1">
        <f t="array" ref="C23">SUM($C$13:$C$15*$F$13:$F$15)</f>
        <v>55</v>
      </c>
      <c r="D23" s="86"/>
      <c r="E23" s="86"/>
      <c r="F23" s="86"/>
      <c r="G23" s="29"/>
      <c r="H23" s="30"/>
    </row>
  </sheetData>
  <mergeCells count="5">
    <mergeCell ref="G13:H13"/>
    <mergeCell ref="G14:H14"/>
    <mergeCell ref="G15:H15"/>
    <mergeCell ref="C16:D16"/>
    <mergeCell ref="G12:H12"/>
  </mergeCells>
  <phoneticPr fontId="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zoomScale="80" zoomScaleNormal="80" workbookViewId="0">
      <selection activeCell="H31" sqref="H31"/>
    </sheetView>
  </sheetViews>
  <sheetFormatPr baseColWidth="10" defaultColWidth="10.85546875" defaultRowHeight="15" x14ac:dyDescent="0.2"/>
  <cols>
    <col min="1" max="1" width="10.85546875" style="26"/>
    <col min="2" max="2" width="20.42578125" style="26" customWidth="1"/>
    <col min="3" max="3" width="17.7109375" style="26" customWidth="1"/>
    <col min="4" max="4" width="8.28515625" style="26" customWidth="1"/>
    <col min="5" max="6" width="15.140625" style="26" customWidth="1"/>
    <col min="7" max="7" width="15.5703125" style="26" customWidth="1"/>
    <col min="8" max="16384" width="10.85546875" style="26"/>
  </cols>
  <sheetData>
    <row r="2" spans="2:8" ht="20.25" x14ac:dyDescent="0.3">
      <c r="B2" s="80" t="s">
        <v>77</v>
      </c>
      <c r="C2" s="81"/>
    </row>
    <row r="3" spans="2:8" ht="15.75" thickBot="1" x14ac:dyDescent="0.25"/>
    <row r="4" spans="2:8" ht="15.75" x14ac:dyDescent="0.25">
      <c r="B4" s="116" t="s">
        <v>89</v>
      </c>
      <c r="C4" s="117"/>
      <c r="D4" s="117"/>
      <c r="E4" s="117"/>
      <c r="F4" s="117"/>
      <c r="G4" s="117"/>
      <c r="H4" s="118"/>
    </row>
    <row r="5" spans="2:8" ht="81" customHeight="1" x14ac:dyDescent="0.2">
      <c r="B5" s="244" t="s">
        <v>107</v>
      </c>
      <c r="C5" s="245"/>
      <c r="D5" s="245"/>
      <c r="E5" s="245"/>
      <c r="F5" s="245"/>
      <c r="G5" s="245"/>
      <c r="H5" s="246"/>
    </row>
    <row r="6" spans="2:8" ht="63.4" customHeight="1" x14ac:dyDescent="0.2">
      <c r="B6" s="244" t="s">
        <v>108</v>
      </c>
      <c r="C6" s="245"/>
      <c r="D6" s="245"/>
      <c r="E6" s="245"/>
      <c r="F6" s="245"/>
      <c r="G6" s="245"/>
      <c r="H6" s="246"/>
    </row>
    <row r="7" spans="2:8" ht="15.75" x14ac:dyDescent="0.25">
      <c r="B7" s="120" t="s">
        <v>70</v>
      </c>
      <c r="C7" s="59"/>
      <c r="D7" s="59"/>
      <c r="E7" s="59"/>
      <c r="F7" s="59"/>
      <c r="G7" s="59"/>
      <c r="H7" s="119"/>
    </row>
    <row r="8" spans="2:8" x14ac:dyDescent="0.2">
      <c r="B8" s="88" t="s">
        <v>109</v>
      </c>
      <c r="H8" s="78"/>
    </row>
    <row r="9" spans="2:8" x14ac:dyDescent="0.2">
      <c r="B9" s="88"/>
      <c r="H9" s="78"/>
    </row>
    <row r="10" spans="2:8" x14ac:dyDescent="0.2">
      <c r="B10" s="88"/>
      <c r="H10" s="78"/>
    </row>
    <row r="11" spans="2:8" ht="15.75" x14ac:dyDescent="0.25">
      <c r="B11" s="1" t="s">
        <v>2</v>
      </c>
      <c r="C11" s="89"/>
      <c r="D11" s="90"/>
      <c r="H11" s="78"/>
    </row>
    <row r="12" spans="2:8" x14ac:dyDescent="0.2">
      <c r="B12" s="88" t="s">
        <v>3</v>
      </c>
      <c r="D12" s="91">
        <v>30</v>
      </c>
      <c r="H12" s="78"/>
    </row>
    <row r="13" spans="2:8" x14ac:dyDescent="0.2">
      <c r="B13" s="88" t="s">
        <v>35</v>
      </c>
      <c r="C13" s="26" t="s">
        <v>4</v>
      </c>
      <c r="D13" s="91">
        <v>12</v>
      </c>
      <c r="H13" s="78"/>
    </row>
    <row r="14" spans="2:8" x14ac:dyDescent="0.2">
      <c r="B14" s="88"/>
      <c r="C14" s="26" t="s">
        <v>5</v>
      </c>
      <c r="D14" s="91">
        <v>5</v>
      </c>
      <c r="H14" s="78"/>
    </row>
    <row r="15" spans="2:8" x14ac:dyDescent="0.2">
      <c r="B15" s="88" t="s">
        <v>37</v>
      </c>
      <c r="D15" s="91">
        <f>D12-D13-D14</f>
        <v>13</v>
      </c>
      <c r="H15" s="78"/>
    </row>
    <row r="16" spans="2:8" x14ac:dyDescent="0.2">
      <c r="B16" s="88" t="s">
        <v>6</v>
      </c>
      <c r="D16" s="92">
        <v>0.33333333333333331</v>
      </c>
      <c r="H16" s="78"/>
    </row>
    <row r="17" spans="2:8" x14ac:dyDescent="0.2">
      <c r="B17" s="93"/>
      <c r="C17" s="94"/>
      <c r="D17" s="95"/>
      <c r="H17" s="78"/>
    </row>
    <row r="18" spans="2:8" ht="15.75" x14ac:dyDescent="0.25">
      <c r="B18" s="2" t="s">
        <v>7</v>
      </c>
      <c r="D18" s="96"/>
      <c r="H18" s="78"/>
    </row>
    <row r="19" spans="2:8" x14ac:dyDescent="0.2">
      <c r="B19" s="97" t="s">
        <v>38</v>
      </c>
      <c r="C19" s="98"/>
      <c r="D19" s="91"/>
      <c r="H19" s="78"/>
    </row>
    <row r="20" spans="2:8" x14ac:dyDescent="0.2">
      <c r="B20" s="93"/>
      <c r="C20" s="94"/>
      <c r="D20" s="95"/>
      <c r="H20" s="78"/>
    </row>
    <row r="21" spans="2:8" ht="15.75" x14ac:dyDescent="0.25">
      <c r="B21" s="2" t="s">
        <v>8</v>
      </c>
      <c r="D21" s="96"/>
      <c r="H21" s="78"/>
    </row>
    <row r="22" spans="2:8" x14ac:dyDescent="0.2">
      <c r="B22" s="97" t="s">
        <v>9</v>
      </c>
      <c r="C22" s="98"/>
      <c r="D22" s="91"/>
      <c r="H22" s="78"/>
    </row>
    <row r="23" spans="2:8" x14ac:dyDescent="0.2">
      <c r="B23" s="97" t="s">
        <v>36</v>
      </c>
      <c r="C23" s="98"/>
      <c r="D23" s="91"/>
      <c r="H23" s="78"/>
    </row>
    <row r="24" spans="2:8" x14ac:dyDescent="0.2">
      <c r="B24" s="99" t="s">
        <v>10</v>
      </c>
      <c r="C24" s="100"/>
      <c r="D24" s="101"/>
      <c r="H24" s="78"/>
    </row>
    <row r="25" spans="2:8" x14ac:dyDescent="0.2">
      <c r="B25" s="88"/>
      <c r="H25" s="78"/>
    </row>
    <row r="26" spans="2:8" x14ac:dyDescent="0.2">
      <c r="B26" s="88"/>
      <c r="H26" s="78"/>
    </row>
    <row r="27" spans="2:8" s="8" customFormat="1" ht="31.5" x14ac:dyDescent="0.2">
      <c r="B27" s="111"/>
      <c r="C27" s="27" t="s">
        <v>11</v>
      </c>
      <c r="D27" s="27"/>
      <c r="E27" s="112" t="s">
        <v>105</v>
      </c>
      <c r="F27" s="27" t="s">
        <v>12</v>
      </c>
      <c r="G27" s="112" t="s">
        <v>106</v>
      </c>
      <c r="H27" s="113" t="s">
        <v>1</v>
      </c>
    </row>
    <row r="28" spans="2:8" ht="15.75" x14ac:dyDescent="0.25">
      <c r="B28" s="3" t="s">
        <v>4</v>
      </c>
      <c r="C28" s="103">
        <v>6</v>
      </c>
      <c r="E28" s="103">
        <v>12</v>
      </c>
      <c r="F28" s="104">
        <v>9</v>
      </c>
      <c r="G28" s="103">
        <f>E28+F28</f>
        <v>21</v>
      </c>
      <c r="H28" s="114">
        <f>4-(1/3)*F28</f>
        <v>1</v>
      </c>
    </row>
    <row r="29" spans="2:8" ht="15.75" x14ac:dyDescent="0.25">
      <c r="B29" s="4" t="s">
        <v>5</v>
      </c>
      <c r="C29" s="105">
        <v>4</v>
      </c>
      <c r="D29" s="94"/>
      <c r="E29" s="105">
        <v>5</v>
      </c>
      <c r="F29" s="106">
        <v>4.0000000000000027</v>
      </c>
      <c r="G29" s="103">
        <f>E29+F29</f>
        <v>9.0000000000000036</v>
      </c>
      <c r="H29" s="114">
        <f>4-(1/3)*F29</f>
        <v>2.6666666666666661</v>
      </c>
    </row>
    <row r="30" spans="2:8" ht="15.75" x14ac:dyDescent="0.25">
      <c r="B30" s="107"/>
      <c r="F30" s="5" t="s">
        <v>13</v>
      </c>
      <c r="G30" s="6">
        <f>SUM(G28:G29)</f>
        <v>30.000000000000004</v>
      </c>
      <c r="H30" s="114"/>
    </row>
    <row r="31" spans="2:8" ht="15.75" x14ac:dyDescent="0.25">
      <c r="B31" s="108"/>
      <c r="C31" s="94"/>
      <c r="D31" s="94"/>
      <c r="E31" s="94"/>
      <c r="F31" s="7" t="s">
        <v>14</v>
      </c>
      <c r="G31" s="105"/>
      <c r="H31" s="115">
        <f>(H28*C28+H29*C29)/SUM(C28:C29)</f>
        <v>1.6666666666666665</v>
      </c>
    </row>
    <row r="32" spans="2:8" x14ac:dyDescent="0.2">
      <c r="B32" s="88"/>
      <c r="H32" s="78"/>
    </row>
    <row r="33" spans="2:8" x14ac:dyDescent="0.2">
      <c r="B33" s="88"/>
      <c r="H33" s="78"/>
    </row>
    <row r="34" spans="2:8" x14ac:dyDescent="0.2">
      <c r="B34" s="88"/>
      <c r="H34" s="78"/>
    </row>
    <row r="35" spans="2:8" ht="15.75" thickBot="1" x14ac:dyDescent="0.25">
      <c r="B35" s="109"/>
      <c r="C35" s="77"/>
      <c r="D35" s="77"/>
      <c r="E35" s="77"/>
      <c r="F35" s="77"/>
      <c r="G35" s="77"/>
      <c r="H35" s="110"/>
    </row>
  </sheetData>
  <mergeCells count="2">
    <mergeCell ref="B5:H5"/>
    <mergeCell ref="B6:H6"/>
  </mergeCells>
  <phoneticPr fontId="2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67"/>
  <sheetViews>
    <sheetView tabSelected="1" topLeftCell="A40" zoomScaleNormal="100" workbookViewId="0">
      <selection activeCell="E66" sqref="E66"/>
    </sheetView>
  </sheetViews>
  <sheetFormatPr baseColWidth="10" defaultColWidth="10.85546875" defaultRowHeight="15" customHeight="1" x14ac:dyDescent="0.2"/>
  <cols>
    <col min="1" max="1" width="10.7109375" style="26" customWidth="1"/>
    <col min="2" max="2" width="12.85546875" style="26" customWidth="1"/>
    <col min="3" max="3" width="11.7109375" style="26" customWidth="1"/>
    <col min="4" max="4" width="17.85546875" style="26" customWidth="1"/>
    <col min="5" max="5" width="12.7109375" style="26" bestFit="1" customWidth="1"/>
    <col min="6" max="15" width="10.7109375" style="26" customWidth="1"/>
    <col min="16" max="16384" width="10.85546875" style="26"/>
  </cols>
  <sheetData>
    <row r="2" spans="1:10" ht="19.5" customHeight="1" x14ac:dyDescent="0.3">
      <c r="B2" s="80" t="s">
        <v>103</v>
      </c>
      <c r="C2" s="79"/>
      <c r="D2" s="79"/>
    </row>
    <row r="3" spans="1:10" ht="15" customHeight="1" thickBot="1" x14ac:dyDescent="0.25"/>
    <row r="4" spans="1:10" ht="15" customHeight="1" x14ac:dyDescent="0.25">
      <c r="B4" s="116" t="s">
        <v>70</v>
      </c>
      <c r="C4" s="153"/>
      <c r="D4" s="153"/>
      <c r="E4" s="153"/>
      <c r="F4" s="153"/>
      <c r="G4" s="153"/>
      <c r="H4" s="153"/>
      <c r="I4" s="153"/>
      <c r="J4" s="154"/>
    </row>
    <row r="5" spans="1:10" ht="15" customHeight="1" x14ac:dyDescent="0.2">
      <c r="B5" s="291" t="s">
        <v>73</v>
      </c>
      <c r="C5" s="292"/>
      <c r="D5" s="292"/>
      <c r="E5" s="292"/>
      <c r="F5" s="292"/>
      <c r="G5" s="292"/>
      <c r="H5" s="292"/>
      <c r="I5" s="292"/>
      <c r="J5" s="293"/>
    </row>
    <row r="6" spans="1:10" ht="19.149999999999999" customHeight="1" x14ac:dyDescent="0.2">
      <c r="B6" s="247" t="s">
        <v>110</v>
      </c>
      <c r="C6" s="248"/>
      <c r="D6" s="248"/>
      <c r="E6" s="248"/>
      <c r="F6" s="248"/>
      <c r="G6" s="248"/>
      <c r="H6" s="248"/>
      <c r="I6" s="248"/>
      <c r="J6" s="249"/>
    </row>
    <row r="7" spans="1:10" ht="15" customHeight="1" x14ac:dyDescent="0.2">
      <c r="B7" s="88"/>
      <c r="J7" s="78"/>
    </row>
    <row r="8" spans="1:10" ht="15" customHeight="1" x14ac:dyDescent="0.2">
      <c r="B8" s="88"/>
      <c r="J8" s="78"/>
    </row>
    <row r="9" spans="1:10" ht="15" customHeight="1" x14ac:dyDescent="0.2">
      <c r="B9" s="88"/>
      <c r="J9" s="78"/>
    </row>
    <row r="10" spans="1:10" ht="15" customHeight="1" x14ac:dyDescent="0.2">
      <c r="B10" s="88"/>
      <c r="J10" s="78"/>
    </row>
    <row r="11" spans="1:10" ht="31.15" customHeight="1" x14ac:dyDescent="0.2">
      <c r="B11" s="244" t="s">
        <v>48</v>
      </c>
      <c r="C11" s="245"/>
      <c r="D11" s="245"/>
      <c r="E11" s="245"/>
      <c r="F11" s="245"/>
      <c r="G11" s="245"/>
      <c r="H11" s="245"/>
      <c r="I11" s="245"/>
      <c r="J11" s="246"/>
    </row>
    <row r="12" spans="1:10" ht="15" customHeight="1" x14ac:dyDescent="0.2">
      <c r="B12" s="247" t="s">
        <v>40</v>
      </c>
      <c r="C12" s="248"/>
      <c r="D12" s="248"/>
      <c r="E12" s="248"/>
      <c r="F12" s="248"/>
      <c r="G12" s="248"/>
      <c r="H12" s="248"/>
      <c r="I12" s="248"/>
      <c r="J12" s="249"/>
    </row>
    <row r="13" spans="1:10" ht="15" customHeight="1" x14ac:dyDescent="0.2">
      <c r="B13" s="88"/>
      <c r="J13" s="78"/>
    </row>
    <row r="14" spans="1:10" ht="15" customHeight="1" x14ac:dyDescent="0.25">
      <c r="B14" s="141" t="s">
        <v>111</v>
      </c>
      <c r="C14" s="142"/>
      <c r="D14" s="142"/>
      <c r="E14" s="142"/>
      <c r="F14" s="142"/>
      <c r="G14" s="142"/>
      <c r="H14" s="142"/>
      <c r="I14" s="142"/>
      <c r="J14" s="143"/>
    </row>
    <row r="15" spans="1:10" ht="15" customHeight="1" x14ac:dyDescent="0.2">
      <c r="B15" s="88"/>
      <c r="J15" s="78"/>
    </row>
    <row r="16" spans="1:10" ht="15" customHeight="1" x14ac:dyDescent="0.25">
      <c r="A16" s="5"/>
      <c r="B16" s="144" t="s">
        <v>53</v>
      </c>
      <c r="C16" s="124" t="s">
        <v>52</v>
      </c>
      <c r="D16" s="125" t="s">
        <v>114</v>
      </c>
      <c r="J16" s="78"/>
    </row>
    <row r="17" spans="2:10" s="236" customFormat="1" ht="35.450000000000003" customHeight="1" thickBot="1" x14ac:dyDescent="0.25">
      <c r="B17" s="233" t="s">
        <v>51</v>
      </c>
      <c r="C17" s="234" t="s">
        <v>50</v>
      </c>
      <c r="D17" s="235" t="s">
        <v>115</v>
      </c>
      <c r="J17" s="237"/>
    </row>
    <row r="18" spans="2:10" ht="15" customHeight="1" thickBot="1" x14ac:dyDescent="0.4">
      <c r="B18" s="145">
        <v>1400</v>
      </c>
      <c r="C18" s="121">
        <v>210000</v>
      </c>
      <c r="D18" s="126">
        <f>(C18-($G$18+$G$19*B18))^2</f>
        <v>858317942.73700058</v>
      </c>
      <c r="F18" s="130" t="s">
        <v>116</v>
      </c>
      <c r="G18" s="128">
        <v>28629.728608766094</v>
      </c>
      <c r="J18" s="78"/>
    </row>
    <row r="19" spans="2:10" ht="15" customHeight="1" thickBot="1" x14ac:dyDescent="0.4">
      <c r="B19" s="145">
        <v>1800</v>
      </c>
      <c r="C19" s="121">
        <v>220000</v>
      </c>
      <c r="D19" s="126">
        <f t="shared" ref="D19:D25" si="0">(C19-($G$18+$G$19*B19))^2</f>
        <v>17242626.59857069</v>
      </c>
      <c r="F19" s="129" t="s">
        <v>117</v>
      </c>
      <c r="G19" s="131">
        <v>108.62371976366447</v>
      </c>
      <c r="J19" s="78"/>
    </row>
    <row r="20" spans="2:10" ht="15" customHeight="1" x14ac:dyDescent="0.2">
      <c r="B20" s="145">
        <v>1900</v>
      </c>
      <c r="C20" s="121">
        <v>240000</v>
      </c>
      <c r="D20" s="126">
        <f t="shared" si="0"/>
        <v>24852257.329056665</v>
      </c>
      <c r="E20" s="103"/>
      <c r="F20" s="146"/>
      <c r="G20" s="146"/>
      <c r="J20" s="78"/>
    </row>
    <row r="21" spans="2:10" ht="15" customHeight="1" x14ac:dyDescent="0.2">
      <c r="B21" s="145">
        <v>2400</v>
      </c>
      <c r="C21" s="121">
        <v>241000</v>
      </c>
      <c r="D21" s="126">
        <f t="shared" si="0"/>
        <v>2335465684.1593261</v>
      </c>
      <c r="E21" s="103"/>
      <c r="F21" s="146"/>
      <c r="G21" s="146"/>
      <c r="J21" s="78"/>
    </row>
    <row r="22" spans="2:10" ht="15" customHeight="1" x14ac:dyDescent="0.2">
      <c r="B22" s="145">
        <v>2800</v>
      </c>
      <c r="C22" s="121">
        <v>320000</v>
      </c>
      <c r="D22" s="126">
        <f t="shared" si="0"/>
        <v>163229854.15514529</v>
      </c>
      <c r="E22" s="103"/>
      <c r="F22" s="146"/>
      <c r="G22" s="146"/>
      <c r="J22" s="78"/>
    </row>
    <row r="23" spans="2:10" ht="15" customHeight="1" x14ac:dyDescent="0.2">
      <c r="B23" s="145">
        <v>3200</v>
      </c>
      <c r="C23" s="121">
        <v>400000</v>
      </c>
      <c r="D23" s="126">
        <f t="shared" si="0"/>
        <v>565220580.81322396</v>
      </c>
      <c r="E23" s="103"/>
      <c r="F23" s="146"/>
      <c r="G23" s="146"/>
      <c r="J23" s="78"/>
    </row>
    <row r="24" spans="2:10" ht="15" customHeight="1" x14ac:dyDescent="0.2">
      <c r="B24" s="145">
        <v>3600</v>
      </c>
      <c r="C24" s="121">
        <v>410000</v>
      </c>
      <c r="D24" s="126">
        <f t="shared" si="0"/>
        <v>93607942.330832437</v>
      </c>
      <c r="E24" s="103"/>
      <c r="F24" s="146"/>
      <c r="G24" s="146"/>
      <c r="J24" s="78"/>
    </row>
    <row r="25" spans="2:10" ht="15" customHeight="1" thickBot="1" x14ac:dyDescent="0.25">
      <c r="B25" s="147">
        <v>4000</v>
      </c>
      <c r="C25" s="121">
        <v>480000</v>
      </c>
      <c r="D25" s="126">
        <f t="shared" si="0"/>
        <v>284778866.51336843</v>
      </c>
      <c r="E25" s="103"/>
      <c r="F25" s="146"/>
      <c r="G25" s="146"/>
      <c r="J25" s="78"/>
    </row>
    <row r="26" spans="2:10" ht="15" customHeight="1" thickBot="1" x14ac:dyDescent="0.3">
      <c r="B26" s="145"/>
      <c r="C26" s="127" t="s">
        <v>49</v>
      </c>
      <c r="D26" s="128">
        <f>SUM(D18:D25)</f>
        <v>4342715754.6365242</v>
      </c>
      <c r="E26" s="103"/>
      <c r="F26" s="146"/>
      <c r="G26" s="146"/>
      <c r="J26" s="78"/>
    </row>
    <row r="27" spans="2:10" ht="15" customHeight="1" x14ac:dyDescent="0.2">
      <c r="B27" s="88"/>
      <c r="E27" s="103"/>
      <c r="F27" s="146"/>
      <c r="G27" s="146"/>
      <c r="J27" s="78"/>
    </row>
    <row r="28" spans="2:10" ht="15" customHeight="1" x14ac:dyDescent="0.2">
      <c r="B28" s="88"/>
      <c r="E28" s="103"/>
      <c r="F28" s="146"/>
      <c r="G28" s="146"/>
      <c r="J28" s="78"/>
    </row>
    <row r="29" spans="2:10" ht="15" customHeight="1" x14ac:dyDescent="0.2">
      <c r="B29" s="88"/>
      <c r="J29" s="78"/>
    </row>
    <row r="30" spans="2:10" ht="15" customHeight="1" x14ac:dyDescent="0.2">
      <c r="B30" s="88"/>
      <c r="E30" s="103"/>
      <c r="J30" s="78"/>
    </row>
    <row r="31" spans="2:10" ht="15" customHeight="1" x14ac:dyDescent="0.2">
      <c r="B31" s="88"/>
      <c r="J31" s="78"/>
    </row>
    <row r="32" spans="2:10" ht="15" customHeight="1" x14ac:dyDescent="0.2">
      <c r="B32" s="88"/>
      <c r="C32" s="148"/>
      <c r="J32" s="78"/>
    </row>
    <row r="33" spans="2:10" ht="15" customHeight="1" x14ac:dyDescent="0.25">
      <c r="B33" s="2"/>
      <c r="C33" s="148"/>
      <c r="J33" s="78"/>
    </row>
    <row r="34" spans="2:10" ht="15" customHeight="1" x14ac:dyDescent="0.25">
      <c r="B34" s="2"/>
      <c r="C34" s="148"/>
      <c r="J34" s="78"/>
    </row>
    <row r="35" spans="2:10" ht="15" customHeight="1" x14ac:dyDescent="0.25">
      <c r="B35" s="2"/>
      <c r="C35" s="148"/>
      <c r="J35" s="78"/>
    </row>
    <row r="36" spans="2:10" ht="15" customHeight="1" x14ac:dyDescent="0.2">
      <c r="B36" s="88"/>
      <c r="J36" s="78"/>
    </row>
    <row r="37" spans="2:10" ht="15" customHeight="1" x14ac:dyDescent="0.2">
      <c r="B37" s="88"/>
      <c r="J37" s="78"/>
    </row>
    <row r="38" spans="2:10" ht="15" customHeight="1" x14ac:dyDescent="0.2">
      <c r="B38" s="88"/>
      <c r="J38" s="78"/>
    </row>
    <row r="39" spans="2:10" ht="15" customHeight="1" x14ac:dyDescent="0.2">
      <c r="B39" s="88"/>
      <c r="J39" s="78"/>
    </row>
    <row r="40" spans="2:10" ht="15" customHeight="1" x14ac:dyDescent="0.2">
      <c r="B40" s="88"/>
      <c r="J40" s="78"/>
    </row>
    <row r="41" spans="2:10" ht="15" customHeight="1" x14ac:dyDescent="0.2">
      <c r="B41" s="88"/>
      <c r="J41" s="78"/>
    </row>
    <row r="42" spans="2:10" ht="15" customHeight="1" x14ac:dyDescent="0.2">
      <c r="B42" s="88"/>
      <c r="J42" s="78"/>
    </row>
    <row r="43" spans="2:10" ht="15" customHeight="1" x14ac:dyDescent="0.2">
      <c r="B43" s="88"/>
      <c r="J43" s="78"/>
    </row>
    <row r="44" spans="2:10" ht="15" customHeight="1" x14ac:dyDescent="0.2">
      <c r="B44" s="88"/>
      <c r="J44" s="78"/>
    </row>
    <row r="45" spans="2:10" ht="15" customHeight="1" x14ac:dyDescent="0.2">
      <c r="B45" s="88"/>
      <c r="J45" s="78"/>
    </row>
    <row r="46" spans="2:10" ht="15" customHeight="1" x14ac:dyDescent="0.2">
      <c r="B46" s="88"/>
      <c r="J46" s="78"/>
    </row>
    <row r="47" spans="2:10" ht="15" customHeight="1" x14ac:dyDescent="0.2">
      <c r="B47" s="88"/>
      <c r="J47" s="78"/>
    </row>
    <row r="48" spans="2:10" ht="15" customHeight="1" x14ac:dyDescent="0.2">
      <c r="B48" s="88"/>
      <c r="J48" s="78"/>
    </row>
    <row r="49" spans="2:10" ht="15" customHeight="1" x14ac:dyDescent="0.2">
      <c r="B49" s="88"/>
      <c r="J49" s="78"/>
    </row>
    <row r="50" spans="2:10" ht="15" customHeight="1" x14ac:dyDescent="0.2">
      <c r="B50" s="88"/>
      <c r="J50" s="78"/>
    </row>
    <row r="51" spans="2:10" ht="15" customHeight="1" x14ac:dyDescent="0.2">
      <c r="B51" s="88"/>
      <c r="J51" s="78"/>
    </row>
    <row r="52" spans="2:10" ht="15" customHeight="1" x14ac:dyDescent="0.2">
      <c r="B52" s="88"/>
      <c r="F52" s="103"/>
      <c r="J52" s="78"/>
    </row>
    <row r="53" spans="2:10" ht="15" customHeight="1" x14ac:dyDescent="0.25">
      <c r="B53" s="141" t="s">
        <v>112</v>
      </c>
      <c r="C53" s="142"/>
      <c r="D53" s="142"/>
      <c r="E53" s="142"/>
      <c r="F53" s="142"/>
      <c r="G53" s="142"/>
      <c r="H53" s="142"/>
      <c r="I53" s="142"/>
      <c r="J53" s="143"/>
    </row>
    <row r="54" spans="2:10" ht="15" customHeight="1" thickBot="1" x14ac:dyDescent="0.25">
      <c r="B54" s="88"/>
      <c r="F54" s="103"/>
      <c r="I54" s="149"/>
      <c r="J54" s="78"/>
    </row>
    <row r="55" spans="2:10" ht="15" customHeight="1" thickBot="1" x14ac:dyDescent="0.3">
      <c r="B55" s="88"/>
      <c r="D55" s="150" t="s">
        <v>47</v>
      </c>
      <c r="G55" s="132" t="s">
        <v>46</v>
      </c>
      <c r="H55" s="133" t="s">
        <v>45</v>
      </c>
      <c r="I55" s="151"/>
      <c r="J55" s="78"/>
    </row>
    <row r="56" spans="2:10" ht="15" customHeight="1" thickBot="1" x14ac:dyDescent="0.25">
      <c r="B56" s="88"/>
      <c r="G56" s="134" cm="1">
        <f t="array" ref="G56:H56">LINEST(C18:C25,B18:B25)</f>
        <v>108.6238724564716</v>
      </c>
      <c r="H56" s="131">
        <v>28629.536396056123</v>
      </c>
      <c r="I56" s="152"/>
      <c r="J56" s="78"/>
    </row>
    <row r="57" spans="2:10" ht="15" customHeight="1" thickBot="1" x14ac:dyDescent="0.25">
      <c r="B57" s="88"/>
      <c r="E57" s="103"/>
      <c r="F57" s="103"/>
      <c r="I57" s="151"/>
      <c r="J57" s="78"/>
    </row>
    <row r="58" spans="2:10" ht="15" customHeight="1" x14ac:dyDescent="0.25">
      <c r="B58" s="294" t="s">
        <v>44</v>
      </c>
      <c r="C58" s="295"/>
      <c r="D58" s="295"/>
      <c r="E58" s="295"/>
      <c r="F58" s="135">
        <f>SLOPE(C18:C25,B18:B25)</f>
        <v>108.62387245647157</v>
      </c>
      <c r="I58" s="151"/>
      <c r="J58" s="78"/>
    </row>
    <row r="59" spans="2:10" ht="15" customHeight="1" x14ac:dyDescent="0.25">
      <c r="B59" s="281" t="s">
        <v>43</v>
      </c>
      <c r="C59" s="282"/>
      <c r="D59" s="282"/>
      <c r="E59" s="282"/>
      <c r="F59" s="136">
        <f>INTERCEPT(C18:C25,B18:B25)</f>
        <v>28629.536396056239</v>
      </c>
      <c r="I59" s="151"/>
      <c r="J59" s="78"/>
    </row>
    <row r="60" spans="2:10" ht="15" customHeight="1" x14ac:dyDescent="0.25">
      <c r="B60" s="281" t="s">
        <v>42</v>
      </c>
      <c r="C60" s="282"/>
      <c r="D60" s="282"/>
      <c r="E60" s="282"/>
      <c r="F60" s="136">
        <f>PEARSON(C18:C25,B18:B25)</f>
        <v>0.97047736955589547</v>
      </c>
      <c r="J60" s="78"/>
    </row>
    <row r="61" spans="2:10" ht="15" customHeight="1" thickBot="1" x14ac:dyDescent="0.3">
      <c r="B61" s="283" t="s">
        <v>41</v>
      </c>
      <c r="C61" s="284"/>
      <c r="D61" s="284"/>
      <c r="E61" s="284"/>
      <c r="F61" s="137">
        <f>RSQ(C18:C25,B18:B25)</f>
        <v>0.94182632482013007</v>
      </c>
      <c r="J61" s="78"/>
    </row>
    <row r="62" spans="2:10" ht="15" customHeight="1" x14ac:dyDescent="0.2">
      <c r="B62" s="88"/>
      <c r="J62" s="78"/>
    </row>
    <row r="63" spans="2:10" ht="15" customHeight="1" x14ac:dyDescent="0.25">
      <c r="B63" s="141" t="s">
        <v>113</v>
      </c>
      <c r="C63" s="142"/>
      <c r="D63" s="142"/>
      <c r="E63" s="142"/>
      <c r="F63" s="142"/>
      <c r="G63" s="142"/>
      <c r="H63" s="142"/>
      <c r="I63" s="142"/>
      <c r="J63" s="143"/>
    </row>
    <row r="64" spans="2:10" ht="15" customHeight="1" thickBot="1" x14ac:dyDescent="0.25">
      <c r="B64" s="88"/>
      <c r="J64" s="78"/>
    </row>
    <row r="65" spans="2:10" ht="15" customHeight="1" x14ac:dyDescent="0.2">
      <c r="B65" s="88"/>
      <c r="C65" s="285" t="s">
        <v>39</v>
      </c>
      <c r="D65" s="286"/>
      <c r="E65" s="138">
        <v>4500</v>
      </c>
      <c r="J65" s="78"/>
    </row>
    <row r="66" spans="2:10" ht="15" customHeight="1" x14ac:dyDescent="0.2">
      <c r="B66" s="88"/>
      <c r="C66" s="287" t="s">
        <v>118</v>
      </c>
      <c r="D66" s="288"/>
      <c r="E66" s="139" cm="1">
        <f t="array" ref="E66">TREND(C18:C25,B18:B25,E65)</f>
        <v>517436.96245017834</v>
      </c>
      <c r="J66" s="78"/>
    </row>
    <row r="67" spans="2:10" ht="15" customHeight="1" thickBot="1" x14ac:dyDescent="0.25">
      <c r="B67" s="109"/>
      <c r="C67" s="289" t="s">
        <v>119</v>
      </c>
      <c r="D67" s="290"/>
      <c r="E67" s="140">
        <f>G56*E65+H56</f>
        <v>517436.96245017834</v>
      </c>
      <c r="F67" s="77"/>
      <c r="G67" s="77"/>
      <c r="H67" s="77"/>
      <c r="I67" s="77"/>
      <c r="J67" s="110"/>
    </row>
  </sheetData>
  <mergeCells count="11">
    <mergeCell ref="B59:E59"/>
    <mergeCell ref="B5:J5"/>
    <mergeCell ref="B6:J6"/>
    <mergeCell ref="B11:J11"/>
    <mergeCell ref="B12:J12"/>
    <mergeCell ref="B58:E58"/>
    <mergeCell ref="B60:E60"/>
    <mergeCell ref="B61:E61"/>
    <mergeCell ref="C65:D65"/>
    <mergeCell ref="C66:D66"/>
    <mergeCell ref="C67:D67"/>
  </mergeCells>
  <pageMargins left="0.78740157499999996" right="0.78740157499999996" top="0.984251969" bottom="0.984251969" header="0.4921259845" footer="0.492125984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63"/>
  <sheetViews>
    <sheetView topLeftCell="A16" zoomScale="80" zoomScaleNormal="80" workbookViewId="0">
      <selection activeCell="P49" sqref="P49"/>
    </sheetView>
  </sheetViews>
  <sheetFormatPr baseColWidth="10" defaultColWidth="10.85546875" defaultRowHeight="15" x14ac:dyDescent="0.2"/>
  <cols>
    <col min="1" max="2" width="10.85546875" style="26"/>
    <col min="3" max="3" width="9.5703125" style="26" customWidth="1"/>
    <col min="4" max="5" width="8" style="26" customWidth="1"/>
    <col min="6" max="6" width="9.85546875" style="26" bestFit="1" customWidth="1"/>
    <col min="7" max="7" width="6.42578125" style="26" customWidth="1"/>
    <col min="8" max="16384" width="10.85546875" style="26"/>
  </cols>
  <sheetData>
    <row r="2" spans="2:11" ht="20.25" x14ac:dyDescent="0.3">
      <c r="B2" s="80" t="s">
        <v>78</v>
      </c>
      <c r="C2" s="79"/>
      <c r="D2" s="79"/>
    </row>
    <row r="3" spans="2:11" ht="16.5" thickBot="1" x14ac:dyDescent="0.3">
      <c r="B3" s="5"/>
    </row>
    <row r="4" spans="2:11" ht="15.75" x14ac:dyDescent="0.25">
      <c r="B4" s="301" t="s">
        <v>89</v>
      </c>
      <c r="C4" s="302"/>
      <c r="D4" s="302"/>
      <c r="E4" s="302"/>
      <c r="F4" s="302"/>
      <c r="G4" s="302"/>
      <c r="H4" s="302"/>
      <c r="I4" s="302"/>
      <c r="J4" s="302"/>
      <c r="K4" s="303"/>
    </row>
    <row r="5" spans="2:11" x14ac:dyDescent="0.2">
      <c r="B5" s="291" t="s">
        <v>65</v>
      </c>
      <c r="C5" s="292"/>
      <c r="D5" s="292"/>
      <c r="E5" s="292"/>
      <c r="F5" s="292"/>
      <c r="G5" s="292"/>
      <c r="H5" s="292"/>
      <c r="I5" s="292"/>
      <c r="J5" s="292"/>
      <c r="K5" s="293"/>
    </row>
    <row r="6" spans="2:11" ht="16.5" thickBot="1" x14ac:dyDescent="0.3">
      <c r="B6" s="2"/>
      <c r="K6" s="78"/>
    </row>
    <row r="7" spans="2:11" ht="16.5" thickBot="1" x14ac:dyDescent="0.3">
      <c r="B7" s="2"/>
      <c r="C7" s="185" t="s">
        <v>53</v>
      </c>
      <c r="D7" s="186" t="s">
        <v>52</v>
      </c>
      <c r="E7" s="187" t="s">
        <v>58</v>
      </c>
      <c r="K7" s="78"/>
    </row>
    <row r="8" spans="2:11" ht="15.75" x14ac:dyDescent="0.25">
      <c r="B8" s="2"/>
      <c r="C8" s="182">
        <v>1</v>
      </c>
      <c r="D8" s="183">
        <v>3</v>
      </c>
      <c r="E8" s="184">
        <v>3.9</v>
      </c>
      <c r="K8" s="78"/>
    </row>
    <row r="9" spans="2:11" ht="15.75" x14ac:dyDescent="0.25">
      <c r="B9" s="2"/>
      <c r="C9" s="163">
        <v>2</v>
      </c>
      <c r="D9" s="164">
        <v>7</v>
      </c>
      <c r="E9" s="165">
        <v>5</v>
      </c>
      <c r="K9" s="78"/>
    </row>
    <row r="10" spans="2:11" ht="15.75" x14ac:dyDescent="0.25">
      <c r="B10" s="2"/>
      <c r="C10" s="163">
        <v>3</v>
      </c>
      <c r="D10" s="164">
        <v>4</v>
      </c>
      <c r="E10" s="165">
        <v>5.5</v>
      </c>
      <c r="K10" s="78"/>
    </row>
    <row r="11" spans="2:11" ht="15.75" x14ac:dyDescent="0.25">
      <c r="B11" s="2"/>
      <c r="C11" s="163">
        <v>4</v>
      </c>
      <c r="D11" s="164">
        <v>8</v>
      </c>
      <c r="E11" s="165">
        <v>6.5</v>
      </c>
      <c r="K11" s="78"/>
    </row>
    <row r="12" spans="2:11" ht="15.75" x14ac:dyDescent="0.25">
      <c r="B12" s="2"/>
      <c r="C12" s="163">
        <v>5</v>
      </c>
      <c r="D12" s="164">
        <v>5</v>
      </c>
      <c r="E12" s="165">
        <v>7</v>
      </c>
      <c r="K12" s="78"/>
    </row>
    <row r="13" spans="2:11" ht="16.5" thickBot="1" x14ac:dyDescent="0.3">
      <c r="B13" s="2"/>
      <c r="C13" s="166">
        <v>6</v>
      </c>
      <c r="D13" s="167">
        <v>9</v>
      </c>
      <c r="E13" s="168">
        <v>8.1</v>
      </c>
      <c r="K13" s="78"/>
    </row>
    <row r="14" spans="2:11" ht="15.75" x14ac:dyDescent="0.25">
      <c r="B14" s="2"/>
      <c r="K14" s="78"/>
    </row>
    <row r="15" spans="2:11" ht="15.75" x14ac:dyDescent="0.25">
      <c r="B15" s="304" t="s">
        <v>120</v>
      </c>
      <c r="C15" s="305"/>
      <c r="D15" s="305"/>
      <c r="E15" s="305"/>
      <c r="F15" s="305"/>
      <c r="G15" s="305"/>
      <c r="H15" s="305"/>
      <c r="I15" s="305"/>
      <c r="J15" s="305"/>
      <c r="K15" s="306"/>
    </row>
    <row r="16" spans="2:11" ht="34.5" customHeight="1" x14ac:dyDescent="0.2">
      <c r="B16" s="244" t="s">
        <v>121</v>
      </c>
      <c r="C16" s="245"/>
      <c r="D16" s="245"/>
      <c r="E16" s="245"/>
      <c r="F16" s="245"/>
      <c r="G16" s="245"/>
      <c r="H16" s="245"/>
      <c r="I16" s="245"/>
      <c r="J16" s="245"/>
      <c r="K16" s="246"/>
    </row>
    <row r="17" spans="2:11" ht="47.65" customHeight="1" x14ac:dyDescent="0.2">
      <c r="B17" s="241" t="s">
        <v>72</v>
      </c>
      <c r="C17" s="242"/>
      <c r="D17" s="242"/>
      <c r="E17" s="242"/>
      <c r="F17" s="242"/>
      <c r="G17" s="242"/>
      <c r="H17" s="242"/>
      <c r="I17" s="242"/>
      <c r="J17" s="242"/>
      <c r="K17" s="243"/>
    </row>
    <row r="18" spans="2:11" ht="33" customHeight="1" x14ac:dyDescent="0.2">
      <c r="B18" s="241" t="s">
        <v>64</v>
      </c>
      <c r="C18" s="242"/>
      <c r="D18" s="242"/>
      <c r="E18" s="242"/>
      <c r="F18" s="242"/>
      <c r="G18" s="242"/>
      <c r="H18" s="242"/>
      <c r="I18" s="242"/>
      <c r="J18" s="242"/>
      <c r="K18" s="243"/>
    </row>
    <row r="19" spans="2:11" ht="17.25" customHeight="1" x14ac:dyDescent="0.2">
      <c r="B19" s="169"/>
      <c r="C19" s="151"/>
      <c r="D19" s="151"/>
      <c r="E19" s="151"/>
      <c r="F19" s="151"/>
      <c r="G19" s="151"/>
      <c r="H19" s="151"/>
      <c r="I19" s="151"/>
      <c r="J19" s="151"/>
      <c r="K19" s="170"/>
    </row>
    <row r="20" spans="2:11" ht="17.25" customHeight="1" thickBot="1" x14ac:dyDescent="0.3">
      <c r="B20" s="296" t="s">
        <v>111</v>
      </c>
      <c r="C20" s="297"/>
      <c r="D20" s="297"/>
      <c r="E20" s="297"/>
      <c r="F20" s="297"/>
      <c r="G20" s="297"/>
      <c r="H20" s="297"/>
      <c r="I20" s="297"/>
      <c r="J20" s="297"/>
      <c r="K20" s="298"/>
    </row>
    <row r="21" spans="2:11" ht="17.25" customHeight="1" thickBot="1" x14ac:dyDescent="0.3">
      <c r="B21" s="171"/>
      <c r="D21" s="180" t="s">
        <v>45</v>
      </c>
      <c r="E21" s="180" t="s">
        <v>63</v>
      </c>
      <c r="F21" s="151"/>
      <c r="G21" s="151"/>
      <c r="H21" s="151"/>
      <c r="I21" s="151"/>
      <c r="J21" s="151"/>
      <c r="K21" s="170"/>
    </row>
    <row r="22" spans="2:11" ht="17.25" customHeight="1" x14ac:dyDescent="0.2">
      <c r="B22" s="287" t="s">
        <v>62</v>
      </c>
      <c r="C22" s="299"/>
      <c r="D22" s="179" cm="1">
        <f t="array" ref="D22:E22">LINEST(D8:D13,C8:C13)</f>
        <v>0.80000000000000027</v>
      </c>
      <c r="E22" s="181">
        <v>3.1999999999999993</v>
      </c>
      <c r="F22" s="151"/>
      <c r="G22" s="151"/>
      <c r="H22" s="151"/>
      <c r="I22" s="151"/>
      <c r="J22" s="151"/>
      <c r="K22" s="170"/>
    </row>
    <row r="23" spans="2:11" ht="17.25" customHeight="1" x14ac:dyDescent="0.2">
      <c r="B23" s="287" t="s">
        <v>61</v>
      </c>
      <c r="C23" s="299"/>
      <c r="D23" s="160" cm="1">
        <f t="array" ref="D23:E23">LINEST(E8:E13,C8:C13)</f>
        <v>0.80000000000000016</v>
      </c>
      <c r="E23" s="161">
        <v>3.1999999999999993</v>
      </c>
      <c r="F23" s="151"/>
      <c r="G23" s="151"/>
      <c r="H23" s="151"/>
      <c r="I23" s="151"/>
      <c r="J23" s="151"/>
      <c r="K23" s="170"/>
    </row>
    <row r="24" spans="2:11" x14ac:dyDescent="0.2">
      <c r="B24" s="88"/>
      <c r="K24" s="78"/>
    </row>
    <row r="25" spans="2:11" x14ac:dyDescent="0.2">
      <c r="B25" s="88"/>
      <c r="K25" s="78"/>
    </row>
    <row r="26" spans="2:11" ht="15.75" x14ac:dyDescent="0.25">
      <c r="B26" s="296" t="s">
        <v>112</v>
      </c>
      <c r="C26" s="297"/>
      <c r="D26" s="297"/>
      <c r="E26" s="297"/>
      <c r="F26" s="297"/>
      <c r="G26" s="297"/>
      <c r="H26" s="297"/>
      <c r="I26" s="297"/>
      <c r="J26" s="297"/>
      <c r="K26" s="298"/>
    </row>
    <row r="27" spans="2:11" ht="15.75" thickBot="1" x14ac:dyDescent="0.25">
      <c r="B27" s="88"/>
      <c r="F27" s="300" t="s">
        <v>60</v>
      </c>
      <c r="G27" s="300"/>
      <c r="I27" s="26" t="s">
        <v>59</v>
      </c>
      <c r="K27" s="78"/>
    </row>
    <row r="28" spans="2:11" ht="16.5" thickBot="1" x14ac:dyDescent="0.3">
      <c r="B28" s="88"/>
      <c r="C28" s="155" t="s">
        <v>53</v>
      </c>
      <c r="D28" s="156" t="s">
        <v>52</v>
      </c>
      <c r="E28" s="157" t="s">
        <v>58</v>
      </c>
      <c r="F28" s="175" t="s">
        <v>57</v>
      </c>
      <c r="G28" s="177" t="s">
        <v>56</v>
      </c>
      <c r="I28" s="177" t="s">
        <v>57</v>
      </c>
      <c r="J28" s="176" t="s">
        <v>56</v>
      </c>
      <c r="K28" s="78"/>
    </row>
    <row r="29" spans="2:11" x14ac:dyDescent="0.2">
      <c r="B29" s="88"/>
      <c r="C29" s="102">
        <v>1</v>
      </c>
      <c r="D29" s="123">
        <v>3</v>
      </c>
      <c r="E29" s="122">
        <v>3.9</v>
      </c>
      <c r="F29" s="174" cm="1">
        <f t="array" ref="F29">TREND($D$8:$D$13,$C$8:$C$13,C29)</f>
        <v>3.9999999999999996</v>
      </c>
      <c r="G29" s="174" cm="1">
        <f t="array" ref="G29">TREND($E$8:$E$13,$C$8:$C$13,C29)</f>
        <v>3.9999999999999996</v>
      </c>
      <c r="I29" s="178">
        <f>$E$22+$D$22*C29</f>
        <v>3.9999999999999996</v>
      </c>
      <c r="J29" s="178">
        <f>$D$22*C29+$E$22</f>
        <v>3.9999999999999996</v>
      </c>
      <c r="K29" s="78"/>
    </row>
    <row r="30" spans="2:11" x14ac:dyDescent="0.2">
      <c r="B30" s="88"/>
      <c r="C30" s="102">
        <v>2</v>
      </c>
      <c r="D30" s="123">
        <v>7</v>
      </c>
      <c r="E30" s="122">
        <v>5</v>
      </c>
      <c r="F30" s="174" cm="1">
        <f t="array" ref="F30">TREND($D$8:$D$13,$C$8:$C$13,C30)</f>
        <v>4.8</v>
      </c>
      <c r="G30" s="174" cm="1">
        <f t="array" ref="G30">TREND($E$8:$E$13,$C$8:$C$13,C30)</f>
        <v>4.8</v>
      </c>
      <c r="I30" s="178">
        <f>$E$22+$D$22*C30</f>
        <v>4.8</v>
      </c>
      <c r="J30" s="178">
        <f t="shared" ref="J30:J34" si="0">$D$22*C30+$E$22</f>
        <v>4.8</v>
      </c>
      <c r="K30" s="78"/>
    </row>
    <row r="31" spans="2:11" x14ac:dyDescent="0.2">
      <c r="B31" s="88"/>
      <c r="C31" s="102">
        <v>3</v>
      </c>
      <c r="D31" s="123">
        <v>4</v>
      </c>
      <c r="E31" s="122">
        <v>5.5</v>
      </c>
      <c r="F31" s="174" cm="1">
        <f t="array" ref="F31">TREND($D$8:$D$13,$C$8:$C$13,C31)</f>
        <v>5.6</v>
      </c>
      <c r="G31" s="174" cm="1">
        <f t="array" ref="G31">TREND($E$8:$E$13,$C$8:$C$13,C31)</f>
        <v>5.6</v>
      </c>
      <c r="I31" s="178">
        <f t="shared" ref="I31:I34" si="1">$E$22+$D$22*C31</f>
        <v>5.6</v>
      </c>
      <c r="J31" s="178">
        <f t="shared" si="0"/>
        <v>5.6</v>
      </c>
      <c r="K31" s="78"/>
    </row>
    <row r="32" spans="2:11" x14ac:dyDescent="0.2">
      <c r="B32" s="88"/>
      <c r="C32" s="102">
        <v>4</v>
      </c>
      <c r="D32" s="123">
        <v>8</v>
      </c>
      <c r="E32" s="122">
        <v>6.5</v>
      </c>
      <c r="F32" s="174" cm="1">
        <f t="array" ref="F32">TREND($D$8:$D$13,$C$8:$C$13,C32)</f>
        <v>6.4</v>
      </c>
      <c r="G32" s="174" cm="1">
        <f t="array" ref="G32">TREND($E$8:$E$13,$C$8:$C$13,C32)</f>
        <v>6.4</v>
      </c>
      <c r="I32" s="178">
        <f t="shared" si="1"/>
        <v>6.4</v>
      </c>
      <c r="J32" s="178">
        <f t="shared" si="0"/>
        <v>6.4</v>
      </c>
      <c r="K32" s="78"/>
    </row>
    <row r="33" spans="2:11" x14ac:dyDescent="0.2">
      <c r="B33" s="88"/>
      <c r="C33" s="102">
        <v>5</v>
      </c>
      <c r="D33" s="123">
        <v>5</v>
      </c>
      <c r="E33" s="122">
        <v>7</v>
      </c>
      <c r="F33" s="174" cm="1">
        <f t="array" ref="F33">TREND($D$8:$D$13,$C$8:$C$13,C33)</f>
        <v>7.2000000000000011</v>
      </c>
      <c r="G33" s="174" cm="1">
        <f t="array" ref="G33">TREND($E$8:$E$13,$C$8:$C$13,C33)</f>
        <v>7.2</v>
      </c>
      <c r="I33" s="178">
        <f t="shared" si="1"/>
        <v>7.2000000000000011</v>
      </c>
      <c r="J33" s="178">
        <f t="shared" si="0"/>
        <v>7.2000000000000011</v>
      </c>
      <c r="K33" s="78"/>
    </row>
    <row r="34" spans="2:11" ht="15.75" thickBot="1" x14ac:dyDescent="0.25">
      <c r="B34" s="88"/>
      <c r="C34" s="158">
        <v>6</v>
      </c>
      <c r="D34" s="159">
        <v>9</v>
      </c>
      <c r="E34" s="162">
        <v>8.1</v>
      </c>
      <c r="F34" s="174" cm="1">
        <f t="array" ref="F34">TREND($D$8:$D$13,$C$8:$C$13,C34)</f>
        <v>8</v>
      </c>
      <c r="G34" s="174" cm="1">
        <f t="array" ref="G34">TREND($E$8:$E$13,$C$8:$C$13,C34)</f>
        <v>8</v>
      </c>
      <c r="I34" s="178">
        <f t="shared" si="1"/>
        <v>8</v>
      </c>
      <c r="J34" s="178">
        <f t="shared" si="0"/>
        <v>8</v>
      </c>
      <c r="K34" s="78"/>
    </row>
    <row r="35" spans="2:11" x14ac:dyDescent="0.2">
      <c r="B35" s="88"/>
      <c r="K35" s="78"/>
    </row>
    <row r="36" spans="2:11" ht="15.75" x14ac:dyDescent="0.25">
      <c r="B36" s="296" t="s">
        <v>113</v>
      </c>
      <c r="C36" s="297"/>
      <c r="D36" s="297"/>
      <c r="E36" s="297"/>
      <c r="F36" s="297"/>
      <c r="G36" s="297"/>
      <c r="H36" s="297"/>
      <c r="I36" s="297"/>
      <c r="J36" s="297"/>
      <c r="K36" s="298"/>
    </row>
    <row r="37" spans="2:11" ht="15.75" x14ac:dyDescent="0.25">
      <c r="B37" s="2"/>
      <c r="K37" s="78"/>
    </row>
    <row r="38" spans="2:11" ht="15.75" x14ac:dyDescent="0.25">
      <c r="B38" s="2"/>
      <c r="C38" s="288" t="s">
        <v>55</v>
      </c>
      <c r="D38" s="288"/>
      <c r="E38" s="288"/>
      <c r="F38" s="299"/>
      <c r="G38" s="173">
        <f>RSQ(D8:D13,C8:C13)</f>
        <v>0.39999999999999986</v>
      </c>
      <c r="K38" s="78"/>
    </row>
    <row r="39" spans="2:11" x14ac:dyDescent="0.2">
      <c r="B39" s="88"/>
      <c r="C39" s="288" t="s">
        <v>54</v>
      </c>
      <c r="D39" s="288"/>
      <c r="E39" s="288"/>
      <c r="F39" s="299"/>
      <c r="G39" s="173">
        <f>RSQ(E8:E13,C8:C13)</f>
        <v>0.98939929328621901</v>
      </c>
      <c r="K39" s="78"/>
    </row>
    <row r="40" spans="2:11" x14ac:dyDescent="0.2">
      <c r="B40" s="88"/>
      <c r="K40" s="78"/>
    </row>
    <row r="41" spans="2:11" x14ac:dyDescent="0.2">
      <c r="B41" s="172" t="s">
        <v>122</v>
      </c>
      <c r="K41" s="78"/>
    </row>
    <row r="42" spans="2:11" x14ac:dyDescent="0.2">
      <c r="B42" s="88"/>
      <c r="K42" s="78"/>
    </row>
    <row r="43" spans="2:11" x14ac:dyDescent="0.2">
      <c r="B43" s="88"/>
      <c r="K43" s="78"/>
    </row>
    <row r="44" spans="2:11" x14ac:dyDescent="0.2">
      <c r="B44" s="88"/>
      <c r="K44" s="78"/>
    </row>
    <row r="45" spans="2:11" x14ac:dyDescent="0.2">
      <c r="B45" s="88"/>
      <c r="K45" s="78"/>
    </row>
    <row r="46" spans="2:11" x14ac:dyDescent="0.2">
      <c r="B46" s="88"/>
      <c r="K46" s="78"/>
    </row>
    <row r="47" spans="2:11" x14ac:dyDescent="0.2">
      <c r="B47" s="88"/>
      <c r="K47" s="78"/>
    </row>
    <row r="48" spans="2:11" x14ac:dyDescent="0.2">
      <c r="B48" s="88"/>
      <c r="K48" s="78"/>
    </row>
    <row r="49" spans="2:11" x14ac:dyDescent="0.2">
      <c r="B49" s="88"/>
      <c r="K49" s="78"/>
    </row>
    <row r="50" spans="2:11" x14ac:dyDescent="0.2">
      <c r="B50" s="88"/>
      <c r="K50" s="78"/>
    </row>
    <row r="51" spans="2:11" x14ac:dyDescent="0.2">
      <c r="B51" s="88"/>
      <c r="K51" s="78"/>
    </row>
    <row r="52" spans="2:11" x14ac:dyDescent="0.2">
      <c r="B52" s="88"/>
      <c r="K52" s="78"/>
    </row>
    <row r="53" spans="2:11" x14ac:dyDescent="0.2">
      <c r="B53" s="88"/>
      <c r="K53" s="78"/>
    </row>
    <row r="54" spans="2:11" x14ac:dyDescent="0.2">
      <c r="B54" s="88"/>
      <c r="K54" s="78"/>
    </row>
    <row r="55" spans="2:11" x14ac:dyDescent="0.2">
      <c r="B55" s="88"/>
      <c r="K55" s="78"/>
    </row>
    <row r="56" spans="2:11" x14ac:dyDescent="0.2">
      <c r="B56" s="88"/>
      <c r="K56" s="78"/>
    </row>
    <row r="57" spans="2:11" x14ac:dyDescent="0.2">
      <c r="B57" s="88"/>
      <c r="K57" s="78"/>
    </row>
    <row r="58" spans="2:11" x14ac:dyDescent="0.2">
      <c r="B58" s="88"/>
      <c r="K58" s="78"/>
    </row>
    <row r="59" spans="2:11" x14ac:dyDescent="0.2">
      <c r="B59" s="88"/>
      <c r="K59" s="78"/>
    </row>
    <row r="60" spans="2:11" x14ac:dyDescent="0.2">
      <c r="B60" s="88"/>
      <c r="K60" s="78"/>
    </row>
    <row r="61" spans="2:11" x14ac:dyDescent="0.2">
      <c r="B61" s="88"/>
      <c r="K61" s="78"/>
    </row>
    <row r="62" spans="2:11" x14ac:dyDescent="0.2">
      <c r="B62" s="88"/>
      <c r="K62" s="78"/>
    </row>
    <row r="63" spans="2:11" ht="15.75" thickBot="1" x14ac:dyDescent="0.25">
      <c r="B63" s="109"/>
      <c r="C63" s="77"/>
      <c r="D63" s="77"/>
      <c r="E63" s="77"/>
      <c r="F63" s="77"/>
      <c r="G63" s="77"/>
      <c r="H63" s="77"/>
      <c r="I63" s="77"/>
      <c r="J63" s="77"/>
      <c r="K63" s="110"/>
    </row>
  </sheetData>
  <mergeCells count="14">
    <mergeCell ref="B17:K17"/>
    <mergeCell ref="B18:K18"/>
    <mergeCell ref="B4:K4"/>
    <mergeCell ref="B5:K5"/>
    <mergeCell ref="B15:K15"/>
    <mergeCell ref="B16:K16"/>
    <mergeCell ref="B20:K20"/>
    <mergeCell ref="B26:K26"/>
    <mergeCell ref="B36:K36"/>
    <mergeCell ref="C38:F38"/>
    <mergeCell ref="C39:F39"/>
    <mergeCell ref="F27:G27"/>
    <mergeCell ref="B22:C22"/>
    <mergeCell ref="B23:C23"/>
  </mergeCells>
  <pageMargins left="0.78740157499999996" right="0.78740157499999996" top="0.984251969" bottom="0.984251969" header="0.4921259845" footer="0.492125984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45"/>
  <sheetViews>
    <sheetView topLeftCell="A18" zoomScale="80" zoomScaleNormal="80" workbookViewId="0">
      <selection activeCell="M7" sqref="M7"/>
    </sheetView>
  </sheetViews>
  <sheetFormatPr baseColWidth="10" defaultColWidth="10.85546875" defaultRowHeight="15" x14ac:dyDescent="0.2"/>
  <cols>
    <col min="1" max="10" width="10.7109375" style="26" customWidth="1"/>
    <col min="11" max="16384" width="10.85546875" style="26"/>
  </cols>
  <sheetData>
    <row r="2" spans="2:9" ht="20.25" x14ac:dyDescent="0.3">
      <c r="B2" s="80" t="s">
        <v>79</v>
      </c>
      <c r="C2" s="79"/>
      <c r="D2" s="79"/>
    </row>
    <row r="3" spans="2:9" ht="15.75" thickBot="1" x14ac:dyDescent="0.25"/>
    <row r="4" spans="2:9" ht="15.75" x14ac:dyDescent="0.25">
      <c r="B4" s="116" t="s">
        <v>70</v>
      </c>
      <c r="C4" s="117"/>
      <c r="D4" s="117"/>
      <c r="E4" s="117"/>
      <c r="F4" s="117"/>
      <c r="G4" s="117"/>
      <c r="H4" s="117"/>
      <c r="I4" s="118"/>
    </row>
    <row r="5" spans="2:9" ht="30.75" customHeight="1" x14ac:dyDescent="0.2">
      <c r="B5" s="238" t="s">
        <v>139</v>
      </c>
      <c r="C5" s="239"/>
      <c r="D5" s="239"/>
      <c r="E5" s="239"/>
      <c r="F5" s="239"/>
      <c r="G5" s="239"/>
      <c r="H5" s="239"/>
      <c r="I5" s="240"/>
    </row>
    <row r="6" spans="2:9" x14ac:dyDescent="0.2">
      <c r="B6" s="247" t="s">
        <v>131</v>
      </c>
      <c r="C6" s="248"/>
      <c r="D6" s="248"/>
      <c r="E6" s="248"/>
      <c r="F6" s="248"/>
      <c r="G6" s="248"/>
      <c r="H6" s="248"/>
      <c r="I6" s="249"/>
    </row>
    <row r="7" spans="2:9" x14ac:dyDescent="0.2">
      <c r="B7" s="241" t="s">
        <v>132</v>
      </c>
      <c r="C7" s="242"/>
      <c r="D7" s="242"/>
      <c r="E7" s="242"/>
      <c r="F7" s="242"/>
      <c r="G7" s="242"/>
      <c r="H7" s="242"/>
      <c r="I7" s="243"/>
    </row>
    <row r="8" spans="2:9" ht="31.15" customHeight="1" x14ac:dyDescent="0.2">
      <c r="B8" s="244" t="s">
        <v>133</v>
      </c>
      <c r="C8" s="245"/>
      <c r="D8" s="245"/>
      <c r="E8" s="245"/>
      <c r="F8" s="245"/>
      <c r="G8" s="245"/>
      <c r="H8" s="245"/>
      <c r="I8" s="246"/>
    </row>
    <row r="9" spans="2:9" ht="47.65" customHeight="1" x14ac:dyDescent="0.2">
      <c r="B9" s="244" t="s">
        <v>69</v>
      </c>
      <c r="C9" s="245"/>
      <c r="D9" s="245"/>
      <c r="E9" s="245"/>
      <c r="F9" s="245"/>
      <c r="G9" s="245"/>
      <c r="H9" s="245"/>
      <c r="I9" s="246"/>
    </row>
    <row r="10" spans="2:9" ht="19.5" customHeight="1" thickBot="1" x14ac:dyDescent="0.25">
      <c r="B10" s="250" t="s">
        <v>68</v>
      </c>
      <c r="C10" s="251"/>
      <c r="D10" s="251"/>
      <c r="E10" s="251"/>
      <c r="F10" s="251"/>
      <c r="G10" s="251"/>
      <c r="H10" s="251"/>
      <c r="I10" s="252"/>
    </row>
    <row r="11" spans="2:9" ht="15.75" thickBot="1" x14ac:dyDescent="0.25">
      <c r="B11" s="88"/>
      <c r="I11" s="78"/>
    </row>
    <row r="12" spans="2:9" s="5" customFormat="1" ht="19.5" thickBot="1" x14ac:dyDescent="0.4">
      <c r="B12" s="225" t="s">
        <v>123</v>
      </c>
      <c r="C12" s="226" t="s">
        <v>124</v>
      </c>
      <c r="D12" s="227" t="s">
        <v>125</v>
      </c>
      <c r="E12" s="228" t="s">
        <v>126</v>
      </c>
      <c r="F12" s="229" t="s">
        <v>127</v>
      </c>
      <c r="G12" s="230" t="s">
        <v>128</v>
      </c>
      <c r="H12" s="231" t="s">
        <v>129</v>
      </c>
      <c r="I12" s="232" t="s">
        <v>130</v>
      </c>
    </row>
    <row r="13" spans="2:9" x14ac:dyDescent="0.2">
      <c r="B13" s="217">
        <v>10</v>
      </c>
      <c r="C13" s="218">
        <v>8.0399999999999991</v>
      </c>
      <c r="D13" s="219">
        <v>4</v>
      </c>
      <c r="E13" s="220">
        <v>3.1</v>
      </c>
      <c r="F13" s="221">
        <v>8</v>
      </c>
      <c r="G13" s="222">
        <v>6.77</v>
      </c>
      <c r="H13" s="223">
        <v>8</v>
      </c>
      <c r="I13" s="224">
        <v>6.58</v>
      </c>
    </row>
    <row r="14" spans="2:9" x14ac:dyDescent="0.2">
      <c r="B14" s="194">
        <v>8</v>
      </c>
      <c r="C14" s="195">
        <v>6.95</v>
      </c>
      <c r="D14" s="196">
        <v>5</v>
      </c>
      <c r="E14" s="197">
        <v>4.74</v>
      </c>
      <c r="F14" s="198">
        <v>10</v>
      </c>
      <c r="G14" s="199">
        <v>7.46</v>
      </c>
      <c r="H14" s="200">
        <v>8</v>
      </c>
      <c r="I14" s="201">
        <v>5.76</v>
      </c>
    </row>
    <row r="15" spans="2:9" x14ac:dyDescent="0.2">
      <c r="B15" s="194">
        <v>13</v>
      </c>
      <c r="C15" s="195">
        <v>7.58</v>
      </c>
      <c r="D15" s="196">
        <v>6</v>
      </c>
      <c r="E15" s="197">
        <v>6.13</v>
      </c>
      <c r="F15" s="198">
        <v>9</v>
      </c>
      <c r="G15" s="199">
        <v>7.11</v>
      </c>
      <c r="H15" s="200">
        <v>8</v>
      </c>
      <c r="I15" s="201">
        <v>7.71</v>
      </c>
    </row>
    <row r="16" spans="2:9" x14ac:dyDescent="0.2">
      <c r="B16" s="194">
        <v>9</v>
      </c>
      <c r="C16" s="195">
        <v>8.81</v>
      </c>
      <c r="D16" s="196">
        <v>7</v>
      </c>
      <c r="E16" s="197">
        <v>7.26</v>
      </c>
      <c r="F16" s="198">
        <v>11</v>
      </c>
      <c r="G16" s="199">
        <v>7.81</v>
      </c>
      <c r="H16" s="200">
        <v>8</v>
      </c>
      <c r="I16" s="201">
        <v>8.84</v>
      </c>
    </row>
    <row r="17" spans="2:9" ht="29.25" customHeight="1" x14ac:dyDescent="0.2">
      <c r="B17" s="194">
        <v>11</v>
      </c>
      <c r="C17" s="195">
        <v>8.33</v>
      </c>
      <c r="D17" s="196">
        <v>10</v>
      </c>
      <c r="E17" s="197">
        <v>9.14</v>
      </c>
      <c r="F17" s="198">
        <v>13</v>
      </c>
      <c r="G17" s="199">
        <v>12.75</v>
      </c>
      <c r="H17" s="200">
        <v>8</v>
      </c>
      <c r="I17" s="201">
        <v>8.4700000000000006</v>
      </c>
    </row>
    <row r="18" spans="2:9" x14ac:dyDescent="0.2">
      <c r="B18" s="194">
        <v>14</v>
      </c>
      <c r="C18" s="195">
        <v>9.9600000000000009</v>
      </c>
      <c r="D18" s="196">
        <v>9</v>
      </c>
      <c r="E18" s="197">
        <v>8.77</v>
      </c>
      <c r="F18" s="198">
        <v>14</v>
      </c>
      <c r="G18" s="199">
        <v>8.84</v>
      </c>
      <c r="H18" s="200">
        <v>8</v>
      </c>
      <c r="I18" s="201">
        <v>7.04</v>
      </c>
    </row>
    <row r="19" spans="2:9" x14ac:dyDescent="0.2">
      <c r="B19" s="194">
        <v>6</v>
      </c>
      <c r="C19" s="195">
        <v>7.24</v>
      </c>
      <c r="D19" s="196">
        <v>8</v>
      </c>
      <c r="E19" s="197">
        <v>8.14</v>
      </c>
      <c r="F19" s="198">
        <v>6</v>
      </c>
      <c r="G19" s="199">
        <v>6.08</v>
      </c>
      <c r="H19" s="200">
        <v>8</v>
      </c>
      <c r="I19" s="201">
        <v>5.25</v>
      </c>
    </row>
    <row r="20" spans="2:9" x14ac:dyDescent="0.2">
      <c r="B20" s="194">
        <v>4</v>
      </c>
      <c r="C20" s="195">
        <v>4.26</v>
      </c>
      <c r="D20" s="196">
        <v>11</v>
      </c>
      <c r="E20" s="197">
        <v>9.26</v>
      </c>
      <c r="F20" s="198">
        <v>4</v>
      </c>
      <c r="G20" s="199">
        <v>5.39</v>
      </c>
      <c r="H20" s="200">
        <v>19</v>
      </c>
      <c r="I20" s="201">
        <v>12.5</v>
      </c>
    </row>
    <row r="21" spans="2:9" x14ac:dyDescent="0.2">
      <c r="B21" s="194">
        <v>12</v>
      </c>
      <c r="C21" s="195">
        <v>10.84</v>
      </c>
      <c r="D21" s="196">
        <v>12</v>
      </c>
      <c r="E21" s="197">
        <v>9.1300000000000008</v>
      </c>
      <c r="F21" s="198">
        <v>5</v>
      </c>
      <c r="G21" s="199">
        <v>5.73</v>
      </c>
      <c r="H21" s="200">
        <v>8</v>
      </c>
      <c r="I21" s="201">
        <v>5.55</v>
      </c>
    </row>
    <row r="22" spans="2:9" x14ac:dyDescent="0.2">
      <c r="B22" s="194">
        <v>7</v>
      </c>
      <c r="C22" s="195">
        <v>4.82</v>
      </c>
      <c r="D22" s="196">
        <v>13</v>
      </c>
      <c r="E22" s="197">
        <v>8.74</v>
      </c>
      <c r="F22" s="198">
        <v>7</v>
      </c>
      <c r="G22" s="199">
        <v>6.42</v>
      </c>
      <c r="H22" s="200">
        <v>8</v>
      </c>
      <c r="I22" s="201">
        <v>7.91</v>
      </c>
    </row>
    <row r="23" spans="2:9" ht="15.75" thickBot="1" x14ac:dyDescent="0.25">
      <c r="B23" s="202">
        <v>5</v>
      </c>
      <c r="C23" s="203">
        <v>5.68</v>
      </c>
      <c r="D23" s="204">
        <v>14</v>
      </c>
      <c r="E23" s="205">
        <v>8.1</v>
      </c>
      <c r="F23" s="206">
        <v>12</v>
      </c>
      <c r="G23" s="207">
        <v>8.15</v>
      </c>
      <c r="H23" s="208">
        <v>8</v>
      </c>
      <c r="I23" s="209">
        <v>6.89</v>
      </c>
    </row>
    <row r="24" spans="2:9" x14ac:dyDescent="0.2">
      <c r="B24" s="88"/>
      <c r="I24" s="78"/>
    </row>
    <row r="25" spans="2:9" x14ac:dyDescent="0.2">
      <c r="B25" s="88"/>
      <c r="I25" s="78"/>
    </row>
    <row r="26" spans="2:9" ht="18.75" x14ac:dyDescent="0.35">
      <c r="B26" s="141" t="s">
        <v>134</v>
      </c>
      <c r="C26" s="79"/>
      <c r="D26" s="79"/>
      <c r="E26" s="79"/>
      <c r="F26" s="79"/>
      <c r="G26" s="79"/>
      <c r="H26" s="79"/>
      <c r="I26" s="210"/>
    </row>
    <row r="27" spans="2:9" x14ac:dyDescent="0.2">
      <c r="B27" s="211">
        <f>AVERAGE(B13:B23)</f>
        <v>9</v>
      </c>
      <c r="C27" s="211">
        <f t="shared" ref="C27:I27" si="0">AVERAGE(C13:C23)</f>
        <v>7.5009090909090927</v>
      </c>
      <c r="D27" s="211">
        <f t="shared" si="0"/>
        <v>9</v>
      </c>
      <c r="E27" s="211">
        <f t="shared" si="0"/>
        <v>7.5009090909090901</v>
      </c>
      <c r="F27" s="211">
        <f t="shared" si="0"/>
        <v>9</v>
      </c>
      <c r="G27" s="211">
        <f t="shared" si="0"/>
        <v>7.500909090909091</v>
      </c>
      <c r="H27" s="211">
        <f t="shared" si="0"/>
        <v>9</v>
      </c>
      <c r="I27" s="211">
        <f t="shared" si="0"/>
        <v>7.5</v>
      </c>
    </row>
    <row r="28" spans="2:9" x14ac:dyDescent="0.2">
      <c r="B28" s="88"/>
      <c r="I28" s="78"/>
    </row>
    <row r="29" spans="2:9" ht="18.75" x14ac:dyDescent="0.35">
      <c r="B29" s="141" t="s">
        <v>135</v>
      </c>
      <c r="C29" s="79"/>
      <c r="D29" s="79"/>
      <c r="E29" s="79"/>
      <c r="F29" s="79"/>
      <c r="G29" s="79"/>
      <c r="H29" s="79"/>
      <c r="I29" s="210"/>
    </row>
    <row r="30" spans="2:9" x14ac:dyDescent="0.2">
      <c r="B30" s="88"/>
      <c r="C30" s="193">
        <f>PEARSON(B13:B23,C13:C23)</f>
        <v>0.81642051634483992</v>
      </c>
      <c r="D30" s="213"/>
      <c r="E30" s="193">
        <f>PEARSON(D13:D23,E13:E23)</f>
        <v>0.81623650600024256</v>
      </c>
      <c r="F30" s="213"/>
      <c r="G30" s="193">
        <f>PEARSON(F13:F23,G13:G23)</f>
        <v>0.81584351956871937</v>
      </c>
      <c r="H30" s="213"/>
      <c r="I30" s="193">
        <f>PEARSON(H13:H23,I13:I23)</f>
        <v>0.81628486903470998</v>
      </c>
    </row>
    <row r="31" spans="2:9" x14ac:dyDescent="0.2">
      <c r="B31" s="88"/>
      <c r="I31" s="78"/>
    </row>
    <row r="32" spans="2:9" x14ac:dyDescent="0.2">
      <c r="B32" s="88"/>
      <c r="I32" s="78"/>
    </row>
    <row r="33" spans="2:9" ht="15.75" x14ac:dyDescent="0.25">
      <c r="B33" s="141" t="s">
        <v>136</v>
      </c>
      <c r="C33" s="79"/>
      <c r="D33" s="79"/>
      <c r="E33" s="79"/>
      <c r="F33" s="79"/>
      <c r="G33" s="79"/>
      <c r="H33" s="79"/>
      <c r="I33" s="210"/>
    </row>
    <row r="34" spans="2:9" ht="15.75" x14ac:dyDescent="0.25">
      <c r="B34" s="2" t="s">
        <v>45</v>
      </c>
      <c r="C34" s="191" t="s">
        <v>63</v>
      </c>
      <c r="D34" s="5" t="s">
        <v>45</v>
      </c>
      <c r="E34" s="191" t="s">
        <v>63</v>
      </c>
      <c r="F34" s="5" t="s">
        <v>45</v>
      </c>
      <c r="G34" s="191" t="s">
        <v>63</v>
      </c>
      <c r="H34" s="5" t="s">
        <v>45</v>
      </c>
      <c r="I34" s="191" t="s">
        <v>63</v>
      </c>
    </row>
    <row r="35" spans="2:9" x14ac:dyDescent="0.2">
      <c r="B35" s="211" cm="1">
        <f t="array" ref="B35:C35">LINEST(C13:C23,B13:B23)</f>
        <v>0.50009090909090925</v>
      </c>
      <c r="C35" s="188">
        <v>3.0000909090909094</v>
      </c>
      <c r="D35" s="211" cm="1">
        <f t="array" ref="D35:E35">LINEST(E13:E23,D13:D23)</f>
        <v>0.49999999999999989</v>
      </c>
      <c r="E35" s="189">
        <v>3.000909090909091</v>
      </c>
      <c r="F35" s="211" cm="1">
        <f t="array" ref="F35:G35">LINEST(G13:G23,F13:F23)</f>
        <v>0.50009090909090914</v>
      </c>
      <c r="G35" s="190">
        <v>3.0000909090909085</v>
      </c>
      <c r="H35" s="211" cm="1">
        <f t="array" ref="H35:I35">LINEST(I13:I23,H13:H23)</f>
        <v>0.5</v>
      </c>
      <c r="I35" s="212">
        <v>3</v>
      </c>
    </row>
    <row r="36" spans="2:9" x14ac:dyDescent="0.2">
      <c r="B36" s="214"/>
      <c r="C36" s="192"/>
      <c r="D36" s="192"/>
      <c r="E36" s="192"/>
      <c r="F36" s="192"/>
      <c r="G36" s="192"/>
      <c r="H36" s="192"/>
      <c r="I36" s="215"/>
    </row>
    <row r="37" spans="2:9" ht="15.75" x14ac:dyDescent="0.25">
      <c r="B37" s="2" t="s">
        <v>67</v>
      </c>
      <c r="C37" s="78"/>
      <c r="I37" s="78"/>
    </row>
    <row r="38" spans="2:9" x14ac:dyDescent="0.2">
      <c r="B38" s="88"/>
      <c r="C38" s="193">
        <f>RSQ(C13:C23,B13:B23)</f>
        <v>0.666542459508775</v>
      </c>
      <c r="E38" s="193">
        <f>RSQ(E13:E23,D13:D23)</f>
        <v>0.66624203372748436</v>
      </c>
      <c r="G38" s="193">
        <f>RSQ(G13:G23,F13:F23)</f>
        <v>0.6656006484222754</v>
      </c>
      <c r="I38" s="193">
        <f>RSQ(I13:I23,H13:H23)</f>
        <v>0.66632098741501367</v>
      </c>
    </row>
    <row r="39" spans="2:9" x14ac:dyDescent="0.2">
      <c r="B39" s="88"/>
      <c r="I39" s="78"/>
    </row>
    <row r="40" spans="2:9" x14ac:dyDescent="0.2">
      <c r="B40" s="88"/>
      <c r="I40" s="78"/>
    </row>
    <row r="41" spans="2:9" ht="15.75" x14ac:dyDescent="0.25">
      <c r="B41" s="141" t="s">
        <v>138</v>
      </c>
      <c r="C41" s="79"/>
      <c r="D41" s="79"/>
      <c r="E41" s="79"/>
      <c r="F41" s="79"/>
      <c r="G41" s="79"/>
      <c r="H41" s="79"/>
      <c r="I41" s="210"/>
    </row>
    <row r="42" spans="2:9" ht="15.75" x14ac:dyDescent="0.25">
      <c r="B42" s="2"/>
      <c r="I42" s="78"/>
    </row>
    <row r="43" spans="2:9" ht="15.75" x14ac:dyDescent="0.25">
      <c r="B43" s="141" t="s">
        <v>137</v>
      </c>
      <c r="C43" s="79"/>
      <c r="D43" s="79"/>
      <c r="E43" s="79"/>
      <c r="F43" s="79"/>
      <c r="G43" s="79"/>
      <c r="H43" s="79"/>
      <c r="I43" s="210"/>
    </row>
    <row r="44" spans="2:9" ht="15.75" x14ac:dyDescent="0.25">
      <c r="B44" s="2"/>
      <c r="C44" s="5" t="s">
        <v>66</v>
      </c>
      <c r="I44" s="78"/>
    </row>
    <row r="45" spans="2:9" ht="15.75" thickBot="1" x14ac:dyDescent="0.25">
      <c r="B45" s="109"/>
      <c r="C45" s="216" cm="1">
        <f t="array" ref="C45">TREND(C13:C23,B13:B23,12)</f>
        <v>9.0011818181818199</v>
      </c>
      <c r="D45" s="77"/>
      <c r="E45" s="216" cm="1">
        <f t="array" ref="E45">TREND(E13:E23,D13:D23,12)</f>
        <v>9.0009090909090901</v>
      </c>
      <c r="F45" s="77"/>
      <c r="G45" s="216" cm="1">
        <f t="array" ref="G45">TREND(G13:G23,F13:F23,12)</f>
        <v>9.0011818181818182</v>
      </c>
      <c r="H45" s="77"/>
      <c r="I45" s="216" cm="1">
        <f t="array" ref="I45">TREND(I13:I23,H13:H23,12)</f>
        <v>9</v>
      </c>
    </row>
  </sheetData>
  <mergeCells count="6">
    <mergeCell ref="B5:I5"/>
    <mergeCell ref="B7:I7"/>
    <mergeCell ref="B8:I8"/>
    <mergeCell ref="B6:I6"/>
    <mergeCell ref="B10:I10"/>
    <mergeCell ref="B9:I9"/>
  </mergeCells>
  <pageMargins left="0.78740157499999996" right="0.78740157499999996" top="0.984251969" bottom="0.984251969" header="0.5" footer="0.5"/>
  <pageSetup paperSize="9"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Überblick</vt:lpstr>
      <vt:lpstr>Solver</vt:lpstr>
      <vt:lpstr>Beispiel Solver</vt:lpstr>
      <vt:lpstr>Aufgabe 1</vt:lpstr>
      <vt:lpstr>Regression mit Solver</vt:lpstr>
      <vt:lpstr>Aufgabe 2</vt:lpstr>
      <vt:lpstr>Aufgabe 3</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cp:lastPrinted>2014-03-30T11:15:11Z</cp:lastPrinted>
  <dcterms:created xsi:type="dcterms:W3CDTF">2008-04-16T12:31:43Z</dcterms:created>
  <dcterms:modified xsi:type="dcterms:W3CDTF">2026-05-28T12:23:02Z</dcterms:modified>
</cp:coreProperties>
</file>